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ongaackr-my.sharepoint.com/personal/gmldnd3964_donga_ac_kr/Documents/문서/카카오톡 받은 파일/"/>
    </mc:Choice>
  </mc:AlternateContent>
  <xr:revisionPtr revIDLastSave="3" documentId="11_9ADC539112E6973A28107DE3C5FD66473695B4F7" xr6:coauthVersionLast="47" xr6:coauthVersionMax="47" xr10:uidLastSave="{7EEAC552-CECC-4CA5-8D99-209BDFA8275B}"/>
  <bookViews>
    <workbookView xWindow="-103" yWindow="-103" windowWidth="24892" windowHeight="14914" xr2:uid="{00000000-000D-0000-FFFF-FFFF00000000}"/>
  </bookViews>
  <sheets>
    <sheet name="건전성" sheetId="1" r:id="rId1"/>
    <sheet name="건전성 자동화 결과" sheetId="2" r:id="rId2"/>
    <sheet name="채무보증" sheetId="3" r:id="rId3"/>
  </sheets>
  <externalReferences>
    <externalReference r:id="rId4"/>
  </externalReferences>
  <definedNames>
    <definedName name="_xlnm._FilterDatabase" localSheetId="0" hidden="1">건전성!$A$1:$CW$1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T322" i="2" l="1"/>
  <c r="CU322" i="2" s="1"/>
  <c r="CV322" i="2" s="1"/>
  <c r="CP322" i="2"/>
  <c r="CQ322" i="2" s="1"/>
  <c r="CR322" i="2" s="1"/>
  <c r="CM322" i="2"/>
  <c r="CN322" i="2" s="1"/>
  <c r="CI322" i="2"/>
  <c r="CJ322" i="2" s="1"/>
  <c r="BU322" i="2"/>
  <c r="BV322" i="2" s="1"/>
  <c r="BP322" i="2"/>
  <c r="BQ322" i="2" s="1"/>
  <c r="BR322" i="2" s="1"/>
  <c r="BJ322" i="2"/>
  <c r="BH322" i="2"/>
  <c r="BI322" i="2" s="1"/>
  <c r="BA322" i="2"/>
  <c r="BB322" i="2" s="1"/>
  <c r="BC322" i="2" s="1"/>
  <c r="BD322" i="2" s="1"/>
  <c r="AS322" i="2"/>
  <c r="AT322" i="2" s="1"/>
  <c r="AU322" i="2" s="1"/>
  <c r="AV322" i="2" s="1"/>
  <c r="AW322" i="2" s="1"/>
  <c r="AX322" i="2" s="1"/>
  <c r="AN322" i="2"/>
  <c r="AO322" i="2" s="1"/>
  <c r="AP322" i="2" s="1"/>
  <c r="AQ322" i="2" s="1"/>
  <c r="AF322" i="2"/>
  <c r="CT321" i="2"/>
  <c r="CU321" i="2" s="1"/>
  <c r="CV321" i="2" s="1"/>
  <c r="CP321" i="2"/>
  <c r="CQ321" i="2" s="1"/>
  <c r="CR321" i="2" s="1"/>
  <c r="CM321" i="2"/>
  <c r="CN321" i="2" s="1"/>
  <c r="CC321" i="2"/>
  <c r="CD321" i="2" s="1"/>
  <c r="CE321" i="2" s="1"/>
  <c r="BU321" i="2"/>
  <c r="BV321" i="2" s="1"/>
  <c r="BP321" i="2"/>
  <c r="BQ321" i="2" s="1"/>
  <c r="BR321" i="2" s="1"/>
  <c r="BJ321" i="2"/>
  <c r="BH321" i="2"/>
  <c r="BI321" i="2" s="1"/>
  <c r="BA321" i="2"/>
  <c r="BB321" i="2" s="1"/>
  <c r="BC321" i="2" s="1"/>
  <c r="BD321" i="2" s="1"/>
  <c r="AS321" i="2"/>
  <c r="AT321" i="2" s="1"/>
  <c r="AU321" i="2" s="1"/>
  <c r="AV321" i="2" s="1"/>
  <c r="AW321" i="2" s="1"/>
  <c r="AX321" i="2" s="1"/>
  <c r="AN321" i="2"/>
  <c r="AO321" i="2" s="1"/>
  <c r="AP321" i="2" s="1"/>
  <c r="AQ321" i="2" s="1"/>
  <c r="CT320" i="2"/>
  <c r="CU320" i="2" s="1"/>
  <c r="CV320" i="2" s="1"/>
  <c r="CP320" i="2"/>
  <c r="CQ320" i="2" s="1"/>
  <c r="CR320" i="2" s="1"/>
  <c r="CM320" i="2"/>
  <c r="CN320" i="2" s="1"/>
  <c r="CC320" i="2"/>
  <c r="CD320" i="2" s="1"/>
  <c r="CE320" i="2" s="1"/>
  <c r="BU320" i="2"/>
  <c r="BV320" i="2" s="1"/>
  <c r="BP320" i="2"/>
  <c r="BQ320" i="2" s="1"/>
  <c r="BR320" i="2" s="1"/>
  <c r="BJ320" i="2"/>
  <c r="BH320" i="2"/>
  <c r="BI320" i="2" s="1"/>
  <c r="BA320" i="2"/>
  <c r="BB320" i="2" s="1"/>
  <c r="BC320" i="2" s="1"/>
  <c r="BD320" i="2" s="1"/>
  <c r="AS320" i="2"/>
  <c r="AT320" i="2" s="1"/>
  <c r="AU320" i="2" s="1"/>
  <c r="AV320" i="2" s="1"/>
  <c r="AW320" i="2" s="1"/>
  <c r="AX320" i="2" s="1"/>
  <c r="AN320" i="2"/>
  <c r="AO320" i="2" s="1"/>
  <c r="AP320" i="2" s="1"/>
  <c r="AQ320" i="2" s="1"/>
  <c r="CT319" i="2"/>
  <c r="CU319" i="2" s="1"/>
  <c r="CV319" i="2" s="1"/>
  <c r="CP319" i="2"/>
  <c r="CQ319" i="2" s="1"/>
  <c r="CR319" i="2" s="1"/>
  <c r="CM319" i="2"/>
  <c r="CN319" i="2" s="1"/>
  <c r="CD319" i="2"/>
  <c r="CE319" i="2" s="1"/>
  <c r="CC319" i="2"/>
  <c r="BU319" i="2"/>
  <c r="BV319" i="2" s="1"/>
  <c r="BP319" i="2"/>
  <c r="BQ319" i="2" s="1"/>
  <c r="BR319" i="2" s="1"/>
  <c r="BJ319" i="2"/>
  <c r="BH319" i="2"/>
  <c r="BI319" i="2" s="1"/>
  <c r="BA319" i="2"/>
  <c r="BB319" i="2" s="1"/>
  <c r="BC319" i="2" s="1"/>
  <c r="BD319" i="2" s="1"/>
  <c r="AS319" i="2"/>
  <c r="AT319" i="2" s="1"/>
  <c r="AU319" i="2" s="1"/>
  <c r="AV319" i="2" s="1"/>
  <c r="AW319" i="2" s="1"/>
  <c r="AX319" i="2" s="1"/>
  <c r="AN319" i="2"/>
  <c r="AO319" i="2" s="1"/>
  <c r="AP319" i="2" s="1"/>
  <c r="AQ319" i="2" s="1"/>
  <c r="CT318" i="2"/>
  <c r="CU318" i="2" s="1"/>
  <c r="CV318" i="2" s="1"/>
  <c r="CP318" i="2"/>
  <c r="CQ318" i="2" s="1"/>
  <c r="CR318" i="2" s="1"/>
  <c r="CM318" i="2"/>
  <c r="CN318" i="2" s="1"/>
  <c r="CC318" i="2"/>
  <c r="CD318" i="2" s="1"/>
  <c r="CE318" i="2" s="1"/>
  <c r="BU318" i="2"/>
  <c r="BV318" i="2" s="1"/>
  <c r="BP318" i="2"/>
  <c r="BQ318" i="2" s="1"/>
  <c r="BR318" i="2" s="1"/>
  <c r="BJ318" i="2"/>
  <c r="BH318" i="2"/>
  <c r="BI318" i="2" s="1"/>
  <c r="BA318" i="2"/>
  <c r="AS318" i="2"/>
  <c r="AT318" i="2" s="1"/>
  <c r="AU318" i="2" s="1"/>
  <c r="AV318" i="2" s="1"/>
  <c r="AW318" i="2" s="1"/>
  <c r="AX318" i="2" s="1"/>
  <c r="AN318" i="2"/>
  <c r="AO318" i="2" s="1"/>
  <c r="AP318" i="2" s="1"/>
  <c r="AQ318" i="2" s="1"/>
  <c r="CT317" i="2"/>
  <c r="CU317" i="2" s="1"/>
  <c r="CV317" i="2" s="1"/>
  <c r="CP317" i="2"/>
  <c r="CQ317" i="2" s="1"/>
  <c r="CR317" i="2" s="1"/>
  <c r="CM317" i="2"/>
  <c r="CN317" i="2" s="1"/>
  <c r="CC317" i="2"/>
  <c r="CD317" i="2" s="1"/>
  <c r="CE317" i="2" s="1"/>
  <c r="BU317" i="2"/>
  <c r="BV317" i="2" s="1"/>
  <c r="BP317" i="2"/>
  <c r="BQ317" i="2" s="1"/>
  <c r="BR317" i="2" s="1"/>
  <c r="BJ317" i="2"/>
  <c r="BH317" i="2"/>
  <c r="BI317" i="2" s="1"/>
  <c r="BA317" i="2"/>
  <c r="BB317" i="2" s="1"/>
  <c r="BC317" i="2" s="1"/>
  <c r="BD317" i="2" s="1"/>
  <c r="AT317" i="2"/>
  <c r="AU317" i="2" s="1"/>
  <c r="AV317" i="2" s="1"/>
  <c r="AW317" i="2" s="1"/>
  <c r="AX317" i="2" s="1"/>
  <c r="AS317" i="2"/>
  <c r="AN317" i="2"/>
  <c r="AO317" i="2" s="1"/>
  <c r="AP317" i="2" s="1"/>
  <c r="AQ317" i="2" s="1"/>
  <c r="AF317" i="2"/>
  <c r="AH317" i="2" s="1"/>
  <c r="AI317" i="2" s="1"/>
  <c r="AJ317" i="2" s="1"/>
  <c r="AG317" i="2"/>
  <c r="CT316" i="2"/>
  <c r="CU316" i="2" s="1"/>
  <c r="CV316" i="2" s="1"/>
  <c r="CP316" i="2"/>
  <c r="CQ316" i="2" s="1"/>
  <c r="CR316" i="2" s="1"/>
  <c r="CM316" i="2"/>
  <c r="CN316" i="2" s="1"/>
  <c r="CC316" i="2"/>
  <c r="CD316" i="2" s="1"/>
  <c r="CE316" i="2" s="1"/>
  <c r="BU316" i="2"/>
  <c r="BV316" i="2" s="1"/>
  <c r="BP316" i="2"/>
  <c r="BQ316" i="2" s="1"/>
  <c r="BR316" i="2" s="1"/>
  <c r="BJ316" i="2"/>
  <c r="BH316" i="2"/>
  <c r="BI316" i="2" s="1"/>
  <c r="BA316" i="2"/>
  <c r="BB316" i="2" s="1"/>
  <c r="BC316" i="2" s="1"/>
  <c r="BD316" i="2" s="1"/>
  <c r="AS316" i="2"/>
  <c r="AT316" i="2" s="1"/>
  <c r="AU316" i="2" s="1"/>
  <c r="AV316" i="2" s="1"/>
  <c r="AW316" i="2" s="1"/>
  <c r="AX316" i="2" s="1"/>
  <c r="AN316" i="2"/>
  <c r="AO316" i="2" s="1"/>
  <c r="AP316" i="2" s="1"/>
  <c r="AQ316" i="2" s="1"/>
  <c r="AG316" i="2"/>
  <c r="AF316" i="2"/>
  <c r="AB316" i="2"/>
  <c r="AC316" i="2" s="1"/>
  <c r="AD316" i="2" s="1"/>
  <c r="AE316" i="2" s="1"/>
  <c r="CT315" i="2"/>
  <c r="CU315" i="2" s="1"/>
  <c r="CV315" i="2" s="1"/>
  <c r="CP315" i="2"/>
  <c r="CQ315" i="2" s="1"/>
  <c r="CR315" i="2" s="1"/>
  <c r="CM315" i="2"/>
  <c r="CN315" i="2" s="1"/>
  <c r="CC315" i="2"/>
  <c r="CD315" i="2" s="1"/>
  <c r="CE315" i="2" s="1"/>
  <c r="BU315" i="2"/>
  <c r="BV315" i="2" s="1"/>
  <c r="BP315" i="2"/>
  <c r="BQ315" i="2" s="1"/>
  <c r="BR315" i="2" s="1"/>
  <c r="BJ315" i="2"/>
  <c r="BH315" i="2"/>
  <c r="BI315" i="2" s="1"/>
  <c r="BA315" i="2"/>
  <c r="BB315" i="2" s="1"/>
  <c r="BC315" i="2" s="1"/>
  <c r="BD315" i="2" s="1"/>
  <c r="AS315" i="2"/>
  <c r="AT315" i="2" s="1"/>
  <c r="AU315" i="2" s="1"/>
  <c r="AV315" i="2" s="1"/>
  <c r="AW315" i="2" s="1"/>
  <c r="AX315" i="2" s="1"/>
  <c r="AN315" i="2"/>
  <c r="AO315" i="2" s="1"/>
  <c r="AP315" i="2" s="1"/>
  <c r="AQ315" i="2" s="1"/>
  <c r="AG315" i="2"/>
  <c r="AF315" i="2"/>
  <c r="AB315" i="2"/>
  <c r="AC315" i="2" s="1"/>
  <c r="AD315" i="2" s="1"/>
  <c r="AE315" i="2" s="1"/>
  <c r="CT314" i="2"/>
  <c r="CU314" i="2" s="1"/>
  <c r="CV314" i="2" s="1"/>
  <c r="CP314" i="2"/>
  <c r="CQ314" i="2" s="1"/>
  <c r="CR314" i="2" s="1"/>
  <c r="CM314" i="2"/>
  <c r="CN314" i="2" s="1"/>
  <c r="CD314" i="2"/>
  <c r="CE314" i="2" s="1"/>
  <c r="CC314" i="2"/>
  <c r="BU314" i="2"/>
  <c r="BV314" i="2" s="1"/>
  <c r="BP314" i="2"/>
  <c r="BQ314" i="2" s="1"/>
  <c r="BR314" i="2" s="1"/>
  <c r="BJ314" i="2"/>
  <c r="BH314" i="2"/>
  <c r="BI314" i="2" s="1"/>
  <c r="BA314" i="2"/>
  <c r="BB314" i="2" s="1"/>
  <c r="BC314" i="2" s="1"/>
  <c r="BD314" i="2" s="1"/>
  <c r="AS314" i="2"/>
  <c r="AT314" i="2" s="1"/>
  <c r="AU314" i="2" s="1"/>
  <c r="AV314" i="2" s="1"/>
  <c r="AW314" i="2" s="1"/>
  <c r="AX314" i="2" s="1"/>
  <c r="AN314" i="2"/>
  <c r="AO314" i="2" s="1"/>
  <c r="AP314" i="2" s="1"/>
  <c r="AQ314" i="2" s="1"/>
  <c r="AG314" i="2"/>
  <c r="AF314" i="2"/>
  <c r="AB314" i="2"/>
  <c r="AC314" i="2" s="1"/>
  <c r="AD314" i="2" s="1"/>
  <c r="AE314" i="2" s="1"/>
  <c r="CT313" i="2"/>
  <c r="CU313" i="2" s="1"/>
  <c r="CV313" i="2" s="1"/>
  <c r="CP313" i="2"/>
  <c r="CQ313" i="2" s="1"/>
  <c r="CR313" i="2" s="1"/>
  <c r="CM313" i="2"/>
  <c r="CN313" i="2" s="1"/>
  <c r="CC313" i="2"/>
  <c r="CD313" i="2" s="1"/>
  <c r="CE313" i="2" s="1"/>
  <c r="BU313" i="2"/>
  <c r="BV313" i="2" s="1"/>
  <c r="BP313" i="2"/>
  <c r="BQ313" i="2" s="1"/>
  <c r="BR313" i="2" s="1"/>
  <c r="BJ313" i="2"/>
  <c r="BH313" i="2"/>
  <c r="BI313" i="2" s="1"/>
  <c r="BA313" i="2"/>
  <c r="BB313" i="2" s="1"/>
  <c r="BC313" i="2" s="1"/>
  <c r="BD313" i="2" s="1"/>
  <c r="AS313" i="2"/>
  <c r="AT313" i="2" s="1"/>
  <c r="AU313" i="2" s="1"/>
  <c r="AV313" i="2" s="1"/>
  <c r="AW313" i="2" s="1"/>
  <c r="AX313" i="2" s="1"/>
  <c r="AN313" i="2"/>
  <c r="AO313" i="2" s="1"/>
  <c r="AP313" i="2" s="1"/>
  <c r="AQ313" i="2" s="1"/>
  <c r="AG313" i="2"/>
  <c r="AF313" i="2"/>
  <c r="AB313" i="2"/>
  <c r="AC313" i="2" s="1"/>
  <c r="AD313" i="2" s="1"/>
  <c r="AE313" i="2" s="1"/>
  <c r="CT312" i="2"/>
  <c r="CU312" i="2" s="1"/>
  <c r="CV312" i="2" s="1"/>
  <c r="CP312" i="2"/>
  <c r="CQ312" i="2" s="1"/>
  <c r="CR312" i="2" s="1"/>
  <c r="CM312" i="2"/>
  <c r="CN312" i="2" s="1"/>
  <c r="CC312" i="2"/>
  <c r="CD312" i="2" s="1"/>
  <c r="CE312" i="2" s="1"/>
  <c r="BU312" i="2"/>
  <c r="BV312" i="2" s="1"/>
  <c r="BP312" i="2"/>
  <c r="BQ312" i="2" s="1"/>
  <c r="BR312" i="2" s="1"/>
  <c r="BJ312" i="2"/>
  <c r="BH312" i="2"/>
  <c r="BI312" i="2" s="1"/>
  <c r="BA312" i="2"/>
  <c r="BB312" i="2" s="1"/>
  <c r="BC312" i="2" s="1"/>
  <c r="BD312" i="2" s="1"/>
  <c r="AS312" i="2"/>
  <c r="AT312" i="2" s="1"/>
  <c r="AU312" i="2" s="1"/>
  <c r="AV312" i="2" s="1"/>
  <c r="AW312" i="2" s="1"/>
  <c r="AX312" i="2" s="1"/>
  <c r="AN312" i="2"/>
  <c r="AO312" i="2" s="1"/>
  <c r="AP312" i="2" s="1"/>
  <c r="AQ312" i="2" s="1"/>
  <c r="AB312" i="2"/>
  <c r="AC312" i="2" s="1"/>
  <c r="AD312" i="2" s="1"/>
  <c r="AE312" i="2" s="1"/>
  <c r="CT311" i="2"/>
  <c r="CU311" i="2" s="1"/>
  <c r="CV311" i="2" s="1"/>
  <c r="CP311" i="2"/>
  <c r="CQ311" i="2" s="1"/>
  <c r="CR311" i="2" s="1"/>
  <c r="CM311" i="2"/>
  <c r="CN311" i="2" s="1"/>
  <c r="CC311" i="2"/>
  <c r="CD311" i="2" s="1"/>
  <c r="CE311" i="2" s="1"/>
  <c r="BU311" i="2"/>
  <c r="BV311" i="2" s="1"/>
  <c r="BP311" i="2"/>
  <c r="BQ311" i="2" s="1"/>
  <c r="BR311" i="2" s="1"/>
  <c r="BJ311" i="2"/>
  <c r="BH311" i="2"/>
  <c r="BI311" i="2" s="1"/>
  <c r="BA311" i="2"/>
  <c r="BB311" i="2" s="1"/>
  <c r="BC311" i="2" s="1"/>
  <c r="BD311" i="2" s="1"/>
  <c r="AS311" i="2"/>
  <c r="AT311" i="2" s="1"/>
  <c r="AU311" i="2" s="1"/>
  <c r="AV311" i="2" s="1"/>
  <c r="AW311" i="2" s="1"/>
  <c r="AX311" i="2" s="1"/>
  <c r="AN311" i="2"/>
  <c r="AO311" i="2" s="1"/>
  <c r="AP311" i="2" s="1"/>
  <c r="AQ311" i="2" s="1"/>
  <c r="AG311" i="2"/>
  <c r="AF311" i="2"/>
  <c r="AH311" i="2" s="1"/>
  <c r="AI311" i="2" s="1"/>
  <c r="AJ311" i="2" s="1"/>
  <c r="AB311" i="2"/>
  <c r="AC311" i="2" s="1"/>
  <c r="AD311" i="2" s="1"/>
  <c r="AE311" i="2" s="1"/>
  <c r="CT310" i="2"/>
  <c r="CU310" i="2" s="1"/>
  <c r="CV310" i="2" s="1"/>
  <c r="CP310" i="2"/>
  <c r="CQ310" i="2" s="1"/>
  <c r="CR310" i="2" s="1"/>
  <c r="CM310" i="2"/>
  <c r="CN310" i="2" s="1"/>
  <c r="CI310" i="2"/>
  <c r="CJ310" i="2" s="1"/>
  <c r="BU310" i="2"/>
  <c r="BV310" i="2" s="1"/>
  <c r="BP310" i="2"/>
  <c r="BQ310" i="2" s="1"/>
  <c r="BR310" i="2" s="1"/>
  <c r="BJ310" i="2"/>
  <c r="BH310" i="2"/>
  <c r="BI310" i="2" s="1"/>
  <c r="BA310" i="2"/>
  <c r="BB310" i="2" s="1"/>
  <c r="BC310" i="2" s="1"/>
  <c r="BD310" i="2" s="1"/>
  <c r="AS310" i="2"/>
  <c r="AT310" i="2" s="1"/>
  <c r="AU310" i="2" s="1"/>
  <c r="AV310" i="2" s="1"/>
  <c r="AW310" i="2" s="1"/>
  <c r="AX310" i="2" s="1"/>
  <c r="AN310" i="2"/>
  <c r="AO310" i="2" s="1"/>
  <c r="AP310" i="2" s="1"/>
  <c r="AQ310" i="2" s="1"/>
  <c r="AF310" i="2"/>
  <c r="AG310" i="2"/>
  <c r="CT309" i="2"/>
  <c r="CU309" i="2" s="1"/>
  <c r="CV309" i="2" s="1"/>
  <c r="CP309" i="2"/>
  <c r="CQ309" i="2" s="1"/>
  <c r="CR309" i="2" s="1"/>
  <c r="CM309" i="2"/>
  <c r="CN309" i="2" s="1"/>
  <c r="CC309" i="2"/>
  <c r="CD309" i="2" s="1"/>
  <c r="CE309" i="2" s="1"/>
  <c r="BU309" i="2"/>
  <c r="BV309" i="2" s="1"/>
  <c r="BP309" i="2"/>
  <c r="BQ309" i="2" s="1"/>
  <c r="BR309" i="2" s="1"/>
  <c r="BJ309" i="2"/>
  <c r="BH309" i="2"/>
  <c r="BI309" i="2" s="1"/>
  <c r="BA309" i="2"/>
  <c r="BB309" i="2" s="1"/>
  <c r="BC309" i="2" s="1"/>
  <c r="BD309" i="2" s="1"/>
  <c r="AS309" i="2"/>
  <c r="AT309" i="2" s="1"/>
  <c r="AU309" i="2" s="1"/>
  <c r="AV309" i="2" s="1"/>
  <c r="AW309" i="2" s="1"/>
  <c r="AX309" i="2" s="1"/>
  <c r="AO309" i="2"/>
  <c r="AP309" i="2" s="1"/>
  <c r="AQ309" i="2" s="1"/>
  <c r="AN309" i="2"/>
  <c r="AB309" i="2"/>
  <c r="AC309" i="2" s="1"/>
  <c r="AD309" i="2" s="1"/>
  <c r="AE309" i="2" s="1"/>
  <c r="CT308" i="2"/>
  <c r="CU308" i="2" s="1"/>
  <c r="CV308" i="2" s="1"/>
  <c r="CP308" i="2"/>
  <c r="CQ308" i="2" s="1"/>
  <c r="CR308" i="2" s="1"/>
  <c r="CM308" i="2"/>
  <c r="CN308" i="2" s="1"/>
  <c r="CI308" i="2"/>
  <c r="CJ308" i="2" s="1"/>
  <c r="BU308" i="2"/>
  <c r="BV308" i="2" s="1"/>
  <c r="BP308" i="2"/>
  <c r="BQ308" i="2" s="1"/>
  <c r="BR308" i="2" s="1"/>
  <c r="BJ308" i="2"/>
  <c r="BH308" i="2"/>
  <c r="BI308" i="2" s="1"/>
  <c r="BA308" i="2"/>
  <c r="BB308" i="2" s="1"/>
  <c r="BC308" i="2" s="1"/>
  <c r="BD308" i="2" s="1"/>
  <c r="AT308" i="2"/>
  <c r="AU308" i="2" s="1"/>
  <c r="AV308" i="2" s="1"/>
  <c r="AW308" i="2" s="1"/>
  <c r="AX308" i="2" s="1"/>
  <c r="AS308" i="2"/>
  <c r="AN308" i="2"/>
  <c r="AO308" i="2" s="1"/>
  <c r="AP308" i="2" s="1"/>
  <c r="AQ308" i="2" s="1"/>
  <c r="AF308" i="2"/>
  <c r="CT307" i="2"/>
  <c r="CU307" i="2" s="1"/>
  <c r="CV307" i="2" s="1"/>
  <c r="CP307" i="2"/>
  <c r="CQ307" i="2" s="1"/>
  <c r="CR307" i="2" s="1"/>
  <c r="CM307" i="2"/>
  <c r="CN307" i="2" s="1"/>
  <c r="CC307" i="2"/>
  <c r="CD307" i="2" s="1"/>
  <c r="CE307" i="2" s="1"/>
  <c r="BV307" i="2"/>
  <c r="BU307" i="2"/>
  <c r="BP307" i="2"/>
  <c r="BQ307" i="2" s="1"/>
  <c r="BR307" i="2" s="1"/>
  <c r="BJ307" i="2"/>
  <c r="BH307" i="2"/>
  <c r="BI307" i="2" s="1"/>
  <c r="BA307" i="2"/>
  <c r="BB307" i="2" s="1"/>
  <c r="BC307" i="2" s="1"/>
  <c r="BD307" i="2" s="1"/>
  <c r="AS307" i="2"/>
  <c r="AT307" i="2" s="1"/>
  <c r="AU307" i="2" s="1"/>
  <c r="AV307" i="2" s="1"/>
  <c r="AW307" i="2" s="1"/>
  <c r="AX307" i="2" s="1"/>
  <c r="AN307" i="2"/>
  <c r="AO307" i="2" s="1"/>
  <c r="AP307" i="2" s="1"/>
  <c r="AQ307" i="2" s="1"/>
  <c r="CT306" i="2"/>
  <c r="CU306" i="2" s="1"/>
  <c r="CV306" i="2" s="1"/>
  <c r="CP306" i="2"/>
  <c r="CQ306" i="2" s="1"/>
  <c r="CR306" i="2" s="1"/>
  <c r="CM306" i="2"/>
  <c r="CN306" i="2" s="1"/>
  <c r="CC306" i="2"/>
  <c r="CD306" i="2" s="1"/>
  <c r="CE306" i="2" s="1"/>
  <c r="BU306" i="2"/>
  <c r="BV306" i="2" s="1"/>
  <c r="BP306" i="2"/>
  <c r="BQ306" i="2" s="1"/>
  <c r="BR306" i="2" s="1"/>
  <c r="BJ306" i="2"/>
  <c r="BH306" i="2"/>
  <c r="BI306" i="2" s="1"/>
  <c r="BA306" i="2"/>
  <c r="AS306" i="2"/>
  <c r="AT306" i="2" s="1"/>
  <c r="AU306" i="2" s="1"/>
  <c r="AV306" i="2" s="1"/>
  <c r="AW306" i="2" s="1"/>
  <c r="AX306" i="2" s="1"/>
  <c r="AN306" i="2"/>
  <c r="AO306" i="2" s="1"/>
  <c r="AP306" i="2" s="1"/>
  <c r="AQ306" i="2" s="1"/>
  <c r="AB306" i="2"/>
  <c r="AC306" i="2" s="1"/>
  <c r="AD306" i="2" s="1"/>
  <c r="AE306" i="2" s="1"/>
  <c r="AG306" i="2"/>
  <c r="AF306" i="2"/>
  <c r="CT305" i="2"/>
  <c r="CU305" i="2" s="1"/>
  <c r="CV305" i="2" s="1"/>
  <c r="CP305" i="2"/>
  <c r="CQ305" i="2" s="1"/>
  <c r="CR305" i="2" s="1"/>
  <c r="CM305" i="2"/>
  <c r="CN305" i="2" s="1"/>
  <c r="CC305" i="2"/>
  <c r="CD305" i="2" s="1"/>
  <c r="CE305" i="2" s="1"/>
  <c r="BU305" i="2"/>
  <c r="BV305" i="2" s="1"/>
  <c r="BP305" i="2"/>
  <c r="BQ305" i="2" s="1"/>
  <c r="BR305" i="2" s="1"/>
  <c r="BJ305" i="2"/>
  <c r="BI305" i="2"/>
  <c r="BH305" i="2"/>
  <c r="BA305" i="2"/>
  <c r="AS305" i="2"/>
  <c r="AT305" i="2" s="1"/>
  <c r="AU305" i="2" s="1"/>
  <c r="AV305" i="2" s="1"/>
  <c r="AW305" i="2" s="1"/>
  <c r="AX305" i="2" s="1"/>
  <c r="AN305" i="2"/>
  <c r="AO305" i="2" s="1"/>
  <c r="AP305" i="2" s="1"/>
  <c r="AQ305" i="2" s="1"/>
  <c r="CT304" i="2"/>
  <c r="CU304" i="2" s="1"/>
  <c r="CV304" i="2" s="1"/>
  <c r="CP304" i="2"/>
  <c r="CQ304" i="2" s="1"/>
  <c r="CR304" i="2" s="1"/>
  <c r="CM304" i="2"/>
  <c r="CN304" i="2" s="1"/>
  <c r="CD304" i="2"/>
  <c r="CE304" i="2" s="1"/>
  <c r="CC304" i="2"/>
  <c r="BU304" i="2"/>
  <c r="BV304" i="2" s="1"/>
  <c r="BP304" i="2"/>
  <c r="BQ304" i="2" s="1"/>
  <c r="BR304" i="2" s="1"/>
  <c r="BJ304" i="2"/>
  <c r="BH304" i="2"/>
  <c r="BI304" i="2" s="1"/>
  <c r="BA304" i="2"/>
  <c r="AT304" i="2"/>
  <c r="AU304" i="2" s="1"/>
  <c r="AV304" i="2" s="1"/>
  <c r="AW304" i="2" s="1"/>
  <c r="AX304" i="2" s="1"/>
  <c r="AS304" i="2"/>
  <c r="AN304" i="2"/>
  <c r="AO304" i="2" s="1"/>
  <c r="AP304" i="2" s="1"/>
  <c r="AQ304" i="2" s="1"/>
  <c r="AG304" i="2"/>
  <c r="AF304" i="2"/>
  <c r="AB304" i="2"/>
  <c r="AC304" i="2" s="1"/>
  <c r="AD304" i="2" s="1"/>
  <c r="AE304" i="2" s="1"/>
  <c r="CT303" i="2"/>
  <c r="CU303" i="2" s="1"/>
  <c r="CV303" i="2" s="1"/>
  <c r="CP303" i="2"/>
  <c r="CQ303" i="2" s="1"/>
  <c r="CR303" i="2" s="1"/>
  <c r="CM303" i="2"/>
  <c r="CN303" i="2" s="1"/>
  <c r="CC303" i="2"/>
  <c r="CD303" i="2" s="1"/>
  <c r="CE303" i="2" s="1"/>
  <c r="BU303" i="2"/>
  <c r="BV303" i="2" s="1"/>
  <c r="BP303" i="2"/>
  <c r="BQ303" i="2" s="1"/>
  <c r="BR303" i="2" s="1"/>
  <c r="BJ303" i="2"/>
  <c r="BH303" i="2"/>
  <c r="BI303" i="2" s="1"/>
  <c r="BA303" i="2"/>
  <c r="BB303" i="2" s="1"/>
  <c r="BC303" i="2" s="1"/>
  <c r="BD303" i="2" s="1"/>
  <c r="AS303" i="2"/>
  <c r="AT303" i="2" s="1"/>
  <c r="AU303" i="2" s="1"/>
  <c r="AV303" i="2" s="1"/>
  <c r="AW303" i="2" s="1"/>
  <c r="AX303" i="2" s="1"/>
  <c r="AN303" i="2"/>
  <c r="AO303" i="2" s="1"/>
  <c r="AP303" i="2" s="1"/>
  <c r="AQ303" i="2" s="1"/>
  <c r="AH303" i="2"/>
  <c r="AI303" i="2" s="1"/>
  <c r="AJ303" i="2" s="1"/>
  <c r="AG303" i="2"/>
  <c r="AF303" i="2"/>
  <c r="CT302" i="2"/>
  <c r="CU302" i="2" s="1"/>
  <c r="CV302" i="2" s="1"/>
  <c r="CP302" i="2"/>
  <c r="CQ302" i="2" s="1"/>
  <c r="CR302" i="2" s="1"/>
  <c r="CM302" i="2"/>
  <c r="CN302" i="2" s="1"/>
  <c r="CC302" i="2"/>
  <c r="CD302" i="2" s="1"/>
  <c r="CE302" i="2" s="1"/>
  <c r="BU302" i="2"/>
  <c r="BV302" i="2" s="1"/>
  <c r="BP302" i="2"/>
  <c r="BQ302" i="2" s="1"/>
  <c r="BR302" i="2" s="1"/>
  <c r="BJ302" i="2"/>
  <c r="BH302" i="2"/>
  <c r="BI302" i="2" s="1"/>
  <c r="BA302" i="2"/>
  <c r="BB302" i="2" s="1"/>
  <c r="BC302" i="2" s="1"/>
  <c r="BD302" i="2" s="1"/>
  <c r="AS302" i="2"/>
  <c r="AT302" i="2" s="1"/>
  <c r="AU302" i="2" s="1"/>
  <c r="AV302" i="2" s="1"/>
  <c r="AW302" i="2" s="1"/>
  <c r="AX302" i="2" s="1"/>
  <c r="AN302" i="2"/>
  <c r="AO302" i="2" s="1"/>
  <c r="AP302" i="2" s="1"/>
  <c r="AQ302" i="2" s="1"/>
  <c r="AG302" i="2"/>
  <c r="AF302" i="2"/>
  <c r="AB302" i="2"/>
  <c r="AC302" i="2" s="1"/>
  <c r="AD302" i="2" s="1"/>
  <c r="AE302" i="2" s="1"/>
  <c r="CT301" i="2"/>
  <c r="CU301" i="2" s="1"/>
  <c r="CV301" i="2" s="1"/>
  <c r="CP301" i="2"/>
  <c r="CQ301" i="2" s="1"/>
  <c r="CR301" i="2" s="1"/>
  <c r="CM301" i="2"/>
  <c r="CN301" i="2" s="1"/>
  <c r="CC301" i="2"/>
  <c r="CD301" i="2" s="1"/>
  <c r="CE301" i="2" s="1"/>
  <c r="BU301" i="2"/>
  <c r="BV301" i="2" s="1"/>
  <c r="BQ301" i="2"/>
  <c r="BR301" i="2" s="1"/>
  <c r="BP301" i="2"/>
  <c r="BJ301" i="2"/>
  <c r="BH301" i="2"/>
  <c r="BI301" i="2" s="1"/>
  <c r="BA301" i="2"/>
  <c r="BB301" i="2" s="1"/>
  <c r="BC301" i="2" s="1"/>
  <c r="BD301" i="2" s="1"/>
  <c r="AS301" i="2"/>
  <c r="AT301" i="2" s="1"/>
  <c r="AU301" i="2" s="1"/>
  <c r="AV301" i="2" s="1"/>
  <c r="AW301" i="2" s="1"/>
  <c r="AX301" i="2" s="1"/>
  <c r="AN301" i="2"/>
  <c r="AO301" i="2" s="1"/>
  <c r="AP301" i="2" s="1"/>
  <c r="AQ301" i="2" s="1"/>
  <c r="AG301" i="2"/>
  <c r="AF301" i="2"/>
  <c r="AH301" i="2" s="1"/>
  <c r="AI301" i="2" s="1"/>
  <c r="AJ301" i="2" s="1"/>
  <c r="AB301" i="2"/>
  <c r="AC301" i="2" s="1"/>
  <c r="AD301" i="2" s="1"/>
  <c r="AE301" i="2" s="1"/>
  <c r="CU300" i="2"/>
  <c r="CV300" i="2" s="1"/>
  <c r="CT300" i="2"/>
  <c r="CP300" i="2"/>
  <c r="CQ300" i="2" s="1"/>
  <c r="CR300" i="2" s="1"/>
  <c r="CM300" i="2"/>
  <c r="CN300" i="2" s="1"/>
  <c r="CC300" i="2"/>
  <c r="CD300" i="2" s="1"/>
  <c r="CE300" i="2" s="1"/>
  <c r="BU300" i="2"/>
  <c r="BV300" i="2" s="1"/>
  <c r="BQ300" i="2"/>
  <c r="BR300" i="2" s="1"/>
  <c r="BP300" i="2"/>
  <c r="BJ300" i="2"/>
  <c r="BH300" i="2"/>
  <c r="BI300" i="2" s="1"/>
  <c r="BA300" i="2"/>
  <c r="BB300" i="2" s="1"/>
  <c r="BC300" i="2" s="1"/>
  <c r="BD300" i="2" s="1"/>
  <c r="AS300" i="2"/>
  <c r="AT300" i="2" s="1"/>
  <c r="AU300" i="2" s="1"/>
  <c r="AV300" i="2" s="1"/>
  <c r="AW300" i="2" s="1"/>
  <c r="AX300" i="2" s="1"/>
  <c r="AN300" i="2"/>
  <c r="AO300" i="2" s="1"/>
  <c r="AP300" i="2" s="1"/>
  <c r="AQ300" i="2" s="1"/>
  <c r="AF300" i="2"/>
  <c r="AB300" i="2"/>
  <c r="AC300" i="2" s="1"/>
  <c r="AD300" i="2" s="1"/>
  <c r="AE300" i="2" s="1"/>
  <c r="CT299" i="2"/>
  <c r="CU299" i="2" s="1"/>
  <c r="CV299" i="2" s="1"/>
  <c r="CP299" i="2"/>
  <c r="CQ299" i="2" s="1"/>
  <c r="CR299" i="2" s="1"/>
  <c r="CM299" i="2"/>
  <c r="CN299" i="2" s="1"/>
  <c r="CC299" i="2"/>
  <c r="CD299" i="2" s="1"/>
  <c r="CE299" i="2" s="1"/>
  <c r="BU299" i="2"/>
  <c r="BV299" i="2" s="1"/>
  <c r="BP299" i="2"/>
  <c r="BQ299" i="2" s="1"/>
  <c r="BR299" i="2" s="1"/>
  <c r="BJ299" i="2"/>
  <c r="BH299" i="2"/>
  <c r="BI299" i="2" s="1"/>
  <c r="BA299" i="2"/>
  <c r="BB299" i="2" s="1"/>
  <c r="BC299" i="2" s="1"/>
  <c r="BD299" i="2" s="1"/>
  <c r="AS299" i="2"/>
  <c r="AT299" i="2" s="1"/>
  <c r="AU299" i="2" s="1"/>
  <c r="AV299" i="2" s="1"/>
  <c r="AW299" i="2" s="1"/>
  <c r="AX299" i="2" s="1"/>
  <c r="AN299" i="2"/>
  <c r="AO299" i="2" s="1"/>
  <c r="AP299" i="2" s="1"/>
  <c r="AQ299" i="2" s="1"/>
  <c r="AG299" i="2"/>
  <c r="AF299" i="2"/>
  <c r="AB299" i="2"/>
  <c r="AC299" i="2" s="1"/>
  <c r="AD299" i="2" s="1"/>
  <c r="AE299" i="2" s="1"/>
  <c r="CT298" i="2"/>
  <c r="CU298" i="2" s="1"/>
  <c r="CV298" i="2" s="1"/>
  <c r="CP298" i="2"/>
  <c r="CQ298" i="2" s="1"/>
  <c r="CR298" i="2" s="1"/>
  <c r="CM298" i="2"/>
  <c r="CN298" i="2" s="1"/>
  <c r="CI298" i="2"/>
  <c r="CJ298" i="2" s="1"/>
  <c r="BU298" i="2"/>
  <c r="BV298" i="2" s="1"/>
  <c r="BP298" i="2"/>
  <c r="BQ298" i="2" s="1"/>
  <c r="BR298" i="2" s="1"/>
  <c r="BJ298" i="2"/>
  <c r="BH298" i="2"/>
  <c r="BI298" i="2" s="1"/>
  <c r="BA298" i="2"/>
  <c r="AS298" i="2"/>
  <c r="AT298" i="2" s="1"/>
  <c r="AU298" i="2" s="1"/>
  <c r="AV298" i="2" s="1"/>
  <c r="AW298" i="2" s="1"/>
  <c r="AX298" i="2" s="1"/>
  <c r="AN298" i="2"/>
  <c r="AO298" i="2" s="1"/>
  <c r="AP298" i="2" s="1"/>
  <c r="AQ298" i="2" s="1"/>
  <c r="AF298" i="2"/>
  <c r="AB298" i="2"/>
  <c r="AC298" i="2" s="1"/>
  <c r="AD298" i="2" s="1"/>
  <c r="AE298" i="2" s="1"/>
  <c r="AG298" i="2"/>
  <c r="AH298" i="2" s="1"/>
  <c r="AI298" i="2" s="1"/>
  <c r="AJ298" i="2" s="1"/>
  <c r="CT297" i="2"/>
  <c r="CU297" i="2" s="1"/>
  <c r="CV297" i="2" s="1"/>
  <c r="CP297" i="2"/>
  <c r="CQ297" i="2" s="1"/>
  <c r="CR297" i="2" s="1"/>
  <c r="CM297" i="2"/>
  <c r="CN297" i="2" s="1"/>
  <c r="CJ297" i="2"/>
  <c r="CI297" i="2"/>
  <c r="BU297" i="2"/>
  <c r="BV297" i="2" s="1"/>
  <c r="BP297" i="2"/>
  <c r="BQ297" i="2" s="1"/>
  <c r="BR297" i="2" s="1"/>
  <c r="BJ297" i="2"/>
  <c r="BH297" i="2"/>
  <c r="BI297" i="2" s="1"/>
  <c r="BA297" i="2"/>
  <c r="AS297" i="2"/>
  <c r="AT297" i="2" s="1"/>
  <c r="AU297" i="2" s="1"/>
  <c r="AV297" i="2" s="1"/>
  <c r="AW297" i="2" s="1"/>
  <c r="AX297" i="2" s="1"/>
  <c r="AN297" i="2"/>
  <c r="AO297" i="2" s="1"/>
  <c r="AP297" i="2" s="1"/>
  <c r="AQ297" i="2" s="1"/>
  <c r="AF297" i="2"/>
  <c r="CT296" i="2"/>
  <c r="CU296" i="2" s="1"/>
  <c r="CV296" i="2" s="1"/>
  <c r="CP296" i="2"/>
  <c r="CQ296" i="2" s="1"/>
  <c r="CR296" i="2" s="1"/>
  <c r="CM296" i="2"/>
  <c r="CN296" i="2" s="1"/>
  <c r="CC296" i="2"/>
  <c r="CD296" i="2" s="1"/>
  <c r="CE296" i="2" s="1"/>
  <c r="BU296" i="2"/>
  <c r="BV296" i="2" s="1"/>
  <c r="BP296" i="2"/>
  <c r="BQ296" i="2" s="1"/>
  <c r="BR296" i="2" s="1"/>
  <c r="BJ296" i="2"/>
  <c r="BH296" i="2"/>
  <c r="BI296" i="2" s="1"/>
  <c r="BA296" i="2"/>
  <c r="BB296" i="2" s="1"/>
  <c r="BC296" i="2" s="1"/>
  <c r="BD296" i="2" s="1"/>
  <c r="AS296" i="2"/>
  <c r="AT296" i="2" s="1"/>
  <c r="AU296" i="2" s="1"/>
  <c r="AV296" i="2" s="1"/>
  <c r="AW296" i="2" s="1"/>
  <c r="AX296" i="2" s="1"/>
  <c r="AN296" i="2"/>
  <c r="AO296" i="2" s="1"/>
  <c r="AP296" i="2" s="1"/>
  <c r="AQ296" i="2" s="1"/>
  <c r="AG296" i="2"/>
  <c r="AF296" i="2"/>
  <c r="AB296" i="2"/>
  <c r="AC296" i="2" s="1"/>
  <c r="AD296" i="2" s="1"/>
  <c r="AE296" i="2" s="1"/>
  <c r="CT295" i="2"/>
  <c r="CU295" i="2" s="1"/>
  <c r="CV295" i="2" s="1"/>
  <c r="CP295" i="2"/>
  <c r="CQ295" i="2" s="1"/>
  <c r="CR295" i="2" s="1"/>
  <c r="CM295" i="2"/>
  <c r="CN295" i="2" s="1"/>
  <c r="CC295" i="2"/>
  <c r="CD295" i="2" s="1"/>
  <c r="CE295" i="2" s="1"/>
  <c r="BU295" i="2"/>
  <c r="BV295" i="2" s="1"/>
  <c r="BP295" i="2"/>
  <c r="BQ295" i="2" s="1"/>
  <c r="BR295" i="2" s="1"/>
  <c r="BJ295" i="2"/>
  <c r="BH295" i="2"/>
  <c r="BI295" i="2" s="1"/>
  <c r="BA295" i="2"/>
  <c r="BB295" i="2" s="1"/>
  <c r="BC295" i="2" s="1"/>
  <c r="BD295" i="2" s="1"/>
  <c r="AS295" i="2"/>
  <c r="AT295" i="2" s="1"/>
  <c r="AU295" i="2" s="1"/>
  <c r="AV295" i="2" s="1"/>
  <c r="AW295" i="2" s="1"/>
  <c r="AX295" i="2" s="1"/>
  <c r="AN295" i="2"/>
  <c r="AO295" i="2" s="1"/>
  <c r="AP295" i="2" s="1"/>
  <c r="AQ295" i="2" s="1"/>
  <c r="AB295" i="2"/>
  <c r="AC295" i="2" s="1"/>
  <c r="AD295" i="2" s="1"/>
  <c r="AE295" i="2" s="1"/>
  <c r="CT294" i="2"/>
  <c r="CU294" i="2" s="1"/>
  <c r="CV294" i="2" s="1"/>
  <c r="CP294" i="2"/>
  <c r="CQ294" i="2" s="1"/>
  <c r="CR294" i="2" s="1"/>
  <c r="CM294" i="2"/>
  <c r="CN294" i="2" s="1"/>
  <c r="CD294" i="2"/>
  <c r="CE294" i="2" s="1"/>
  <c r="CC294" i="2"/>
  <c r="BU294" i="2"/>
  <c r="BV294" i="2" s="1"/>
  <c r="BP294" i="2"/>
  <c r="BQ294" i="2" s="1"/>
  <c r="BR294" i="2" s="1"/>
  <c r="BJ294" i="2"/>
  <c r="BH294" i="2"/>
  <c r="BI294" i="2" s="1"/>
  <c r="BA294" i="2"/>
  <c r="BB294" i="2" s="1"/>
  <c r="BC294" i="2" s="1"/>
  <c r="BD294" i="2" s="1"/>
  <c r="AS294" i="2"/>
  <c r="AT294" i="2" s="1"/>
  <c r="AU294" i="2" s="1"/>
  <c r="AV294" i="2" s="1"/>
  <c r="AW294" i="2" s="1"/>
  <c r="AX294" i="2" s="1"/>
  <c r="AN294" i="2"/>
  <c r="AO294" i="2" s="1"/>
  <c r="AP294" i="2" s="1"/>
  <c r="AQ294" i="2" s="1"/>
  <c r="AG294" i="2"/>
  <c r="AH294" i="2" s="1"/>
  <c r="AI294" i="2" s="1"/>
  <c r="AJ294" i="2" s="1"/>
  <c r="AF294" i="2"/>
  <c r="AB294" i="2"/>
  <c r="AC294" i="2" s="1"/>
  <c r="AD294" i="2" s="1"/>
  <c r="AE294" i="2" s="1"/>
  <c r="CT293" i="2"/>
  <c r="CU293" i="2" s="1"/>
  <c r="CV293" i="2" s="1"/>
  <c r="CP293" i="2"/>
  <c r="CQ293" i="2" s="1"/>
  <c r="CR293" i="2" s="1"/>
  <c r="CM293" i="2"/>
  <c r="CN293" i="2" s="1"/>
  <c r="CC293" i="2"/>
  <c r="CD293" i="2" s="1"/>
  <c r="CE293" i="2" s="1"/>
  <c r="BU293" i="2"/>
  <c r="BV293" i="2" s="1"/>
  <c r="BQ293" i="2"/>
  <c r="BR293" i="2" s="1"/>
  <c r="BP293" i="2"/>
  <c r="BJ293" i="2"/>
  <c r="BH293" i="2"/>
  <c r="BI293" i="2" s="1"/>
  <c r="BA293" i="2"/>
  <c r="BB293" i="2" s="1"/>
  <c r="BC293" i="2" s="1"/>
  <c r="BD293" i="2" s="1"/>
  <c r="AS293" i="2"/>
  <c r="AT293" i="2" s="1"/>
  <c r="AU293" i="2" s="1"/>
  <c r="AV293" i="2" s="1"/>
  <c r="AW293" i="2" s="1"/>
  <c r="AX293" i="2" s="1"/>
  <c r="AN293" i="2"/>
  <c r="AO293" i="2" s="1"/>
  <c r="AP293" i="2" s="1"/>
  <c r="AQ293" i="2" s="1"/>
  <c r="AG293" i="2"/>
  <c r="AF293" i="2"/>
  <c r="AD293" i="2"/>
  <c r="AE293" i="2" s="1"/>
  <c r="AB293" i="2"/>
  <c r="AC293" i="2" s="1"/>
  <c r="CT292" i="2"/>
  <c r="CU292" i="2" s="1"/>
  <c r="CV292" i="2" s="1"/>
  <c r="CP292" i="2"/>
  <c r="CQ292" i="2" s="1"/>
  <c r="CR292" i="2" s="1"/>
  <c r="CM292" i="2"/>
  <c r="CN292" i="2" s="1"/>
  <c r="CC292" i="2"/>
  <c r="CD292" i="2" s="1"/>
  <c r="CE292" i="2" s="1"/>
  <c r="BU292" i="2"/>
  <c r="BV292" i="2" s="1"/>
  <c r="BP292" i="2"/>
  <c r="BQ292" i="2" s="1"/>
  <c r="BR292" i="2" s="1"/>
  <c r="BJ292" i="2"/>
  <c r="BH292" i="2"/>
  <c r="BI292" i="2" s="1"/>
  <c r="BA292" i="2"/>
  <c r="AS292" i="2"/>
  <c r="AT292" i="2" s="1"/>
  <c r="AU292" i="2" s="1"/>
  <c r="AV292" i="2" s="1"/>
  <c r="AW292" i="2" s="1"/>
  <c r="AX292" i="2" s="1"/>
  <c r="AN292" i="2"/>
  <c r="AO292" i="2" s="1"/>
  <c r="AP292" i="2" s="1"/>
  <c r="AQ292" i="2" s="1"/>
  <c r="AB292" i="2"/>
  <c r="AC292" i="2" s="1"/>
  <c r="AD292" i="2" s="1"/>
  <c r="AE292" i="2" s="1"/>
  <c r="CT291" i="2"/>
  <c r="CU291" i="2" s="1"/>
  <c r="CV291" i="2" s="1"/>
  <c r="CP291" i="2"/>
  <c r="CQ291" i="2" s="1"/>
  <c r="CR291" i="2" s="1"/>
  <c r="CM291" i="2"/>
  <c r="CN291" i="2" s="1"/>
  <c r="CD291" i="2"/>
  <c r="CE291" i="2" s="1"/>
  <c r="CC291" i="2"/>
  <c r="BU291" i="2"/>
  <c r="BV291" i="2" s="1"/>
  <c r="BP291" i="2"/>
  <c r="BQ291" i="2" s="1"/>
  <c r="BR291" i="2" s="1"/>
  <c r="BJ291" i="2"/>
  <c r="BH291" i="2"/>
  <c r="BI291" i="2" s="1"/>
  <c r="BA291" i="2"/>
  <c r="AS291" i="2"/>
  <c r="AT291" i="2" s="1"/>
  <c r="AU291" i="2" s="1"/>
  <c r="AV291" i="2" s="1"/>
  <c r="AW291" i="2" s="1"/>
  <c r="AX291" i="2" s="1"/>
  <c r="AN291" i="2"/>
  <c r="AO291" i="2" s="1"/>
  <c r="AP291" i="2" s="1"/>
  <c r="AQ291" i="2" s="1"/>
  <c r="AG291" i="2"/>
  <c r="AF291" i="2"/>
  <c r="AB291" i="2"/>
  <c r="AC291" i="2" s="1"/>
  <c r="AD291" i="2" s="1"/>
  <c r="AE291" i="2" s="1"/>
  <c r="CT290" i="2"/>
  <c r="CU290" i="2" s="1"/>
  <c r="CV290" i="2" s="1"/>
  <c r="CP290" i="2"/>
  <c r="CQ290" i="2" s="1"/>
  <c r="CR290" i="2" s="1"/>
  <c r="CM290" i="2"/>
  <c r="CN290" i="2" s="1"/>
  <c r="CI290" i="2"/>
  <c r="CJ290" i="2" s="1"/>
  <c r="BU290" i="2"/>
  <c r="BV290" i="2" s="1"/>
  <c r="BP290" i="2"/>
  <c r="BQ290" i="2" s="1"/>
  <c r="BR290" i="2" s="1"/>
  <c r="BJ290" i="2"/>
  <c r="BH290" i="2"/>
  <c r="BI290" i="2" s="1"/>
  <c r="BA290" i="2"/>
  <c r="BB290" i="2" s="1"/>
  <c r="BC290" i="2" s="1"/>
  <c r="BD290" i="2" s="1"/>
  <c r="AS290" i="2"/>
  <c r="AT290" i="2" s="1"/>
  <c r="AU290" i="2" s="1"/>
  <c r="AV290" i="2" s="1"/>
  <c r="AW290" i="2" s="1"/>
  <c r="AX290" i="2" s="1"/>
  <c r="AN290" i="2"/>
  <c r="AO290" i="2" s="1"/>
  <c r="AP290" i="2" s="1"/>
  <c r="AQ290" i="2" s="1"/>
  <c r="AF290" i="2"/>
  <c r="CU289" i="2"/>
  <c r="CV289" i="2" s="1"/>
  <c r="CT289" i="2"/>
  <c r="CP289" i="2"/>
  <c r="CQ289" i="2" s="1"/>
  <c r="CR289" i="2" s="1"/>
  <c r="CM289" i="2"/>
  <c r="CN289" i="2" s="1"/>
  <c r="CC289" i="2"/>
  <c r="CD289" i="2" s="1"/>
  <c r="CE289" i="2" s="1"/>
  <c r="BU289" i="2"/>
  <c r="BV289" i="2" s="1"/>
  <c r="BP289" i="2"/>
  <c r="BQ289" i="2" s="1"/>
  <c r="BR289" i="2" s="1"/>
  <c r="BJ289" i="2"/>
  <c r="BI289" i="2"/>
  <c r="BH289" i="2"/>
  <c r="BA289" i="2"/>
  <c r="BB289" i="2" s="1"/>
  <c r="BC289" i="2" s="1"/>
  <c r="BD289" i="2" s="1"/>
  <c r="AS289" i="2"/>
  <c r="AT289" i="2" s="1"/>
  <c r="AU289" i="2" s="1"/>
  <c r="AV289" i="2" s="1"/>
  <c r="AW289" i="2" s="1"/>
  <c r="AX289" i="2" s="1"/>
  <c r="AN289" i="2"/>
  <c r="AO289" i="2" s="1"/>
  <c r="AP289" i="2" s="1"/>
  <c r="AQ289" i="2" s="1"/>
  <c r="AG289" i="2"/>
  <c r="AF289" i="2"/>
  <c r="AB289" i="2"/>
  <c r="AC289" i="2" s="1"/>
  <c r="AD289" i="2" s="1"/>
  <c r="AE289" i="2" s="1"/>
  <c r="CT288" i="2"/>
  <c r="CU288" i="2" s="1"/>
  <c r="CV288" i="2" s="1"/>
  <c r="CP288" i="2"/>
  <c r="CQ288" i="2" s="1"/>
  <c r="CR288" i="2" s="1"/>
  <c r="CM288" i="2"/>
  <c r="CN288" i="2" s="1"/>
  <c r="CC288" i="2"/>
  <c r="CD288" i="2" s="1"/>
  <c r="CE288" i="2" s="1"/>
  <c r="BU288" i="2"/>
  <c r="BV288" i="2" s="1"/>
  <c r="BP288" i="2"/>
  <c r="BQ288" i="2" s="1"/>
  <c r="BR288" i="2" s="1"/>
  <c r="BJ288" i="2"/>
  <c r="BH288" i="2"/>
  <c r="BI288" i="2" s="1"/>
  <c r="BA288" i="2"/>
  <c r="BB288" i="2" s="1"/>
  <c r="BC288" i="2" s="1"/>
  <c r="BD288" i="2" s="1"/>
  <c r="AU288" i="2"/>
  <c r="AV288" i="2" s="1"/>
  <c r="AW288" i="2" s="1"/>
  <c r="AX288" i="2" s="1"/>
  <c r="AT288" i="2"/>
  <c r="AS288" i="2"/>
  <c r="AN288" i="2"/>
  <c r="AO288" i="2" s="1"/>
  <c r="AP288" i="2" s="1"/>
  <c r="AQ288" i="2" s="1"/>
  <c r="AG288" i="2"/>
  <c r="AF288" i="2"/>
  <c r="AH288" i="2" s="1"/>
  <c r="AI288" i="2" s="1"/>
  <c r="AJ288" i="2" s="1"/>
  <c r="AB288" i="2"/>
  <c r="AC288" i="2" s="1"/>
  <c r="AD288" i="2" s="1"/>
  <c r="AE288" i="2" s="1"/>
  <c r="CT287" i="2"/>
  <c r="CU287" i="2" s="1"/>
  <c r="CV287" i="2" s="1"/>
  <c r="CP287" i="2"/>
  <c r="CQ287" i="2" s="1"/>
  <c r="CR287" i="2" s="1"/>
  <c r="CM287" i="2"/>
  <c r="CN287" i="2" s="1"/>
  <c r="CC287" i="2"/>
  <c r="CD287" i="2" s="1"/>
  <c r="CE287" i="2" s="1"/>
  <c r="BU287" i="2"/>
  <c r="BV287" i="2" s="1"/>
  <c r="BP287" i="2"/>
  <c r="BQ287" i="2" s="1"/>
  <c r="BR287" i="2" s="1"/>
  <c r="BJ287" i="2"/>
  <c r="BH287" i="2"/>
  <c r="BI287" i="2" s="1"/>
  <c r="BA287" i="2"/>
  <c r="BB287" i="2" s="1"/>
  <c r="BC287" i="2" s="1"/>
  <c r="BD287" i="2" s="1"/>
  <c r="AS287" i="2"/>
  <c r="AT287" i="2" s="1"/>
  <c r="AU287" i="2" s="1"/>
  <c r="AV287" i="2" s="1"/>
  <c r="AW287" i="2" s="1"/>
  <c r="AX287" i="2" s="1"/>
  <c r="AN287" i="2"/>
  <c r="AO287" i="2" s="1"/>
  <c r="AP287" i="2" s="1"/>
  <c r="AQ287" i="2" s="1"/>
  <c r="CT286" i="2"/>
  <c r="CU286" i="2" s="1"/>
  <c r="CV286" i="2" s="1"/>
  <c r="CP286" i="2"/>
  <c r="CQ286" i="2" s="1"/>
  <c r="CR286" i="2" s="1"/>
  <c r="CM286" i="2"/>
  <c r="CN286" i="2" s="1"/>
  <c r="CC286" i="2"/>
  <c r="CD286" i="2" s="1"/>
  <c r="CE286" i="2" s="1"/>
  <c r="BU286" i="2"/>
  <c r="BV286" i="2" s="1"/>
  <c r="BP286" i="2"/>
  <c r="BQ286" i="2" s="1"/>
  <c r="BR286" i="2" s="1"/>
  <c r="BJ286" i="2"/>
  <c r="BH286" i="2"/>
  <c r="BG286" i="2"/>
  <c r="BI286" i="2" s="1"/>
  <c r="BA286" i="2"/>
  <c r="BB286" i="2" s="1"/>
  <c r="BC286" i="2" s="1"/>
  <c r="BD286" i="2" s="1"/>
  <c r="AS286" i="2"/>
  <c r="AT286" i="2" s="1"/>
  <c r="AU286" i="2" s="1"/>
  <c r="AV286" i="2" s="1"/>
  <c r="AW286" i="2" s="1"/>
  <c r="AX286" i="2" s="1"/>
  <c r="AN286" i="2"/>
  <c r="AO286" i="2" s="1"/>
  <c r="AP286" i="2" s="1"/>
  <c r="AQ286" i="2" s="1"/>
  <c r="AG286" i="2"/>
  <c r="AF286" i="2"/>
  <c r="AB286" i="2"/>
  <c r="AC286" i="2" s="1"/>
  <c r="AD286" i="2" s="1"/>
  <c r="AE286" i="2" s="1"/>
  <c r="CT285" i="2"/>
  <c r="CU285" i="2" s="1"/>
  <c r="CV285" i="2" s="1"/>
  <c r="CP285" i="2"/>
  <c r="CQ285" i="2" s="1"/>
  <c r="CR285" i="2" s="1"/>
  <c r="CM285" i="2"/>
  <c r="CN285" i="2" s="1"/>
  <c r="CC285" i="2"/>
  <c r="CD285" i="2" s="1"/>
  <c r="CE285" i="2" s="1"/>
  <c r="BU285" i="2"/>
  <c r="BV285" i="2" s="1"/>
  <c r="BP285" i="2"/>
  <c r="BQ285" i="2" s="1"/>
  <c r="BR285" i="2" s="1"/>
  <c r="BJ285" i="2"/>
  <c r="BH285" i="2"/>
  <c r="BI285" i="2" s="1"/>
  <c r="BA285" i="2"/>
  <c r="AS285" i="2"/>
  <c r="AT285" i="2" s="1"/>
  <c r="AU285" i="2" s="1"/>
  <c r="AV285" i="2" s="1"/>
  <c r="AW285" i="2" s="1"/>
  <c r="AX285" i="2" s="1"/>
  <c r="AN285" i="2"/>
  <c r="AO285" i="2" s="1"/>
  <c r="AP285" i="2" s="1"/>
  <c r="AQ285" i="2" s="1"/>
  <c r="AF285" i="2"/>
  <c r="AB285" i="2"/>
  <c r="AC285" i="2" s="1"/>
  <c r="AD285" i="2" s="1"/>
  <c r="AE285" i="2" s="1"/>
  <c r="CT284" i="2"/>
  <c r="CU284" i="2" s="1"/>
  <c r="CV284" i="2" s="1"/>
  <c r="CP284" i="2"/>
  <c r="CQ284" i="2" s="1"/>
  <c r="CR284" i="2" s="1"/>
  <c r="CM284" i="2"/>
  <c r="CN284" i="2" s="1"/>
  <c r="CC284" i="2"/>
  <c r="CD284" i="2" s="1"/>
  <c r="CE284" i="2" s="1"/>
  <c r="BU284" i="2"/>
  <c r="BV284" i="2" s="1"/>
  <c r="BP284" i="2"/>
  <c r="BQ284" i="2" s="1"/>
  <c r="BR284" i="2" s="1"/>
  <c r="BJ284" i="2"/>
  <c r="BH284" i="2"/>
  <c r="BI284" i="2" s="1"/>
  <c r="BA284" i="2"/>
  <c r="AS284" i="2"/>
  <c r="AT284" i="2" s="1"/>
  <c r="AU284" i="2" s="1"/>
  <c r="AV284" i="2" s="1"/>
  <c r="AW284" i="2" s="1"/>
  <c r="AX284" i="2" s="1"/>
  <c r="AN284" i="2"/>
  <c r="AO284" i="2" s="1"/>
  <c r="AP284" i="2" s="1"/>
  <c r="AQ284" i="2" s="1"/>
  <c r="AG284" i="2"/>
  <c r="AF284" i="2"/>
  <c r="AB284" i="2"/>
  <c r="AC284" i="2" s="1"/>
  <c r="AD284" i="2" s="1"/>
  <c r="AE284" i="2" s="1"/>
  <c r="CT283" i="2"/>
  <c r="CU283" i="2" s="1"/>
  <c r="CV283" i="2" s="1"/>
  <c r="CP283" i="2"/>
  <c r="CQ283" i="2" s="1"/>
  <c r="CR283" i="2" s="1"/>
  <c r="CM283" i="2"/>
  <c r="CN283" i="2" s="1"/>
  <c r="CC283" i="2"/>
  <c r="CD283" i="2" s="1"/>
  <c r="CE283" i="2" s="1"/>
  <c r="BU283" i="2"/>
  <c r="BV283" i="2" s="1"/>
  <c r="BP283" i="2"/>
  <c r="BQ283" i="2" s="1"/>
  <c r="BR283" i="2" s="1"/>
  <c r="BJ283" i="2"/>
  <c r="BH283" i="2"/>
  <c r="BI283" i="2" s="1"/>
  <c r="BA283" i="2"/>
  <c r="BB283" i="2" s="1"/>
  <c r="BC283" i="2" s="1"/>
  <c r="BD283" i="2" s="1"/>
  <c r="AS283" i="2"/>
  <c r="AT283" i="2" s="1"/>
  <c r="AU283" i="2" s="1"/>
  <c r="AV283" i="2" s="1"/>
  <c r="AW283" i="2" s="1"/>
  <c r="AX283" i="2" s="1"/>
  <c r="AN283" i="2"/>
  <c r="AO283" i="2" s="1"/>
  <c r="AP283" i="2" s="1"/>
  <c r="AQ283" i="2" s="1"/>
  <c r="AF283" i="2"/>
  <c r="AG283" i="2"/>
  <c r="AH283" i="2" s="1"/>
  <c r="AI283" i="2" s="1"/>
  <c r="AJ283" i="2" s="1"/>
  <c r="CT282" i="2"/>
  <c r="CU282" i="2" s="1"/>
  <c r="CV282" i="2" s="1"/>
  <c r="CP282" i="2"/>
  <c r="CQ282" i="2" s="1"/>
  <c r="CR282" i="2" s="1"/>
  <c r="CM282" i="2"/>
  <c r="CN282" i="2" s="1"/>
  <c r="CD282" i="2"/>
  <c r="CE282" i="2" s="1"/>
  <c r="CC282" i="2"/>
  <c r="BU282" i="2"/>
  <c r="BV282" i="2" s="1"/>
  <c r="BP282" i="2"/>
  <c r="BQ282" i="2" s="1"/>
  <c r="BR282" i="2" s="1"/>
  <c r="BJ282" i="2"/>
  <c r="BH282" i="2"/>
  <c r="BI282" i="2" s="1"/>
  <c r="BA282" i="2"/>
  <c r="BB282" i="2" s="1"/>
  <c r="BC282" i="2" s="1"/>
  <c r="BD282" i="2" s="1"/>
  <c r="AS282" i="2"/>
  <c r="AT282" i="2" s="1"/>
  <c r="AU282" i="2" s="1"/>
  <c r="AV282" i="2" s="1"/>
  <c r="AW282" i="2" s="1"/>
  <c r="AX282" i="2" s="1"/>
  <c r="AN282" i="2"/>
  <c r="AO282" i="2" s="1"/>
  <c r="AP282" i="2" s="1"/>
  <c r="AQ282" i="2" s="1"/>
  <c r="CT281" i="2"/>
  <c r="CU281" i="2" s="1"/>
  <c r="CV281" i="2" s="1"/>
  <c r="CP281" i="2"/>
  <c r="CQ281" i="2" s="1"/>
  <c r="CR281" i="2" s="1"/>
  <c r="CM281" i="2"/>
  <c r="CN281" i="2" s="1"/>
  <c r="CC281" i="2"/>
  <c r="CD281" i="2" s="1"/>
  <c r="CE281" i="2" s="1"/>
  <c r="BU281" i="2"/>
  <c r="BV281" i="2" s="1"/>
  <c r="BP281" i="2"/>
  <c r="BQ281" i="2" s="1"/>
  <c r="BR281" i="2" s="1"/>
  <c r="BJ281" i="2"/>
  <c r="BH281" i="2"/>
  <c r="BI281" i="2" s="1"/>
  <c r="BA281" i="2"/>
  <c r="AS281" i="2"/>
  <c r="AT281" i="2" s="1"/>
  <c r="AU281" i="2" s="1"/>
  <c r="AV281" i="2" s="1"/>
  <c r="AW281" i="2" s="1"/>
  <c r="AX281" i="2" s="1"/>
  <c r="AN281" i="2"/>
  <c r="AO281" i="2" s="1"/>
  <c r="AP281" i="2" s="1"/>
  <c r="AQ281" i="2" s="1"/>
  <c r="AF281" i="2"/>
  <c r="AG281" i="2"/>
  <c r="CT280" i="2"/>
  <c r="CU280" i="2" s="1"/>
  <c r="CV280" i="2" s="1"/>
  <c r="CP280" i="2"/>
  <c r="CQ280" i="2" s="1"/>
  <c r="CR280" i="2" s="1"/>
  <c r="CM280" i="2"/>
  <c r="CN280" i="2" s="1"/>
  <c r="CC280" i="2"/>
  <c r="CD280" i="2" s="1"/>
  <c r="CE280" i="2" s="1"/>
  <c r="BV280" i="2"/>
  <c r="BU280" i="2"/>
  <c r="BP280" i="2"/>
  <c r="BQ280" i="2" s="1"/>
  <c r="BR280" i="2" s="1"/>
  <c r="BJ280" i="2"/>
  <c r="BH280" i="2"/>
  <c r="BI280" i="2" s="1"/>
  <c r="BA280" i="2"/>
  <c r="BB280" i="2" s="1"/>
  <c r="BC280" i="2" s="1"/>
  <c r="BD280" i="2" s="1"/>
  <c r="AT280" i="2"/>
  <c r="AU280" i="2" s="1"/>
  <c r="AV280" i="2" s="1"/>
  <c r="AW280" i="2" s="1"/>
  <c r="AX280" i="2" s="1"/>
  <c r="AS280" i="2"/>
  <c r="AN280" i="2"/>
  <c r="AO280" i="2" s="1"/>
  <c r="AP280" i="2" s="1"/>
  <c r="AQ280" i="2" s="1"/>
  <c r="AH280" i="2"/>
  <c r="AI280" i="2" s="1"/>
  <c r="AJ280" i="2" s="1"/>
  <c r="AG280" i="2"/>
  <c r="AF280" i="2"/>
  <c r="AB280" i="2"/>
  <c r="AC280" i="2" s="1"/>
  <c r="AD280" i="2" s="1"/>
  <c r="AE280" i="2" s="1"/>
  <c r="CU279" i="2"/>
  <c r="CV279" i="2" s="1"/>
  <c r="CT279" i="2"/>
  <c r="CP279" i="2"/>
  <c r="CQ279" i="2" s="1"/>
  <c r="CR279" i="2" s="1"/>
  <c r="CM279" i="2"/>
  <c r="CN279" i="2" s="1"/>
  <c r="CC279" i="2"/>
  <c r="CD279" i="2" s="1"/>
  <c r="CE279" i="2" s="1"/>
  <c r="BU279" i="2"/>
  <c r="BV279" i="2" s="1"/>
  <c r="BP279" i="2"/>
  <c r="BQ279" i="2" s="1"/>
  <c r="BR279" i="2" s="1"/>
  <c r="BJ279" i="2"/>
  <c r="BH279" i="2"/>
  <c r="BI279" i="2" s="1"/>
  <c r="BA279" i="2"/>
  <c r="BB279" i="2" s="1"/>
  <c r="BC279" i="2" s="1"/>
  <c r="BD279" i="2" s="1"/>
  <c r="AS279" i="2"/>
  <c r="AT279" i="2" s="1"/>
  <c r="AU279" i="2" s="1"/>
  <c r="AV279" i="2" s="1"/>
  <c r="AW279" i="2" s="1"/>
  <c r="AX279" i="2" s="1"/>
  <c r="AN279" i="2"/>
  <c r="AO279" i="2" s="1"/>
  <c r="AP279" i="2" s="1"/>
  <c r="AQ279" i="2" s="1"/>
  <c r="AG279" i="2"/>
  <c r="AF279" i="2"/>
  <c r="AB279" i="2"/>
  <c r="AC279" i="2" s="1"/>
  <c r="AD279" i="2" s="1"/>
  <c r="AE279" i="2" s="1"/>
  <c r="CT278" i="2"/>
  <c r="CU278" i="2" s="1"/>
  <c r="CV278" i="2" s="1"/>
  <c r="CP278" i="2"/>
  <c r="CQ278" i="2" s="1"/>
  <c r="CR278" i="2" s="1"/>
  <c r="CM278" i="2"/>
  <c r="CN278" i="2" s="1"/>
  <c r="CC278" i="2"/>
  <c r="CD278" i="2" s="1"/>
  <c r="CE278" i="2" s="1"/>
  <c r="BU278" i="2"/>
  <c r="BV278" i="2" s="1"/>
  <c r="BP278" i="2"/>
  <c r="BQ278" i="2" s="1"/>
  <c r="BR278" i="2" s="1"/>
  <c r="BJ278" i="2"/>
  <c r="BH278" i="2"/>
  <c r="BI278" i="2" s="1"/>
  <c r="BA278" i="2"/>
  <c r="AS278" i="2"/>
  <c r="AT278" i="2" s="1"/>
  <c r="AU278" i="2" s="1"/>
  <c r="AV278" i="2" s="1"/>
  <c r="AW278" i="2" s="1"/>
  <c r="AX278" i="2" s="1"/>
  <c r="AN278" i="2"/>
  <c r="AO278" i="2" s="1"/>
  <c r="AP278" i="2" s="1"/>
  <c r="AQ278" i="2" s="1"/>
  <c r="AF278" i="2"/>
  <c r="AB278" i="2"/>
  <c r="AC278" i="2" s="1"/>
  <c r="AD278" i="2" s="1"/>
  <c r="AE278" i="2" s="1"/>
  <c r="AG278" i="2"/>
  <c r="CT277" i="2"/>
  <c r="CU277" i="2" s="1"/>
  <c r="CV277" i="2" s="1"/>
  <c r="CP277" i="2"/>
  <c r="CQ277" i="2" s="1"/>
  <c r="CR277" i="2" s="1"/>
  <c r="CM277" i="2"/>
  <c r="CN277" i="2" s="1"/>
  <c r="CD277" i="2"/>
  <c r="CE277" i="2" s="1"/>
  <c r="CC277" i="2"/>
  <c r="BU277" i="2"/>
  <c r="BV277" i="2" s="1"/>
  <c r="BP277" i="2"/>
  <c r="BQ277" i="2" s="1"/>
  <c r="BR277" i="2" s="1"/>
  <c r="BJ277" i="2"/>
  <c r="BH277" i="2"/>
  <c r="BI277" i="2" s="1"/>
  <c r="BA277" i="2"/>
  <c r="AT277" i="2"/>
  <c r="AU277" i="2" s="1"/>
  <c r="AV277" i="2" s="1"/>
  <c r="AW277" i="2" s="1"/>
  <c r="AX277" i="2" s="1"/>
  <c r="AS277" i="2"/>
  <c r="AN277" i="2"/>
  <c r="AO277" i="2" s="1"/>
  <c r="AP277" i="2" s="1"/>
  <c r="AQ277" i="2" s="1"/>
  <c r="CT276" i="2"/>
  <c r="CU276" i="2" s="1"/>
  <c r="CV276" i="2" s="1"/>
  <c r="CP276" i="2"/>
  <c r="CQ276" i="2" s="1"/>
  <c r="CR276" i="2" s="1"/>
  <c r="CM276" i="2"/>
  <c r="CN276" i="2" s="1"/>
  <c r="CC276" i="2"/>
  <c r="CD276" i="2" s="1"/>
  <c r="CE276" i="2" s="1"/>
  <c r="BU276" i="2"/>
  <c r="BV276" i="2" s="1"/>
  <c r="BP276" i="2"/>
  <c r="BQ276" i="2" s="1"/>
  <c r="BR276" i="2" s="1"/>
  <c r="BJ276" i="2"/>
  <c r="BH276" i="2"/>
  <c r="BI276" i="2" s="1"/>
  <c r="BC276" i="2"/>
  <c r="BD276" i="2" s="1"/>
  <c r="BA276" i="2"/>
  <c r="BB276" i="2" s="1"/>
  <c r="AS276" i="2"/>
  <c r="AT276" i="2" s="1"/>
  <c r="AU276" i="2" s="1"/>
  <c r="AV276" i="2" s="1"/>
  <c r="AW276" i="2" s="1"/>
  <c r="AX276" i="2" s="1"/>
  <c r="AN276" i="2"/>
  <c r="AO276" i="2" s="1"/>
  <c r="AP276" i="2" s="1"/>
  <c r="AQ276" i="2" s="1"/>
  <c r="AG276" i="2"/>
  <c r="AF276" i="2"/>
  <c r="AB276" i="2"/>
  <c r="AC276" i="2" s="1"/>
  <c r="AD276" i="2" s="1"/>
  <c r="AE276" i="2" s="1"/>
  <c r="CT275" i="2"/>
  <c r="CU275" i="2" s="1"/>
  <c r="CV275" i="2" s="1"/>
  <c r="CP275" i="2"/>
  <c r="CQ275" i="2" s="1"/>
  <c r="CR275" i="2" s="1"/>
  <c r="CM275" i="2"/>
  <c r="CN275" i="2" s="1"/>
  <c r="CC275" i="2"/>
  <c r="CD275" i="2" s="1"/>
  <c r="CE275" i="2" s="1"/>
  <c r="BU275" i="2"/>
  <c r="BV275" i="2" s="1"/>
  <c r="BP275" i="2"/>
  <c r="BQ275" i="2" s="1"/>
  <c r="BR275" i="2" s="1"/>
  <c r="BJ275" i="2"/>
  <c r="BH275" i="2"/>
  <c r="BG275" i="2"/>
  <c r="BA275" i="2"/>
  <c r="BB275" i="2"/>
  <c r="BC275" i="2" s="1"/>
  <c r="BD275" i="2" s="1"/>
  <c r="AS275" i="2"/>
  <c r="AT275" i="2" s="1"/>
  <c r="AU275" i="2" s="1"/>
  <c r="AV275" i="2" s="1"/>
  <c r="AW275" i="2" s="1"/>
  <c r="AX275" i="2" s="1"/>
  <c r="AN275" i="2"/>
  <c r="AO275" i="2" s="1"/>
  <c r="AP275" i="2" s="1"/>
  <c r="AQ275" i="2" s="1"/>
  <c r="AG275" i="2"/>
  <c r="AF275" i="2"/>
  <c r="AB275" i="2"/>
  <c r="AC275" i="2" s="1"/>
  <c r="AD275" i="2" s="1"/>
  <c r="AE275" i="2" s="1"/>
  <c r="CT274" i="2"/>
  <c r="CU274" i="2" s="1"/>
  <c r="CV274" i="2" s="1"/>
  <c r="CP274" i="2"/>
  <c r="CQ274" i="2" s="1"/>
  <c r="CR274" i="2" s="1"/>
  <c r="CM274" i="2"/>
  <c r="CN274" i="2" s="1"/>
  <c r="CC274" i="2"/>
  <c r="CD274" i="2" s="1"/>
  <c r="CE274" i="2" s="1"/>
  <c r="BU274" i="2"/>
  <c r="BV274" i="2" s="1"/>
  <c r="BP274" i="2"/>
  <c r="BQ274" i="2" s="1"/>
  <c r="BR274" i="2" s="1"/>
  <c r="BJ274" i="2"/>
  <c r="BH274" i="2"/>
  <c r="BI274" i="2" s="1"/>
  <c r="BA274" i="2"/>
  <c r="BB274" i="2" s="1"/>
  <c r="BC274" i="2" s="1"/>
  <c r="BD274" i="2" s="1"/>
  <c r="AS274" i="2"/>
  <c r="AT274" i="2" s="1"/>
  <c r="AU274" i="2" s="1"/>
  <c r="AV274" i="2" s="1"/>
  <c r="AW274" i="2" s="1"/>
  <c r="AX274" i="2" s="1"/>
  <c r="AN274" i="2"/>
  <c r="AO274" i="2" s="1"/>
  <c r="AP274" i="2" s="1"/>
  <c r="AQ274" i="2" s="1"/>
  <c r="AG274" i="2"/>
  <c r="AF274" i="2"/>
  <c r="AB274" i="2"/>
  <c r="AC274" i="2" s="1"/>
  <c r="AD274" i="2" s="1"/>
  <c r="AE274" i="2" s="1"/>
  <c r="CT273" i="2"/>
  <c r="CU273" i="2" s="1"/>
  <c r="CV273" i="2" s="1"/>
  <c r="CP273" i="2"/>
  <c r="CQ273" i="2" s="1"/>
  <c r="CR273" i="2" s="1"/>
  <c r="CM273" i="2"/>
  <c r="CN273" i="2" s="1"/>
  <c r="CC273" i="2"/>
  <c r="CD273" i="2" s="1"/>
  <c r="CE273" i="2" s="1"/>
  <c r="BU273" i="2"/>
  <c r="BV273" i="2" s="1"/>
  <c r="BP273" i="2"/>
  <c r="BQ273" i="2" s="1"/>
  <c r="BR273" i="2" s="1"/>
  <c r="BJ273" i="2"/>
  <c r="BH273" i="2"/>
  <c r="BI273" i="2" s="1"/>
  <c r="BA273" i="2"/>
  <c r="BB273" i="2" s="1"/>
  <c r="BC273" i="2" s="1"/>
  <c r="BD273" i="2" s="1"/>
  <c r="AS273" i="2"/>
  <c r="AT273" i="2" s="1"/>
  <c r="AU273" i="2" s="1"/>
  <c r="AV273" i="2" s="1"/>
  <c r="AW273" i="2" s="1"/>
  <c r="AX273" i="2" s="1"/>
  <c r="AN273" i="2"/>
  <c r="AO273" i="2" s="1"/>
  <c r="AP273" i="2" s="1"/>
  <c r="AQ273" i="2" s="1"/>
  <c r="CT272" i="2"/>
  <c r="CU272" i="2" s="1"/>
  <c r="CV272" i="2" s="1"/>
  <c r="CP272" i="2"/>
  <c r="CQ272" i="2" s="1"/>
  <c r="CR272" i="2" s="1"/>
  <c r="CM272" i="2"/>
  <c r="CN272" i="2" s="1"/>
  <c r="CD272" i="2"/>
  <c r="CE272" i="2" s="1"/>
  <c r="CC272" i="2"/>
  <c r="BU272" i="2"/>
  <c r="BV272" i="2" s="1"/>
  <c r="BP272" i="2"/>
  <c r="BQ272" i="2" s="1"/>
  <c r="BR272" i="2" s="1"/>
  <c r="BJ272" i="2"/>
  <c r="BH272" i="2"/>
  <c r="BI272" i="2" s="1"/>
  <c r="BA272" i="2"/>
  <c r="BB272" i="2" s="1"/>
  <c r="BC272" i="2" s="1"/>
  <c r="BD272" i="2" s="1"/>
  <c r="AS272" i="2"/>
  <c r="AT272" i="2" s="1"/>
  <c r="AU272" i="2" s="1"/>
  <c r="AV272" i="2" s="1"/>
  <c r="AW272" i="2" s="1"/>
  <c r="AX272" i="2" s="1"/>
  <c r="AN272" i="2"/>
  <c r="AO272" i="2" s="1"/>
  <c r="AP272" i="2" s="1"/>
  <c r="AQ272" i="2" s="1"/>
  <c r="CT271" i="2"/>
  <c r="CU271" i="2" s="1"/>
  <c r="CV271" i="2" s="1"/>
  <c r="CP271" i="2"/>
  <c r="CQ271" i="2" s="1"/>
  <c r="CR271" i="2" s="1"/>
  <c r="CM271" i="2"/>
  <c r="CN271" i="2" s="1"/>
  <c r="CC271" i="2"/>
  <c r="CD271" i="2" s="1"/>
  <c r="CE271" i="2" s="1"/>
  <c r="BU271" i="2"/>
  <c r="BV271" i="2" s="1"/>
  <c r="BP271" i="2"/>
  <c r="BQ271" i="2" s="1"/>
  <c r="BR271" i="2" s="1"/>
  <c r="BJ271" i="2"/>
  <c r="BH271" i="2"/>
  <c r="BI271" i="2" s="1"/>
  <c r="BA271" i="2"/>
  <c r="BB271" i="2" s="1"/>
  <c r="BC271" i="2" s="1"/>
  <c r="BD271" i="2" s="1"/>
  <c r="AS271" i="2"/>
  <c r="AT271" i="2" s="1"/>
  <c r="AU271" i="2" s="1"/>
  <c r="AV271" i="2" s="1"/>
  <c r="AW271" i="2" s="1"/>
  <c r="AX271" i="2" s="1"/>
  <c r="AO271" i="2"/>
  <c r="AP271" i="2" s="1"/>
  <c r="AQ271" i="2" s="1"/>
  <c r="AN271" i="2"/>
  <c r="AF271" i="2"/>
  <c r="CT270" i="2"/>
  <c r="CU270" i="2" s="1"/>
  <c r="CV270" i="2" s="1"/>
  <c r="CP270" i="2"/>
  <c r="CQ270" i="2" s="1"/>
  <c r="CR270" i="2" s="1"/>
  <c r="CM270" i="2"/>
  <c r="CN270" i="2" s="1"/>
  <c r="CC270" i="2"/>
  <c r="CD270" i="2" s="1"/>
  <c r="CE270" i="2" s="1"/>
  <c r="BU270" i="2"/>
  <c r="BV270" i="2" s="1"/>
  <c r="BP270" i="2"/>
  <c r="BQ270" i="2" s="1"/>
  <c r="BR270" i="2" s="1"/>
  <c r="BJ270" i="2"/>
  <c r="BH270" i="2"/>
  <c r="BI270" i="2" s="1"/>
  <c r="BA270" i="2"/>
  <c r="AS270" i="2"/>
  <c r="AT270" i="2" s="1"/>
  <c r="AU270" i="2" s="1"/>
  <c r="AV270" i="2" s="1"/>
  <c r="AW270" i="2" s="1"/>
  <c r="AX270" i="2" s="1"/>
  <c r="AN270" i="2"/>
  <c r="AO270" i="2" s="1"/>
  <c r="AP270" i="2" s="1"/>
  <c r="AQ270" i="2" s="1"/>
  <c r="AG270" i="2"/>
  <c r="CT269" i="2"/>
  <c r="CU269" i="2" s="1"/>
  <c r="CV269" i="2" s="1"/>
  <c r="CP269" i="2"/>
  <c r="CQ269" i="2" s="1"/>
  <c r="CR269" i="2" s="1"/>
  <c r="CM269" i="2"/>
  <c r="CN269" i="2" s="1"/>
  <c r="CC269" i="2"/>
  <c r="CD269" i="2" s="1"/>
  <c r="CE269" i="2" s="1"/>
  <c r="BU269" i="2"/>
  <c r="BV269" i="2" s="1"/>
  <c r="BP269" i="2"/>
  <c r="BQ269" i="2" s="1"/>
  <c r="BR269" i="2" s="1"/>
  <c r="BJ269" i="2"/>
  <c r="BH269" i="2"/>
  <c r="BI269" i="2" s="1"/>
  <c r="BA269" i="2"/>
  <c r="BB269" i="2" s="1"/>
  <c r="BC269" i="2" s="1"/>
  <c r="BD269" i="2" s="1"/>
  <c r="AS269" i="2"/>
  <c r="AT269" i="2" s="1"/>
  <c r="AU269" i="2" s="1"/>
  <c r="AV269" i="2" s="1"/>
  <c r="AW269" i="2" s="1"/>
  <c r="AX269" i="2" s="1"/>
  <c r="AN269" i="2"/>
  <c r="AO269" i="2" s="1"/>
  <c r="AP269" i="2" s="1"/>
  <c r="AQ269" i="2" s="1"/>
  <c r="AF269" i="2"/>
  <c r="AB269" i="2"/>
  <c r="AC269" i="2" s="1"/>
  <c r="AD269" i="2" s="1"/>
  <c r="AE269" i="2" s="1"/>
  <c r="AG269" i="2"/>
  <c r="CT268" i="2"/>
  <c r="CU268" i="2" s="1"/>
  <c r="CV268" i="2" s="1"/>
  <c r="CP268" i="2"/>
  <c r="CQ268" i="2" s="1"/>
  <c r="CR268" i="2" s="1"/>
  <c r="CM268" i="2"/>
  <c r="CN268" i="2" s="1"/>
  <c r="CC268" i="2"/>
  <c r="CD268" i="2" s="1"/>
  <c r="CE268" i="2" s="1"/>
  <c r="BU268" i="2"/>
  <c r="BV268" i="2" s="1"/>
  <c r="BP268" i="2"/>
  <c r="BQ268" i="2" s="1"/>
  <c r="BR268" i="2" s="1"/>
  <c r="BJ268" i="2"/>
  <c r="BH268" i="2"/>
  <c r="BI268" i="2" s="1"/>
  <c r="BA268" i="2"/>
  <c r="AS268" i="2"/>
  <c r="AT268" i="2" s="1"/>
  <c r="AU268" i="2" s="1"/>
  <c r="AV268" i="2" s="1"/>
  <c r="AW268" i="2" s="1"/>
  <c r="AX268" i="2" s="1"/>
  <c r="AN268" i="2"/>
  <c r="AO268" i="2" s="1"/>
  <c r="AP268" i="2" s="1"/>
  <c r="AQ268" i="2" s="1"/>
  <c r="CT267" i="2"/>
  <c r="CU267" i="2" s="1"/>
  <c r="CV267" i="2" s="1"/>
  <c r="CP267" i="2"/>
  <c r="CQ267" i="2" s="1"/>
  <c r="CR267" i="2" s="1"/>
  <c r="CM267" i="2"/>
  <c r="CN267" i="2" s="1"/>
  <c r="CC267" i="2"/>
  <c r="CD267" i="2" s="1"/>
  <c r="CE267" i="2" s="1"/>
  <c r="BU267" i="2"/>
  <c r="BV267" i="2" s="1"/>
  <c r="BP267" i="2"/>
  <c r="BQ267" i="2" s="1"/>
  <c r="BR267" i="2" s="1"/>
  <c r="BJ267" i="2"/>
  <c r="BH267" i="2"/>
  <c r="BI267" i="2" s="1"/>
  <c r="BA267" i="2"/>
  <c r="BB267" i="2" s="1"/>
  <c r="BC267" i="2" s="1"/>
  <c r="BD267" i="2" s="1"/>
  <c r="AS267" i="2"/>
  <c r="AT267" i="2" s="1"/>
  <c r="AU267" i="2" s="1"/>
  <c r="AV267" i="2" s="1"/>
  <c r="AW267" i="2" s="1"/>
  <c r="AX267" i="2" s="1"/>
  <c r="AO267" i="2"/>
  <c r="AP267" i="2" s="1"/>
  <c r="AQ267" i="2" s="1"/>
  <c r="AN267" i="2"/>
  <c r="AF267" i="2"/>
  <c r="AG267" i="2"/>
  <c r="CT266" i="2"/>
  <c r="CU266" i="2" s="1"/>
  <c r="CV266" i="2" s="1"/>
  <c r="CP266" i="2"/>
  <c r="CQ266" i="2" s="1"/>
  <c r="CR266" i="2" s="1"/>
  <c r="CM266" i="2"/>
  <c r="CN266" i="2" s="1"/>
  <c r="CC266" i="2"/>
  <c r="CD266" i="2" s="1"/>
  <c r="CE266" i="2" s="1"/>
  <c r="BU266" i="2"/>
  <c r="BV266" i="2" s="1"/>
  <c r="BP266" i="2"/>
  <c r="BQ266" i="2" s="1"/>
  <c r="BR266" i="2" s="1"/>
  <c r="BJ266" i="2"/>
  <c r="BH266" i="2"/>
  <c r="BI266" i="2" s="1"/>
  <c r="BA266" i="2"/>
  <c r="BB266" i="2" s="1"/>
  <c r="BC266" i="2" s="1"/>
  <c r="BD266" i="2" s="1"/>
  <c r="AS266" i="2"/>
  <c r="AT266" i="2" s="1"/>
  <c r="AU266" i="2" s="1"/>
  <c r="AV266" i="2" s="1"/>
  <c r="AW266" i="2" s="1"/>
  <c r="AX266" i="2" s="1"/>
  <c r="AN266" i="2"/>
  <c r="AO266" i="2" s="1"/>
  <c r="AP266" i="2" s="1"/>
  <c r="AQ266" i="2" s="1"/>
  <c r="AG266" i="2"/>
  <c r="AF266" i="2"/>
  <c r="AB266" i="2"/>
  <c r="AC266" i="2" s="1"/>
  <c r="AD266" i="2" s="1"/>
  <c r="AE266" i="2" s="1"/>
  <c r="CT265" i="2"/>
  <c r="CU265" i="2" s="1"/>
  <c r="CV265" i="2" s="1"/>
  <c r="CP265" i="2"/>
  <c r="CQ265" i="2" s="1"/>
  <c r="CR265" i="2" s="1"/>
  <c r="CM265" i="2"/>
  <c r="CN265" i="2" s="1"/>
  <c r="CC265" i="2"/>
  <c r="CD265" i="2" s="1"/>
  <c r="CE265" i="2" s="1"/>
  <c r="BU265" i="2"/>
  <c r="BV265" i="2" s="1"/>
  <c r="BR265" i="2"/>
  <c r="BP265" i="2"/>
  <c r="BQ265" i="2" s="1"/>
  <c r="BJ265" i="2"/>
  <c r="BH265" i="2"/>
  <c r="BI265" i="2" s="1"/>
  <c r="BA265" i="2"/>
  <c r="BB265" i="2" s="1"/>
  <c r="BC265" i="2" s="1"/>
  <c r="BD265" i="2" s="1"/>
  <c r="AT265" i="2"/>
  <c r="AU265" i="2" s="1"/>
  <c r="AV265" i="2" s="1"/>
  <c r="AW265" i="2" s="1"/>
  <c r="AX265" i="2" s="1"/>
  <c r="AS265" i="2"/>
  <c r="AN265" i="2"/>
  <c r="AO265" i="2" s="1"/>
  <c r="AP265" i="2" s="1"/>
  <c r="AQ265" i="2" s="1"/>
  <c r="AF265" i="2"/>
  <c r="CT264" i="2"/>
  <c r="CU264" i="2" s="1"/>
  <c r="CV264" i="2" s="1"/>
  <c r="CP264" i="2"/>
  <c r="CQ264" i="2" s="1"/>
  <c r="CR264" i="2" s="1"/>
  <c r="CM264" i="2"/>
  <c r="CN264" i="2" s="1"/>
  <c r="CC264" i="2"/>
  <c r="CD264" i="2" s="1"/>
  <c r="CE264" i="2" s="1"/>
  <c r="BV264" i="2"/>
  <c r="BU264" i="2"/>
  <c r="BP264" i="2"/>
  <c r="BQ264" i="2" s="1"/>
  <c r="BR264" i="2" s="1"/>
  <c r="BJ264" i="2"/>
  <c r="BH264" i="2"/>
  <c r="BI264" i="2" s="1"/>
  <c r="BA264" i="2"/>
  <c r="AS264" i="2"/>
  <c r="AT264" i="2" s="1"/>
  <c r="AU264" i="2" s="1"/>
  <c r="AV264" i="2" s="1"/>
  <c r="AW264" i="2" s="1"/>
  <c r="AX264" i="2" s="1"/>
  <c r="AN264" i="2"/>
  <c r="AO264" i="2" s="1"/>
  <c r="AP264" i="2" s="1"/>
  <c r="AQ264" i="2" s="1"/>
  <c r="AG264" i="2"/>
  <c r="AF264" i="2"/>
  <c r="AB264" i="2"/>
  <c r="AC264" i="2" s="1"/>
  <c r="AD264" i="2" s="1"/>
  <c r="AE264" i="2" s="1"/>
  <c r="CT263" i="2"/>
  <c r="CU263" i="2" s="1"/>
  <c r="CV263" i="2" s="1"/>
  <c r="CP263" i="2"/>
  <c r="CQ263" i="2" s="1"/>
  <c r="CR263" i="2" s="1"/>
  <c r="CM263" i="2"/>
  <c r="CN263" i="2" s="1"/>
  <c r="CC263" i="2"/>
  <c r="CD263" i="2" s="1"/>
  <c r="CE263" i="2" s="1"/>
  <c r="BU263" i="2"/>
  <c r="BV263" i="2" s="1"/>
  <c r="BP263" i="2"/>
  <c r="BQ263" i="2" s="1"/>
  <c r="BR263" i="2" s="1"/>
  <c r="BJ263" i="2"/>
  <c r="BH263" i="2"/>
  <c r="BI263" i="2" s="1"/>
  <c r="BA263" i="2"/>
  <c r="BB263" i="2" s="1"/>
  <c r="BC263" i="2" s="1"/>
  <c r="BD263" i="2" s="1"/>
  <c r="AS263" i="2"/>
  <c r="AT263" i="2" s="1"/>
  <c r="AU263" i="2" s="1"/>
  <c r="AV263" i="2" s="1"/>
  <c r="AW263" i="2" s="1"/>
  <c r="AX263" i="2" s="1"/>
  <c r="AN263" i="2"/>
  <c r="AO263" i="2" s="1"/>
  <c r="AP263" i="2" s="1"/>
  <c r="AQ263" i="2" s="1"/>
  <c r="AG263" i="2"/>
  <c r="AF263" i="2"/>
  <c r="AB263" i="2"/>
  <c r="AC263" i="2" s="1"/>
  <c r="AD263" i="2" s="1"/>
  <c r="AE263" i="2" s="1"/>
  <c r="CT262" i="2"/>
  <c r="CU262" i="2" s="1"/>
  <c r="CV262" i="2" s="1"/>
  <c r="CP262" i="2"/>
  <c r="CQ262" i="2" s="1"/>
  <c r="CR262" i="2" s="1"/>
  <c r="CM262" i="2"/>
  <c r="CN262" i="2" s="1"/>
  <c r="CC262" i="2"/>
  <c r="CD262" i="2" s="1"/>
  <c r="CE262" i="2" s="1"/>
  <c r="BU262" i="2"/>
  <c r="BV262" i="2" s="1"/>
  <c r="BP262" i="2"/>
  <c r="BQ262" i="2" s="1"/>
  <c r="BR262" i="2" s="1"/>
  <c r="BJ262" i="2"/>
  <c r="BH262" i="2"/>
  <c r="BI262" i="2" s="1"/>
  <c r="BA262" i="2"/>
  <c r="AS262" i="2"/>
  <c r="AT262" i="2" s="1"/>
  <c r="AU262" i="2" s="1"/>
  <c r="AV262" i="2" s="1"/>
  <c r="AW262" i="2" s="1"/>
  <c r="AX262" i="2" s="1"/>
  <c r="AN262" i="2"/>
  <c r="AO262" i="2" s="1"/>
  <c r="AP262" i="2" s="1"/>
  <c r="AQ262" i="2" s="1"/>
  <c r="CT261" i="2"/>
  <c r="CU261" i="2" s="1"/>
  <c r="CV261" i="2" s="1"/>
  <c r="CP261" i="2"/>
  <c r="CQ261" i="2" s="1"/>
  <c r="CR261" i="2" s="1"/>
  <c r="CM261" i="2"/>
  <c r="CN261" i="2" s="1"/>
  <c r="CC261" i="2"/>
  <c r="CD261" i="2" s="1"/>
  <c r="CE261" i="2" s="1"/>
  <c r="BU261" i="2"/>
  <c r="BV261" i="2" s="1"/>
  <c r="BP261" i="2"/>
  <c r="BQ261" i="2" s="1"/>
  <c r="BR261" i="2" s="1"/>
  <c r="BJ261" i="2"/>
  <c r="BH261" i="2"/>
  <c r="BI261" i="2" s="1"/>
  <c r="BA261" i="2"/>
  <c r="BB261" i="2" s="1"/>
  <c r="BC261" i="2" s="1"/>
  <c r="BD261" i="2" s="1"/>
  <c r="AS261" i="2"/>
  <c r="AT261" i="2" s="1"/>
  <c r="AU261" i="2" s="1"/>
  <c r="AV261" i="2" s="1"/>
  <c r="AW261" i="2" s="1"/>
  <c r="AX261" i="2" s="1"/>
  <c r="AO261" i="2"/>
  <c r="AP261" i="2" s="1"/>
  <c r="AQ261" i="2" s="1"/>
  <c r="AN261" i="2"/>
  <c r="AF261" i="2"/>
  <c r="AG261" i="2"/>
  <c r="AB261" i="2"/>
  <c r="AC261" i="2" s="1"/>
  <c r="AD261" i="2" s="1"/>
  <c r="AE261" i="2" s="1"/>
  <c r="CT260" i="2"/>
  <c r="CU260" i="2" s="1"/>
  <c r="CV260" i="2" s="1"/>
  <c r="CP260" i="2"/>
  <c r="CQ260" i="2" s="1"/>
  <c r="CR260" i="2" s="1"/>
  <c r="CM260" i="2"/>
  <c r="CN260" i="2" s="1"/>
  <c r="CC260" i="2"/>
  <c r="CD260" i="2" s="1"/>
  <c r="CE260" i="2" s="1"/>
  <c r="BU260" i="2"/>
  <c r="BV260" i="2" s="1"/>
  <c r="BQ260" i="2"/>
  <c r="BR260" i="2" s="1"/>
  <c r="BP260" i="2"/>
  <c r="BJ260" i="2"/>
  <c r="BH260" i="2"/>
  <c r="BI260" i="2" s="1"/>
  <c r="BA260" i="2"/>
  <c r="BB260" i="2" s="1"/>
  <c r="BC260" i="2" s="1"/>
  <c r="BD260" i="2" s="1"/>
  <c r="AS260" i="2"/>
  <c r="AT260" i="2" s="1"/>
  <c r="AU260" i="2" s="1"/>
  <c r="AV260" i="2" s="1"/>
  <c r="AW260" i="2" s="1"/>
  <c r="AX260" i="2" s="1"/>
  <c r="AN260" i="2"/>
  <c r="AO260" i="2" s="1"/>
  <c r="AP260" i="2" s="1"/>
  <c r="AQ260" i="2" s="1"/>
  <c r="AB260" i="2"/>
  <c r="AC260" i="2" s="1"/>
  <c r="AD260" i="2" s="1"/>
  <c r="AE260" i="2" s="1"/>
  <c r="CT259" i="2"/>
  <c r="CU259" i="2" s="1"/>
  <c r="CV259" i="2" s="1"/>
  <c r="CP259" i="2"/>
  <c r="CQ259" i="2" s="1"/>
  <c r="CR259" i="2" s="1"/>
  <c r="CM259" i="2"/>
  <c r="CN259" i="2" s="1"/>
  <c r="CC259" i="2"/>
  <c r="CD259" i="2" s="1"/>
  <c r="CE259" i="2" s="1"/>
  <c r="BU259" i="2"/>
  <c r="BV259" i="2" s="1"/>
  <c r="BP259" i="2"/>
  <c r="BQ259" i="2" s="1"/>
  <c r="BR259" i="2" s="1"/>
  <c r="BJ259" i="2"/>
  <c r="BH259" i="2"/>
  <c r="BI259" i="2" s="1"/>
  <c r="BA259" i="2"/>
  <c r="BB259" i="2" s="1"/>
  <c r="BC259" i="2" s="1"/>
  <c r="BD259" i="2" s="1"/>
  <c r="AS259" i="2"/>
  <c r="AT259" i="2" s="1"/>
  <c r="AU259" i="2" s="1"/>
  <c r="AV259" i="2" s="1"/>
  <c r="AW259" i="2" s="1"/>
  <c r="AX259" i="2" s="1"/>
  <c r="AN259" i="2"/>
  <c r="AO259" i="2" s="1"/>
  <c r="AP259" i="2" s="1"/>
  <c r="AQ259" i="2" s="1"/>
  <c r="AG259" i="2"/>
  <c r="AF259" i="2"/>
  <c r="AB259" i="2"/>
  <c r="AC259" i="2" s="1"/>
  <c r="AD259" i="2" s="1"/>
  <c r="AE259" i="2" s="1"/>
  <c r="CT258" i="2"/>
  <c r="CU258" i="2" s="1"/>
  <c r="CV258" i="2" s="1"/>
  <c r="CP258" i="2"/>
  <c r="CQ258" i="2" s="1"/>
  <c r="CR258" i="2" s="1"/>
  <c r="CM258" i="2"/>
  <c r="CN258" i="2" s="1"/>
  <c r="CD258" i="2"/>
  <c r="CE258" i="2" s="1"/>
  <c r="CC258" i="2"/>
  <c r="BU258" i="2"/>
  <c r="BV258" i="2" s="1"/>
  <c r="BP258" i="2"/>
  <c r="BQ258" i="2" s="1"/>
  <c r="BR258" i="2" s="1"/>
  <c r="BJ258" i="2"/>
  <c r="BH258" i="2"/>
  <c r="BI258" i="2" s="1"/>
  <c r="BA258" i="2"/>
  <c r="BB258" i="2" s="1"/>
  <c r="BC258" i="2" s="1"/>
  <c r="BD258" i="2" s="1"/>
  <c r="AS258" i="2"/>
  <c r="AT258" i="2" s="1"/>
  <c r="AU258" i="2" s="1"/>
  <c r="AV258" i="2" s="1"/>
  <c r="AW258" i="2" s="1"/>
  <c r="AX258" i="2" s="1"/>
  <c r="AN258" i="2"/>
  <c r="AO258" i="2" s="1"/>
  <c r="AP258" i="2" s="1"/>
  <c r="AQ258" i="2" s="1"/>
  <c r="AG258" i="2"/>
  <c r="AF258" i="2"/>
  <c r="AB258" i="2"/>
  <c r="AC258" i="2" s="1"/>
  <c r="AD258" i="2" s="1"/>
  <c r="AE258" i="2" s="1"/>
  <c r="CT257" i="2"/>
  <c r="CU257" i="2" s="1"/>
  <c r="CV257" i="2" s="1"/>
  <c r="CP257" i="2"/>
  <c r="CQ257" i="2" s="1"/>
  <c r="CR257" i="2" s="1"/>
  <c r="CM257" i="2"/>
  <c r="CN257" i="2" s="1"/>
  <c r="CC257" i="2"/>
  <c r="CD257" i="2" s="1"/>
  <c r="CE257" i="2" s="1"/>
  <c r="BU257" i="2"/>
  <c r="BV257" i="2" s="1"/>
  <c r="BP257" i="2"/>
  <c r="BQ257" i="2" s="1"/>
  <c r="BR257" i="2" s="1"/>
  <c r="BJ257" i="2"/>
  <c r="BH257" i="2"/>
  <c r="BI257" i="2" s="1"/>
  <c r="BA257" i="2"/>
  <c r="BB257" i="2" s="1"/>
  <c r="BC257" i="2" s="1"/>
  <c r="BD257" i="2" s="1"/>
  <c r="AS257" i="2"/>
  <c r="AT257" i="2" s="1"/>
  <c r="AU257" i="2" s="1"/>
  <c r="AV257" i="2" s="1"/>
  <c r="AW257" i="2" s="1"/>
  <c r="AX257" i="2" s="1"/>
  <c r="AN257" i="2"/>
  <c r="AO257" i="2" s="1"/>
  <c r="AP257" i="2" s="1"/>
  <c r="AQ257" i="2" s="1"/>
  <c r="AF257" i="2"/>
  <c r="CT256" i="2"/>
  <c r="CU256" i="2" s="1"/>
  <c r="CV256" i="2" s="1"/>
  <c r="CP256" i="2"/>
  <c r="CQ256" i="2" s="1"/>
  <c r="CR256" i="2" s="1"/>
  <c r="CM256" i="2"/>
  <c r="CN256" i="2" s="1"/>
  <c r="CC256" i="2"/>
  <c r="CD256" i="2" s="1"/>
  <c r="CE256" i="2" s="1"/>
  <c r="BU256" i="2"/>
  <c r="BV256" i="2" s="1"/>
  <c r="BP256" i="2"/>
  <c r="BQ256" i="2" s="1"/>
  <c r="BR256" i="2" s="1"/>
  <c r="BJ256" i="2"/>
  <c r="BH256" i="2"/>
  <c r="BI256" i="2" s="1"/>
  <c r="BA256" i="2"/>
  <c r="AS256" i="2"/>
  <c r="AT256" i="2" s="1"/>
  <c r="AU256" i="2" s="1"/>
  <c r="AV256" i="2" s="1"/>
  <c r="AW256" i="2" s="1"/>
  <c r="AX256" i="2" s="1"/>
  <c r="AN256" i="2"/>
  <c r="AO256" i="2" s="1"/>
  <c r="AP256" i="2" s="1"/>
  <c r="AQ256" i="2" s="1"/>
  <c r="CT255" i="2"/>
  <c r="CU255" i="2" s="1"/>
  <c r="CV255" i="2" s="1"/>
  <c r="CP255" i="2"/>
  <c r="CQ255" i="2" s="1"/>
  <c r="CR255" i="2" s="1"/>
  <c r="CM255" i="2"/>
  <c r="CN255" i="2" s="1"/>
  <c r="CD255" i="2"/>
  <c r="CE255" i="2" s="1"/>
  <c r="CC255" i="2"/>
  <c r="BU255" i="2"/>
  <c r="BV255" i="2" s="1"/>
  <c r="BP255" i="2"/>
  <c r="BQ255" i="2" s="1"/>
  <c r="BR255" i="2" s="1"/>
  <c r="BJ255" i="2"/>
  <c r="BH255" i="2"/>
  <c r="BI255" i="2" s="1"/>
  <c r="BA255" i="2"/>
  <c r="BB255" i="2" s="1"/>
  <c r="BC255" i="2" s="1"/>
  <c r="BD255" i="2" s="1"/>
  <c r="AS255" i="2"/>
  <c r="AT255" i="2" s="1"/>
  <c r="AU255" i="2" s="1"/>
  <c r="AV255" i="2" s="1"/>
  <c r="AW255" i="2" s="1"/>
  <c r="AX255" i="2" s="1"/>
  <c r="AN255" i="2"/>
  <c r="AO255" i="2" s="1"/>
  <c r="AP255" i="2" s="1"/>
  <c r="AQ255" i="2" s="1"/>
  <c r="AG255" i="2"/>
  <c r="AF255" i="2"/>
  <c r="AB255" i="2"/>
  <c r="AC255" i="2" s="1"/>
  <c r="AD255" i="2" s="1"/>
  <c r="AE255" i="2" s="1"/>
  <c r="CT254" i="2"/>
  <c r="CU254" i="2" s="1"/>
  <c r="CV254" i="2" s="1"/>
  <c r="CP254" i="2"/>
  <c r="CQ254" i="2" s="1"/>
  <c r="CR254" i="2" s="1"/>
  <c r="CM254" i="2"/>
  <c r="CN254" i="2" s="1"/>
  <c r="CC254" i="2"/>
  <c r="CD254" i="2" s="1"/>
  <c r="CE254" i="2" s="1"/>
  <c r="BU254" i="2"/>
  <c r="BV254" i="2" s="1"/>
  <c r="BP254" i="2"/>
  <c r="BQ254" i="2" s="1"/>
  <c r="BR254" i="2" s="1"/>
  <c r="BJ254" i="2"/>
  <c r="BH254" i="2"/>
  <c r="BI254" i="2" s="1"/>
  <c r="BA254" i="2"/>
  <c r="BB254" i="2" s="1"/>
  <c r="BC254" i="2" s="1"/>
  <c r="BD254" i="2" s="1"/>
  <c r="AS254" i="2"/>
  <c r="AT254" i="2" s="1"/>
  <c r="AU254" i="2" s="1"/>
  <c r="AV254" i="2" s="1"/>
  <c r="AW254" i="2" s="1"/>
  <c r="AX254" i="2" s="1"/>
  <c r="AN254" i="2"/>
  <c r="AO254" i="2" s="1"/>
  <c r="AP254" i="2" s="1"/>
  <c r="AQ254" i="2" s="1"/>
  <c r="AB254" i="2"/>
  <c r="AC254" i="2" s="1"/>
  <c r="AD254" i="2" s="1"/>
  <c r="AE254" i="2" s="1"/>
  <c r="CT253" i="2"/>
  <c r="CU253" i="2" s="1"/>
  <c r="CV253" i="2" s="1"/>
  <c r="CP253" i="2"/>
  <c r="CQ253" i="2" s="1"/>
  <c r="CR253" i="2" s="1"/>
  <c r="CM253" i="2"/>
  <c r="CN253" i="2" s="1"/>
  <c r="CC253" i="2"/>
  <c r="CD253" i="2" s="1"/>
  <c r="CE253" i="2" s="1"/>
  <c r="BU253" i="2"/>
  <c r="BV253" i="2" s="1"/>
  <c r="BP253" i="2"/>
  <c r="BQ253" i="2" s="1"/>
  <c r="BR253" i="2" s="1"/>
  <c r="BJ253" i="2"/>
  <c r="BH253" i="2"/>
  <c r="BI253" i="2" s="1"/>
  <c r="BA253" i="2"/>
  <c r="BB253" i="2" s="1"/>
  <c r="BC253" i="2" s="1"/>
  <c r="BD253" i="2" s="1"/>
  <c r="AS253" i="2"/>
  <c r="AT253" i="2" s="1"/>
  <c r="AU253" i="2" s="1"/>
  <c r="AV253" i="2" s="1"/>
  <c r="AW253" i="2" s="1"/>
  <c r="AX253" i="2" s="1"/>
  <c r="AN253" i="2"/>
  <c r="AO253" i="2" s="1"/>
  <c r="AP253" i="2" s="1"/>
  <c r="AQ253" i="2" s="1"/>
  <c r="AG253" i="2"/>
  <c r="AF253" i="2"/>
  <c r="AB253" i="2"/>
  <c r="AC253" i="2" s="1"/>
  <c r="AD253" i="2" s="1"/>
  <c r="AE253" i="2" s="1"/>
  <c r="CT252" i="2"/>
  <c r="CU252" i="2" s="1"/>
  <c r="CV252" i="2" s="1"/>
  <c r="CP252" i="2"/>
  <c r="CQ252" i="2" s="1"/>
  <c r="CR252" i="2" s="1"/>
  <c r="CM252" i="2"/>
  <c r="CN252" i="2" s="1"/>
  <c r="CI252" i="2"/>
  <c r="CJ252" i="2" s="1"/>
  <c r="BV252" i="2"/>
  <c r="BU252" i="2"/>
  <c r="BP252" i="2"/>
  <c r="BQ252" i="2" s="1"/>
  <c r="BR252" i="2" s="1"/>
  <c r="BJ252" i="2"/>
  <c r="BH252" i="2"/>
  <c r="BI252" i="2" s="1"/>
  <c r="BA252" i="2"/>
  <c r="AS252" i="2"/>
  <c r="AT252" i="2" s="1"/>
  <c r="AU252" i="2" s="1"/>
  <c r="AV252" i="2" s="1"/>
  <c r="AW252" i="2" s="1"/>
  <c r="AX252" i="2" s="1"/>
  <c r="AN252" i="2"/>
  <c r="AO252" i="2" s="1"/>
  <c r="AP252" i="2" s="1"/>
  <c r="AQ252" i="2" s="1"/>
  <c r="AF252" i="2"/>
  <c r="CT251" i="2"/>
  <c r="CU251" i="2" s="1"/>
  <c r="CV251" i="2" s="1"/>
  <c r="CP251" i="2"/>
  <c r="CQ251" i="2" s="1"/>
  <c r="CR251" i="2" s="1"/>
  <c r="CM251" i="2"/>
  <c r="CN251" i="2" s="1"/>
  <c r="CC251" i="2"/>
  <c r="CD251" i="2" s="1"/>
  <c r="CE251" i="2" s="1"/>
  <c r="BU251" i="2"/>
  <c r="BV251" i="2" s="1"/>
  <c r="BP251" i="2"/>
  <c r="BQ251" i="2" s="1"/>
  <c r="BR251" i="2" s="1"/>
  <c r="BJ251" i="2"/>
  <c r="BH251" i="2"/>
  <c r="BI251" i="2" s="1"/>
  <c r="BA251" i="2"/>
  <c r="BB251" i="2" s="1"/>
  <c r="BC251" i="2" s="1"/>
  <c r="BD251" i="2" s="1"/>
  <c r="AS251" i="2"/>
  <c r="AT251" i="2" s="1"/>
  <c r="AU251" i="2" s="1"/>
  <c r="AV251" i="2" s="1"/>
  <c r="AW251" i="2" s="1"/>
  <c r="AX251" i="2" s="1"/>
  <c r="AN251" i="2"/>
  <c r="AO251" i="2" s="1"/>
  <c r="AP251" i="2" s="1"/>
  <c r="AQ251" i="2" s="1"/>
  <c r="AG251" i="2"/>
  <c r="AF251" i="2"/>
  <c r="CT250" i="2"/>
  <c r="CU250" i="2" s="1"/>
  <c r="CV250" i="2" s="1"/>
  <c r="CP250" i="2"/>
  <c r="CQ250" i="2" s="1"/>
  <c r="CR250" i="2" s="1"/>
  <c r="CM250" i="2"/>
  <c r="CN250" i="2" s="1"/>
  <c r="CC250" i="2"/>
  <c r="CD250" i="2" s="1"/>
  <c r="CE250" i="2" s="1"/>
  <c r="BU250" i="2"/>
  <c r="BV250" i="2" s="1"/>
  <c r="BP250" i="2"/>
  <c r="BQ250" i="2" s="1"/>
  <c r="BR250" i="2" s="1"/>
  <c r="BJ250" i="2"/>
  <c r="BH250" i="2"/>
  <c r="BI250" i="2" s="1"/>
  <c r="BA250" i="2"/>
  <c r="BB250" i="2" s="1"/>
  <c r="BC250" i="2" s="1"/>
  <c r="BD250" i="2" s="1"/>
  <c r="AS250" i="2"/>
  <c r="AT250" i="2" s="1"/>
  <c r="AU250" i="2" s="1"/>
  <c r="AV250" i="2" s="1"/>
  <c r="AW250" i="2" s="1"/>
  <c r="AX250" i="2" s="1"/>
  <c r="AN250" i="2"/>
  <c r="AO250" i="2" s="1"/>
  <c r="AP250" i="2" s="1"/>
  <c r="AQ250" i="2" s="1"/>
  <c r="CT249" i="2"/>
  <c r="CU249" i="2" s="1"/>
  <c r="CV249" i="2" s="1"/>
  <c r="CP249" i="2"/>
  <c r="CQ249" i="2" s="1"/>
  <c r="CR249" i="2" s="1"/>
  <c r="CM249" i="2"/>
  <c r="CN249" i="2" s="1"/>
  <c r="CC249" i="2"/>
  <c r="CD249" i="2" s="1"/>
  <c r="CE249" i="2" s="1"/>
  <c r="BU249" i="2"/>
  <c r="BV249" i="2" s="1"/>
  <c r="BP249" i="2"/>
  <c r="BQ249" i="2" s="1"/>
  <c r="BR249" i="2" s="1"/>
  <c r="BJ249" i="2"/>
  <c r="BH249" i="2"/>
  <c r="BI249" i="2" s="1"/>
  <c r="BA249" i="2"/>
  <c r="AS249" i="2"/>
  <c r="AT249" i="2" s="1"/>
  <c r="AU249" i="2" s="1"/>
  <c r="AV249" i="2" s="1"/>
  <c r="AW249" i="2" s="1"/>
  <c r="AX249" i="2" s="1"/>
  <c r="AN249" i="2"/>
  <c r="AO249" i="2" s="1"/>
  <c r="AP249" i="2" s="1"/>
  <c r="AQ249" i="2" s="1"/>
  <c r="AG249" i="2"/>
  <c r="AF249" i="2"/>
  <c r="AB249" i="2"/>
  <c r="AC249" i="2" s="1"/>
  <c r="AD249" i="2" s="1"/>
  <c r="AE249" i="2" s="1"/>
  <c r="CT248" i="2"/>
  <c r="CU248" i="2" s="1"/>
  <c r="CV248" i="2" s="1"/>
  <c r="CP248" i="2"/>
  <c r="CQ248" i="2" s="1"/>
  <c r="CR248" i="2" s="1"/>
  <c r="CM248" i="2"/>
  <c r="CN248" i="2" s="1"/>
  <c r="CC248" i="2"/>
  <c r="CD248" i="2" s="1"/>
  <c r="CE248" i="2" s="1"/>
  <c r="BU248" i="2"/>
  <c r="BV248" i="2" s="1"/>
  <c r="BP248" i="2"/>
  <c r="BQ248" i="2" s="1"/>
  <c r="BR248" i="2" s="1"/>
  <c r="BJ248" i="2"/>
  <c r="BH248" i="2"/>
  <c r="BI248" i="2" s="1"/>
  <c r="BA248" i="2"/>
  <c r="AS248" i="2"/>
  <c r="AT248" i="2" s="1"/>
  <c r="AU248" i="2" s="1"/>
  <c r="AV248" i="2" s="1"/>
  <c r="AW248" i="2" s="1"/>
  <c r="AX248" i="2" s="1"/>
  <c r="AN248" i="2"/>
  <c r="AO248" i="2" s="1"/>
  <c r="AP248" i="2" s="1"/>
  <c r="AQ248" i="2" s="1"/>
  <c r="AF248" i="2"/>
  <c r="CT247" i="2"/>
  <c r="CU247" i="2" s="1"/>
  <c r="CV247" i="2" s="1"/>
  <c r="CP247" i="2"/>
  <c r="CQ247" i="2" s="1"/>
  <c r="CR247" i="2" s="1"/>
  <c r="CM247" i="2"/>
  <c r="CN247" i="2" s="1"/>
  <c r="CC247" i="2"/>
  <c r="CD247" i="2" s="1"/>
  <c r="CE247" i="2" s="1"/>
  <c r="BV247" i="2"/>
  <c r="BU247" i="2"/>
  <c r="BP247" i="2"/>
  <c r="BQ247" i="2" s="1"/>
  <c r="BR247" i="2" s="1"/>
  <c r="BJ247" i="2"/>
  <c r="BH247" i="2"/>
  <c r="BI247" i="2" s="1"/>
  <c r="BA247" i="2"/>
  <c r="AS247" i="2"/>
  <c r="AT247" i="2" s="1"/>
  <c r="AU247" i="2" s="1"/>
  <c r="AV247" i="2" s="1"/>
  <c r="AW247" i="2" s="1"/>
  <c r="AX247" i="2" s="1"/>
  <c r="AN247" i="2"/>
  <c r="AO247" i="2" s="1"/>
  <c r="AP247" i="2" s="1"/>
  <c r="AQ247" i="2" s="1"/>
  <c r="AF247" i="2"/>
  <c r="AG247" i="2"/>
  <c r="CT246" i="2"/>
  <c r="CU246" i="2" s="1"/>
  <c r="CV246" i="2" s="1"/>
  <c r="CP246" i="2"/>
  <c r="CQ246" i="2" s="1"/>
  <c r="CR246" i="2" s="1"/>
  <c r="CM246" i="2"/>
  <c r="CN246" i="2" s="1"/>
  <c r="CI246" i="2"/>
  <c r="CJ246" i="2" s="1"/>
  <c r="BU246" i="2"/>
  <c r="BV246" i="2" s="1"/>
  <c r="BP246" i="2"/>
  <c r="BQ246" i="2" s="1"/>
  <c r="BR246" i="2" s="1"/>
  <c r="BJ246" i="2"/>
  <c r="BH246" i="2"/>
  <c r="BI246" i="2" s="1"/>
  <c r="BA246" i="2"/>
  <c r="BB246" i="2" s="1"/>
  <c r="BC246" i="2" s="1"/>
  <c r="BD246" i="2" s="1"/>
  <c r="AS246" i="2"/>
  <c r="AT246" i="2" s="1"/>
  <c r="AU246" i="2" s="1"/>
  <c r="AV246" i="2" s="1"/>
  <c r="AW246" i="2" s="1"/>
  <c r="AX246" i="2" s="1"/>
  <c r="AN246" i="2"/>
  <c r="AO246" i="2" s="1"/>
  <c r="AP246" i="2" s="1"/>
  <c r="AQ246" i="2" s="1"/>
  <c r="AG246" i="2"/>
  <c r="AF246" i="2"/>
  <c r="AB246" i="2"/>
  <c r="AC246" i="2" s="1"/>
  <c r="AD246" i="2" s="1"/>
  <c r="AE246" i="2" s="1"/>
  <c r="CT245" i="2"/>
  <c r="CU245" i="2" s="1"/>
  <c r="CV245" i="2" s="1"/>
  <c r="CP245" i="2"/>
  <c r="CQ245" i="2" s="1"/>
  <c r="CR245" i="2" s="1"/>
  <c r="CM245" i="2"/>
  <c r="CN245" i="2" s="1"/>
  <c r="CC245" i="2"/>
  <c r="CD245" i="2" s="1"/>
  <c r="CE245" i="2" s="1"/>
  <c r="BU245" i="2"/>
  <c r="BV245" i="2" s="1"/>
  <c r="BP245" i="2"/>
  <c r="BQ245" i="2" s="1"/>
  <c r="BR245" i="2" s="1"/>
  <c r="BJ245" i="2"/>
  <c r="BH245" i="2"/>
  <c r="BI245" i="2" s="1"/>
  <c r="BA245" i="2"/>
  <c r="BB245" i="2" s="1"/>
  <c r="BC245" i="2" s="1"/>
  <c r="BD245" i="2" s="1"/>
  <c r="AS245" i="2"/>
  <c r="AT245" i="2" s="1"/>
  <c r="AU245" i="2" s="1"/>
  <c r="AV245" i="2" s="1"/>
  <c r="AW245" i="2" s="1"/>
  <c r="AX245" i="2" s="1"/>
  <c r="AN245" i="2"/>
  <c r="AO245" i="2" s="1"/>
  <c r="AP245" i="2" s="1"/>
  <c r="AQ245" i="2" s="1"/>
  <c r="CT244" i="2"/>
  <c r="CU244" i="2" s="1"/>
  <c r="CV244" i="2" s="1"/>
  <c r="CP244" i="2"/>
  <c r="CQ244" i="2" s="1"/>
  <c r="CR244" i="2" s="1"/>
  <c r="CM244" i="2"/>
  <c r="CN244" i="2" s="1"/>
  <c r="CC244" i="2"/>
  <c r="CD244" i="2" s="1"/>
  <c r="CE244" i="2" s="1"/>
  <c r="BU244" i="2"/>
  <c r="BV244" i="2" s="1"/>
  <c r="BP244" i="2"/>
  <c r="BQ244" i="2" s="1"/>
  <c r="BR244" i="2" s="1"/>
  <c r="BJ244" i="2"/>
  <c r="BH244" i="2"/>
  <c r="BI244" i="2" s="1"/>
  <c r="BA244" i="2"/>
  <c r="BB244" i="2" s="1"/>
  <c r="BC244" i="2" s="1"/>
  <c r="BD244" i="2" s="1"/>
  <c r="AS244" i="2"/>
  <c r="AT244" i="2" s="1"/>
  <c r="AU244" i="2" s="1"/>
  <c r="AV244" i="2" s="1"/>
  <c r="AW244" i="2" s="1"/>
  <c r="AX244" i="2" s="1"/>
  <c r="AO244" i="2"/>
  <c r="AP244" i="2" s="1"/>
  <c r="AQ244" i="2" s="1"/>
  <c r="AN244" i="2"/>
  <c r="AF244" i="2"/>
  <c r="CT243" i="2"/>
  <c r="CU243" i="2" s="1"/>
  <c r="CV243" i="2" s="1"/>
  <c r="CP243" i="2"/>
  <c r="CQ243" i="2" s="1"/>
  <c r="CR243" i="2" s="1"/>
  <c r="CM243" i="2"/>
  <c r="CN243" i="2" s="1"/>
  <c r="CC243" i="2"/>
  <c r="CD243" i="2" s="1"/>
  <c r="CE243" i="2" s="1"/>
  <c r="BU243" i="2"/>
  <c r="BV243" i="2" s="1"/>
  <c r="BP243" i="2"/>
  <c r="BQ243" i="2" s="1"/>
  <c r="BR243" i="2" s="1"/>
  <c r="BJ243" i="2"/>
  <c r="BH243" i="2"/>
  <c r="BI243" i="2" s="1"/>
  <c r="BA243" i="2"/>
  <c r="BB243" i="2" s="1"/>
  <c r="BC243" i="2" s="1"/>
  <c r="BD243" i="2" s="1"/>
  <c r="AS243" i="2"/>
  <c r="AT243" i="2" s="1"/>
  <c r="AU243" i="2" s="1"/>
  <c r="AV243" i="2" s="1"/>
  <c r="AW243" i="2" s="1"/>
  <c r="AX243" i="2" s="1"/>
  <c r="AN243" i="2"/>
  <c r="AO243" i="2" s="1"/>
  <c r="AP243" i="2" s="1"/>
  <c r="AQ243" i="2" s="1"/>
  <c r="AF243" i="2"/>
  <c r="AB243" i="2"/>
  <c r="AC243" i="2" s="1"/>
  <c r="AD243" i="2" s="1"/>
  <c r="AE243" i="2" s="1"/>
  <c r="AG243" i="2"/>
  <c r="CT242" i="2"/>
  <c r="CU242" i="2" s="1"/>
  <c r="CV242" i="2" s="1"/>
  <c r="CP242" i="2"/>
  <c r="CQ242" i="2" s="1"/>
  <c r="CR242" i="2" s="1"/>
  <c r="CM242" i="2"/>
  <c r="CN242" i="2" s="1"/>
  <c r="CC242" i="2"/>
  <c r="CD242" i="2" s="1"/>
  <c r="CE242" i="2" s="1"/>
  <c r="BU242" i="2"/>
  <c r="BV242" i="2" s="1"/>
  <c r="BP242" i="2"/>
  <c r="BQ242" i="2" s="1"/>
  <c r="BR242" i="2" s="1"/>
  <c r="BJ242" i="2"/>
  <c r="BH242" i="2"/>
  <c r="BI242" i="2" s="1"/>
  <c r="BA242" i="2"/>
  <c r="BB242" i="2" s="1"/>
  <c r="BC242" i="2" s="1"/>
  <c r="BD242" i="2" s="1"/>
  <c r="AS242" i="2"/>
  <c r="AT242" i="2" s="1"/>
  <c r="AU242" i="2" s="1"/>
  <c r="AV242" i="2" s="1"/>
  <c r="AW242" i="2" s="1"/>
  <c r="AX242" i="2" s="1"/>
  <c r="AN242" i="2"/>
  <c r="AO242" i="2" s="1"/>
  <c r="AP242" i="2" s="1"/>
  <c r="AQ242" i="2" s="1"/>
  <c r="AF242" i="2"/>
  <c r="CT241" i="2"/>
  <c r="CU241" i="2" s="1"/>
  <c r="CV241" i="2" s="1"/>
  <c r="CP241" i="2"/>
  <c r="CQ241" i="2" s="1"/>
  <c r="CR241" i="2" s="1"/>
  <c r="CM241" i="2"/>
  <c r="CN241" i="2" s="1"/>
  <c r="CD241" i="2"/>
  <c r="CE241" i="2" s="1"/>
  <c r="CC241" i="2"/>
  <c r="BU241" i="2"/>
  <c r="BV241" i="2" s="1"/>
  <c r="BP241" i="2"/>
  <c r="BQ241" i="2" s="1"/>
  <c r="BR241" i="2" s="1"/>
  <c r="BJ241" i="2"/>
  <c r="BH241" i="2"/>
  <c r="BI241" i="2" s="1"/>
  <c r="BA241" i="2"/>
  <c r="BB241" i="2" s="1"/>
  <c r="BC241" i="2" s="1"/>
  <c r="BD241" i="2" s="1"/>
  <c r="AT241" i="2"/>
  <c r="AU241" i="2" s="1"/>
  <c r="AV241" i="2" s="1"/>
  <c r="AW241" i="2" s="1"/>
  <c r="AX241" i="2" s="1"/>
  <c r="AS241" i="2"/>
  <c r="AN241" i="2"/>
  <c r="AO241" i="2" s="1"/>
  <c r="AP241" i="2" s="1"/>
  <c r="AQ241" i="2" s="1"/>
  <c r="AF241" i="2"/>
  <c r="AB241" i="2"/>
  <c r="AC241" i="2" s="1"/>
  <c r="AD241" i="2" s="1"/>
  <c r="AE241" i="2" s="1"/>
  <c r="CT240" i="2"/>
  <c r="CU240" i="2" s="1"/>
  <c r="CV240" i="2" s="1"/>
  <c r="CP240" i="2"/>
  <c r="CQ240" i="2" s="1"/>
  <c r="CR240" i="2" s="1"/>
  <c r="CM240" i="2"/>
  <c r="CN240" i="2" s="1"/>
  <c r="CC240" i="2"/>
  <c r="CD240" i="2" s="1"/>
  <c r="CE240" i="2" s="1"/>
  <c r="BU240" i="2"/>
  <c r="BV240" i="2" s="1"/>
  <c r="BP240" i="2"/>
  <c r="BQ240" i="2" s="1"/>
  <c r="BR240" i="2" s="1"/>
  <c r="BJ240" i="2"/>
  <c r="BH240" i="2"/>
  <c r="BI240" i="2" s="1"/>
  <c r="BA240" i="2"/>
  <c r="BB240" i="2" s="1"/>
  <c r="BC240" i="2" s="1"/>
  <c r="BD240" i="2" s="1"/>
  <c r="AS240" i="2"/>
  <c r="AT240" i="2" s="1"/>
  <c r="AU240" i="2" s="1"/>
  <c r="AV240" i="2" s="1"/>
  <c r="AW240" i="2" s="1"/>
  <c r="AX240" i="2" s="1"/>
  <c r="AN240" i="2"/>
  <c r="AO240" i="2" s="1"/>
  <c r="AP240" i="2" s="1"/>
  <c r="AQ240" i="2" s="1"/>
  <c r="AF240" i="2"/>
  <c r="AB240" i="2"/>
  <c r="AC240" i="2" s="1"/>
  <c r="AD240" i="2" s="1"/>
  <c r="AE240" i="2" s="1"/>
  <c r="AG240" i="2"/>
  <c r="CT239" i="2"/>
  <c r="CU239" i="2" s="1"/>
  <c r="CV239" i="2" s="1"/>
  <c r="CP239" i="2"/>
  <c r="CQ239" i="2" s="1"/>
  <c r="CR239" i="2" s="1"/>
  <c r="CM239" i="2"/>
  <c r="CN239" i="2" s="1"/>
  <c r="CC239" i="2"/>
  <c r="CD239" i="2" s="1"/>
  <c r="CE239" i="2" s="1"/>
  <c r="BU239" i="2"/>
  <c r="BV239" i="2" s="1"/>
  <c r="BP239" i="2"/>
  <c r="BQ239" i="2" s="1"/>
  <c r="BR239" i="2" s="1"/>
  <c r="BJ239" i="2"/>
  <c r="BH239" i="2"/>
  <c r="BI239" i="2" s="1"/>
  <c r="BA239" i="2"/>
  <c r="BB239" i="2" s="1"/>
  <c r="BC239" i="2" s="1"/>
  <c r="BD239" i="2" s="1"/>
  <c r="AS239" i="2"/>
  <c r="AT239" i="2" s="1"/>
  <c r="AU239" i="2" s="1"/>
  <c r="AV239" i="2" s="1"/>
  <c r="AW239" i="2" s="1"/>
  <c r="AX239" i="2" s="1"/>
  <c r="AN239" i="2"/>
  <c r="AO239" i="2" s="1"/>
  <c r="AP239" i="2" s="1"/>
  <c r="AQ239" i="2" s="1"/>
  <c r="AG239" i="2"/>
  <c r="AF239" i="2"/>
  <c r="AB239" i="2"/>
  <c r="AC239" i="2" s="1"/>
  <c r="AD239" i="2" s="1"/>
  <c r="AE239" i="2" s="1"/>
  <c r="CT238" i="2"/>
  <c r="CU238" i="2" s="1"/>
  <c r="CV238" i="2" s="1"/>
  <c r="CP238" i="2"/>
  <c r="CQ238" i="2" s="1"/>
  <c r="CR238" i="2" s="1"/>
  <c r="CM238" i="2"/>
  <c r="CN238" i="2" s="1"/>
  <c r="CC238" i="2"/>
  <c r="CD238" i="2" s="1"/>
  <c r="CE238" i="2" s="1"/>
  <c r="BU238" i="2"/>
  <c r="BV238" i="2" s="1"/>
  <c r="BP238" i="2"/>
  <c r="BQ238" i="2" s="1"/>
  <c r="BR238" i="2" s="1"/>
  <c r="BJ238" i="2"/>
  <c r="BH238" i="2"/>
  <c r="BI238" i="2" s="1"/>
  <c r="BA238" i="2"/>
  <c r="AT238" i="2"/>
  <c r="AU238" i="2" s="1"/>
  <c r="AV238" i="2" s="1"/>
  <c r="AW238" i="2" s="1"/>
  <c r="AX238" i="2" s="1"/>
  <c r="AS238" i="2"/>
  <c r="AN238" i="2"/>
  <c r="AO238" i="2" s="1"/>
  <c r="AP238" i="2" s="1"/>
  <c r="AQ238" i="2" s="1"/>
  <c r="AG238" i="2"/>
  <c r="AF238" i="2"/>
  <c r="AB238" i="2"/>
  <c r="AC238" i="2" s="1"/>
  <c r="AD238" i="2" s="1"/>
  <c r="AE238" i="2" s="1"/>
  <c r="CT237" i="2"/>
  <c r="CU237" i="2" s="1"/>
  <c r="CV237" i="2" s="1"/>
  <c r="CP237" i="2"/>
  <c r="CQ237" i="2" s="1"/>
  <c r="CR237" i="2" s="1"/>
  <c r="CM237" i="2"/>
  <c r="CN237" i="2" s="1"/>
  <c r="CD237" i="2"/>
  <c r="CE237" i="2" s="1"/>
  <c r="CC237" i="2"/>
  <c r="BU237" i="2"/>
  <c r="BV237" i="2" s="1"/>
  <c r="BP237" i="2"/>
  <c r="BQ237" i="2" s="1"/>
  <c r="BR237" i="2" s="1"/>
  <c r="BJ237" i="2"/>
  <c r="BH237" i="2"/>
  <c r="BI237" i="2" s="1"/>
  <c r="BA237" i="2"/>
  <c r="BB237" i="2" s="1"/>
  <c r="BC237" i="2" s="1"/>
  <c r="BD237" i="2" s="1"/>
  <c r="AS237" i="2"/>
  <c r="AT237" i="2" s="1"/>
  <c r="AU237" i="2" s="1"/>
  <c r="AV237" i="2" s="1"/>
  <c r="AW237" i="2" s="1"/>
  <c r="AX237" i="2" s="1"/>
  <c r="AN237" i="2"/>
  <c r="AO237" i="2" s="1"/>
  <c r="AP237" i="2" s="1"/>
  <c r="AQ237" i="2" s="1"/>
  <c r="CT236" i="2"/>
  <c r="CU236" i="2" s="1"/>
  <c r="CV236" i="2" s="1"/>
  <c r="CP236" i="2"/>
  <c r="CQ236" i="2" s="1"/>
  <c r="CR236" i="2" s="1"/>
  <c r="CM236" i="2"/>
  <c r="CN236" i="2" s="1"/>
  <c r="CI236" i="2"/>
  <c r="CJ236" i="2" s="1"/>
  <c r="BU236" i="2"/>
  <c r="BV236" i="2" s="1"/>
  <c r="BP236" i="2"/>
  <c r="BQ236" i="2" s="1"/>
  <c r="BR236" i="2" s="1"/>
  <c r="BJ236" i="2"/>
  <c r="BA236" i="2"/>
  <c r="AS236" i="2"/>
  <c r="AT236" i="2" s="1"/>
  <c r="AU236" i="2" s="1"/>
  <c r="AV236" i="2" s="1"/>
  <c r="AW236" i="2" s="1"/>
  <c r="AX236" i="2" s="1"/>
  <c r="AN236" i="2"/>
  <c r="AO236" i="2" s="1"/>
  <c r="AP236" i="2" s="1"/>
  <c r="AQ236" i="2" s="1"/>
  <c r="AG236" i="2"/>
  <c r="AF236" i="2"/>
  <c r="AB236" i="2"/>
  <c r="AC236" i="2" s="1"/>
  <c r="AD236" i="2" s="1"/>
  <c r="AE236" i="2" s="1"/>
  <c r="CT235" i="2"/>
  <c r="CU235" i="2" s="1"/>
  <c r="CV235" i="2" s="1"/>
  <c r="CQ235" i="2"/>
  <c r="CR235" i="2" s="1"/>
  <c r="CP235" i="2"/>
  <c r="CM235" i="2"/>
  <c r="CN235" i="2" s="1"/>
  <c r="CC235" i="2"/>
  <c r="CD235" i="2" s="1"/>
  <c r="CE235" i="2" s="1"/>
  <c r="BU235" i="2"/>
  <c r="BV235" i="2" s="1"/>
  <c r="BR235" i="2"/>
  <c r="BQ235" i="2"/>
  <c r="BP235" i="2"/>
  <c r="BJ235" i="2"/>
  <c r="BH235" i="2"/>
  <c r="BI235" i="2" s="1"/>
  <c r="BA235" i="2"/>
  <c r="BB235" i="2" s="1"/>
  <c r="BC235" i="2" s="1"/>
  <c r="BD235" i="2" s="1"/>
  <c r="AS235" i="2"/>
  <c r="AT235" i="2" s="1"/>
  <c r="AU235" i="2" s="1"/>
  <c r="AV235" i="2" s="1"/>
  <c r="AW235" i="2" s="1"/>
  <c r="AX235" i="2" s="1"/>
  <c r="AN235" i="2"/>
  <c r="AO235" i="2" s="1"/>
  <c r="AP235" i="2" s="1"/>
  <c r="AQ235" i="2" s="1"/>
  <c r="AG235" i="2"/>
  <c r="AF235" i="2"/>
  <c r="AH235" i="2" s="1"/>
  <c r="AI235" i="2" s="1"/>
  <c r="AJ235" i="2" s="1"/>
  <c r="AB235" i="2"/>
  <c r="AC235" i="2" s="1"/>
  <c r="AD235" i="2" s="1"/>
  <c r="AE235" i="2" s="1"/>
  <c r="CT234" i="2"/>
  <c r="CU234" i="2" s="1"/>
  <c r="CV234" i="2" s="1"/>
  <c r="CP234" i="2"/>
  <c r="CQ234" i="2" s="1"/>
  <c r="CR234" i="2" s="1"/>
  <c r="CM234" i="2"/>
  <c r="CN234" i="2" s="1"/>
  <c r="CC234" i="2"/>
  <c r="CD234" i="2" s="1"/>
  <c r="CE234" i="2" s="1"/>
  <c r="BU234" i="2"/>
  <c r="BV234" i="2" s="1"/>
  <c r="BP234" i="2"/>
  <c r="BQ234" i="2" s="1"/>
  <c r="BR234" i="2" s="1"/>
  <c r="BJ234" i="2"/>
  <c r="BH234" i="2"/>
  <c r="BI234" i="2" s="1"/>
  <c r="BA234" i="2"/>
  <c r="BB234" i="2" s="1"/>
  <c r="BC234" i="2" s="1"/>
  <c r="BD234" i="2" s="1"/>
  <c r="AT234" i="2"/>
  <c r="AU234" i="2" s="1"/>
  <c r="AV234" i="2" s="1"/>
  <c r="AW234" i="2" s="1"/>
  <c r="AX234" i="2" s="1"/>
  <c r="AS234" i="2"/>
  <c r="AN234" i="2"/>
  <c r="AO234" i="2" s="1"/>
  <c r="AP234" i="2" s="1"/>
  <c r="AQ234" i="2" s="1"/>
  <c r="AG234" i="2"/>
  <c r="AF234" i="2"/>
  <c r="AB234" i="2"/>
  <c r="AC234" i="2" s="1"/>
  <c r="AD234" i="2" s="1"/>
  <c r="AE234" i="2" s="1"/>
  <c r="CT233" i="2"/>
  <c r="CU233" i="2" s="1"/>
  <c r="CV233" i="2" s="1"/>
  <c r="CP233" i="2"/>
  <c r="CQ233" i="2" s="1"/>
  <c r="CR233" i="2" s="1"/>
  <c r="CM233" i="2"/>
  <c r="CN233" i="2" s="1"/>
  <c r="CC233" i="2"/>
  <c r="CD233" i="2" s="1"/>
  <c r="CE233" i="2" s="1"/>
  <c r="BU233" i="2"/>
  <c r="BV233" i="2" s="1"/>
  <c r="BP233" i="2"/>
  <c r="BQ233" i="2" s="1"/>
  <c r="BR233" i="2" s="1"/>
  <c r="BJ233" i="2"/>
  <c r="BH233" i="2"/>
  <c r="BI233" i="2" s="1"/>
  <c r="BA233" i="2"/>
  <c r="BB233" i="2" s="1"/>
  <c r="BC233" i="2" s="1"/>
  <c r="BD233" i="2" s="1"/>
  <c r="AS233" i="2"/>
  <c r="AT233" i="2" s="1"/>
  <c r="AU233" i="2" s="1"/>
  <c r="AV233" i="2" s="1"/>
  <c r="AW233" i="2" s="1"/>
  <c r="AX233" i="2" s="1"/>
  <c r="AN233" i="2"/>
  <c r="AO233" i="2" s="1"/>
  <c r="AP233" i="2" s="1"/>
  <c r="AQ233" i="2" s="1"/>
  <c r="AG233" i="2"/>
  <c r="AF233" i="2"/>
  <c r="AB233" i="2"/>
  <c r="AC233" i="2" s="1"/>
  <c r="AD233" i="2" s="1"/>
  <c r="AE233" i="2" s="1"/>
  <c r="CT232" i="2"/>
  <c r="CU232" i="2" s="1"/>
  <c r="CV232" i="2" s="1"/>
  <c r="CP232" i="2"/>
  <c r="CQ232" i="2" s="1"/>
  <c r="CR232" i="2" s="1"/>
  <c r="CM232" i="2"/>
  <c r="CN232" i="2" s="1"/>
  <c r="CC232" i="2"/>
  <c r="CD232" i="2" s="1"/>
  <c r="CE232" i="2" s="1"/>
  <c r="BU232" i="2"/>
  <c r="BV232" i="2" s="1"/>
  <c r="BP232" i="2"/>
  <c r="BQ232" i="2" s="1"/>
  <c r="BR232" i="2" s="1"/>
  <c r="BJ232" i="2"/>
  <c r="BH232" i="2"/>
  <c r="BI232" i="2" s="1"/>
  <c r="BA232" i="2"/>
  <c r="AS232" i="2"/>
  <c r="AT232" i="2" s="1"/>
  <c r="AU232" i="2" s="1"/>
  <c r="AV232" i="2" s="1"/>
  <c r="AW232" i="2" s="1"/>
  <c r="AX232" i="2" s="1"/>
  <c r="AN232" i="2"/>
  <c r="AO232" i="2" s="1"/>
  <c r="AP232" i="2" s="1"/>
  <c r="AQ232" i="2" s="1"/>
  <c r="AF232" i="2"/>
  <c r="AB232" i="2"/>
  <c r="AC232" i="2" s="1"/>
  <c r="AD232" i="2" s="1"/>
  <c r="AE232" i="2" s="1"/>
  <c r="AG232" i="2"/>
  <c r="AH232" i="2" s="1"/>
  <c r="AI232" i="2" s="1"/>
  <c r="AJ232" i="2" s="1"/>
  <c r="CT231" i="2"/>
  <c r="CU231" i="2" s="1"/>
  <c r="CV231" i="2" s="1"/>
  <c r="CP231" i="2"/>
  <c r="CQ231" i="2" s="1"/>
  <c r="CR231" i="2" s="1"/>
  <c r="CM231" i="2"/>
  <c r="CN231" i="2" s="1"/>
  <c r="CC231" i="2"/>
  <c r="CD231" i="2" s="1"/>
  <c r="CE231" i="2" s="1"/>
  <c r="BU231" i="2"/>
  <c r="BV231" i="2" s="1"/>
  <c r="BP231" i="2"/>
  <c r="BQ231" i="2" s="1"/>
  <c r="BR231" i="2" s="1"/>
  <c r="BJ231" i="2"/>
  <c r="BH231" i="2"/>
  <c r="BI231" i="2" s="1"/>
  <c r="BA231" i="2"/>
  <c r="BB231" i="2" s="1"/>
  <c r="BC231" i="2" s="1"/>
  <c r="BD231" i="2" s="1"/>
  <c r="AS231" i="2"/>
  <c r="AT231" i="2" s="1"/>
  <c r="AU231" i="2" s="1"/>
  <c r="AV231" i="2" s="1"/>
  <c r="AW231" i="2" s="1"/>
  <c r="AX231" i="2" s="1"/>
  <c r="AN231" i="2"/>
  <c r="AO231" i="2" s="1"/>
  <c r="AP231" i="2" s="1"/>
  <c r="AQ231" i="2" s="1"/>
  <c r="AB231" i="2"/>
  <c r="AC231" i="2" s="1"/>
  <c r="AD231" i="2" s="1"/>
  <c r="AE231" i="2" s="1"/>
  <c r="CT230" i="2"/>
  <c r="CU230" i="2" s="1"/>
  <c r="CV230" i="2" s="1"/>
  <c r="CP230" i="2"/>
  <c r="CQ230" i="2" s="1"/>
  <c r="CR230" i="2" s="1"/>
  <c r="CM230" i="2"/>
  <c r="CN230" i="2" s="1"/>
  <c r="CC230" i="2"/>
  <c r="CD230" i="2" s="1"/>
  <c r="CE230" i="2" s="1"/>
  <c r="BU230" i="2"/>
  <c r="BV230" i="2" s="1"/>
  <c r="BP230" i="2"/>
  <c r="BQ230" i="2" s="1"/>
  <c r="BR230" i="2" s="1"/>
  <c r="BJ230" i="2"/>
  <c r="BH230" i="2"/>
  <c r="BI230" i="2" s="1"/>
  <c r="BA230" i="2"/>
  <c r="BB230" i="2" s="1"/>
  <c r="BC230" i="2" s="1"/>
  <c r="BD230" i="2" s="1"/>
  <c r="AS230" i="2"/>
  <c r="AT230" i="2" s="1"/>
  <c r="AU230" i="2" s="1"/>
  <c r="AV230" i="2" s="1"/>
  <c r="AW230" i="2" s="1"/>
  <c r="AX230" i="2" s="1"/>
  <c r="AN230" i="2"/>
  <c r="AO230" i="2" s="1"/>
  <c r="AP230" i="2" s="1"/>
  <c r="AQ230" i="2" s="1"/>
  <c r="AF230" i="2"/>
  <c r="CT229" i="2"/>
  <c r="CU229" i="2" s="1"/>
  <c r="CV229" i="2" s="1"/>
  <c r="CP229" i="2"/>
  <c r="CQ229" i="2" s="1"/>
  <c r="CR229" i="2" s="1"/>
  <c r="CM229" i="2"/>
  <c r="CN229" i="2" s="1"/>
  <c r="CC229" i="2"/>
  <c r="CD229" i="2" s="1"/>
  <c r="CE229" i="2" s="1"/>
  <c r="BU229" i="2"/>
  <c r="BV229" i="2" s="1"/>
  <c r="BP229" i="2"/>
  <c r="BQ229" i="2" s="1"/>
  <c r="BR229" i="2" s="1"/>
  <c r="BJ229" i="2"/>
  <c r="BH229" i="2"/>
  <c r="BI229" i="2" s="1"/>
  <c r="BA229" i="2"/>
  <c r="BB229" i="2" s="1"/>
  <c r="BC229" i="2" s="1"/>
  <c r="BD229" i="2" s="1"/>
  <c r="AS229" i="2"/>
  <c r="AT229" i="2" s="1"/>
  <c r="AU229" i="2" s="1"/>
  <c r="AV229" i="2" s="1"/>
  <c r="AW229" i="2" s="1"/>
  <c r="AX229" i="2" s="1"/>
  <c r="AN229" i="2"/>
  <c r="AO229" i="2" s="1"/>
  <c r="AP229" i="2" s="1"/>
  <c r="AQ229" i="2" s="1"/>
  <c r="AG229" i="2"/>
  <c r="AH229" i="2" s="1"/>
  <c r="AI229" i="2" s="1"/>
  <c r="AJ229" i="2" s="1"/>
  <c r="AF229" i="2"/>
  <c r="AB229" i="2"/>
  <c r="AC229" i="2" s="1"/>
  <c r="AD229" i="2" s="1"/>
  <c r="AE229" i="2" s="1"/>
  <c r="CT228" i="2"/>
  <c r="CU228" i="2" s="1"/>
  <c r="CV228" i="2" s="1"/>
  <c r="CP228" i="2"/>
  <c r="CQ228" i="2" s="1"/>
  <c r="CR228" i="2" s="1"/>
  <c r="CM228" i="2"/>
  <c r="CN228" i="2" s="1"/>
  <c r="CC228" i="2"/>
  <c r="CD228" i="2" s="1"/>
  <c r="CE228" i="2" s="1"/>
  <c r="BU228" i="2"/>
  <c r="BV228" i="2" s="1"/>
  <c r="BP228" i="2"/>
  <c r="BQ228" i="2" s="1"/>
  <c r="BR228" i="2" s="1"/>
  <c r="BJ228" i="2"/>
  <c r="BH228" i="2"/>
  <c r="BI228" i="2" s="1"/>
  <c r="BA228" i="2"/>
  <c r="BB228" i="2" s="1"/>
  <c r="BC228" i="2" s="1"/>
  <c r="BD228" i="2" s="1"/>
  <c r="AS228" i="2"/>
  <c r="AT228" i="2" s="1"/>
  <c r="AU228" i="2" s="1"/>
  <c r="AV228" i="2" s="1"/>
  <c r="AW228" i="2" s="1"/>
  <c r="AX228" i="2" s="1"/>
  <c r="AN228" i="2"/>
  <c r="AO228" i="2" s="1"/>
  <c r="AP228" i="2" s="1"/>
  <c r="AQ228" i="2" s="1"/>
  <c r="AG228" i="2"/>
  <c r="AF228" i="2"/>
  <c r="AB228" i="2"/>
  <c r="AC228" i="2" s="1"/>
  <c r="AD228" i="2" s="1"/>
  <c r="AE228" i="2" s="1"/>
  <c r="CT227" i="2"/>
  <c r="CU227" i="2" s="1"/>
  <c r="CV227" i="2" s="1"/>
  <c r="CP227" i="2"/>
  <c r="CQ227" i="2" s="1"/>
  <c r="CR227" i="2" s="1"/>
  <c r="CM227" i="2"/>
  <c r="CN227" i="2" s="1"/>
  <c r="CC227" i="2"/>
  <c r="CD227" i="2" s="1"/>
  <c r="CE227" i="2" s="1"/>
  <c r="BU227" i="2"/>
  <c r="BV227" i="2" s="1"/>
  <c r="BP227" i="2"/>
  <c r="BQ227" i="2" s="1"/>
  <c r="BR227" i="2" s="1"/>
  <c r="BJ227" i="2"/>
  <c r="BI227" i="2"/>
  <c r="BH227" i="2"/>
  <c r="BA227" i="2"/>
  <c r="BB227" i="2" s="1"/>
  <c r="BC227" i="2" s="1"/>
  <c r="BD227" i="2" s="1"/>
  <c r="AS227" i="2"/>
  <c r="AT227" i="2" s="1"/>
  <c r="AU227" i="2" s="1"/>
  <c r="AV227" i="2" s="1"/>
  <c r="AW227" i="2" s="1"/>
  <c r="AX227" i="2" s="1"/>
  <c r="AN227" i="2"/>
  <c r="AO227" i="2" s="1"/>
  <c r="AP227" i="2" s="1"/>
  <c r="AQ227" i="2" s="1"/>
  <c r="CT226" i="2"/>
  <c r="CU226" i="2" s="1"/>
  <c r="CV226" i="2" s="1"/>
  <c r="CP226" i="2"/>
  <c r="CQ226" i="2" s="1"/>
  <c r="CR226" i="2" s="1"/>
  <c r="CM226" i="2"/>
  <c r="CN226" i="2" s="1"/>
  <c r="CI226" i="2"/>
  <c r="CJ226" i="2" s="1"/>
  <c r="BU226" i="2"/>
  <c r="BV226" i="2" s="1"/>
  <c r="BP226" i="2"/>
  <c r="BQ226" i="2" s="1"/>
  <c r="BR226" i="2" s="1"/>
  <c r="BJ226" i="2"/>
  <c r="BH226" i="2"/>
  <c r="BI226" i="2" s="1"/>
  <c r="BA226" i="2"/>
  <c r="BB226" i="2" s="1"/>
  <c r="BC226" i="2" s="1"/>
  <c r="BD226" i="2" s="1"/>
  <c r="AT226" i="2"/>
  <c r="AU226" i="2" s="1"/>
  <c r="AV226" i="2" s="1"/>
  <c r="AW226" i="2" s="1"/>
  <c r="AX226" i="2" s="1"/>
  <c r="AS226" i="2"/>
  <c r="AN226" i="2"/>
  <c r="AO226" i="2" s="1"/>
  <c r="AP226" i="2" s="1"/>
  <c r="AQ226" i="2" s="1"/>
  <c r="AG226" i="2"/>
  <c r="AF226" i="2"/>
  <c r="AB226" i="2"/>
  <c r="AC226" i="2" s="1"/>
  <c r="AD226" i="2" s="1"/>
  <c r="AE226" i="2" s="1"/>
  <c r="CT225" i="2"/>
  <c r="CU225" i="2" s="1"/>
  <c r="CV225" i="2" s="1"/>
  <c r="CQ225" i="2"/>
  <c r="CR225" i="2" s="1"/>
  <c r="CP225" i="2"/>
  <c r="CM225" i="2"/>
  <c r="CN225" i="2" s="1"/>
  <c r="CC225" i="2"/>
  <c r="CD225" i="2" s="1"/>
  <c r="CE225" i="2" s="1"/>
  <c r="BU225" i="2"/>
  <c r="BV225" i="2" s="1"/>
  <c r="BP225" i="2"/>
  <c r="BQ225" i="2" s="1"/>
  <c r="BR225" i="2" s="1"/>
  <c r="BJ225" i="2"/>
  <c r="BH225" i="2"/>
  <c r="BI225" i="2" s="1"/>
  <c r="BA225" i="2"/>
  <c r="AT225" i="2"/>
  <c r="AU225" i="2" s="1"/>
  <c r="AV225" i="2" s="1"/>
  <c r="AW225" i="2" s="1"/>
  <c r="AX225" i="2" s="1"/>
  <c r="AS225" i="2"/>
  <c r="AN225" i="2"/>
  <c r="AO225" i="2" s="1"/>
  <c r="AP225" i="2" s="1"/>
  <c r="AQ225" i="2" s="1"/>
  <c r="AG225" i="2"/>
  <c r="AF225" i="2"/>
  <c r="AB225" i="2"/>
  <c r="AC225" i="2" s="1"/>
  <c r="AD225" i="2" s="1"/>
  <c r="AE225" i="2" s="1"/>
  <c r="CT224" i="2"/>
  <c r="CU224" i="2" s="1"/>
  <c r="CV224" i="2" s="1"/>
  <c r="CP224" i="2"/>
  <c r="CQ224" i="2" s="1"/>
  <c r="CR224" i="2" s="1"/>
  <c r="CM224" i="2"/>
  <c r="CN224" i="2" s="1"/>
  <c r="CC224" i="2"/>
  <c r="CD224" i="2" s="1"/>
  <c r="CE224" i="2" s="1"/>
  <c r="BU224" i="2"/>
  <c r="BV224" i="2" s="1"/>
  <c r="BP224" i="2"/>
  <c r="BQ224" i="2" s="1"/>
  <c r="BR224" i="2" s="1"/>
  <c r="BJ224" i="2"/>
  <c r="BH224" i="2"/>
  <c r="BI224" i="2" s="1"/>
  <c r="BA224" i="2"/>
  <c r="BB224" i="2" s="1"/>
  <c r="BC224" i="2" s="1"/>
  <c r="BD224" i="2" s="1"/>
  <c r="AS224" i="2"/>
  <c r="AT224" i="2" s="1"/>
  <c r="AU224" i="2" s="1"/>
  <c r="AV224" i="2" s="1"/>
  <c r="AW224" i="2" s="1"/>
  <c r="AX224" i="2" s="1"/>
  <c r="AN224" i="2"/>
  <c r="AO224" i="2" s="1"/>
  <c r="AP224" i="2" s="1"/>
  <c r="AQ224" i="2" s="1"/>
  <c r="AF224" i="2"/>
  <c r="CT223" i="2"/>
  <c r="CU223" i="2" s="1"/>
  <c r="CV223" i="2" s="1"/>
  <c r="CP223" i="2"/>
  <c r="CQ223" i="2" s="1"/>
  <c r="CR223" i="2" s="1"/>
  <c r="CM223" i="2"/>
  <c r="CN223" i="2" s="1"/>
  <c r="CC223" i="2"/>
  <c r="CD223" i="2" s="1"/>
  <c r="CE223" i="2" s="1"/>
  <c r="BV223" i="2"/>
  <c r="BU223" i="2"/>
  <c r="BP223" i="2"/>
  <c r="BQ223" i="2" s="1"/>
  <c r="BR223" i="2" s="1"/>
  <c r="BJ223" i="2"/>
  <c r="BH223" i="2"/>
  <c r="BI223" i="2" s="1"/>
  <c r="BA223" i="2"/>
  <c r="BB223" i="2" s="1"/>
  <c r="BC223" i="2" s="1"/>
  <c r="BD223" i="2" s="1"/>
  <c r="AS223" i="2"/>
  <c r="AT223" i="2" s="1"/>
  <c r="AU223" i="2" s="1"/>
  <c r="AV223" i="2" s="1"/>
  <c r="AW223" i="2" s="1"/>
  <c r="AX223" i="2" s="1"/>
  <c r="AN223" i="2"/>
  <c r="AO223" i="2" s="1"/>
  <c r="AP223" i="2" s="1"/>
  <c r="AQ223" i="2" s="1"/>
  <c r="AF223" i="2"/>
  <c r="AB223" i="2"/>
  <c r="AC223" i="2" s="1"/>
  <c r="AD223" i="2" s="1"/>
  <c r="AE223" i="2" s="1"/>
  <c r="AG223" i="2"/>
  <c r="CT222" i="2"/>
  <c r="CU222" i="2" s="1"/>
  <c r="CV222" i="2" s="1"/>
  <c r="CP222" i="2"/>
  <c r="CQ222" i="2" s="1"/>
  <c r="CR222" i="2" s="1"/>
  <c r="CM222" i="2"/>
  <c r="CN222" i="2" s="1"/>
  <c r="CC222" i="2"/>
  <c r="CD222" i="2" s="1"/>
  <c r="CE222" i="2" s="1"/>
  <c r="BU222" i="2"/>
  <c r="BV222" i="2" s="1"/>
  <c r="BP222" i="2"/>
  <c r="BQ222" i="2" s="1"/>
  <c r="BR222" i="2" s="1"/>
  <c r="BJ222" i="2"/>
  <c r="BH222" i="2"/>
  <c r="BI222" i="2" s="1"/>
  <c r="BA222" i="2"/>
  <c r="BB222" i="2" s="1"/>
  <c r="BC222" i="2" s="1"/>
  <c r="BD222" i="2" s="1"/>
  <c r="AT222" i="2"/>
  <c r="AU222" i="2" s="1"/>
  <c r="AV222" i="2" s="1"/>
  <c r="AW222" i="2" s="1"/>
  <c r="AX222" i="2" s="1"/>
  <c r="AS222" i="2"/>
  <c r="AN222" i="2"/>
  <c r="AO222" i="2" s="1"/>
  <c r="AP222" i="2" s="1"/>
  <c r="AQ222" i="2" s="1"/>
  <c r="AG222" i="2"/>
  <c r="AF222" i="2"/>
  <c r="AB222" i="2"/>
  <c r="AC222" i="2" s="1"/>
  <c r="AD222" i="2" s="1"/>
  <c r="AE222" i="2" s="1"/>
  <c r="CT221" i="2"/>
  <c r="CU221" i="2" s="1"/>
  <c r="CV221" i="2" s="1"/>
  <c r="CP221" i="2"/>
  <c r="CQ221" i="2" s="1"/>
  <c r="CR221" i="2" s="1"/>
  <c r="CM221" i="2"/>
  <c r="CN221" i="2" s="1"/>
  <c r="CC221" i="2"/>
  <c r="CD221" i="2" s="1"/>
  <c r="CE221" i="2" s="1"/>
  <c r="BU221" i="2"/>
  <c r="BV221" i="2" s="1"/>
  <c r="BP221" i="2"/>
  <c r="BQ221" i="2" s="1"/>
  <c r="BR221" i="2" s="1"/>
  <c r="BJ221" i="2"/>
  <c r="BH221" i="2"/>
  <c r="BI221" i="2" s="1"/>
  <c r="BA221" i="2"/>
  <c r="BB221" i="2" s="1"/>
  <c r="BC221" i="2" s="1"/>
  <c r="BD221" i="2" s="1"/>
  <c r="AS221" i="2"/>
  <c r="AT221" i="2" s="1"/>
  <c r="AU221" i="2" s="1"/>
  <c r="AV221" i="2" s="1"/>
  <c r="AW221" i="2" s="1"/>
  <c r="AX221" i="2" s="1"/>
  <c r="AN221" i="2"/>
  <c r="AO221" i="2" s="1"/>
  <c r="AP221" i="2" s="1"/>
  <c r="AQ221" i="2" s="1"/>
  <c r="AG221" i="2"/>
  <c r="AF221" i="2"/>
  <c r="AB221" i="2"/>
  <c r="AC221" i="2" s="1"/>
  <c r="AD221" i="2" s="1"/>
  <c r="AE221" i="2" s="1"/>
  <c r="CT220" i="2"/>
  <c r="CU220" i="2" s="1"/>
  <c r="CV220" i="2" s="1"/>
  <c r="CP220" i="2"/>
  <c r="CQ220" i="2" s="1"/>
  <c r="CR220" i="2" s="1"/>
  <c r="CM220" i="2"/>
  <c r="CN220" i="2" s="1"/>
  <c r="CC220" i="2"/>
  <c r="CD220" i="2" s="1"/>
  <c r="CE220" i="2" s="1"/>
  <c r="BU220" i="2"/>
  <c r="BV220" i="2" s="1"/>
  <c r="BP220" i="2"/>
  <c r="BQ220" i="2" s="1"/>
  <c r="BR220" i="2" s="1"/>
  <c r="BJ220" i="2"/>
  <c r="BH220" i="2"/>
  <c r="BI220" i="2" s="1"/>
  <c r="BB220" i="2"/>
  <c r="BC220" i="2" s="1"/>
  <c r="BD220" i="2" s="1"/>
  <c r="BA220" i="2"/>
  <c r="AS220" i="2"/>
  <c r="AT220" i="2" s="1"/>
  <c r="AU220" i="2" s="1"/>
  <c r="AV220" i="2" s="1"/>
  <c r="AW220" i="2" s="1"/>
  <c r="AX220" i="2" s="1"/>
  <c r="AN220" i="2"/>
  <c r="AO220" i="2" s="1"/>
  <c r="AP220" i="2" s="1"/>
  <c r="AQ220" i="2" s="1"/>
  <c r="AG220" i="2"/>
  <c r="AH220" i="2" s="1"/>
  <c r="AI220" i="2" s="1"/>
  <c r="AJ220" i="2" s="1"/>
  <c r="AF220" i="2"/>
  <c r="AB220" i="2"/>
  <c r="AC220" i="2" s="1"/>
  <c r="AD220" i="2" s="1"/>
  <c r="AE220" i="2" s="1"/>
  <c r="CT219" i="2"/>
  <c r="CU219" i="2" s="1"/>
  <c r="CV219" i="2" s="1"/>
  <c r="CP219" i="2"/>
  <c r="CQ219" i="2" s="1"/>
  <c r="CR219" i="2" s="1"/>
  <c r="CM219" i="2"/>
  <c r="CN219" i="2" s="1"/>
  <c r="CC219" i="2"/>
  <c r="CD219" i="2" s="1"/>
  <c r="CE219" i="2" s="1"/>
  <c r="BU219" i="2"/>
  <c r="BV219" i="2" s="1"/>
  <c r="BP219" i="2"/>
  <c r="BQ219" i="2" s="1"/>
  <c r="BR219" i="2" s="1"/>
  <c r="BJ219" i="2"/>
  <c r="BH219" i="2"/>
  <c r="BI219" i="2" s="1"/>
  <c r="BA219" i="2"/>
  <c r="BB219" i="2" s="1"/>
  <c r="BC219" i="2" s="1"/>
  <c r="BD219" i="2" s="1"/>
  <c r="AT219" i="2"/>
  <c r="AU219" i="2" s="1"/>
  <c r="AV219" i="2" s="1"/>
  <c r="AW219" i="2" s="1"/>
  <c r="AX219" i="2" s="1"/>
  <c r="AS219" i="2"/>
  <c r="AN219" i="2"/>
  <c r="AO219" i="2" s="1"/>
  <c r="AP219" i="2" s="1"/>
  <c r="AQ219" i="2" s="1"/>
  <c r="AG219" i="2"/>
  <c r="AF219" i="2"/>
  <c r="AB219" i="2"/>
  <c r="AC219" i="2" s="1"/>
  <c r="AD219" i="2" s="1"/>
  <c r="AE219" i="2" s="1"/>
  <c r="CT218" i="2"/>
  <c r="CU218" i="2" s="1"/>
  <c r="CV218" i="2" s="1"/>
  <c r="CP218" i="2"/>
  <c r="CQ218" i="2" s="1"/>
  <c r="CR218" i="2" s="1"/>
  <c r="CM218" i="2"/>
  <c r="CN218" i="2" s="1"/>
  <c r="CC218" i="2"/>
  <c r="CD218" i="2" s="1"/>
  <c r="CE218" i="2" s="1"/>
  <c r="BU218" i="2"/>
  <c r="BV218" i="2" s="1"/>
  <c r="BP218" i="2"/>
  <c r="BQ218" i="2" s="1"/>
  <c r="BR218" i="2" s="1"/>
  <c r="BJ218" i="2"/>
  <c r="BH218" i="2"/>
  <c r="BI218" i="2" s="1"/>
  <c r="BA218" i="2"/>
  <c r="BB218" i="2" s="1"/>
  <c r="BC218" i="2" s="1"/>
  <c r="BD218" i="2" s="1"/>
  <c r="AS218" i="2"/>
  <c r="AT218" i="2" s="1"/>
  <c r="AU218" i="2" s="1"/>
  <c r="AV218" i="2" s="1"/>
  <c r="AW218" i="2" s="1"/>
  <c r="AX218" i="2" s="1"/>
  <c r="AN218" i="2"/>
  <c r="AO218" i="2" s="1"/>
  <c r="AP218" i="2" s="1"/>
  <c r="AQ218" i="2" s="1"/>
  <c r="AF218" i="2"/>
  <c r="AG218" i="2"/>
  <c r="CT217" i="2"/>
  <c r="CU217" i="2" s="1"/>
  <c r="CV217" i="2" s="1"/>
  <c r="CP217" i="2"/>
  <c r="CQ217" i="2" s="1"/>
  <c r="CR217" i="2" s="1"/>
  <c r="CM217" i="2"/>
  <c r="CN217" i="2" s="1"/>
  <c r="CC217" i="2"/>
  <c r="CD217" i="2" s="1"/>
  <c r="CE217" i="2" s="1"/>
  <c r="BU217" i="2"/>
  <c r="BV217" i="2" s="1"/>
  <c r="BP217" i="2"/>
  <c r="BQ217" i="2" s="1"/>
  <c r="BR217" i="2" s="1"/>
  <c r="BJ217" i="2"/>
  <c r="BH217" i="2"/>
  <c r="BI217" i="2" s="1"/>
  <c r="BA217" i="2"/>
  <c r="BB217" i="2" s="1"/>
  <c r="BC217" i="2" s="1"/>
  <c r="BD217" i="2" s="1"/>
  <c r="AS217" i="2"/>
  <c r="AT217" i="2" s="1"/>
  <c r="AU217" i="2" s="1"/>
  <c r="AV217" i="2" s="1"/>
  <c r="AW217" i="2" s="1"/>
  <c r="AX217" i="2" s="1"/>
  <c r="AN217" i="2"/>
  <c r="AO217" i="2" s="1"/>
  <c r="AP217" i="2" s="1"/>
  <c r="AQ217" i="2" s="1"/>
  <c r="AG217" i="2"/>
  <c r="CT216" i="2"/>
  <c r="CU216" i="2" s="1"/>
  <c r="CV216" i="2" s="1"/>
  <c r="CP216" i="2"/>
  <c r="CQ216" i="2" s="1"/>
  <c r="CR216" i="2" s="1"/>
  <c r="CM216" i="2"/>
  <c r="CN216" i="2" s="1"/>
  <c r="CC216" i="2"/>
  <c r="CD216" i="2" s="1"/>
  <c r="CE216" i="2" s="1"/>
  <c r="BU216" i="2"/>
  <c r="BV216" i="2" s="1"/>
  <c r="BP216" i="2"/>
  <c r="BQ216" i="2" s="1"/>
  <c r="BR216" i="2" s="1"/>
  <c r="BJ216" i="2"/>
  <c r="BH216" i="2"/>
  <c r="BI216" i="2" s="1"/>
  <c r="BA216" i="2"/>
  <c r="BB216" i="2" s="1"/>
  <c r="BC216" i="2" s="1"/>
  <c r="BD216" i="2" s="1"/>
  <c r="AS216" i="2"/>
  <c r="AT216" i="2" s="1"/>
  <c r="AU216" i="2" s="1"/>
  <c r="AV216" i="2" s="1"/>
  <c r="AW216" i="2" s="1"/>
  <c r="AX216" i="2" s="1"/>
  <c r="AN216" i="2"/>
  <c r="AO216" i="2" s="1"/>
  <c r="AP216" i="2" s="1"/>
  <c r="AQ216" i="2" s="1"/>
  <c r="AG216" i="2"/>
  <c r="AF216" i="2"/>
  <c r="AB216" i="2"/>
  <c r="AC216" i="2" s="1"/>
  <c r="AD216" i="2" s="1"/>
  <c r="AE216" i="2" s="1"/>
  <c r="CT215" i="2"/>
  <c r="CU215" i="2" s="1"/>
  <c r="CV215" i="2" s="1"/>
  <c r="CP215" i="2"/>
  <c r="CQ215" i="2" s="1"/>
  <c r="CR215" i="2" s="1"/>
  <c r="CM215" i="2"/>
  <c r="CN215" i="2" s="1"/>
  <c r="CD215" i="2"/>
  <c r="CE215" i="2" s="1"/>
  <c r="CC215" i="2"/>
  <c r="BU215" i="2"/>
  <c r="BV215" i="2" s="1"/>
  <c r="BP215" i="2"/>
  <c r="BQ215" i="2" s="1"/>
  <c r="BR215" i="2" s="1"/>
  <c r="BJ215" i="2"/>
  <c r="BH215" i="2"/>
  <c r="BI215" i="2" s="1"/>
  <c r="BA215" i="2"/>
  <c r="BB215" i="2" s="1"/>
  <c r="BC215" i="2" s="1"/>
  <c r="BD215" i="2" s="1"/>
  <c r="AS215" i="2"/>
  <c r="AT215" i="2" s="1"/>
  <c r="AU215" i="2" s="1"/>
  <c r="AV215" i="2" s="1"/>
  <c r="AW215" i="2" s="1"/>
  <c r="AX215" i="2" s="1"/>
  <c r="AO215" i="2"/>
  <c r="AP215" i="2" s="1"/>
  <c r="AQ215" i="2" s="1"/>
  <c r="AN215" i="2"/>
  <c r="AG215" i="2"/>
  <c r="AF215" i="2"/>
  <c r="AB215" i="2"/>
  <c r="AC215" i="2" s="1"/>
  <c r="AD215" i="2" s="1"/>
  <c r="AE215" i="2" s="1"/>
  <c r="CT214" i="2"/>
  <c r="CU214" i="2" s="1"/>
  <c r="CV214" i="2" s="1"/>
  <c r="CP214" i="2"/>
  <c r="CQ214" i="2" s="1"/>
  <c r="CR214" i="2" s="1"/>
  <c r="CM214" i="2"/>
  <c r="CN214" i="2" s="1"/>
  <c r="CC214" i="2"/>
  <c r="CD214" i="2" s="1"/>
  <c r="CE214" i="2" s="1"/>
  <c r="BV214" i="2"/>
  <c r="BU214" i="2"/>
  <c r="BP214" i="2"/>
  <c r="BQ214" i="2" s="1"/>
  <c r="BR214" i="2" s="1"/>
  <c r="BJ214" i="2"/>
  <c r="BH214" i="2"/>
  <c r="BI214" i="2" s="1"/>
  <c r="BA214" i="2"/>
  <c r="BB214" i="2" s="1"/>
  <c r="BC214" i="2" s="1"/>
  <c r="BD214" i="2" s="1"/>
  <c r="AS214" i="2"/>
  <c r="AT214" i="2" s="1"/>
  <c r="AU214" i="2" s="1"/>
  <c r="AV214" i="2" s="1"/>
  <c r="AW214" i="2" s="1"/>
  <c r="AX214" i="2" s="1"/>
  <c r="AN214" i="2"/>
  <c r="AO214" i="2" s="1"/>
  <c r="AP214" i="2" s="1"/>
  <c r="AQ214" i="2" s="1"/>
  <c r="CT213" i="2"/>
  <c r="CU213" i="2" s="1"/>
  <c r="CV213" i="2" s="1"/>
  <c r="CP213" i="2"/>
  <c r="CQ213" i="2" s="1"/>
  <c r="CR213" i="2" s="1"/>
  <c r="CM213" i="2"/>
  <c r="CN213" i="2" s="1"/>
  <c r="CC213" i="2"/>
  <c r="CD213" i="2" s="1"/>
  <c r="CE213" i="2" s="1"/>
  <c r="BU213" i="2"/>
  <c r="BV213" i="2" s="1"/>
  <c r="BP213" i="2"/>
  <c r="BQ213" i="2" s="1"/>
  <c r="BR213" i="2" s="1"/>
  <c r="BJ213" i="2"/>
  <c r="BH213" i="2"/>
  <c r="BI213" i="2" s="1"/>
  <c r="BA213" i="2"/>
  <c r="BB213" i="2" s="1"/>
  <c r="BC213" i="2" s="1"/>
  <c r="BD213" i="2" s="1"/>
  <c r="AS213" i="2"/>
  <c r="AT213" i="2" s="1"/>
  <c r="AU213" i="2" s="1"/>
  <c r="AV213" i="2" s="1"/>
  <c r="AW213" i="2" s="1"/>
  <c r="AX213" i="2" s="1"/>
  <c r="AN213" i="2"/>
  <c r="AO213" i="2" s="1"/>
  <c r="AP213" i="2" s="1"/>
  <c r="AQ213" i="2" s="1"/>
  <c r="AG213" i="2"/>
  <c r="CT212" i="2"/>
  <c r="CU212" i="2" s="1"/>
  <c r="CV212" i="2" s="1"/>
  <c r="CP212" i="2"/>
  <c r="CQ212" i="2" s="1"/>
  <c r="CR212" i="2" s="1"/>
  <c r="CM212" i="2"/>
  <c r="CN212" i="2" s="1"/>
  <c r="CC212" i="2"/>
  <c r="CD212" i="2" s="1"/>
  <c r="CE212" i="2" s="1"/>
  <c r="BU212" i="2"/>
  <c r="BV212" i="2" s="1"/>
  <c r="BP212" i="2"/>
  <c r="BQ212" i="2" s="1"/>
  <c r="BR212" i="2" s="1"/>
  <c r="BJ212" i="2"/>
  <c r="BH212" i="2"/>
  <c r="BI212" i="2" s="1"/>
  <c r="BA212" i="2"/>
  <c r="BB212" i="2" s="1"/>
  <c r="BC212" i="2" s="1"/>
  <c r="BD212" i="2" s="1"/>
  <c r="AS212" i="2"/>
  <c r="AT212" i="2" s="1"/>
  <c r="AU212" i="2" s="1"/>
  <c r="AV212" i="2" s="1"/>
  <c r="AW212" i="2" s="1"/>
  <c r="AX212" i="2" s="1"/>
  <c r="AN212" i="2"/>
  <c r="AO212" i="2" s="1"/>
  <c r="AP212" i="2" s="1"/>
  <c r="AQ212" i="2" s="1"/>
  <c r="AG212" i="2"/>
  <c r="AF212" i="2"/>
  <c r="AB212" i="2"/>
  <c r="AC212" i="2" s="1"/>
  <c r="AD212" i="2" s="1"/>
  <c r="AE212" i="2" s="1"/>
  <c r="CT211" i="2"/>
  <c r="CU211" i="2" s="1"/>
  <c r="CV211" i="2" s="1"/>
  <c r="CP211" i="2"/>
  <c r="CQ211" i="2" s="1"/>
  <c r="CR211" i="2" s="1"/>
  <c r="CM211" i="2"/>
  <c r="CN211" i="2" s="1"/>
  <c r="CC211" i="2"/>
  <c r="CD211" i="2" s="1"/>
  <c r="CE211" i="2" s="1"/>
  <c r="BU211" i="2"/>
  <c r="BV211" i="2" s="1"/>
  <c r="BP211" i="2"/>
  <c r="BQ211" i="2" s="1"/>
  <c r="BR211" i="2" s="1"/>
  <c r="BJ211" i="2"/>
  <c r="BH211" i="2"/>
  <c r="BI211" i="2" s="1"/>
  <c r="BA211" i="2"/>
  <c r="AS211" i="2"/>
  <c r="AT211" i="2" s="1"/>
  <c r="AU211" i="2" s="1"/>
  <c r="AV211" i="2" s="1"/>
  <c r="AW211" i="2" s="1"/>
  <c r="AX211" i="2" s="1"/>
  <c r="AN211" i="2"/>
  <c r="AO211" i="2" s="1"/>
  <c r="AP211" i="2" s="1"/>
  <c r="AQ211" i="2" s="1"/>
  <c r="AG211" i="2"/>
  <c r="AF211" i="2"/>
  <c r="AH211" i="2" s="1"/>
  <c r="AI211" i="2" s="1"/>
  <c r="AJ211" i="2" s="1"/>
  <c r="AB211" i="2"/>
  <c r="AC211" i="2" s="1"/>
  <c r="AD211" i="2" s="1"/>
  <c r="AE211" i="2" s="1"/>
  <c r="CT210" i="2"/>
  <c r="CU210" i="2" s="1"/>
  <c r="CV210" i="2" s="1"/>
  <c r="CP210" i="2"/>
  <c r="CQ210" i="2" s="1"/>
  <c r="CR210" i="2" s="1"/>
  <c r="CM210" i="2"/>
  <c r="CN210" i="2" s="1"/>
  <c r="CC210" i="2"/>
  <c r="CD210" i="2" s="1"/>
  <c r="CE210" i="2" s="1"/>
  <c r="BU210" i="2"/>
  <c r="BV210" i="2" s="1"/>
  <c r="BP210" i="2"/>
  <c r="BQ210" i="2" s="1"/>
  <c r="BR210" i="2" s="1"/>
  <c r="BJ210" i="2"/>
  <c r="BH210" i="2"/>
  <c r="BI210" i="2" s="1"/>
  <c r="BA210" i="2"/>
  <c r="BB210" i="2" s="1"/>
  <c r="BC210" i="2" s="1"/>
  <c r="BD210" i="2" s="1"/>
  <c r="AS210" i="2"/>
  <c r="AT210" i="2" s="1"/>
  <c r="AU210" i="2" s="1"/>
  <c r="AV210" i="2" s="1"/>
  <c r="AW210" i="2" s="1"/>
  <c r="AX210" i="2" s="1"/>
  <c r="AN210" i="2"/>
  <c r="AO210" i="2" s="1"/>
  <c r="AP210" i="2" s="1"/>
  <c r="AQ210" i="2" s="1"/>
  <c r="AF210" i="2"/>
  <c r="AB210" i="2"/>
  <c r="AC210" i="2" s="1"/>
  <c r="AD210" i="2" s="1"/>
  <c r="AE210" i="2" s="1"/>
  <c r="AG210" i="2"/>
  <c r="AH210" i="2" s="1"/>
  <c r="AI210" i="2" s="1"/>
  <c r="AJ210" i="2" s="1"/>
  <c r="CT209" i="2"/>
  <c r="CU209" i="2" s="1"/>
  <c r="CV209" i="2" s="1"/>
  <c r="CP209" i="2"/>
  <c r="CQ209" i="2" s="1"/>
  <c r="CR209" i="2" s="1"/>
  <c r="CM209" i="2"/>
  <c r="CN209" i="2" s="1"/>
  <c r="CC209" i="2"/>
  <c r="CD209" i="2" s="1"/>
  <c r="CE209" i="2" s="1"/>
  <c r="BU209" i="2"/>
  <c r="BV209" i="2" s="1"/>
  <c r="BP209" i="2"/>
  <c r="BQ209" i="2" s="1"/>
  <c r="BR209" i="2" s="1"/>
  <c r="BJ209" i="2"/>
  <c r="BH209" i="2"/>
  <c r="BI209" i="2" s="1"/>
  <c r="BA209" i="2"/>
  <c r="BB209" i="2" s="1"/>
  <c r="BC209" i="2" s="1"/>
  <c r="BD209" i="2" s="1"/>
  <c r="AS209" i="2"/>
  <c r="AT209" i="2" s="1"/>
  <c r="AU209" i="2" s="1"/>
  <c r="AV209" i="2" s="1"/>
  <c r="AW209" i="2" s="1"/>
  <c r="AX209" i="2" s="1"/>
  <c r="AN209" i="2"/>
  <c r="AO209" i="2" s="1"/>
  <c r="AP209" i="2" s="1"/>
  <c r="AQ209" i="2" s="1"/>
  <c r="AG209" i="2"/>
  <c r="AF209" i="2"/>
  <c r="AB209" i="2"/>
  <c r="AC209" i="2" s="1"/>
  <c r="AD209" i="2" s="1"/>
  <c r="AE209" i="2" s="1"/>
  <c r="CT208" i="2"/>
  <c r="CU208" i="2" s="1"/>
  <c r="CV208" i="2" s="1"/>
  <c r="CP208" i="2"/>
  <c r="CQ208" i="2" s="1"/>
  <c r="CR208" i="2" s="1"/>
  <c r="CM208" i="2"/>
  <c r="CN208" i="2" s="1"/>
  <c r="CI208" i="2"/>
  <c r="CJ208" i="2" s="1"/>
  <c r="BU208" i="2"/>
  <c r="BV208" i="2" s="1"/>
  <c r="BP208" i="2"/>
  <c r="BQ208" i="2" s="1"/>
  <c r="BR208" i="2" s="1"/>
  <c r="BJ208" i="2"/>
  <c r="BH208" i="2"/>
  <c r="BI208" i="2" s="1"/>
  <c r="BA208" i="2"/>
  <c r="BB208" i="2" s="1"/>
  <c r="BC208" i="2" s="1"/>
  <c r="BD208" i="2" s="1"/>
  <c r="AS208" i="2"/>
  <c r="AT208" i="2" s="1"/>
  <c r="AU208" i="2" s="1"/>
  <c r="AV208" i="2" s="1"/>
  <c r="AW208" i="2" s="1"/>
  <c r="AX208" i="2" s="1"/>
  <c r="AN208" i="2"/>
  <c r="AO208" i="2" s="1"/>
  <c r="AP208" i="2" s="1"/>
  <c r="AQ208" i="2" s="1"/>
  <c r="CT207" i="2"/>
  <c r="CU207" i="2" s="1"/>
  <c r="CV207" i="2" s="1"/>
  <c r="CP207" i="2"/>
  <c r="CQ207" i="2" s="1"/>
  <c r="CR207" i="2" s="1"/>
  <c r="CM207" i="2"/>
  <c r="CN207" i="2" s="1"/>
  <c r="CI207" i="2"/>
  <c r="CJ207" i="2" s="1"/>
  <c r="BU207" i="2"/>
  <c r="BV207" i="2" s="1"/>
  <c r="BQ207" i="2"/>
  <c r="BR207" i="2" s="1"/>
  <c r="BP207" i="2"/>
  <c r="BJ207" i="2"/>
  <c r="BH207" i="2"/>
  <c r="BI207" i="2" s="1"/>
  <c r="BA207" i="2"/>
  <c r="AT207" i="2"/>
  <c r="AU207" i="2" s="1"/>
  <c r="AV207" i="2" s="1"/>
  <c r="AW207" i="2" s="1"/>
  <c r="AX207" i="2" s="1"/>
  <c r="AS207" i="2"/>
  <c r="AN207" i="2"/>
  <c r="AO207" i="2" s="1"/>
  <c r="AP207" i="2" s="1"/>
  <c r="AQ207" i="2" s="1"/>
  <c r="CT206" i="2"/>
  <c r="CU206" i="2" s="1"/>
  <c r="CV206" i="2" s="1"/>
  <c r="CP206" i="2"/>
  <c r="CQ206" i="2" s="1"/>
  <c r="CR206" i="2" s="1"/>
  <c r="CM206" i="2"/>
  <c r="CN206" i="2" s="1"/>
  <c r="CC206" i="2"/>
  <c r="CD206" i="2" s="1"/>
  <c r="CE206" i="2" s="1"/>
  <c r="BU206" i="2"/>
  <c r="BV206" i="2" s="1"/>
  <c r="BP206" i="2"/>
  <c r="BQ206" i="2" s="1"/>
  <c r="BR206" i="2" s="1"/>
  <c r="BJ206" i="2"/>
  <c r="BH206" i="2"/>
  <c r="BI206" i="2" s="1"/>
  <c r="BA206" i="2"/>
  <c r="AS206" i="2"/>
  <c r="AT206" i="2" s="1"/>
  <c r="AU206" i="2" s="1"/>
  <c r="AV206" i="2" s="1"/>
  <c r="AW206" i="2" s="1"/>
  <c r="AX206" i="2" s="1"/>
  <c r="AN206" i="2"/>
  <c r="AO206" i="2" s="1"/>
  <c r="AP206" i="2" s="1"/>
  <c r="AQ206" i="2" s="1"/>
  <c r="AG206" i="2"/>
  <c r="AB206" i="2"/>
  <c r="AC206" i="2" s="1"/>
  <c r="AD206" i="2" s="1"/>
  <c r="AE206" i="2" s="1"/>
  <c r="AF206" i="2"/>
  <c r="CT205" i="2"/>
  <c r="CU205" i="2" s="1"/>
  <c r="CV205" i="2" s="1"/>
  <c r="CP205" i="2"/>
  <c r="CQ205" i="2" s="1"/>
  <c r="CR205" i="2" s="1"/>
  <c r="CM205" i="2"/>
  <c r="CN205" i="2" s="1"/>
  <c r="CC205" i="2"/>
  <c r="CD205" i="2" s="1"/>
  <c r="CE205" i="2" s="1"/>
  <c r="BU205" i="2"/>
  <c r="BV205" i="2" s="1"/>
  <c r="BP205" i="2"/>
  <c r="BQ205" i="2" s="1"/>
  <c r="BR205" i="2" s="1"/>
  <c r="BJ205" i="2"/>
  <c r="BH205" i="2"/>
  <c r="BI205" i="2" s="1"/>
  <c r="BA205" i="2"/>
  <c r="BB205" i="2" s="1"/>
  <c r="BC205" i="2" s="1"/>
  <c r="BD205" i="2" s="1"/>
  <c r="AS205" i="2"/>
  <c r="AT205" i="2" s="1"/>
  <c r="AU205" i="2" s="1"/>
  <c r="AV205" i="2" s="1"/>
  <c r="AW205" i="2" s="1"/>
  <c r="AX205" i="2" s="1"/>
  <c r="AO205" i="2"/>
  <c r="AP205" i="2" s="1"/>
  <c r="AQ205" i="2" s="1"/>
  <c r="AN205" i="2"/>
  <c r="CT204" i="2"/>
  <c r="CU204" i="2" s="1"/>
  <c r="CV204" i="2" s="1"/>
  <c r="CP204" i="2"/>
  <c r="CQ204" i="2" s="1"/>
  <c r="CR204" i="2" s="1"/>
  <c r="CM204" i="2"/>
  <c r="CN204" i="2" s="1"/>
  <c r="CC204" i="2"/>
  <c r="CD204" i="2" s="1"/>
  <c r="CE204" i="2" s="1"/>
  <c r="BU204" i="2"/>
  <c r="BV204" i="2" s="1"/>
  <c r="BP204" i="2"/>
  <c r="BQ204" i="2" s="1"/>
  <c r="BR204" i="2" s="1"/>
  <c r="BJ204" i="2"/>
  <c r="BH204" i="2"/>
  <c r="BI204" i="2" s="1"/>
  <c r="BA204" i="2"/>
  <c r="BB204" i="2" s="1"/>
  <c r="BC204" i="2" s="1"/>
  <c r="BD204" i="2" s="1"/>
  <c r="AS204" i="2"/>
  <c r="AT204" i="2" s="1"/>
  <c r="AU204" i="2" s="1"/>
  <c r="AV204" i="2" s="1"/>
  <c r="AW204" i="2" s="1"/>
  <c r="AX204" i="2" s="1"/>
  <c r="AN204" i="2"/>
  <c r="AO204" i="2" s="1"/>
  <c r="AP204" i="2" s="1"/>
  <c r="AQ204" i="2" s="1"/>
  <c r="AG204" i="2"/>
  <c r="AF204" i="2"/>
  <c r="AB204" i="2"/>
  <c r="AC204" i="2" s="1"/>
  <c r="AD204" i="2" s="1"/>
  <c r="AE204" i="2" s="1"/>
  <c r="CT203" i="2"/>
  <c r="CU203" i="2" s="1"/>
  <c r="CV203" i="2" s="1"/>
  <c r="CP203" i="2"/>
  <c r="CQ203" i="2" s="1"/>
  <c r="CR203" i="2" s="1"/>
  <c r="CM203" i="2"/>
  <c r="CN203" i="2" s="1"/>
  <c r="CC203" i="2"/>
  <c r="CD203" i="2" s="1"/>
  <c r="CE203" i="2" s="1"/>
  <c r="BV203" i="2"/>
  <c r="BU203" i="2"/>
  <c r="BP203" i="2"/>
  <c r="BQ203" i="2" s="1"/>
  <c r="BR203" i="2" s="1"/>
  <c r="BJ203" i="2"/>
  <c r="BH203" i="2"/>
  <c r="BI203" i="2" s="1"/>
  <c r="BA203" i="2"/>
  <c r="BB203" i="2" s="1"/>
  <c r="BC203" i="2" s="1"/>
  <c r="BD203" i="2" s="1"/>
  <c r="AS203" i="2"/>
  <c r="AT203" i="2" s="1"/>
  <c r="AU203" i="2" s="1"/>
  <c r="AV203" i="2" s="1"/>
  <c r="AW203" i="2" s="1"/>
  <c r="AX203" i="2" s="1"/>
  <c r="AO203" i="2"/>
  <c r="AP203" i="2" s="1"/>
  <c r="AQ203" i="2" s="1"/>
  <c r="AN203" i="2"/>
  <c r="CT202" i="2"/>
  <c r="CU202" i="2" s="1"/>
  <c r="CV202" i="2" s="1"/>
  <c r="CP202" i="2"/>
  <c r="CQ202" i="2" s="1"/>
  <c r="CR202" i="2" s="1"/>
  <c r="CM202" i="2"/>
  <c r="CN202" i="2" s="1"/>
  <c r="CC202" i="2"/>
  <c r="CD202" i="2" s="1"/>
  <c r="CE202" i="2" s="1"/>
  <c r="BU202" i="2"/>
  <c r="BV202" i="2" s="1"/>
  <c r="BQ202" i="2"/>
  <c r="BR202" i="2" s="1"/>
  <c r="BP202" i="2"/>
  <c r="BJ202" i="2"/>
  <c r="BH202" i="2"/>
  <c r="BI202" i="2" s="1"/>
  <c r="BA202" i="2"/>
  <c r="BB202" i="2" s="1"/>
  <c r="BC202" i="2" s="1"/>
  <c r="BD202" i="2" s="1"/>
  <c r="AS202" i="2"/>
  <c r="AT202" i="2" s="1"/>
  <c r="AU202" i="2" s="1"/>
  <c r="AV202" i="2" s="1"/>
  <c r="AW202" i="2" s="1"/>
  <c r="AX202" i="2" s="1"/>
  <c r="AN202" i="2"/>
  <c r="AO202" i="2" s="1"/>
  <c r="AP202" i="2" s="1"/>
  <c r="AQ202" i="2" s="1"/>
  <c r="CT201" i="2"/>
  <c r="CU201" i="2" s="1"/>
  <c r="CV201" i="2" s="1"/>
  <c r="CP201" i="2"/>
  <c r="CQ201" i="2" s="1"/>
  <c r="CR201" i="2" s="1"/>
  <c r="CM201" i="2"/>
  <c r="CN201" i="2" s="1"/>
  <c r="CC201" i="2"/>
  <c r="CD201" i="2" s="1"/>
  <c r="CE201" i="2" s="1"/>
  <c r="BU201" i="2"/>
  <c r="BV201" i="2" s="1"/>
  <c r="BP201" i="2"/>
  <c r="BQ201" i="2" s="1"/>
  <c r="BR201" i="2" s="1"/>
  <c r="BJ201" i="2"/>
  <c r="BH201" i="2"/>
  <c r="BI201" i="2" s="1"/>
  <c r="BB201" i="2"/>
  <c r="BC201" i="2" s="1"/>
  <c r="BD201" i="2" s="1"/>
  <c r="BA201" i="2"/>
  <c r="AS201" i="2"/>
  <c r="AT201" i="2" s="1"/>
  <c r="AU201" i="2" s="1"/>
  <c r="AV201" i="2" s="1"/>
  <c r="AW201" i="2" s="1"/>
  <c r="AX201" i="2" s="1"/>
  <c r="AN201" i="2"/>
  <c r="AO201" i="2" s="1"/>
  <c r="AP201" i="2" s="1"/>
  <c r="AQ201" i="2" s="1"/>
  <c r="AG201" i="2"/>
  <c r="AH201" i="2" s="1"/>
  <c r="AI201" i="2" s="1"/>
  <c r="AJ201" i="2" s="1"/>
  <c r="AF201" i="2"/>
  <c r="AB201" i="2"/>
  <c r="AC201" i="2" s="1"/>
  <c r="AD201" i="2" s="1"/>
  <c r="AE201" i="2" s="1"/>
  <c r="CT200" i="2"/>
  <c r="CU200" i="2" s="1"/>
  <c r="CV200" i="2" s="1"/>
  <c r="CP200" i="2"/>
  <c r="CQ200" i="2" s="1"/>
  <c r="CR200" i="2" s="1"/>
  <c r="CM200" i="2"/>
  <c r="CN200" i="2" s="1"/>
  <c r="CE200" i="2"/>
  <c r="CC200" i="2"/>
  <c r="CD200" i="2" s="1"/>
  <c r="BU200" i="2"/>
  <c r="BV200" i="2" s="1"/>
  <c r="BP200" i="2"/>
  <c r="BQ200" i="2" s="1"/>
  <c r="BR200" i="2" s="1"/>
  <c r="BJ200" i="2"/>
  <c r="BH200" i="2"/>
  <c r="BI200" i="2" s="1"/>
  <c r="BA200" i="2"/>
  <c r="BB200" i="2" s="1"/>
  <c r="BC200" i="2" s="1"/>
  <c r="BD200" i="2" s="1"/>
  <c r="AS200" i="2"/>
  <c r="AT200" i="2" s="1"/>
  <c r="AU200" i="2" s="1"/>
  <c r="AV200" i="2" s="1"/>
  <c r="AW200" i="2" s="1"/>
  <c r="AX200" i="2" s="1"/>
  <c r="AN200" i="2"/>
  <c r="AO200" i="2" s="1"/>
  <c r="AP200" i="2" s="1"/>
  <c r="AQ200" i="2" s="1"/>
  <c r="AG200" i="2"/>
  <c r="CT199" i="2"/>
  <c r="CU199" i="2" s="1"/>
  <c r="CV199" i="2" s="1"/>
  <c r="CP199" i="2"/>
  <c r="CQ199" i="2" s="1"/>
  <c r="CR199" i="2" s="1"/>
  <c r="CM199" i="2"/>
  <c r="CN199" i="2" s="1"/>
  <c r="CC199" i="2"/>
  <c r="CD199" i="2" s="1"/>
  <c r="CE199" i="2" s="1"/>
  <c r="BU199" i="2"/>
  <c r="BV199" i="2" s="1"/>
  <c r="BP199" i="2"/>
  <c r="BQ199" i="2" s="1"/>
  <c r="BR199" i="2" s="1"/>
  <c r="BJ199" i="2"/>
  <c r="BH199" i="2"/>
  <c r="BI199" i="2" s="1"/>
  <c r="BA199" i="2"/>
  <c r="AS199" i="2"/>
  <c r="AT199" i="2" s="1"/>
  <c r="AU199" i="2" s="1"/>
  <c r="AV199" i="2" s="1"/>
  <c r="AW199" i="2" s="1"/>
  <c r="AX199" i="2" s="1"/>
  <c r="AN199" i="2"/>
  <c r="AO199" i="2" s="1"/>
  <c r="AP199" i="2" s="1"/>
  <c r="AQ199" i="2" s="1"/>
  <c r="AG199" i="2"/>
  <c r="AF199" i="2"/>
  <c r="AB199" i="2"/>
  <c r="AC199" i="2" s="1"/>
  <c r="AD199" i="2" s="1"/>
  <c r="AE199" i="2" s="1"/>
  <c r="CT198" i="2"/>
  <c r="CU198" i="2" s="1"/>
  <c r="CV198" i="2" s="1"/>
  <c r="CQ198" i="2"/>
  <c r="CR198" i="2" s="1"/>
  <c r="CP198" i="2"/>
  <c r="CM198" i="2"/>
  <c r="CN198" i="2" s="1"/>
  <c r="CD198" i="2"/>
  <c r="CE198" i="2" s="1"/>
  <c r="CC198" i="2"/>
  <c r="BU198" i="2"/>
  <c r="BV198" i="2" s="1"/>
  <c r="BQ198" i="2"/>
  <c r="BR198" i="2" s="1"/>
  <c r="BP198" i="2"/>
  <c r="BJ198" i="2"/>
  <c r="BH198" i="2"/>
  <c r="BI198" i="2" s="1"/>
  <c r="BA198" i="2"/>
  <c r="BB198" i="2" s="1"/>
  <c r="BC198" i="2" s="1"/>
  <c r="BD198" i="2" s="1"/>
  <c r="AS198" i="2"/>
  <c r="AT198" i="2" s="1"/>
  <c r="AU198" i="2" s="1"/>
  <c r="AV198" i="2" s="1"/>
  <c r="AW198" i="2" s="1"/>
  <c r="AX198" i="2" s="1"/>
  <c r="AN198" i="2"/>
  <c r="AO198" i="2" s="1"/>
  <c r="AP198" i="2" s="1"/>
  <c r="AQ198" i="2" s="1"/>
  <c r="AG198" i="2"/>
  <c r="AF198" i="2"/>
  <c r="AB198" i="2"/>
  <c r="AC198" i="2" s="1"/>
  <c r="AD198" i="2" s="1"/>
  <c r="AE198" i="2" s="1"/>
  <c r="CT197" i="2"/>
  <c r="CU197" i="2" s="1"/>
  <c r="CV197" i="2" s="1"/>
  <c r="CP197" i="2"/>
  <c r="CQ197" i="2" s="1"/>
  <c r="CR197" i="2" s="1"/>
  <c r="CM197" i="2"/>
  <c r="CN197" i="2" s="1"/>
  <c r="CC197" i="2"/>
  <c r="CD197" i="2" s="1"/>
  <c r="CE197" i="2" s="1"/>
  <c r="BV197" i="2"/>
  <c r="BU197" i="2"/>
  <c r="BP197" i="2"/>
  <c r="BQ197" i="2" s="1"/>
  <c r="BR197" i="2" s="1"/>
  <c r="BJ197" i="2"/>
  <c r="BH197" i="2"/>
  <c r="BI197" i="2" s="1"/>
  <c r="BA197" i="2"/>
  <c r="BB197" i="2" s="1"/>
  <c r="BC197" i="2" s="1"/>
  <c r="BD197" i="2" s="1"/>
  <c r="AS197" i="2"/>
  <c r="AT197" i="2" s="1"/>
  <c r="AU197" i="2" s="1"/>
  <c r="AV197" i="2" s="1"/>
  <c r="AW197" i="2" s="1"/>
  <c r="AX197" i="2" s="1"/>
  <c r="AN197" i="2"/>
  <c r="AO197" i="2" s="1"/>
  <c r="AP197" i="2" s="1"/>
  <c r="AQ197" i="2" s="1"/>
  <c r="AG197" i="2"/>
  <c r="AF197" i="2"/>
  <c r="AB197" i="2"/>
  <c r="AC197" i="2" s="1"/>
  <c r="AD197" i="2" s="1"/>
  <c r="AE197" i="2" s="1"/>
  <c r="CT196" i="2"/>
  <c r="CU196" i="2" s="1"/>
  <c r="CV196" i="2" s="1"/>
  <c r="CP196" i="2"/>
  <c r="CQ196" i="2" s="1"/>
  <c r="CR196" i="2" s="1"/>
  <c r="CM196" i="2"/>
  <c r="CN196" i="2" s="1"/>
  <c r="CD196" i="2"/>
  <c r="CE196" i="2" s="1"/>
  <c r="CC196" i="2"/>
  <c r="BU196" i="2"/>
  <c r="BV196" i="2" s="1"/>
  <c r="BP196" i="2"/>
  <c r="BQ196" i="2" s="1"/>
  <c r="BR196" i="2" s="1"/>
  <c r="BJ196" i="2"/>
  <c r="BH196" i="2"/>
  <c r="BI196" i="2" s="1"/>
  <c r="BA196" i="2"/>
  <c r="BB196" i="2" s="1"/>
  <c r="BC196" i="2" s="1"/>
  <c r="BD196" i="2" s="1"/>
  <c r="AS196" i="2"/>
  <c r="AT196" i="2" s="1"/>
  <c r="AU196" i="2" s="1"/>
  <c r="AV196" i="2" s="1"/>
  <c r="AW196" i="2" s="1"/>
  <c r="AX196" i="2" s="1"/>
  <c r="AN196" i="2"/>
  <c r="AO196" i="2" s="1"/>
  <c r="AP196" i="2" s="1"/>
  <c r="AQ196" i="2" s="1"/>
  <c r="AB196" i="2"/>
  <c r="AC196" i="2" s="1"/>
  <c r="AD196" i="2" s="1"/>
  <c r="AE196" i="2" s="1"/>
  <c r="CT195" i="2"/>
  <c r="CU195" i="2" s="1"/>
  <c r="CV195" i="2" s="1"/>
  <c r="CP195" i="2"/>
  <c r="CQ195" i="2" s="1"/>
  <c r="CR195" i="2" s="1"/>
  <c r="CM195" i="2"/>
  <c r="CN195" i="2" s="1"/>
  <c r="CC195" i="2"/>
  <c r="CD195" i="2" s="1"/>
  <c r="CE195" i="2" s="1"/>
  <c r="BU195" i="2"/>
  <c r="BV195" i="2" s="1"/>
  <c r="BP195" i="2"/>
  <c r="BQ195" i="2" s="1"/>
  <c r="BR195" i="2" s="1"/>
  <c r="BJ195" i="2"/>
  <c r="BH195" i="2"/>
  <c r="BI195" i="2" s="1"/>
  <c r="BA195" i="2"/>
  <c r="BB195" i="2" s="1"/>
  <c r="BC195" i="2" s="1"/>
  <c r="BD195" i="2" s="1"/>
  <c r="AT195" i="2"/>
  <c r="AU195" i="2" s="1"/>
  <c r="AV195" i="2" s="1"/>
  <c r="AW195" i="2" s="1"/>
  <c r="AX195" i="2" s="1"/>
  <c r="AS195" i="2"/>
  <c r="AN195" i="2"/>
  <c r="AO195" i="2" s="1"/>
  <c r="AP195" i="2" s="1"/>
  <c r="AQ195" i="2" s="1"/>
  <c r="AF195" i="2"/>
  <c r="AB195" i="2"/>
  <c r="AC195" i="2" s="1"/>
  <c r="AD195" i="2" s="1"/>
  <c r="AE195" i="2" s="1"/>
  <c r="CT194" i="2"/>
  <c r="CU194" i="2" s="1"/>
  <c r="CV194" i="2" s="1"/>
  <c r="CP194" i="2"/>
  <c r="CQ194" i="2" s="1"/>
  <c r="CR194" i="2" s="1"/>
  <c r="CM194" i="2"/>
  <c r="CN194" i="2" s="1"/>
  <c r="CH194" i="2"/>
  <c r="CI194" i="2" s="1"/>
  <c r="CJ194" i="2" s="1"/>
  <c r="BU194" i="2"/>
  <c r="BV194" i="2" s="1"/>
  <c r="BP194" i="2"/>
  <c r="BQ194" i="2" s="1"/>
  <c r="BR194" i="2" s="1"/>
  <c r="BJ194" i="2"/>
  <c r="BH194" i="2"/>
  <c r="BI194" i="2" s="1"/>
  <c r="BA194" i="2"/>
  <c r="BB194" i="2" s="1"/>
  <c r="BC194" i="2" s="1"/>
  <c r="BD194" i="2" s="1"/>
  <c r="AS194" i="2"/>
  <c r="AT194" i="2" s="1"/>
  <c r="AU194" i="2" s="1"/>
  <c r="AV194" i="2" s="1"/>
  <c r="AW194" i="2" s="1"/>
  <c r="AX194" i="2" s="1"/>
  <c r="AN194" i="2"/>
  <c r="AO194" i="2" s="1"/>
  <c r="AP194" i="2" s="1"/>
  <c r="AQ194" i="2" s="1"/>
  <c r="CT193" i="2"/>
  <c r="CU193" i="2" s="1"/>
  <c r="CV193" i="2" s="1"/>
  <c r="CP193" i="2"/>
  <c r="CQ193" i="2" s="1"/>
  <c r="CR193" i="2" s="1"/>
  <c r="CM193" i="2"/>
  <c r="CN193" i="2" s="1"/>
  <c r="CC193" i="2"/>
  <c r="CD193" i="2" s="1"/>
  <c r="CE193" i="2" s="1"/>
  <c r="BU193" i="2"/>
  <c r="BV193" i="2" s="1"/>
  <c r="BP193" i="2"/>
  <c r="BQ193" i="2" s="1"/>
  <c r="BR193" i="2" s="1"/>
  <c r="BJ193" i="2"/>
  <c r="BI193" i="2"/>
  <c r="BH193" i="2"/>
  <c r="BA193" i="2"/>
  <c r="BB193" i="2" s="1"/>
  <c r="BC193" i="2" s="1"/>
  <c r="BD193" i="2" s="1"/>
  <c r="AS193" i="2"/>
  <c r="AT193" i="2" s="1"/>
  <c r="AU193" i="2" s="1"/>
  <c r="AV193" i="2" s="1"/>
  <c r="AW193" i="2" s="1"/>
  <c r="AX193" i="2" s="1"/>
  <c r="AN193" i="2"/>
  <c r="AO193" i="2" s="1"/>
  <c r="AP193" i="2" s="1"/>
  <c r="AQ193" i="2" s="1"/>
  <c r="AG193" i="2"/>
  <c r="AF193" i="2"/>
  <c r="AB193" i="2"/>
  <c r="AC193" i="2" s="1"/>
  <c r="AD193" i="2" s="1"/>
  <c r="AE193" i="2" s="1"/>
  <c r="CT192" i="2"/>
  <c r="CU192" i="2" s="1"/>
  <c r="CV192" i="2" s="1"/>
  <c r="CP192" i="2"/>
  <c r="CQ192" i="2" s="1"/>
  <c r="CR192" i="2" s="1"/>
  <c r="CM192" i="2"/>
  <c r="CN192" i="2" s="1"/>
  <c r="CC192" i="2"/>
  <c r="CD192" i="2" s="1"/>
  <c r="CE192" i="2" s="1"/>
  <c r="BU192" i="2"/>
  <c r="BV192" i="2" s="1"/>
  <c r="BP192" i="2"/>
  <c r="BQ192" i="2" s="1"/>
  <c r="BR192" i="2" s="1"/>
  <c r="BJ192" i="2"/>
  <c r="BH192" i="2"/>
  <c r="BI192" i="2" s="1"/>
  <c r="BA192" i="2"/>
  <c r="BB192" i="2" s="1"/>
  <c r="BC192" i="2" s="1"/>
  <c r="BD192" i="2" s="1"/>
  <c r="AT192" i="2"/>
  <c r="AU192" i="2" s="1"/>
  <c r="AV192" i="2" s="1"/>
  <c r="AW192" i="2" s="1"/>
  <c r="AX192" i="2" s="1"/>
  <c r="AS192" i="2"/>
  <c r="AO192" i="2"/>
  <c r="AP192" i="2" s="1"/>
  <c r="AQ192" i="2" s="1"/>
  <c r="AN192" i="2"/>
  <c r="AG192" i="2"/>
  <c r="AF192" i="2"/>
  <c r="AB192" i="2"/>
  <c r="AC192" i="2" s="1"/>
  <c r="AD192" i="2" s="1"/>
  <c r="AE192" i="2" s="1"/>
  <c r="CT191" i="2"/>
  <c r="CU191" i="2" s="1"/>
  <c r="CV191" i="2" s="1"/>
  <c r="CP191" i="2"/>
  <c r="CQ191" i="2" s="1"/>
  <c r="CR191" i="2" s="1"/>
  <c r="CN191" i="2"/>
  <c r="CM191" i="2"/>
  <c r="CC191" i="2"/>
  <c r="CD191" i="2" s="1"/>
  <c r="CE191" i="2" s="1"/>
  <c r="BU191" i="2"/>
  <c r="BV191" i="2" s="1"/>
  <c r="BP191" i="2"/>
  <c r="BQ191" i="2" s="1"/>
  <c r="BR191" i="2" s="1"/>
  <c r="BJ191" i="2"/>
  <c r="BH191" i="2"/>
  <c r="BI191" i="2" s="1"/>
  <c r="BA191" i="2"/>
  <c r="BB191" i="2" s="1"/>
  <c r="BC191" i="2" s="1"/>
  <c r="BD191" i="2" s="1"/>
  <c r="AS191" i="2"/>
  <c r="AT191" i="2" s="1"/>
  <c r="AU191" i="2" s="1"/>
  <c r="AV191" i="2" s="1"/>
  <c r="AW191" i="2" s="1"/>
  <c r="AX191" i="2" s="1"/>
  <c r="AN191" i="2"/>
  <c r="AO191" i="2" s="1"/>
  <c r="AP191" i="2" s="1"/>
  <c r="AQ191" i="2" s="1"/>
  <c r="AG191" i="2"/>
  <c r="CT190" i="2"/>
  <c r="CU190" i="2" s="1"/>
  <c r="CV190" i="2" s="1"/>
  <c r="CP190" i="2"/>
  <c r="CQ190" i="2" s="1"/>
  <c r="CR190" i="2" s="1"/>
  <c r="CM190" i="2"/>
  <c r="CN190" i="2" s="1"/>
  <c r="CC190" i="2"/>
  <c r="CD190" i="2" s="1"/>
  <c r="CE190" i="2" s="1"/>
  <c r="BU190" i="2"/>
  <c r="BV190" i="2" s="1"/>
  <c r="BP190" i="2"/>
  <c r="BQ190" i="2" s="1"/>
  <c r="BR190" i="2" s="1"/>
  <c r="BJ190" i="2"/>
  <c r="BI190" i="2"/>
  <c r="BH190" i="2"/>
  <c r="BA190" i="2"/>
  <c r="BB190" i="2"/>
  <c r="BC190" i="2" s="1"/>
  <c r="BD190" i="2" s="1"/>
  <c r="AS190" i="2"/>
  <c r="AT190" i="2" s="1"/>
  <c r="AU190" i="2" s="1"/>
  <c r="AV190" i="2" s="1"/>
  <c r="AW190" i="2" s="1"/>
  <c r="AX190" i="2" s="1"/>
  <c r="AN190" i="2"/>
  <c r="AO190" i="2" s="1"/>
  <c r="AP190" i="2" s="1"/>
  <c r="AQ190" i="2" s="1"/>
  <c r="AF190" i="2"/>
  <c r="CT189" i="2"/>
  <c r="CU189" i="2" s="1"/>
  <c r="CV189" i="2" s="1"/>
  <c r="CP189" i="2"/>
  <c r="CQ189" i="2" s="1"/>
  <c r="CR189" i="2" s="1"/>
  <c r="CM189" i="2"/>
  <c r="CN189" i="2" s="1"/>
  <c r="CC189" i="2"/>
  <c r="CD189" i="2" s="1"/>
  <c r="CE189" i="2" s="1"/>
  <c r="BU189" i="2"/>
  <c r="BV189" i="2" s="1"/>
  <c r="BP189" i="2"/>
  <c r="BQ189" i="2" s="1"/>
  <c r="BR189" i="2" s="1"/>
  <c r="BJ189" i="2"/>
  <c r="BH189" i="2"/>
  <c r="BI189" i="2" s="1"/>
  <c r="BA189" i="2"/>
  <c r="BB189" i="2" s="1"/>
  <c r="BC189" i="2" s="1"/>
  <c r="BD189" i="2" s="1"/>
  <c r="AS189" i="2"/>
  <c r="AT189" i="2" s="1"/>
  <c r="AU189" i="2" s="1"/>
  <c r="AV189" i="2" s="1"/>
  <c r="AW189" i="2" s="1"/>
  <c r="AX189" i="2" s="1"/>
  <c r="AN189" i="2"/>
  <c r="AO189" i="2" s="1"/>
  <c r="AP189" i="2" s="1"/>
  <c r="AQ189" i="2" s="1"/>
  <c r="AG189" i="2"/>
  <c r="AF189" i="2"/>
  <c r="CT188" i="2"/>
  <c r="CU188" i="2" s="1"/>
  <c r="CV188" i="2" s="1"/>
  <c r="CP188" i="2"/>
  <c r="CQ188" i="2" s="1"/>
  <c r="CR188" i="2" s="1"/>
  <c r="CM188" i="2"/>
  <c r="CN188" i="2" s="1"/>
  <c r="CD188" i="2"/>
  <c r="CE188" i="2" s="1"/>
  <c r="CC188" i="2"/>
  <c r="BU188" i="2"/>
  <c r="BV188" i="2" s="1"/>
  <c r="BP188" i="2"/>
  <c r="BQ188" i="2" s="1"/>
  <c r="BR188" i="2" s="1"/>
  <c r="BJ188" i="2"/>
  <c r="BH188" i="2"/>
  <c r="BI188" i="2" s="1"/>
  <c r="BA188" i="2"/>
  <c r="AS188" i="2"/>
  <c r="AT188" i="2" s="1"/>
  <c r="AU188" i="2" s="1"/>
  <c r="AV188" i="2" s="1"/>
  <c r="AW188" i="2" s="1"/>
  <c r="AX188" i="2" s="1"/>
  <c r="AQ188" i="2"/>
  <c r="AN188" i="2"/>
  <c r="AO188" i="2" s="1"/>
  <c r="AP188" i="2" s="1"/>
  <c r="CT187" i="2"/>
  <c r="CU187" i="2" s="1"/>
  <c r="CV187" i="2" s="1"/>
  <c r="CP187" i="2"/>
  <c r="CQ187" i="2" s="1"/>
  <c r="CR187" i="2" s="1"/>
  <c r="CM187" i="2"/>
  <c r="CN187" i="2" s="1"/>
  <c r="CC187" i="2"/>
  <c r="CD187" i="2" s="1"/>
  <c r="CE187" i="2" s="1"/>
  <c r="BU187" i="2"/>
  <c r="BV187" i="2" s="1"/>
  <c r="BP187" i="2"/>
  <c r="BQ187" i="2" s="1"/>
  <c r="BR187" i="2" s="1"/>
  <c r="BJ187" i="2"/>
  <c r="BH187" i="2"/>
  <c r="BI187" i="2" s="1"/>
  <c r="BA187" i="2"/>
  <c r="BB187" i="2" s="1"/>
  <c r="BC187" i="2" s="1"/>
  <c r="BD187" i="2" s="1"/>
  <c r="AT187" i="2"/>
  <c r="AU187" i="2" s="1"/>
  <c r="AV187" i="2" s="1"/>
  <c r="AW187" i="2" s="1"/>
  <c r="AX187" i="2" s="1"/>
  <c r="AS187" i="2"/>
  <c r="AN187" i="2"/>
  <c r="AO187" i="2" s="1"/>
  <c r="AP187" i="2" s="1"/>
  <c r="AQ187" i="2" s="1"/>
  <c r="AF187" i="2"/>
  <c r="CT186" i="2"/>
  <c r="CU186" i="2" s="1"/>
  <c r="CV186" i="2" s="1"/>
  <c r="CP186" i="2"/>
  <c r="CQ186" i="2" s="1"/>
  <c r="CR186" i="2" s="1"/>
  <c r="CM186" i="2"/>
  <c r="CN186" i="2" s="1"/>
  <c r="CD186" i="2"/>
  <c r="CE186" i="2" s="1"/>
  <c r="CC186" i="2"/>
  <c r="BU186" i="2"/>
  <c r="BV186" i="2" s="1"/>
  <c r="BP186" i="2"/>
  <c r="BQ186" i="2" s="1"/>
  <c r="BR186" i="2" s="1"/>
  <c r="BJ186" i="2"/>
  <c r="BH186" i="2"/>
  <c r="BI186" i="2" s="1"/>
  <c r="BA186" i="2"/>
  <c r="BB186" i="2" s="1"/>
  <c r="BC186" i="2" s="1"/>
  <c r="BD186" i="2" s="1"/>
  <c r="AS186" i="2"/>
  <c r="AT186" i="2" s="1"/>
  <c r="AU186" i="2" s="1"/>
  <c r="AV186" i="2" s="1"/>
  <c r="AW186" i="2" s="1"/>
  <c r="AX186" i="2" s="1"/>
  <c r="AN186" i="2"/>
  <c r="AO186" i="2" s="1"/>
  <c r="AP186" i="2" s="1"/>
  <c r="AQ186" i="2" s="1"/>
  <c r="AF186" i="2"/>
  <c r="CT185" i="2"/>
  <c r="CU185" i="2" s="1"/>
  <c r="CV185" i="2" s="1"/>
  <c r="CP185" i="2"/>
  <c r="CQ185" i="2" s="1"/>
  <c r="CR185" i="2" s="1"/>
  <c r="CM185" i="2"/>
  <c r="CN185" i="2" s="1"/>
  <c r="CC185" i="2"/>
  <c r="CD185" i="2" s="1"/>
  <c r="CE185" i="2" s="1"/>
  <c r="BU185" i="2"/>
  <c r="BV185" i="2" s="1"/>
  <c r="BP185" i="2"/>
  <c r="BQ185" i="2" s="1"/>
  <c r="BR185" i="2" s="1"/>
  <c r="BJ185" i="2"/>
  <c r="BH185" i="2"/>
  <c r="BI185" i="2" s="1"/>
  <c r="BA185" i="2"/>
  <c r="BB185" i="2" s="1"/>
  <c r="BC185" i="2" s="1"/>
  <c r="BD185" i="2" s="1"/>
  <c r="AS185" i="2"/>
  <c r="AT185" i="2" s="1"/>
  <c r="AU185" i="2" s="1"/>
  <c r="AV185" i="2" s="1"/>
  <c r="AW185" i="2" s="1"/>
  <c r="AX185" i="2" s="1"/>
  <c r="AN185" i="2"/>
  <c r="AO185" i="2" s="1"/>
  <c r="AP185" i="2" s="1"/>
  <c r="AQ185" i="2" s="1"/>
  <c r="AG185" i="2"/>
  <c r="AB185" i="2"/>
  <c r="AC185" i="2" s="1"/>
  <c r="AD185" i="2" s="1"/>
  <c r="AE185" i="2" s="1"/>
  <c r="AF185" i="2"/>
  <c r="AH185" i="2" s="1"/>
  <c r="AI185" i="2" s="1"/>
  <c r="AJ185" i="2" s="1"/>
  <c r="CT184" i="2"/>
  <c r="CU184" i="2" s="1"/>
  <c r="CV184" i="2" s="1"/>
  <c r="CP184" i="2"/>
  <c r="CQ184" i="2" s="1"/>
  <c r="CR184" i="2" s="1"/>
  <c r="CM184" i="2"/>
  <c r="CN184" i="2" s="1"/>
  <c r="CC184" i="2"/>
  <c r="CD184" i="2" s="1"/>
  <c r="CE184" i="2" s="1"/>
  <c r="BU184" i="2"/>
  <c r="BV184" i="2" s="1"/>
  <c r="BP184" i="2"/>
  <c r="BQ184" i="2" s="1"/>
  <c r="BR184" i="2" s="1"/>
  <c r="BJ184" i="2"/>
  <c r="BG184" i="2"/>
  <c r="BA184" i="2"/>
  <c r="BB184" i="2" s="1"/>
  <c r="BC184" i="2" s="1"/>
  <c r="BD184" i="2" s="1"/>
  <c r="AS184" i="2"/>
  <c r="AT184" i="2" s="1"/>
  <c r="AU184" i="2" s="1"/>
  <c r="AV184" i="2" s="1"/>
  <c r="AW184" i="2" s="1"/>
  <c r="AX184" i="2" s="1"/>
  <c r="AN184" i="2"/>
  <c r="AO184" i="2" s="1"/>
  <c r="AP184" i="2" s="1"/>
  <c r="AQ184" i="2" s="1"/>
  <c r="AF184" i="2"/>
  <c r="CT183" i="2"/>
  <c r="CU183" i="2" s="1"/>
  <c r="CV183" i="2" s="1"/>
  <c r="CP183" i="2"/>
  <c r="CQ183" i="2" s="1"/>
  <c r="CR183" i="2" s="1"/>
  <c r="CM183" i="2"/>
  <c r="CN183" i="2" s="1"/>
  <c r="CC183" i="2"/>
  <c r="CD183" i="2" s="1"/>
  <c r="CE183" i="2" s="1"/>
  <c r="BU183" i="2"/>
  <c r="BV183" i="2" s="1"/>
  <c r="BP183" i="2"/>
  <c r="BQ183" i="2" s="1"/>
  <c r="BR183" i="2" s="1"/>
  <c r="BJ183" i="2"/>
  <c r="BH183" i="2"/>
  <c r="BI183" i="2" s="1"/>
  <c r="BA183" i="2"/>
  <c r="BB183" i="2" s="1"/>
  <c r="BC183" i="2" s="1"/>
  <c r="BD183" i="2" s="1"/>
  <c r="AS183" i="2"/>
  <c r="AT183" i="2" s="1"/>
  <c r="AU183" i="2" s="1"/>
  <c r="AV183" i="2" s="1"/>
  <c r="AW183" i="2" s="1"/>
  <c r="AX183" i="2" s="1"/>
  <c r="AN183" i="2"/>
  <c r="AO183" i="2" s="1"/>
  <c r="AP183" i="2" s="1"/>
  <c r="AQ183" i="2" s="1"/>
  <c r="AG183" i="2"/>
  <c r="AB183" i="2"/>
  <c r="AC183" i="2" s="1"/>
  <c r="AD183" i="2" s="1"/>
  <c r="AE183" i="2" s="1"/>
  <c r="AF183" i="2"/>
  <c r="CT182" i="2"/>
  <c r="CU182" i="2" s="1"/>
  <c r="CV182" i="2" s="1"/>
  <c r="CP182" i="2"/>
  <c r="CQ182" i="2" s="1"/>
  <c r="CR182" i="2" s="1"/>
  <c r="CM182" i="2"/>
  <c r="CN182" i="2" s="1"/>
  <c r="CC182" i="2"/>
  <c r="CD182" i="2" s="1"/>
  <c r="CE182" i="2" s="1"/>
  <c r="BU182" i="2"/>
  <c r="BV182" i="2" s="1"/>
  <c r="BP182" i="2"/>
  <c r="BQ182" i="2" s="1"/>
  <c r="BR182" i="2" s="1"/>
  <c r="BJ182" i="2"/>
  <c r="BH182" i="2"/>
  <c r="BI182" i="2" s="1"/>
  <c r="BA182" i="2"/>
  <c r="BB182" i="2" s="1"/>
  <c r="BC182" i="2" s="1"/>
  <c r="BD182" i="2" s="1"/>
  <c r="AS182" i="2"/>
  <c r="AT182" i="2" s="1"/>
  <c r="AU182" i="2" s="1"/>
  <c r="AV182" i="2" s="1"/>
  <c r="AW182" i="2" s="1"/>
  <c r="AX182" i="2" s="1"/>
  <c r="AN182" i="2"/>
  <c r="AO182" i="2" s="1"/>
  <c r="AP182" i="2" s="1"/>
  <c r="AQ182" i="2" s="1"/>
  <c r="AG182" i="2"/>
  <c r="AF182" i="2"/>
  <c r="AB182" i="2"/>
  <c r="AC182" i="2" s="1"/>
  <c r="AD182" i="2" s="1"/>
  <c r="AE182" i="2" s="1"/>
  <c r="CT181" i="2"/>
  <c r="CU181" i="2" s="1"/>
  <c r="CV181" i="2" s="1"/>
  <c r="CP181" i="2"/>
  <c r="CQ181" i="2" s="1"/>
  <c r="CR181" i="2" s="1"/>
  <c r="CM181" i="2"/>
  <c r="CN181" i="2" s="1"/>
  <c r="CC181" i="2"/>
  <c r="CD181" i="2" s="1"/>
  <c r="CE181" i="2" s="1"/>
  <c r="BU181" i="2"/>
  <c r="BV181" i="2" s="1"/>
  <c r="BP181" i="2"/>
  <c r="BQ181" i="2" s="1"/>
  <c r="BR181" i="2" s="1"/>
  <c r="BJ181" i="2"/>
  <c r="BH181" i="2"/>
  <c r="BI181" i="2" s="1"/>
  <c r="BA181" i="2"/>
  <c r="BB181" i="2" s="1"/>
  <c r="BC181" i="2" s="1"/>
  <c r="BD181" i="2" s="1"/>
  <c r="AS181" i="2"/>
  <c r="AT181" i="2" s="1"/>
  <c r="AU181" i="2" s="1"/>
  <c r="AV181" i="2" s="1"/>
  <c r="AW181" i="2" s="1"/>
  <c r="AX181" i="2" s="1"/>
  <c r="AN181" i="2"/>
  <c r="AO181" i="2" s="1"/>
  <c r="AP181" i="2" s="1"/>
  <c r="AQ181" i="2" s="1"/>
  <c r="CT180" i="2"/>
  <c r="CU180" i="2" s="1"/>
  <c r="CV180" i="2" s="1"/>
  <c r="CP180" i="2"/>
  <c r="CQ180" i="2" s="1"/>
  <c r="CR180" i="2" s="1"/>
  <c r="CM180" i="2"/>
  <c r="CN180" i="2" s="1"/>
  <c r="CC180" i="2"/>
  <c r="CD180" i="2" s="1"/>
  <c r="CE180" i="2" s="1"/>
  <c r="BU180" i="2"/>
  <c r="BV180" i="2" s="1"/>
  <c r="BP180" i="2"/>
  <c r="BQ180" i="2" s="1"/>
  <c r="BR180" i="2" s="1"/>
  <c r="BJ180" i="2"/>
  <c r="BH180" i="2"/>
  <c r="BI180" i="2" s="1"/>
  <c r="BA180" i="2"/>
  <c r="BB180" i="2" s="1"/>
  <c r="BC180" i="2" s="1"/>
  <c r="BD180" i="2" s="1"/>
  <c r="AS180" i="2"/>
  <c r="AT180" i="2" s="1"/>
  <c r="AU180" i="2" s="1"/>
  <c r="AV180" i="2" s="1"/>
  <c r="AW180" i="2" s="1"/>
  <c r="AX180" i="2" s="1"/>
  <c r="AN180" i="2"/>
  <c r="AO180" i="2" s="1"/>
  <c r="AP180" i="2" s="1"/>
  <c r="AQ180" i="2" s="1"/>
  <c r="CT179" i="2"/>
  <c r="CU179" i="2" s="1"/>
  <c r="CV179" i="2" s="1"/>
  <c r="CP179" i="2"/>
  <c r="CQ179" i="2" s="1"/>
  <c r="CR179" i="2" s="1"/>
  <c r="CM179" i="2"/>
  <c r="CN179" i="2" s="1"/>
  <c r="CI179" i="2"/>
  <c r="CJ179" i="2" s="1"/>
  <c r="BU179" i="2"/>
  <c r="BV179" i="2" s="1"/>
  <c r="BP179" i="2"/>
  <c r="BQ179" i="2" s="1"/>
  <c r="BR179" i="2" s="1"/>
  <c r="BJ179" i="2"/>
  <c r="BH179" i="2"/>
  <c r="BI179" i="2" s="1"/>
  <c r="BA179" i="2"/>
  <c r="BB179" i="2" s="1"/>
  <c r="BC179" i="2" s="1"/>
  <c r="BD179" i="2" s="1"/>
  <c r="AS179" i="2"/>
  <c r="AT179" i="2" s="1"/>
  <c r="AU179" i="2" s="1"/>
  <c r="AV179" i="2" s="1"/>
  <c r="AW179" i="2" s="1"/>
  <c r="AX179" i="2" s="1"/>
  <c r="AN179" i="2"/>
  <c r="AO179" i="2" s="1"/>
  <c r="AP179" i="2" s="1"/>
  <c r="AQ179" i="2" s="1"/>
  <c r="AG179" i="2"/>
  <c r="AF179" i="2"/>
  <c r="AB179" i="2"/>
  <c r="AC179" i="2" s="1"/>
  <c r="AD179" i="2" s="1"/>
  <c r="AE179" i="2" s="1"/>
  <c r="CT178" i="2"/>
  <c r="CU178" i="2" s="1"/>
  <c r="CV178" i="2" s="1"/>
  <c r="CP178" i="2"/>
  <c r="CQ178" i="2" s="1"/>
  <c r="CR178" i="2" s="1"/>
  <c r="CM178" i="2"/>
  <c r="CN178" i="2" s="1"/>
  <c r="CC178" i="2"/>
  <c r="CD178" i="2" s="1"/>
  <c r="CE178" i="2" s="1"/>
  <c r="BU178" i="2"/>
  <c r="BV178" i="2" s="1"/>
  <c r="BP178" i="2"/>
  <c r="BQ178" i="2" s="1"/>
  <c r="BR178" i="2" s="1"/>
  <c r="BJ178" i="2"/>
  <c r="BH178" i="2"/>
  <c r="BI178" i="2" s="1"/>
  <c r="BA178" i="2"/>
  <c r="BB178" i="2" s="1"/>
  <c r="BC178" i="2" s="1"/>
  <c r="BD178" i="2" s="1"/>
  <c r="AS178" i="2"/>
  <c r="AT178" i="2" s="1"/>
  <c r="AU178" i="2" s="1"/>
  <c r="AV178" i="2" s="1"/>
  <c r="AW178" i="2" s="1"/>
  <c r="AX178" i="2" s="1"/>
  <c r="AN178" i="2"/>
  <c r="AO178" i="2" s="1"/>
  <c r="AP178" i="2" s="1"/>
  <c r="AQ178" i="2" s="1"/>
  <c r="AG178" i="2"/>
  <c r="AF178" i="2"/>
  <c r="AB178" i="2"/>
  <c r="AC178" i="2" s="1"/>
  <c r="AD178" i="2" s="1"/>
  <c r="AE178" i="2" s="1"/>
  <c r="CT177" i="2"/>
  <c r="CU177" i="2" s="1"/>
  <c r="CV177" i="2" s="1"/>
  <c r="CP177" i="2"/>
  <c r="CQ177" i="2" s="1"/>
  <c r="CR177" i="2" s="1"/>
  <c r="CM177" i="2"/>
  <c r="CN177" i="2" s="1"/>
  <c r="CC177" i="2"/>
  <c r="CD177" i="2" s="1"/>
  <c r="CE177" i="2" s="1"/>
  <c r="BV177" i="2"/>
  <c r="BU177" i="2"/>
  <c r="BP177" i="2"/>
  <c r="BQ177" i="2" s="1"/>
  <c r="BR177" i="2" s="1"/>
  <c r="BJ177" i="2"/>
  <c r="BH177" i="2"/>
  <c r="BI177" i="2" s="1"/>
  <c r="BA177" i="2"/>
  <c r="AS177" i="2"/>
  <c r="AT177" i="2" s="1"/>
  <c r="AU177" i="2" s="1"/>
  <c r="AV177" i="2" s="1"/>
  <c r="AW177" i="2" s="1"/>
  <c r="AX177" i="2" s="1"/>
  <c r="AN177" i="2"/>
  <c r="AO177" i="2" s="1"/>
  <c r="AP177" i="2" s="1"/>
  <c r="AQ177" i="2" s="1"/>
  <c r="CT176" i="2"/>
  <c r="CU176" i="2" s="1"/>
  <c r="CV176" i="2" s="1"/>
  <c r="CP176" i="2"/>
  <c r="CQ176" i="2" s="1"/>
  <c r="CR176" i="2" s="1"/>
  <c r="CN176" i="2"/>
  <c r="CM176" i="2"/>
  <c r="CC176" i="2"/>
  <c r="CD176" i="2" s="1"/>
  <c r="CE176" i="2" s="1"/>
  <c r="BU176" i="2"/>
  <c r="BV176" i="2" s="1"/>
  <c r="BP176" i="2"/>
  <c r="BQ176" i="2" s="1"/>
  <c r="BR176" i="2" s="1"/>
  <c r="BJ176" i="2"/>
  <c r="BH176" i="2"/>
  <c r="BI176" i="2" s="1"/>
  <c r="BA176" i="2"/>
  <c r="AS176" i="2"/>
  <c r="AT176" i="2" s="1"/>
  <c r="AU176" i="2" s="1"/>
  <c r="AV176" i="2" s="1"/>
  <c r="AW176" i="2" s="1"/>
  <c r="AX176" i="2" s="1"/>
  <c r="AN176" i="2"/>
  <c r="AO176" i="2" s="1"/>
  <c r="AP176" i="2" s="1"/>
  <c r="AQ176" i="2" s="1"/>
  <c r="AF176" i="2"/>
  <c r="CT175" i="2"/>
  <c r="CU175" i="2" s="1"/>
  <c r="CV175" i="2" s="1"/>
  <c r="CP175" i="2"/>
  <c r="CQ175" i="2" s="1"/>
  <c r="CR175" i="2" s="1"/>
  <c r="CM175" i="2"/>
  <c r="CN175" i="2" s="1"/>
  <c r="CC175" i="2"/>
  <c r="CD175" i="2" s="1"/>
  <c r="CE175" i="2" s="1"/>
  <c r="BU175" i="2"/>
  <c r="BV175" i="2" s="1"/>
  <c r="BP175" i="2"/>
  <c r="BQ175" i="2" s="1"/>
  <c r="BR175" i="2" s="1"/>
  <c r="BJ175" i="2"/>
  <c r="BH175" i="2"/>
  <c r="BI175" i="2" s="1"/>
  <c r="BA175" i="2"/>
  <c r="BB175" i="2" s="1"/>
  <c r="BC175" i="2" s="1"/>
  <c r="BD175" i="2" s="1"/>
  <c r="AS175" i="2"/>
  <c r="AT175" i="2" s="1"/>
  <c r="AU175" i="2" s="1"/>
  <c r="AV175" i="2" s="1"/>
  <c r="AW175" i="2" s="1"/>
  <c r="AX175" i="2" s="1"/>
  <c r="AN175" i="2"/>
  <c r="AO175" i="2" s="1"/>
  <c r="AP175" i="2" s="1"/>
  <c r="AQ175" i="2" s="1"/>
  <c r="CT174" i="2"/>
  <c r="CU174" i="2" s="1"/>
  <c r="CV174" i="2" s="1"/>
  <c r="CP174" i="2"/>
  <c r="CQ174" i="2" s="1"/>
  <c r="CR174" i="2" s="1"/>
  <c r="CM174" i="2"/>
  <c r="CN174" i="2" s="1"/>
  <c r="CC174" i="2"/>
  <c r="CD174" i="2" s="1"/>
  <c r="CE174" i="2" s="1"/>
  <c r="BU174" i="2"/>
  <c r="BV174" i="2" s="1"/>
  <c r="BP174" i="2"/>
  <c r="BQ174" i="2" s="1"/>
  <c r="BR174" i="2" s="1"/>
  <c r="BJ174" i="2"/>
  <c r="BH174" i="2"/>
  <c r="BI174" i="2" s="1"/>
  <c r="BA174" i="2"/>
  <c r="BB174" i="2" s="1"/>
  <c r="BC174" i="2" s="1"/>
  <c r="BD174" i="2" s="1"/>
  <c r="AS174" i="2"/>
  <c r="AT174" i="2" s="1"/>
  <c r="AU174" i="2" s="1"/>
  <c r="AV174" i="2" s="1"/>
  <c r="AW174" i="2" s="1"/>
  <c r="AX174" i="2" s="1"/>
  <c r="AN174" i="2"/>
  <c r="AO174" i="2" s="1"/>
  <c r="AP174" i="2" s="1"/>
  <c r="AQ174" i="2" s="1"/>
  <c r="AG174" i="2"/>
  <c r="AF174" i="2"/>
  <c r="AB174" i="2"/>
  <c r="AC174" i="2" s="1"/>
  <c r="AD174" i="2" s="1"/>
  <c r="AE174" i="2" s="1"/>
  <c r="CT173" i="2"/>
  <c r="CU173" i="2" s="1"/>
  <c r="CV173" i="2" s="1"/>
  <c r="CP173" i="2"/>
  <c r="CQ173" i="2" s="1"/>
  <c r="CR173" i="2" s="1"/>
  <c r="CM173" i="2"/>
  <c r="CN173" i="2" s="1"/>
  <c r="CC173" i="2"/>
  <c r="CD173" i="2" s="1"/>
  <c r="CE173" i="2" s="1"/>
  <c r="BU173" i="2"/>
  <c r="BV173" i="2" s="1"/>
  <c r="BP173" i="2"/>
  <c r="BQ173" i="2" s="1"/>
  <c r="BR173" i="2" s="1"/>
  <c r="BJ173" i="2"/>
  <c r="BH173" i="2"/>
  <c r="BI173" i="2" s="1"/>
  <c r="BA173" i="2"/>
  <c r="AS173" i="2"/>
  <c r="AT173" i="2" s="1"/>
  <c r="AU173" i="2" s="1"/>
  <c r="AV173" i="2" s="1"/>
  <c r="AW173" i="2" s="1"/>
  <c r="AX173" i="2" s="1"/>
  <c r="AN173" i="2"/>
  <c r="AO173" i="2" s="1"/>
  <c r="AP173" i="2" s="1"/>
  <c r="AQ173" i="2" s="1"/>
  <c r="AB173" i="2"/>
  <c r="AC173" i="2" s="1"/>
  <c r="AD173" i="2" s="1"/>
  <c r="AE173" i="2" s="1"/>
  <c r="CT172" i="2"/>
  <c r="CU172" i="2" s="1"/>
  <c r="CV172" i="2" s="1"/>
  <c r="CP172" i="2"/>
  <c r="CQ172" i="2" s="1"/>
  <c r="CR172" i="2" s="1"/>
  <c r="CM172" i="2"/>
  <c r="CN172" i="2" s="1"/>
  <c r="CC172" i="2"/>
  <c r="CD172" i="2" s="1"/>
  <c r="CE172" i="2" s="1"/>
  <c r="BU172" i="2"/>
  <c r="BV172" i="2" s="1"/>
  <c r="BP172" i="2"/>
  <c r="BQ172" i="2" s="1"/>
  <c r="BR172" i="2" s="1"/>
  <c r="BJ172" i="2"/>
  <c r="BH172" i="2"/>
  <c r="BI172" i="2" s="1"/>
  <c r="BA172" i="2"/>
  <c r="BB172" i="2" s="1"/>
  <c r="BC172" i="2" s="1"/>
  <c r="BD172" i="2" s="1"/>
  <c r="AS172" i="2"/>
  <c r="AT172" i="2" s="1"/>
  <c r="AU172" i="2" s="1"/>
  <c r="AV172" i="2" s="1"/>
  <c r="AW172" i="2" s="1"/>
  <c r="AX172" i="2" s="1"/>
  <c r="AN172" i="2"/>
  <c r="AO172" i="2" s="1"/>
  <c r="AP172" i="2" s="1"/>
  <c r="AQ172" i="2" s="1"/>
  <c r="AG172" i="2"/>
  <c r="AF172" i="2"/>
  <c r="AB172" i="2"/>
  <c r="AC172" i="2" s="1"/>
  <c r="AD172" i="2" s="1"/>
  <c r="AE172" i="2" s="1"/>
  <c r="CT171" i="2"/>
  <c r="CU171" i="2" s="1"/>
  <c r="CV171" i="2" s="1"/>
  <c r="CP171" i="2"/>
  <c r="CQ171" i="2" s="1"/>
  <c r="CR171" i="2" s="1"/>
  <c r="CM171" i="2"/>
  <c r="CN171" i="2" s="1"/>
  <c r="CC171" i="2"/>
  <c r="CD171" i="2" s="1"/>
  <c r="CE171" i="2" s="1"/>
  <c r="BU171" i="2"/>
  <c r="BV171" i="2" s="1"/>
  <c r="BP171" i="2"/>
  <c r="BQ171" i="2" s="1"/>
  <c r="BR171" i="2" s="1"/>
  <c r="BJ171" i="2"/>
  <c r="BH171" i="2"/>
  <c r="BI171" i="2" s="1"/>
  <c r="BA171" i="2"/>
  <c r="BB171" i="2" s="1"/>
  <c r="BC171" i="2" s="1"/>
  <c r="BD171" i="2" s="1"/>
  <c r="AS171" i="2"/>
  <c r="AT171" i="2" s="1"/>
  <c r="AU171" i="2" s="1"/>
  <c r="AV171" i="2" s="1"/>
  <c r="AW171" i="2" s="1"/>
  <c r="AX171" i="2" s="1"/>
  <c r="AN171" i="2"/>
  <c r="AO171" i="2" s="1"/>
  <c r="AP171" i="2" s="1"/>
  <c r="AQ171" i="2" s="1"/>
  <c r="AG171" i="2"/>
  <c r="AF171" i="2"/>
  <c r="AB171" i="2"/>
  <c r="AC171" i="2" s="1"/>
  <c r="AD171" i="2" s="1"/>
  <c r="AE171" i="2" s="1"/>
  <c r="CT170" i="2"/>
  <c r="CU170" i="2" s="1"/>
  <c r="CV170" i="2" s="1"/>
  <c r="CP170" i="2"/>
  <c r="CQ170" i="2" s="1"/>
  <c r="CR170" i="2" s="1"/>
  <c r="CM170" i="2"/>
  <c r="CN170" i="2" s="1"/>
  <c r="CC170" i="2"/>
  <c r="CD170" i="2" s="1"/>
  <c r="CE170" i="2" s="1"/>
  <c r="BU170" i="2"/>
  <c r="BV170" i="2" s="1"/>
  <c r="BP170" i="2"/>
  <c r="BQ170" i="2" s="1"/>
  <c r="BR170" i="2" s="1"/>
  <c r="BJ170" i="2"/>
  <c r="BI170" i="2"/>
  <c r="BH170" i="2"/>
  <c r="BA170" i="2"/>
  <c r="BB170" i="2" s="1"/>
  <c r="BC170" i="2" s="1"/>
  <c r="BD170" i="2" s="1"/>
  <c r="AS170" i="2"/>
  <c r="AT170" i="2" s="1"/>
  <c r="AU170" i="2" s="1"/>
  <c r="AV170" i="2" s="1"/>
  <c r="AW170" i="2" s="1"/>
  <c r="AX170" i="2" s="1"/>
  <c r="AN170" i="2"/>
  <c r="AO170" i="2" s="1"/>
  <c r="AP170" i="2" s="1"/>
  <c r="AQ170" i="2" s="1"/>
  <c r="AB170" i="2"/>
  <c r="AC170" i="2" s="1"/>
  <c r="AD170" i="2" s="1"/>
  <c r="AE170" i="2" s="1"/>
  <c r="CT169" i="2"/>
  <c r="CU169" i="2" s="1"/>
  <c r="CV169" i="2" s="1"/>
  <c r="CP169" i="2"/>
  <c r="CQ169" i="2" s="1"/>
  <c r="CR169" i="2" s="1"/>
  <c r="CM169" i="2"/>
  <c r="CN169" i="2" s="1"/>
  <c r="CC169" i="2"/>
  <c r="CD169" i="2" s="1"/>
  <c r="CE169" i="2" s="1"/>
  <c r="BU169" i="2"/>
  <c r="BV169" i="2" s="1"/>
  <c r="BP169" i="2"/>
  <c r="BQ169" i="2" s="1"/>
  <c r="BR169" i="2" s="1"/>
  <c r="BJ169" i="2"/>
  <c r="BH169" i="2"/>
  <c r="BI169" i="2" s="1"/>
  <c r="BA169" i="2"/>
  <c r="AS169" i="2"/>
  <c r="AT169" i="2" s="1"/>
  <c r="AU169" i="2" s="1"/>
  <c r="AV169" i="2" s="1"/>
  <c r="AW169" i="2" s="1"/>
  <c r="AX169" i="2" s="1"/>
  <c r="AN169" i="2"/>
  <c r="AO169" i="2" s="1"/>
  <c r="AP169" i="2" s="1"/>
  <c r="AQ169" i="2" s="1"/>
  <c r="AG169" i="2"/>
  <c r="AH169" i="2" s="1"/>
  <c r="AI169" i="2" s="1"/>
  <c r="AJ169" i="2" s="1"/>
  <c r="AF169" i="2"/>
  <c r="AB169" i="2"/>
  <c r="AC169" i="2" s="1"/>
  <c r="AD169" i="2" s="1"/>
  <c r="AE169" i="2" s="1"/>
  <c r="CT168" i="2"/>
  <c r="CU168" i="2" s="1"/>
  <c r="CV168" i="2" s="1"/>
  <c r="CP168" i="2"/>
  <c r="CQ168" i="2" s="1"/>
  <c r="CR168" i="2" s="1"/>
  <c r="CM168" i="2"/>
  <c r="CN168" i="2" s="1"/>
  <c r="CC168" i="2"/>
  <c r="CD168" i="2" s="1"/>
  <c r="CE168" i="2" s="1"/>
  <c r="BU168" i="2"/>
  <c r="BV168" i="2" s="1"/>
  <c r="BP168" i="2"/>
  <c r="BQ168" i="2" s="1"/>
  <c r="BR168" i="2" s="1"/>
  <c r="BJ168" i="2"/>
  <c r="BH168" i="2"/>
  <c r="BI168" i="2" s="1"/>
  <c r="BA168" i="2"/>
  <c r="BB168" i="2" s="1"/>
  <c r="BC168" i="2" s="1"/>
  <c r="BD168" i="2" s="1"/>
  <c r="AS168" i="2"/>
  <c r="AT168" i="2" s="1"/>
  <c r="AU168" i="2" s="1"/>
  <c r="AV168" i="2" s="1"/>
  <c r="AW168" i="2" s="1"/>
  <c r="AX168" i="2" s="1"/>
  <c r="AN168" i="2"/>
  <c r="AO168" i="2" s="1"/>
  <c r="AP168" i="2" s="1"/>
  <c r="AQ168" i="2" s="1"/>
  <c r="AB168" i="2"/>
  <c r="AC168" i="2" s="1"/>
  <c r="AD168" i="2" s="1"/>
  <c r="AE168" i="2" s="1"/>
  <c r="CV167" i="2"/>
  <c r="CT167" i="2"/>
  <c r="CU167" i="2" s="1"/>
  <c r="CP167" i="2"/>
  <c r="CQ167" i="2" s="1"/>
  <c r="CR167" i="2" s="1"/>
  <c r="CM167" i="2"/>
  <c r="CN167" i="2" s="1"/>
  <c r="CC167" i="2"/>
  <c r="CD167" i="2" s="1"/>
  <c r="CE167" i="2" s="1"/>
  <c r="BV167" i="2"/>
  <c r="BU167" i="2"/>
  <c r="BP167" i="2"/>
  <c r="BQ167" i="2" s="1"/>
  <c r="BR167" i="2" s="1"/>
  <c r="BJ167" i="2"/>
  <c r="BH167" i="2"/>
  <c r="BI167" i="2" s="1"/>
  <c r="BA167" i="2"/>
  <c r="BB167" i="2" s="1"/>
  <c r="BC167" i="2" s="1"/>
  <c r="BD167" i="2" s="1"/>
  <c r="AS167" i="2"/>
  <c r="AT167" i="2" s="1"/>
  <c r="AU167" i="2" s="1"/>
  <c r="AV167" i="2" s="1"/>
  <c r="AW167" i="2" s="1"/>
  <c r="AX167" i="2" s="1"/>
  <c r="AN167" i="2"/>
  <c r="AO167" i="2" s="1"/>
  <c r="AP167" i="2" s="1"/>
  <c r="AQ167" i="2" s="1"/>
  <c r="AG167" i="2"/>
  <c r="AF167" i="2"/>
  <c r="AB167" i="2"/>
  <c r="AC167" i="2" s="1"/>
  <c r="AD167" i="2" s="1"/>
  <c r="AE167" i="2" s="1"/>
  <c r="CT166" i="2"/>
  <c r="CU166" i="2" s="1"/>
  <c r="CV166" i="2" s="1"/>
  <c r="CP166" i="2"/>
  <c r="CQ166" i="2" s="1"/>
  <c r="CR166" i="2" s="1"/>
  <c r="CN166" i="2"/>
  <c r="CM166" i="2"/>
  <c r="CC166" i="2"/>
  <c r="CD166" i="2" s="1"/>
  <c r="CE166" i="2" s="1"/>
  <c r="BU166" i="2"/>
  <c r="BV166" i="2" s="1"/>
  <c r="BP166" i="2"/>
  <c r="BQ166" i="2" s="1"/>
  <c r="BR166" i="2" s="1"/>
  <c r="BJ166" i="2"/>
  <c r="BH166" i="2"/>
  <c r="BI166" i="2" s="1"/>
  <c r="BA166" i="2"/>
  <c r="BB166" i="2" s="1"/>
  <c r="BC166" i="2" s="1"/>
  <c r="BD166" i="2" s="1"/>
  <c r="AS166" i="2"/>
  <c r="AT166" i="2" s="1"/>
  <c r="AU166" i="2" s="1"/>
  <c r="AV166" i="2" s="1"/>
  <c r="AW166" i="2" s="1"/>
  <c r="AX166" i="2" s="1"/>
  <c r="AN166" i="2"/>
  <c r="AO166" i="2" s="1"/>
  <c r="AP166" i="2" s="1"/>
  <c r="AQ166" i="2" s="1"/>
  <c r="AF166" i="2"/>
  <c r="AG166" i="2"/>
  <c r="CT165" i="2"/>
  <c r="CU165" i="2" s="1"/>
  <c r="CV165" i="2" s="1"/>
  <c r="CP165" i="2"/>
  <c r="CQ165" i="2" s="1"/>
  <c r="CR165" i="2" s="1"/>
  <c r="CM165" i="2"/>
  <c r="CN165" i="2" s="1"/>
  <c r="CD165" i="2"/>
  <c r="CE165" i="2" s="1"/>
  <c r="CC165" i="2"/>
  <c r="BU165" i="2"/>
  <c r="BV165" i="2" s="1"/>
  <c r="BP165" i="2"/>
  <c r="BQ165" i="2" s="1"/>
  <c r="BR165" i="2" s="1"/>
  <c r="BJ165" i="2"/>
  <c r="BH165" i="2"/>
  <c r="BI165" i="2" s="1"/>
  <c r="BA165" i="2"/>
  <c r="BB165" i="2" s="1"/>
  <c r="BC165" i="2" s="1"/>
  <c r="BD165" i="2" s="1"/>
  <c r="AS165" i="2"/>
  <c r="AT165" i="2" s="1"/>
  <c r="AU165" i="2" s="1"/>
  <c r="AV165" i="2" s="1"/>
  <c r="AW165" i="2" s="1"/>
  <c r="AX165" i="2" s="1"/>
  <c r="AN165" i="2"/>
  <c r="AO165" i="2" s="1"/>
  <c r="AP165" i="2" s="1"/>
  <c r="AQ165" i="2" s="1"/>
  <c r="AG165" i="2"/>
  <c r="AF165" i="2"/>
  <c r="AB165" i="2"/>
  <c r="AC165" i="2" s="1"/>
  <c r="AD165" i="2" s="1"/>
  <c r="AE165" i="2" s="1"/>
  <c r="CT164" i="2"/>
  <c r="CU164" i="2" s="1"/>
  <c r="CV164" i="2" s="1"/>
  <c r="CP164" i="2"/>
  <c r="CQ164" i="2" s="1"/>
  <c r="CR164" i="2" s="1"/>
  <c r="CM164" i="2"/>
  <c r="CN164" i="2" s="1"/>
  <c r="CC164" i="2"/>
  <c r="CD164" i="2" s="1"/>
  <c r="CE164" i="2" s="1"/>
  <c r="BU164" i="2"/>
  <c r="BV164" i="2" s="1"/>
  <c r="BP164" i="2"/>
  <c r="BQ164" i="2" s="1"/>
  <c r="BR164" i="2" s="1"/>
  <c r="BJ164" i="2"/>
  <c r="BH164" i="2"/>
  <c r="BI164" i="2" s="1"/>
  <c r="BA164" i="2"/>
  <c r="BB164" i="2" s="1"/>
  <c r="BC164" i="2" s="1"/>
  <c r="BD164" i="2" s="1"/>
  <c r="AS164" i="2"/>
  <c r="AT164" i="2" s="1"/>
  <c r="AU164" i="2" s="1"/>
  <c r="AV164" i="2" s="1"/>
  <c r="AW164" i="2" s="1"/>
  <c r="AX164" i="2" s="1"/>
  <c r="AN164" i="2"/>
  <c r="AO164" i="2" s="1"/>
  <c r="AP164" i="2" s="1"/>
  <c r="AQ164" i="2" s="1"/>
  <c r="AF164" i="2"/>
  <c r="AG164" i="2"/>
  <c r="CT163" i="2"/>
  <c r="CU163" i="2" s="1"/>
  <c r="CV163" i="2" s="1"/>
  <c r="CP163" i="2"/>
  <c r="CQ163" i="2" s="1"/>
  <c r="CR163" i="2" s="1"/>
  <c r="CM163" i="2"/>
  <c r="CN163" i="2" s="1"/>
  <c r="CC163" i="2"/>
  <c r="CD163" i="2" s="1"/>
  <c r="CE163" i="2" s="1"/>
  <c r="BU163" i="2"/>
  <c r="BV163" i="2" s="1"/>
  <c r="BP163" i="2"/>
  <c r="BQ163" i="2" s="1"/>
  <c r="BR163" i="2" s="1"/>
  <c r="BJ163" i="2"/>
  <c r="BH163" i="2"/>
  <c r="BI163" i="2" s="1"/>
  <c r="BA163" i="2"/>
  <c r="BB163" i="2" s="1"/>
  <c r="BC163" i="2" s="1"/>
  <c r="BD163" i="2" s="1"/>
  <c r="AS163" i="2"/>
  <c r="AT163" i="2" s="1"/>
  <c r="AU163" i="2" s="1"/>
  <c r="AV163" i="2" s="1"/>
  <c r="AW163" i="2" s="1"/>
  <c r="AX163" i="2" s="1"/>
  <c r="AN163" i="2"/>
  <c r="AO163" i="2" s="1"/>
  <c r="AP163" i="2" s="1"/>
  <c r="AQ163" i="2" s="1"/>
  <c r="CT162" i="2"/>
  <c r="CU162" i="2" s="1"/>
  <c r="CV162" i="2" s="1"/>
  <c r="CP162" i="2"/>
  <c r="CQ162" i="2" s="1"/>
  <c r="CR162" i="2" s="1"/>
  <c r="CM162" i="2"/>
  <c r="CN162" i="2" s="1"/>
  <c r="CC162" i="2"/>
  <c r="CD162" i="2" s="1"/>
  <c r="CE162" i="2" s="1"/>
  <c r="BU162" i="2"/>
  <c r="BV162" i="2" s="1"/>
  <c r="BP162" i="2"/>
  <c r="BQ162" i="2" s="1"/>
  <c r="BR162" i="2" s="1"/>
  <c r="BJ162" i="2"/>
  <c r="BH162" i="2"/>
  <c r="BI162" i="2" s="1"/>
  <c r="BA162" i="2"/>
  <c r="BB162" i="2" s="1"/>
  <c r="BC162" i="2" s="1"/>
  <c r="BD162" i="2" s="1"/>
  <c r="AS162" i="2"/>
  <c r="AT162" i="2" s="1"/>
  <c r="AU162" i="2" s="1"/>
  <c r="AV162" i="2" s="1"/>
  <c r="AW162" i="2" s="1"/>
  <c r="AX162" i="2" s="1"/>
  <c r="AN162" i="2"/>
  <c r="AO162" i="2" s="1"/>
  <c r="AP162" i="2" s="1"/>
  <c r="AQ162" i="2" s="1"/>
  <c r="AB162" i="2"/>
  <c r="AC162" i="2" s="1"/>
  <c r="AD162" i="2" s="1"/>
  <c r="AE162" i="2" s="1"/>
  <c r="CT161" i="2"/>
  <c r="CU161" i="2" s="1"/>
  <c r="CV161" i="2" s="1"/>
  <c r="CP161" i="2"/>
  <c r="CQ161" i="2" s="1"/>
  <c r="CR161" i="2" s="1"/>
  <c r="CM161" i="2"/>
  <c r="CN161" i="2" s="1"/>
  <c r="CC161" i="2"/>
  <c r="CD161" i="2" s="1"/>
  <c r="CE161" i="2" s="1"/>
  <c r="BU161" i="2"/>
  <c r="BV161" i="2" s="1"/>
  <c r="BP161" i="2"/>
  <c r="BQ161" i="2" s="1"/>
  <c r="BR161" i="2" s="1"/>
  <c r="BJ161" i="2"/>
  <c r="BI161" i="2"/>
  <c r="BH161" i="2"/>
  <c r="BA161" i="2"/>
  <c r="BB161" i="2" s="1"/>
  <c r="BC161" i="2" s="1"/>
  <c r="BD161" i="2" s="1"/>
  <c r="AS161" i="2"/>
  <c r="AT161" i="2" s="1"/>
  <c r="AU161" i="2" s="1"/>
  <c r="AV161" i="2" s="1"/>
  <c r="AW161" i="2" s="1"/>
  <c r="AX161" i="2" s="1"/>
  <c r="AN161" i="2"/>
  <c r="AO161" i="2" s="1"/>
  <c r="AP161" i="2" s="1"/>
  <c r="AQ161" i="2" s="1"/>
  <c r="AG161" i="2"/>
  <c r="AF161" i="2"/>
  <c r="AB161" i="2"/>
  <c r="AC161" i="2" s="1"/>
  <c r="AD161" i="2" s="1"/>
  <c r="AE161" i="2" s="1"/>
  <c r="CT160" i="2"/>
  <c r="CU160" i="2" s="1"/>
  <c r="CV160" i="2" s="1"/>
  <c r="CP160" i="2"/>
  <c r="CQ160" i="2" s="1"/>
  <c r="CR160" i="2" s="1"/>
  <c r="CM160" i="2"/>
  <c r="CN160" i="2" s="1"/>
  <c r="CC160" i="2"/>
  <c r="CD160" i="2" s="1"/>
  <c r="CE160" i="2" s="1"/>
  <c r="BU160" i="2"/>
  <c r="BV160" i="2" s="1"/>
  <c r="BP160" i="2"/>
  <c r="BQ160" i="2" s="1"/>
  <c r="BR160" i="2" s="1"/>
  <c r="BJ160" i="2"/>
  <c r="BH160" i="2"/>
  <c r="BI160" i="2" s="1"/>
  <c r="BA160" i="2"/>
  <c r="BB160" i="2" s="1"/>
  <c r="BC160" i="2" s="1"/>
  <c r="BD160" i="2" s="1"/>
  <c r="AS160" i="2"/>
  <c r="AT160" i="2" s="1"/>
  <c r="AU160" i="2" s="1"/>
  <c r="AV160" i="2" s="1"/>
  <c r="AW160" i="2" s="1"/>
  <c r="AX160" i="2" s="1"/>
  <c r="AN160" i="2"/>
  <c r="AO160" i="2" s="1"/>
  <c r="AP160" i="2" s="1"/>
  <c r="AQ160" i="2" s="1"/>
  <c r="CT159" i="2"/>
  <c r="CU159" i="2" s="1"/>
  <c r="CV159" i="2" s="1"/>
  <c r="CP159" i="2"/>
  <c r="CQ159" i="2" s="1"/>
  <c r="CR159" i="2" s="1"/>
  <c r="CM159" i="2"/>
  <c r="CN159" i="2" s="1"/>
  <c r="CC159" i="2"/>
  <c r="CD159" i="2" s="1"/>
  <c r="CE159" i="2" s="1"/>
  <c r="BU159" i="2"/>
  <c r="BV159" i="2" s="1"/>
  <c r="BP159" i="2"/>
  <c r="BQ159" i="2" s="1"/>
  <c r="BR159" i="2" s="1"/>
  <c r="BJ159" i="2"/>
  <c r="BH159" i="2"/>
  <c r="BI159" i="2" s="1"/>
  <c r="BA159" i="2"/>
  <c r="BB159" i="2" s="1"/>
  <c r="BC159" i="2" s="1"/>
  <c r="BD159" i="2" s="1"/>
  <c r="AS159" i="2"/>
  <c r="AT159" i="2" s="1"/>
  <c r="AU159" i="2" s="1"/>
  <c r="AV159" i="2" s="1"/>
  <c r="AW159" i="2" s="1"/>
  <c r="AX159" i="2" s="1"/>
  <c r="AN159" i="2"/>
  <c r="AO159" i="2" s="1"/>
  <c r="AP159" i="2" s="1"/>
  <c r="AQ159" i="2" s="1"/>
  <c r="AG159" i="2"/>
  <c r="AF159" i="2"/>
  <c r="AB159" i="2"/>
  <c r="AC159" i="2" s="1"/>
  <c r="AD159" i="2" s="1"/>
  <c r="AE159" i="2" s="1"/>
  <c r="CT158" i="2"/>
  <c r="CU158" i="2" s="1"/>
  <c r="CV158" i="2" s="1"/>
  <c r="CP158" i="2"/>
  <c r="CQ158" i="2" s="1"/>
  <c r="CR158" i="2" s="1"/>
  <c r="CM158" i="2"/>
  <c r="CN158" i="2" s="1"/>
  <c r="CC158" i="2"/>
  <c r="CD158" i="2" s="1"/>
  <c r="CE158" i="2" s="1"/>
  <c r="BU158" i="2"/>
  <c r="BV158" i="2" s="1"/>
  <c r="BP158" i="2"/>
  <c r="BQ158" i="2" s="1"/>
  <c r="BR158" i="2" s="1"/>
  <c r="BJ158" i="2"/>
  <c r="BH158" i="2"/>
  <c r="BI158" i="2" s="1"/>
  <c r="BA158" i="2"/>
  <c r="BB158" i="2" s="1"/>
  <c r="BC158" i="2" s="1"/>
  <c r="BD158" i="2" s="1"/>
  <c r="AS158" i="2"/>
  <c r="AT158" i="2" s="1"/>
  <c r="AU158" i="2" s="1"/>
  <c r="AV158" i="2" s="1"/>
  <c r="AW158" i="2" s="1"/>
  <c r="AX158" i="2" s="1"/>
  <c r="AN158" i="2"/>
  <c r="AO158" i="2" s="1"/>
  <c r="AP158" i="2" s="1"/>
  <c r="AQ158" i="2" s="1"/>
  <c r="AF158" i="2"/>
  <c r="AB158" i="2"/>
  <c r="AC158" i="2" s="1"/>
  <c r="AD158" i="2" s="1"/>
  <c r="AE158" i="2" s="1"/>
  <c r="CT157" i="2"/>
  <c r="CU157" i="2" s="1"/>
  <c r="CV157" i="2" s="1"/>
  <c r="CP157" i="2"/>
  <c r="CQ157" i="2" s="1"/>
  <c r="CR157" i="2" s="1"/>
  <c r="CM157" i="2"/>
  <c r="CN157" i="2" s="1"/>
  <c r="CC157" i="2"/>
  <c r="CD157" i="2" s="1"/>
  <c r="CE157" i="2" s="1"/>
  <c r="BU157" i="2"/>
  <c r="BV157" i="2" s="1"/>
  <c r="BP157" i="2"/>
  <c r="BQ157" i="2" s="1"/>
  <c r="BR157" i="2" s="1"/>
  <c r="BJ157" i="2"/>
  <c r="BH157" i="2"/>
  <c r="BI157" i="2" s="1"/>
  <c r="BA157" i="2"/>
  <c r="BB157" i="2" s="1"/>
  <c r="BC157" i="2" s="1"/>
  <c r="BD157" i="2" s="1"/>
  <c r="AS157" i="2"/>
  <c r="AT157" i="2" s="1"/>
  <c r="AU157" i="2" s="1"/>
  <c r="AV157" i="2" s="1"/>
  <c r="AW157" i="2" s="1"/>
  <c r="AX157" i="2" s="1"/>
  <c r="AN157" i="2"/>
  <c r="AO157" i="2" s="1"/>
  <c r="AP157" i="2" s="1"/>
  <c r="AQ157" i="2" s="1"/>
  <c r="AF157" i="2"/>
  <c r="AB157" i="2"/>
  <c r="AC157" i="2" s="1"/>
  <c r="AD157" i="2" s="1"/>
  <c r="AE157" i="2" s="1"/>
  <c r="AG157" i="2"/>
  <c r="CT156" i="2"/>
  <c r="CU156" i="2" s="1"/>
  <c r="CV156" i="2" s="1"/>
  <c r="CP156" i="2"/>
  <c r="CQ156" i="2" s="1"/>
  <c r="CR156" i="2" s="1"/>
  <c r="CM156" i="2"/>
  <c r="CN156" i="2" s="1"/>
  <c r="CD156" i="2"/>
  <c r="CE156" i="2" s="1"/>
  <c r="CC156" i="2"/>
  <c r="BU156" i="2"/>
  <c r="BV156" i="2" s="1"/>
  <c r="BP156" i="2"/>
  <c r="BQ156" i="2" s="1"/>
  <c r="BR156" i="2" s="1"/>
  <c r="BJ156" i="2"/>
  <c r="BH156" i="2"/>
  <c r="BI156" i="2" s="1"/>
  <c r="BA156" i="2"/>
  <c r="BB156" i="2" s="1"/>
  <c r="BC156" i="2" s="1"/>
  <c r="BD156" i="2" s="1"/>
  <c r="AS156" i="2"/>
  <c r="AT156" i="2" s="1"/>
  <c r="AU156" i="2" s="1"/>
  <c r="AV156" i="2" s="1"/>
  <c r="AW156" i="2" s="1"/>
  <c r="AX156" i="2" s="1"/>
  <c r="AN156" i="2"/>
  <c r="AO156" i="2" s="1"/>
  <c r="AP156" i="2" s="1"/>
  <c r="AQ156" i="2" s="1"/>
  <c r="AF156" i="2"/>
  <c r="AB156" i="2"/>
  <c r="AC156" i="2" s="1"/>
  <c r="AD156" i="2" s="1"/>
  <c r="AE156" i="2" s="1"/>
  <c r="AG156" i="2"/>
  <c r="CT155" i="2"/>
  <c r="CU155" i="2" s="1"/>
  <c r="CV155" i="2" s="1"/>
  <c r="CP155" i="2"/>
  <c r="CQ155" i="2" s="1"/>
  <c r="CR155" i="2" s="1"/>
  <c r="CM155" i="2"/>
  <c r="CN155" i="2" s="1"/>
  <c r="CC155" i="2"/>
  <c r="CD155" i="2" s="1"/>
  <c r="CE155" i="2" s="1"/>
  <c r="BU155" i="2"/>
  <c r="BV155" i="2" s="1"/>
  <c r="BP155" i="2"/>
  <c r="BQ155" i="2" s="1"/>
  <c r="BR155" i="2" s="1"/>
  <c r="BJ155" i="2"/>
  <c r="BH155" i="2"/>
  <c r="BI155" i="2" s="1"/>
  <c r="BA155" i="2"/>
  <c r="BB155" i="2" s="1"/>
  <c r="BC155" i="2" s="1"/>
  <c r="BD155" i="2" s="1"/>
  <c r="AS155" i="2"/>
  <c r="AT155" i="2" s="1"/>
  <c r="AU155" i="2" s="1"/>
  <c r="AV155" i="2" s="1"/>
  <c r="AW155" i="2" s="1"/>
  <c r="AX155" i="2" s="1"/>
  <c r="AN155" i="2"/>
  <c r="AO155" i="2" s="1"/>
  <c r="AP155" i="2" s="1"/>
  <c r="AQ155" i="2" s="1"/>
  <c r="AG155" i="2"/>
  <c r="AF155" i="2"/>
  <c r="AB155" i="2"/>
  <c r="AC155" i="2" s="1"/>
  <c r="AD155" i="2" s="1"/>
  <c r="AE155" i="2" s="1"/>
  <c r="CT154" i="2"/>
  <c r="CU154" i="2" s="1"/>
  <c r="CV154" i="2" s="1"/>
  <c r="CP154" i="2"/>
  <c r="CQ154" i="2" s="1"/>
  <c r="CR154" i="2" s="1"/>
  <c r="CM154" i="2"/>
  <c r="CN154" i="2" s="1"/>
  <c r="CC154" i="2"/>
  <c r="CD154" i="2" s="1"/>
  <c r="CE154" i="2" s="1"/>
  <c r="BU154" i="2"/>
  <c r="BV154" i="2" s="1"/>
  <c r="BP154" i="2"/>
  <c r="BQ154" i="2" s="1"/>
  <c r="BR154" i="2" s="1"/>
  <c r="BJ154" i="2"/>
  <c r="BH154" i="2"/>
  <c r="BI154" i="2" s="1"/>
  <c r="BA154" i="2"/>
  <c r="BB154" i="2" s="1"/>
  <c r="BC154" i="2" s="1"/>
  <c r="BD154" i="2" s="1"/>
  <c r="AS154" i="2"/>
  <c r="AT154" i="2" s="1"/>
  <c r="AU154" i="2" s="1"/>
  <c r="AV154" i="2" s="1"/>
  <c r="AW154" i="2" s="1"/>
  <c r="AX154" i="2" s="1"/>
  <c r="AN154" i="2"/>
  <c r="AO154" i="2" s="1"/>
  <c r="AP154" i="2" s="1"/>
  <c r="AQ154" i="2" s="1"/>
  <c r="CT153" i="2"/>
  <c r="CU153" i="2" s="1"/>
  <c r="CV153" i="2" s="1"/>
  <c r="CP153" i="2"/>
  <c r="CQ153" i="2" s="1"/>
  <c r="CR153" i="2" s="1"/>
  <c r="CM153" i="2"/>
  <c r="CN153" i="2" s="1"/>
  <c r="CC153" i="2"/>
  <c r="CD153" i="2" s="1"/>
  <c r="CE153" i="2" s="1"/>
  <c r="BU153" i="2"/>
  <c r="BV153" i="2" s="1"/>
  <c r="BP153" i="2"/>
  <c r="BQ153" i="2" s="1"/>
  <c r="BR153" i="2" s="1"/>
  <c r="BJ153" i="2"/>
  <c r="BH153" i="2"/>
  <c r="BI153" i="2" s="1"/>
  <c r="BA153" i="2"/>
  <c r="BB153" i="2" s="1"/>
  <c r="BC153" i="2" s="1"/>
  <c r="BD153" i="2" s="1"/>
  <c r="AS153" i="2"/>
  <c r="AT153" i="2" s="1"/>
  <c r="AU153" i="2" s="1"/>
  <c r="AV153" i="2" s="1"/>
  <c r="AW153" i="2" s="1"/>
  <c r="AX153" i="2" s="1"/>
  <c r="AN153" i="2"/>
  <c r="AO153" i="2" s="1"/>
  <c r="AP153" i="2" s="1"/>
  <c r="AQ153" i="2" s="1"/>
  <c r="AG153" i="2"/>
  <c r="AF153" i="2"/>
  <c r="AB153" i="2"/>
  <c r="AC153" i="2" s="1"/>
  <c r="AD153" i="2" s="1"/>
  <c r="AE153" i="2" s="1"/>
  <c r="CT152" i="2"/>
  <c r="CU152" i="2" s="1"/>
  <c r="CV152" i="2" s="1"/>
  <c r="CP152" i="2"/>
  <c r="CQ152" i="2" s="1"/>
  <c r="CR152" i="2" s="1"/>
  <c r="CM152" i="2"/>
  <c r="CN152" i="2" s="1"/>
  <c r="CC152" i="2"/>
  <c r="CD152" i="2" s="1"/>
  <c r="CE152" i="2" s="1"/>
  <c r="BU152" i="2"/>
  <c r="BV152" i="2" s="1"/>
  <c r="BP152" i="2"/>
  <c r="BQ152" i="2" s="1"/>
  <c r="BR152" i="2" s="1"/>
  <c r="BJ152" i="2"/>
  <c r="BH152" i="2"/>
  <c r="BI152" i="2" s="1"/>
  <c r="BA152" i="2"/>
  <c r="BB152" i="2" s="1"/>
  <c r="BC152" i="2" s="1"/>
  <c r="BD152" i="2" s="1"/>
  <c r="AS152" i="2"/>
  <c r="AT152" i="2" s="1"/>
  <c r="AU152" i="2" s="1"/>
  <c r="AV152" i="2" s="1"/>
  <c r="AW152" i="2" s="1"/>
  <c r="AX152" i="2" s="1"/>
  <c r="AN152" i="2"/>
  <c r="AO152" i="2" s="1"/>
  <c r="AP152" i="2" s="1"/>
  <c r="AQ152" i="2" s="1"/>
  <c r="AG152" i="2"/>
  <c r="AB152" i="2"/>
  <c r="AC152" i="2" s="1"/>
  <c r="AD152" i="2" s="1"/>
  <c r="AE152" i="2" s="1"/>
  <c r="CT151" i="2"/>
  <c r="CU151" i="2" s="1"/>
  <c r="CV151" i="2" s="1"/>
  <c r="CP151" i="2"/>
  <c r="CQ151" i="2" s="1"/>
  <c r="CR151" i="2" s="1"/>
  <c r="CM151" i="2"/>
  <c r="CN151" i="2" s="1"/>
  <c r="CC151" i="2"/>
  <c r="CD151" i="2" s="1"/>
  <c r="CE151" i="2" s="1"/>
  <c r="BU151" i="2"/>
  <c r="BV151" i="2" s="1"/>
  <c r="BP151" i="2"/>
  <c r="BQ151" i="2" s="1"/>
  <c r="BR151" i="2" s="1"/>
  <c r="BJ151" i="2"/>
  <c r="BH151" i="2"/>
  <c r="BI151" i="2" s="1"/>
  <c r="BA151" i="2"/>
  <c r="BB151" i="2" s="1"/>
  <c r="BC151" i="2" s="1"/>
  <c r="BD151" i="2" s="1"/>
  <c r="AS151" i="2"/>
  <c r="AT151" i="2" s="1"/>
  <c r="AU151" i="2" s="1"/>
  <c r="AV151" i="2" s="1"/>
  <c r="AW151" i="2" s="1"/>
  <c r="AX151" i="2" s="1"/>
  <c r="AN151" i="2"/>
  <c r="AO151" i="2" s="1"/>
  <c r="AP151" i="2" s="1"/>
  <c r="AQ151" i="2" s="1"/>
  <c r="AG151" i="2"/>
  <c r="CT150" i="2"/>
  <c r="CU150" i="2" s="1"/>
  <c r="CV150" i="2" s="1"/>
  <c r="CP150" i="2"/>
  <c r="CQ150" i="2" s="1"/>
  <c r="CR150" i="2" s="1"/>
  <c r="CM150" i="2"/>
  <c r="CN150" i="2" s="1"/>
  <c r="CC150" i="2"/>
  <c r="CD150" i="2" s="1"/>
  <c r="CE150" i="2" s="1"/>
  <c r="BU150" i="2"/>
  <c r="BV150" i="2" s="1"/>
  <c r="BP150" i="2"/>
  <c r="BQ150" i="2" s="1"/>
  <c r="BR150" i="2" s="1"/>
  <c r="BJ150" i="2"/>
  <c r="BI150" i="2"/>
  <c r="BH150" i="2"/>
  <c r="BA150" i="2"/>
  <c r="BB150" i="2" s="1"/>
  <c r="BC150" i="2" s="1"/>
  <c r="BD150" i="2" s="1"/>
  <c r="AS150" i="2"/>
  <c r="AT150" i="2" s="1"/>
  <c r="AU150" i="2" s="1"/>
  <c r="AV150" i="2" s="1"/>
  <c r="AW150" i="2" s="1"/>
  <c r="AX150" i="2" s="1"/>
  <c r="AN150" i="2"/>
  <c r="AO150" i="2" s="1"/>
  <c r="AP150" i="2" s="1"/>
  <c r="AQ150" i="2" s="1"/>
  <c r="CT149" i="2"/>
  <c r="CU149" i="2" s="1"/>
  <c r="CV149" i="2" s="1"/>
  <c r="CP149" i="2"/>
  <c r="CQ149" i="2" s="1"/>
  <c r="CR149" i="2" s="1"/>
  <c r="CM149" i="2"/>
  <c r="CN149" i="2" s="1"/>
  <c r="CE149" i="2"/>
  <c r="CC149" i="2"/>
  <c r="CD149" i="2" s="1"/>
  <c r="BU149" i="2"/>
  <c r="BV149" i="2" s="1"/>
  <c r="BP149" i="2"/>
  <c r="BQ149" i="2" s="1"/>
  <c r="BR149" i="2" s="1"/>
  <c r="BJ149" i="2"/>
  <c r="BI149" i="2"/>
  <c r="BH149" i="2"/>
  <c r="BA149" i="2"/>
  <c r="BB149" i="2" s="1"/>
  <c r="BC149" i="2" s="1"/>
  <c r="BD149" i="2" s="1"/>
  <c r="AS149" i="2"/>
  <c r="AT149" i="2" s="1"/>
  <c r="AU149" i="2" s="1"/>
  <c r="AV149" i="2" s="1"/>
  <c r="AW149" i="2" s="1"/>
  <c r="AX149" i="2" s="1"/>
  <c r="AN149" i="2"/>
  <c r="AO149" i="2" s="1"/>
  <c r="AP149" i="2" s="1"/>
  <c r="AQ149" i="2" s="1"/>
  <c r="AB149" i="2"/>
  <c r="AC149" i="2" s="1"/>
  <c r="AD149" i="2" s="1"/>
  <c r="AE149" i="2" s="1"/>
  <c r="CT148" i="2"/>
  <c r="CU148" i="2" s="1"/>
  <c r="CV148" i="2" s="1"/>
  <c r="CP148" i="2"/>
  <c r="CQ148" i="2" s="1"/>
  <c r="CR148" i="2" s="1"/>
  <c r="CM148" i="2"/>
  <c r="CN148" i="2" s="1"/>
  <c r="CC148" i="2"/>
  <c r="CD148" i="2" s="1"/>
  <c r="CE148" i="2" s="1"/>
  <c r="BU148" i="2"/>
  <c r="BV148" i="2" s="1"/>
  <c r="BP148" i="2"/>
  <c r="BQ148" i="2" s="1"/>
  <c r="BR148" i="2" s="1"/>
  <c r="BJ148" i="2"/>
  <c r="BH148" i="2"/>
  <c r="BI148" i="2" s="1"/>
  <c r="BA148" i="2"/>
  <c r="BB148" i="2" s="1"/>
  <c r="BC148" i="2" s="1"/>
  <c r="BD148" i="2" s="1"/>
  <c r="AS148" i="2"/>
  <c r="AT148" i="2" s="1"/>
  <c r="AU148" i="2" s="1"/>
  <c r="AV148" i="2" s="1"/>
  <c r="AW148" i="2" s="1"/>
  <c r="AX148" i="2" s="1"/>
  <c r="AN148" i="2"/>
  <c r="AO148" i="2" s="1"/>
  <c r="AP148" i="2" s="1"/>
  <c r="AQ148" i="2" s="1"/>
  <c r="AG148" i="2"/>
  <c r="AF148" i="2"/>
  <c r="AB148" i="2"/>
  <c r="AC148" i="2" s="1"/>
  <c r="AD148" i="2" s="1"/>
  <c r="AE148" i="2" s="1"/>
  <c r="CT147" i="2"/>
  <c r="CU147" i="2" s="1"/>
  <c r="CV147" i="2" s="1"/>
  <c r="CP147" i="2"/>
  <c r="CQ147" i="2" s="1"/>
  <c r="CR147" i="2" s="1"/>
  <c r="CM147" i="2"/>
  <c r="CN147" i="2" s="1"/>
  <c r="CC147" i="2"/>
  <c r="CD147" i="2" s="1"/>
  <c r="CE147" i="2" s="1"/>
  <c r="BU147" i="2"/>
  <c r="BV147" i="2" s="1"/>
  <c r="BP147" i="2"/>
  <c r="BQ147" i="2" s="1"/>
  <c r="BR147" i="2" s="1"/>
  <c r="BJ147" i="2"/>
  <c r="BH147" i="2"/>
  <c r="BI147" i="2" s="1"/>
  <c r="BA147" i="2"/>
  <c r="BB147" i="2" s="1"/>
  <c r="BC147" i="2" s="1"/>
  <c r="BD147" i="2" s="1"/>
  <c r="AT147" i="2"/>
  <c r="AU147" i="2" s="1"/>
  <c r="AV147" i="2" s="1"/>
  <c r="AW147" i="2" s="1"/>
  <c r="AX147" i="2" s="1"/>
  <c r="AS147" i="2"/>
  <c r="AN147" i="2"/>
  <c r="AO147" i="2" s="1"/>
  <c r="AP147" i="2" s="1"/>
  <c r="AQ147" i="2" s="1"/>
  <c r="AF147" i="2"/>
  <c r="AB147" i="2"/>
  <c r="AC147" i="2" s="1"/>
  <c r="AD147" i="2" s="1"/>
  <c r="AE147" i="2" s="1"/>
  <c r="AG147" i="2"/>
  <c r="CT146" i="2"/>
  <c r="CU146" i="2" s="1"/>
  <c r="CV146" i="2" s="1"/>
  <c r="CP146" i="2"/>
  <c r="CQ146" i="2" s="1"/>
  <c r="CR146" i="2" s="1"/>
  <c r="CM146" i="2"/>
  <c r="CN146" i="2" s="1"/>
  <c r="CC146" i="2"/>
  <c r="CD146" i="2" s="1"/>
  <c r="CE146" i="2" s="1"/>
  <c r="BU146" i="2"/>
  <c r="BV146" i="2" s="1"/>
  <c r="BP146" i="2"/>
  <c r="BQ146" i="2" s="1"/>
  <c r="BR146" i="2" s="1"/>
  <c r="BJ146" i="2"/>
  <c r="BH146" i="2"/>
  <c r="BI146" i="2" s="1"/>
  <c r="BA146" i="2"/>
  <c r="AS146" i="2"/>
  <c r="AT146" i="2" s="1"/>
  <c r="AU146" i="2" s="1"/>
  <c r="AV146" i="2" s="1"/>
  <c r="AW146" i="2" s="1"/>
  <c r="AX146" i="2" s="1"/>
  <c r="AN146" i="2"/>
  <c r="AO146" i="2" s="1"/>
  <c r="AP146" i="2" s="1"/>
  <c r="AQ146" i="2" s="1"/>
  <c r="AF146" i="2"/>
  <c r="AG146" i="2"/>
  <c r="CT145" i="2"/>
  <c r="CU145" i="2" s="1"/>
  <c r="CV145" i="2" s="1"/>
  <c r="CP145" i="2"/>
  <c r="CQ145" i="2" s="1"/>
  <c r="CR145" i="2" s="1"/>
  <c r="CM145" i="2"/>
  <c r="CN145" i="2" s="1"/>
  <c r="CC145" i="2"/>
  <c r="CD145" i="2" s="1"/>
  <c r="CE145" i="2" s="1"/>
  <c r="BU145" i="2"/>
  <c r="BV145" i="2" s="1"/>
  <c r="BP145" i="2"/>
  <c r="BQ145" i="2" s="1"/>
  <c r="BR145" i="2" s="1"/>
  <c r="BJ145" i="2"/>
  <c r="BH145" i="2"/>
  <c r="BI145" i="2" s="1"/>
  <c r="BA145" i="2"/>
  <c r="BB145" i="2"/>
  <c r="BC145" i="2" s="1"/>
  <c r="BD145" i="2" s="1"/>
  <c r="AS145" i="2"/>
  <c r="AT145" i="2" s="1"/>
  <c r="AU145" i="2" s="1"/>
  <c r="AV145" i="2" s="1"/>
  <c r="AW145" i="2" s="1"/>
  <c r="AX145" i="2" s="1"/>
  <c r="AN145" i="2"/>
  <c r="AO145" i="2" s="1"/>
  <c r="AP145" i="2" s="1"/>
  <c r="AQ145" i="2" s="1"/>
  <c r="CT144" i="2"/>
  <c r="CU144" i="2" s="1"/>
  <c r="CV144" i="2" s="1"/>
  <c r="CP144" i="2"/>
  <c r="CQ144" i="2" s="1"/>
  <c r="CR144" i="2" s="1"/>
  <c r="CM144" i="2"/>
  <c r="CN144" i="2" s="1"/>
  <c r="CC144" i="2"/>
  <c r="CD144" i="2" s="1"/>
  <c r="CE144" i="2" s="1"/>
  <c r="BU144" i="2"/>
  <c r="BV144" i="2" s="1"/>
  <c r="BP144" i="2"/>
  <c r="BQ144" i="2" s="1"/>
  <c r="BR144" i="2" s="1"/>
  <c r="BJ144" i="2"/>
  <c r="BH144" i="2"/>
  <c r="BI144" i="2" s="1"/>
  <c r="BA144" i="2"/>
  <c r="BB144" i="2" s="1"/>
  <c r="BC144" i="2" s="1"/>
  <c r="BD144" i="2" s="1"/>
  <c r="AS144" i="2"/>
  <c r="AT144" i="2" s="1"/>
  <c r="AU144" i="2" s="1"/>
  <c r="AV144" i="2" s="1"/>
  <c r="AW144" i="2" s="1"/>
  <c r="AX144" i="2" s="1"/>
  <c r="AN144" i="2"/>
  <c r="AO144" i="2" s="1"/>
  <c r="AP144" i="2" s="1"/>
  <c r="AQ144" i="2" s="1"/>
  <c r="CT143" i="2"/>
  <c r="CU143" i="2" s="1"/>
  <c r="CV143" i="2" s="1"/>
  <c r="CP143" i="2"/>
  <c r="CQ143" i="2" s="1"/>
  <c r="CR143" i="2" s="1"/>
  <c r="CM143" i="2"/>
  <c r="CN143" i="2" s="1"/>
  <c r="CI143" i="2"/>
  <c r="CJ143" i="2" s="1"/>
  <c r="BU143" i="2"/>
  <c r="BV143" i="2" s="1"/>
  <c r="BP143" i="2"/>
  <c r="BQ143" i="2" s="1"/>
  <c r="BR143" i="2" s="1"/>
  <c r="BJ143" i="2"/>
  <c r="BH143" i="2"/>
  <c r="BI143" i="2" s="1"/>
  <c r="BA143" i="2"/>
  <c r="AS143" i="2"/>
  <c r="AT143" i="2" s="1"/>
  <c r="AU143" i="2" s="1"/>
  <c r="AV143" i="2" s="1"/>
  <c r="AW143" i="2" s="1"/>
  <c r="AX143" i="2" s="1"/>
  <c r="AN143" i="2"/>
  <c r="AO143" i="2" s="1"/>
  <c r="AP143" i="2" s="1"/>
  <c r="AQ143" i="2" s="1"/>
  <c r="AG143" i="2"/>
  <c r="AF143" i="2"/>
  <c r="AB143" i="2"/>
  <c r="AC143" i="2" s="1"/>
  <c r="AD143" i="2" s="1"/>
  <c r="AE143" i="2" s="1"/>
  <c r="CT142" i="2"/>
  <c r="CU142" i="2" s="1"/>
  <c r="CV142" i="2" s="1"/>
  <c r="CP142" i="2"/>
  <c r="CQ142" i="2" s="1"/>
  <c r="CR142" i="2" s="1"/>
  <c r="CM142" i="2"/>
  <c r="CN142" i="2" s="1"/>
  <c r="CI142" i="2"/>
  <c r="CJ142" i="2" s="1"/>
  <c r="BU142" i="2"/>
  <c r="BV142" i="2" s="1"/>
  <c r="BP142" i="2"/>
  <c r="BQ142" i="2" s="1"/>
  <c r="BR142" i="2" s="1"/>
  <c r="BJ142" i="2"/>
  <c r="BH142" i="2"/>
  <c r="BI142" i="2" s="1"/>
  <c r="BA142" i="2"/>
  <c r="BB142" i="2" s="1"/>
  <c r="BC142" i="2" s="1"/>
  <c r="BD142" i="2" s="1"/>
  <c r="AT142" i="2"/>
  <c r="AU142" i="2" s="1"/>
  <c r="AV142" i="2" s="1"/>
  <c r="AW142" i="2" s="1"/>
  <c r="AX142" i="2" s="1"/>
  <c r="AS142" i="2"/>
  <c r="AN142" i="2"/>
  <c r="AO142" i="2" s="1"/>
  <c r="AP142" i="2" s="1"/>
  <c r="AQ142" i="2" s="1"/>
  <c r="AF142" i="2"/>
  <c r="CT141" i="2"/>
  <c r="CU141" i="2" s="1"/>
  <c r="CV141" i="2" s="1"/>
  <c r="CP141" i="2"/>
  <c r="CQ141" i="2" s="1"/>
  <c r="CR141" i="2" s="1"/>
  <c r="CM141" i="2"/>
  <c r="CN141" i="2" s="1"/>
  <c r="CI141" i="2"/>
  <c r="CJ141" i="2" s="1"/>
  <c r="BU141" i="2"/>
  <c r="BV141" i="2" s="1"/>
  <c r="BP141" i="2"/>
  <c r="BQ141" i="2" s="1"/>
  <c r="BR141" i="2" s="1"/>
  <c r="BJ141" i="2"/>
  <c r="BH141" i="2"/>
  <c r="BI141" i="2" s="1"/>
  <c r="BA141" i="2"/>
  <c r="AS141" i="2"/>
  <c r="AT141" i="2" s="1"/>
  <c r="AU141" i="2" s="1"/>
  <c r="AV141" i="2" s="1"/>
  <c r="AW141" i="2" s="1"/>
  <c r="AX141" i="2" s="1"/>
  <c r="AN141" i="2"/>
  <c r="AO141" i="2" s="1"/>
  <c r="AP141" i="2" s="1"/>
  <c r="AQ141" i="2" s="1"/>
  <c r="CT140" i="2"/>
  <c r="CU140" i="2" s="1"/>
  <c r="CV140" i="2" s="1"/>
  <c r="CP140" i="2"/>
  <c r="CQ140" i="2" s="1"/>
  <c r="CR140" i="2" s="1"/>
  <c r="CM140" i="2"/>
  <c r="CN140" i="2" s="1"/>
  <c r="CC140" i="2"/>
  <c r="CD140" i="2" s="1"/>
  <c r="CE140" i="2" s="1"/>
  <c r="BU140" i="2"/>
  <c r="BV140" i="2" s="1"/>
  <c r="BP140" i="2"/>
  <c r="BQ140" i="2" s="1"/>
  <c r="BR140" i="2" s="1"/>
  <c r="BJ140" i="2"/>
  <c r="BH140" i="2"/>
  <c r="BI140" i="2" s="1"/>
  <c r="BA140" i="2"/>
  <c r="AS140" i="2"/>
  <c r="AT140" i="2" s="1"/>
  <c r="AU140" i="2" s="1"/>
  <c r="AV140" i="2" s="1"/>
  <c r="AW140" i="2" s="1"/>
  <c r="AX140" i="2" s="1"/>
  <c r="AN140" i="2"/>
  <c r="AO140" i="2" s="1"/>
  <c r="AP140" i="2" s="1"/>
  <c r="AQ140" i="2" s="1"/>
  <c r="CT139" i="2"/>
  <c r="CU139" i="2" s="1"/>
  <c r="CV139" i="2" s="1"/>
  <c r="CP139" i="2"/>
  <c r="CQ139" i="2" s="1"/>
  <c r="CR139" i="2" s="1"/>
  <c r="CM139" i="2"/>
  <c r="CN139" i="2" s="1"/>
  <c r="CC139" i="2"/>
  <c r="CD139" i="2" s="1"/>
  <c r="CE139" i="2" s="1"/>
  <c r="BU139" i="2"/>
  <c r="BV139" i="2" s="1"/>
  <c r="BP139" i="2"/>
  <c r="BQ139" i="2" s="1"/>
  <c r="BR139" i="2" s="1"/>
  <c r="BJ139" i="2"/>
  <c r="BH139" i="2"/>
  <c r="BI139" i="2" s="1"/>
  <c r="BA139" i="2"/>
  <c r="BB139" i="2" s="1"/>
  <c r="BC139" i="2" s="1"/>
  <c r="BD139" i="2" s="1"/>
  <c r="AS139" i="2"/>
  <c r="AT139" i="2" s="1"/>
  <c r="AU139" i="2" s="1"/>
  <c r="AV139" i="2" s="1"/>
  <c r="AW139" i="2" s="1"/>
  <c r="AX139" i="2" s="1"/>
  <c r="AN139" i="2"/>
  <c r="AO139" i="2" s="1"/>
  <c r="AP139" i="2" s="1"/>
  <c r="AQ139" i="2" s="1"/>
  <c r="AG139" i="2"/>
  <c r="AH139" i="2" s="1"/>
  <c r="AI139" i="2" s="1"/>
  <c r="AJ139" i="2" s="1"/>
  <c r="AF139" i="2"/>
  <c r="AB139" i="2"/>
  <c r="AC139" i="2" s="1"/>
  <c r="AD139" i="2" s="1"/>
  <c r="AE139" i="2" s="1"/>
  <c r="CT138" i="2"/>
  <c r="CU138" i="2" s="1"/>
  <c r="CV138" i="2" s="1"/>
  <c r="CP138" i="2"/>
  <c r="CQ138" i="2" s="1"/>
  <c r="CR138" i="2" s="1"/>
  <c r="CM138" i="2"/>
  <c r="CN138" i="2" s="1"/>
  <c r="CC138" i="2"/>
  <c r="CD138" i="2" s="1"/>
  <c r="CE138" i="2" s="1"/>
  <c r="BU138" i="2"/>
  <c r="BV138" i="2" s="1"/>
  <c r="BP138" i="2"/>
  <c r="BQ138" i="2" s="1"/>
  <c r="BR138" i="2" s="1"/>
  <c r="BJ138" i="2"/>
  <c r="BH138" i="2"/>
  <c r="BI138" i="2" s="1"/>
  <c r="BA138" i="2"/>
  <c r="BB138" i="2" s="1"/>
  <c r="BC138" i="2" s="1"/>
  <c r="BD138" i="2" s="1"/>
  <c r="AS138" i="2"/>
  <c r="AT138" i="2" s="1"/>
  <c r="AU138" i="2" s="1"/>
  <c r="AV138" i="2" s="1"/>
  <c r="AW138" i="2" s="1"/>
  <c r="AX138" i="2" s="1"/>
  <c r="AN138" i="2"/>
  <c r="AO138" i="2" s="1"/>
  <c r="AP138" i="2" s="1"/>
  <c r="AQ138" i="2" s="1"/>
  <c r="CT137" i="2"/>
  <c r="CU137" i="2" s="1"/>
  <c r="CV137" i="2" s="1"/>
  <c r="CP137" i="2"/>
  <c r="CQ137" i="2" s="1"/>
  <c r="CR137" i="2" s="1"/>
  <c r="CM137" i="2"/>
  <c r="CN137" i="2" s="1"/>
  <c r="CC137" i="2"/>
  <c r="CD137" i="2" s="1"/>
  <c r="CE137" i="2" s="1"/>
  <c r="BU137" i="2"/>
  <c r="BV137" i="2" s="1"/>
  <c r="BP137" i="2"/>
  <c r="BQ137" i="2" s="1"/>
  <c r="BR137" i="2" s="1"/>
  <c r="BJ137" i="2"/>
  <c r="BH137" i="2"/>
  <c r="BI137" i="2" s="1"/>
  <c r="BA137" i="2"/>
  <c r="BB137" i="2" s="1"/>
  <c r="BC137" i="2" s="1"/>
  <c r="BD137" i="2" s="1"/>
  <c r="AS137" i="2"/>
  <c r="AT137" i="2" s="1"/>
  <c r="AU137" i="2" s="1"/>
  <c r="AV137" i="2" s="1"/>
  <c r="AW137" i="2" s="1"/>
  <c r="AX137" i="2" s="1"/>
  <c r="AN137" i="2"/>
  <c r="AO137" i="2" s="1"/>
  <c r="AP137" i="2" s="1"/>
  <c r="AQ137" i="2" s="1"/>
  <c r="CT136" i="2"/>
  <c r="CU136" i="2" s="1"/>
  <c r="CV136" i="2" s="1"/>
  <c r="CP136" i="2"/>
  <c r="CQ136" i="2" s="1"/>
  <c r="CR136" i="2" s="1"/>
  <c r="CM136" i="2"/>
  <c r="CN136" i="2" s="1"/>
  <c r="CI136" i="2"/>
  <c r="CJ136" i="2" s="1"/>
  <c r="BU136" i="2"/>
  <c r="BV136" i="2" s="1"/>
  <c r="BP136" i="2"/>
  <c r="BQ136" i="2" s="1"/>
  <c r="BR136" i="2" s="1"/>
  <c r="BJ136" i="2"/>
  <c r="BI136" i="2"/>
  <c r="BH136" i="2"/>
  <c r="BA136" i="2"/>
  <c r="BB136" i="2" s="1"/>
  <c r="BC136" i="2" s="1"/>
  <c r="BD136" i="2" s="1"/>
  <c r="AS136" i="2"/>
  <c r="AT136" i="2" s="1"/>
  <c r="AU136" i="2" s="1"/>
  <c r="AV136" i="2" s="1"/>
  <c r="AW136" i="2" s="1"/>
  <c r="AX136" i="2" s="1"/>
  <c r="AN136" i="2"/>
  <c r="AO136" i="2" s="1"/>
  <c r="AP136" i="2" s="1"/>
  <c r="AQ136" i="2" s="1"/>
  <c r="CT135" i="2"/>
  <c r="CU135" i="2" s="1"/>
  <c r="CV135" i="2" s="1"/>
  <c r="CP135" i="2"/>
  <c r="CQ135" i="2" s="1"/>
  <c r="CR135" i="2" s="1"/>
  <c r="CM135" i="2"/>
  <c r="CN135" i="2" s="1"/>
  <c r="CC135" i="2"/>
  <c r="CD135" i="2" s="1"/>
  <c r="CE135" i="2" s="1"/>
  <c r="BU135" i="2"/>
  <c r="BV135" i="2" s="1"/>
  <c r="BQ135" i="2"/>
  <c r="BR135" i="2" s="1"/>
  <c r="BP135" i="2"/>
  <c r="BJ135" i="2"/>
  <c r="BH135" i="2"/>
  <c r="BI135" i="2" s="1"/>
  <c r="BA135" i="2"/>
  <c r="BB135" i="2" s="1"/>
  <c r="BC135" i="2" s="1"/>
  <c r="BD135" i="2" s="1"/>
  <c r="AS135" i="2"/>
  <c r="AT135" i="2" s="1"/>
  <c r="AU135" i="2" s="1"/>
  <c r="AV135" i="2" s="1"/>
  <c r="AW135" i="2" s="1"/>
  <c r="AX135" i="2" s="1"/>
  <c r="AN135" i="2"/>
  <c r="AO135" i="2" s="1"/>
  <c r="AP135" i="2" s="1"/>
  <c r="AQ135" i="2" s="1"/>
  <c r="CT134" i="2"/>
  <c r="CU134" i="2" s="1"/>
  <c r="CV134" i="2" s="1"/>
  <c r="CP134" i="2"/>
  <c r="CQ134" i="2" s="1"/>
  <c r="CR134" i="2" s="1"/>
  <c r="CM134" i="2"/>
  <c r="CN134" i="2" s="1"/>
  <c r="CC134" i="2"/>
  <c r="CD134" i="2" s="1"/>
  <c r="CE134" i="2" s="1"/>
  <c r="BU134" i="2"/>
  <c r="BV134" i="2" s="1"/>
  <c r="BQ134" i="2"/>
  <c r="BR134" i="2" s="1"/>
  <c r="BP134" i="2"/>
  <c r="BJ134" i="2"/>
  <c r="BH134" i="2"/>
  <c r="BI134" i="2" s="1"/>
  <c r="BA134" i="2"/>
  <c r="BB134" i="2" s="1"/>
  <c r="BC134" i="2" s="1"/>
  <c r="BD134" i="2" s="1"/>
  <c r="AS134" i="2"/>
  <c r="AT134" i="2" s="1"/>
  <c r="AU134" i="2" s="1"/>
  <c r="AV134" i="2" s="1"/>
  <c r="AW134" i="2" s="1"/>
  <c r="AX134" i="2" s="1"/>
  <c r="AN134" i="2"/>
  <c r="AO134" i="2" s="1"/>
  <c r="AP134" i="2" s="1"/>
  <c r="AQ134" i="2" s="1"/>
  <c r="AF134" i="2"/>
  <c r="CT133" i="2"/>
  <c r="CU133" i="2" s="1"/>
  <c r="CV133" i="2" s="1"/>
  <c r="CP133" i="2"/>
  <c r="CQ133" i="2" s="1"/>
  <c r="CR133" i="2" s="1"/>
  <c r="CM133" i="2"/>
  <c r="CN133" i="2" s="1"/>
  <c r="CC133" i="2"/>
  <c r="CD133" i="2" s="1"/>
  <c r="CE133" i="2" s="1"/>
  <c r="BU133" i="2"/>
  <c r="BV133" i="2" s="1"/>
  <c r="BP133" i="2"/>
  <c r="BQ133" i="2" s="1"/>
  <c r="BR133" i="2" s="1"/>
  <c r="BJ133" i="2"/>
  <c r="BH133" i="2"/>
  <c r="BI133" i="2" s="1"/>
  <c r="BA133" i="2"/>
  <c r="BB133" i="2" s="1"/>
  <c r="BC133" i="2" s="1"/>
  <c r="BD133" i="2" s="1"/>
  <c r="AS133" i="2"/>
  <c r="AT133" i="2" s="1"/>
  <c r="AU133" i="2" s="1"/>
  <c r="AV133" i="2" s="1"/>
  <c r="AW133" i="2" s="1"/>
  <c r="AX133" i="2" s="1"/>
  <c r="AN133" i="2"/>
  <c r="AO133" i="2" s="1"/>
  <c r="AP133" i="2" s="1"/>
  <c r="AQ133" i="2" s="1"/>
  <c r="AF133" i="2"/>
  <c r="CT132" i="2"/>
  <c r="CU132" i="2" s="1"/>
  <c r="CV132" i="2" s="1"/>
  <c r="CP132" i="2"/>
  <c r="CQ132" i="2" s="1"/>
  <c r="CR132" i="2" s="1"/>
  <c r="CM132" i="2"/>
  <c r="CN132" i="2" s="1"/>
  <c r="CD132" i="2"/>
  <c r="CE132" i="2" s="1"/>
  <c r="CC132" i="2"/>
  <c r="BU132" i="2"/>
  <c r="BV132" i="2" s="1"/>
  <c r="BP132" i="2"/>
  <c r="BQ132" i="2" s="1"/>
  <c r="BR132" i="2" s="1"/>
  <c r="BJ132" i="2"/>
  <c r="BH132" i="2"/>
  <c r="BI132" i="2" s="1"/>
  <c r="BA132" i="2"/>
  <c r="BB132" i="2" s="1"/>
  <c r="BC132" i="2" s="1"/>
  <c r="BD132" i="2" s="1"/>
  <c r="AS132" i="2"/>
  <c r="AT132" i="2" s="1"/>
  <c r="AU132" i="2" s="1"/>
  <c r="AV132" i="2" s="1"/>
  <c r="AW132" i="2" s="1"/>
  <c r="AX132" i="2" s="1"/>
  <c r="AN132" i="2"/>
  <c r="AO132" i="2" s="1"/>
  <c r="AP132" i="2" s="1"/>
  <c r="AQ132" i="2" s="1"/>
  <c r="AG132" i="2"/>
  <c r="AF132" i="2"/>
  <c r="AE132" i="2"/>
  <c r="AB132" i="2"/>
  <c r="AC132" i="2" s="1"/>
  <c r="AD132" i="2" s="1"/>
  <c r="CT131" i="2"/>
  <c r="CU131" i="2" s="1"/>
  <c r="CV131" i="2" s="1"/>
  <c r="CP131" i="2"/>
  <c r="CQ131" i="2" s="1"/>
  <c r="CR131" i="2" s="1"/>
  <c r="CM131" i="2"/>
  <c r="CN131" i="2" s="1"/>
  <c r="CC131" i="2"/>
  <c r="CD131" i="2" s="1"/>
  <c r="CE131" i="2" s="1"/>
  <c r="BV131" i="2"/>
  <c r="BU131" i="2"/>
  <c r="BP131" i="2"/>
  <c r="BQ131" i="2" s="1"/>
  <c r="BR131" i="2" s="1"/>
  <c r="BJ131" i="2"/>
  <c r="BH131" i="2"/>
  <c r="BI131" i="2" s="1"/>
  <c r="BA131" i="2"/>
  <c r="BB131" i="2" s="1"/>
  <c r="BC131" i="2" s="1"/>
  <c r="BD131" i="2" s="1"/>
  <c r="AS131" i="2"/>
  <c r="AT131" i="2" s="1"/>
  <c r="AU131" i="2" s="1"/>
  <c r="AV131" i="2" s="1"/>
  <c r="AW131" i="2" s="1"/>
  <c r="AX131" i="2" s="1"/>
  <c r="AN131" i="2"/>
  <c r="AO131" i="2" s="1"/>
  <c r="AP131" i="2" s="1"/>
  <c r="AQ131" i="2" s="1"/>
  <c r="AG131" i="2"/>
  <c r="CT130" i="2"/>
  <c r="CU130" i="2" s="1"/>
  <c r="CV130" i="2" s="1"/>
  <c r="CP130" i="2"/>
  <c r="CQ130" i="2" s="1"/>
  <c r="CR130" i="2" s="1"/>
  <c r="CM130" i="2"/>
  <c r="CN130" i="2" s="1"/>
  <c r="CI130" i="2"/>
  <c r="CJ130" i="2" s="1"/>
  <c r="BV130" i="2"/>
  <c r="BU130" i="2"/>
  <c r="BP130" i="2"/>
  <c r="BQ130" i="2" s="1"/>
  <c r="BR130" i="2" s="1"/>
  <c r="BJ130" i="2"/>
  <c r="BI130" i="2"/>
  <c r="BH130" i="2"/>
  <c r="BA130" i="2"/>
  <c r="AS130" i="2"/>
  <c r="AT130" i="2" s="1"/>
  <c r="AU130" i="2" s="1"/>
  <c r="AV130" i="2" s="1"/>
  <c r="AW130" i="2" s="1"/>
  <c r="AX130" i="2" s="1"/>
  <c r="AN130" i="2"/>
  <c r="AO130" i="2" s="1"/>
  <c r="AP130" i="2" s="1"/>
  <c r="AQ130" i="2" s="1"/>
  <c r="AB130" i="2"/>
  <c r="AC130" i="2" s="1"/>
  <c r="AD130" i="2" s="1"/>
  <c r="AE130" i="2" s="1"/>
  <c r="AG130" i="2"/>
  <c r="CT129" i="2"/>
  <c r="CU129" i="2" s="1"/>
  <c r="CV129" i="2" s="1"/>
  <c r="CP129" i="2"/>
  <c r="CQ129" i="2" s="1"/>
  <c r="CR129" i="2" s="1"/>
  <c r="CM129" i="2"/>
  <c r="CN129" i="2" s="1"/>
  <c r="CC129" i="2"/>
  <c r="CD129" i="2" s="1"/>
  <c r="CE129" i="2" s="1"/>
  <c r="BU129" i="2"/>
  <c r="BV129" i="2" s="1"/>
  <c r="BP129" i="2"/>
  <c r="BQ129" i="2" s="1"/>
  <c r="BR129" i="2" s="1"/>
  <c r="BJ129" i="2"/>
  <c r="BH129" i="2"/>
  <c r="BI129" i="2" s="1"/>
  <c r="BA129" i="2"/>
  <c r="BB129" i="2" s="1"/>
  <c r="BC129" i="2" s="1"/>
  <c r="BD129" i="2" s="1"/>
  <c r="AS129" i="2"/>
  <c r="AT129" i="2" s="1"/>
  <c r="AU129" i="2" s="1"/>
  <c r="AV129" i="2" s="1"/>
  <c r="AW129" i="2" s="1"/>
  <c r="AX129" i="2" s="1"/>
  <c r="AN129" i="2"/>
  <c r="AO129" i="2" s="1"/>
  <c r="AP129" i="2" s="1"/>
  <c r="AQ129" i="2" s="1"/>
  <c r="AB129" i="2"/>
  <c r="AC129" i="2" s="1"/>
  <c r="AD129" i="2" s="1"/>
  <c r="AE129" i="2" s="1"/>
  <c r="CT128" i="2"/>
  <c r="CU128" i="2" s="1"/>
  <c r="CV128" i="2" s="1"/>
  <c r="CP128" i="2"/>
  <c r="CQ128" i="2" s="1"/>
  <c r="CR128" i="2" s="1"/>
  <c r="CM128" i="2"/>
  <c r="CN128" i="2" s="1"/>
  <c r="CC128" i="2"/>
  <c r="CD128" i="2" s="1"/>
  <c r="CE128" i="2" s="1"/>
  <c r="BU128" i="2"/>
  <c r="BV128" i="2" s="1"/>
  <c r="BP128" i="2"/>
  <c r="BQ128" i="2" s="1"/>
  <c r="BR128" i="2" s="1"/>
  <c r="BJ128" i="2"/>
  <c r="BH128" i="2"/>
  <c r="BI128" i="2" s="1"/>
  <c r="BA128" i="2"/>
  <c r="BB128" i="2" s="1"/>
  <c r="BC128" i="2" s="1"/>
  <c r="BD128" i="2" s="1"/>
  <c r="AS128" i="2"/>
  <c r="AT128" i="2" s="1"/>
  <c r="AU128" i="2" s="1"/>
  <c r="AV128" i="2" s="1"/>
  <c r="AW128" i="2" s="1"/>
  <c r="AX128" i="2" s="1"/>
  <c r="AO128" i="2"/>
  <c r="AP128" i="2" s="1"/>
  <c r="AQ128" i="2" s="1"/>
  <c r="AN128" i="2"/>
  <c r="CU127" i="2"/>
  <c r="CV127" i="2" s="1"/>
  <c r="CT127" i="2"/>
  <c r="CP127" i="2"/>
  <c r="CQ127" i="2" s="1"/>
  <c r="CR127" i="2" s="1"/>
  <c r="CM127" i="2"/>
  <c r="CN127" i="2" s="1"/>
  <c r="CC127" i="2"/>
  <c r="CD127" i="2" s="1"/>
  <c r="CE127" i="2" s="1"/>
  <c r="BU127" i="2"/>
  <c r="BV127" i="2" s="1"/>
  <c r="BP127" i="2"/>
  <c r="BQ127" i="2" s="1"/>
  <c r="BR127" i="2" s="1"/>
  <c r="BJ127" i="2"/>
  <c r="BH127" i="2"/>
  <c r="BI127" i="2" s="1"/>
  <c r="BA127" i="2"/>
  <c r="BB127" i="2" s="1"/>
  <c r="BC127" i="2" s="1"/>
  <c r="BD127" i="2" s="1"/>
  <c r="AS127" i="2"/>
  <c r="AT127" i="2" s="1"/>
  <c r="AU127" i="2" s="1"/>
  <c r="AV127" i="2" s="1"/>
  <c r="AW127" i="2" s="1"/>
  <c r="AX127" i="2" s="1"/>
  <c r="AN127" i="2"/>
  <c r="AO127" i="2" s="1"/>
  <c r="AP127" i="2" s="1"/>
  <c r="AQ127" i="2" s="1"/>
  <c r="AG127" i="2"/>
  <c r="AF127" i="2"/>
  <c r="AB127" i="2"/>
  <c r="AC127" i="2" s="1"/>
  <c r="AD127" i="2" s="1"/>
  <c r="AE127" i="2" s="1"/>
  <c r="CT126" i="2"/>
  <c r="CU126" i="2" s="1"/>
  <c r="CV126" i="2" s="1"/>
  <c r="CP126" i="2"/>
  <c r="CQ126" i="2" s="1"/>
  <c r="CR126" i="2" s="1"/>
  <c r="CM126" i="2"/>
  <c r="CN126" i="2" s="1"/>
  <c r="CC126" i="2"/>
  <c r="CD126" i="2" s="1"/>
  <c r="CE126" i="2" s="1"/>
  <c r="BU126" i="2"/>
  <c r="BV126" i="2" s="1"/>
  <c r="BP126" i="2"/>
  <c r="BQ126" i="2" s="1"/>
  <c r="BR126" i="2" s="1"/>
  <c r="BJ126" i="2"/>
  <c r="BH126" i="2"/>
  <c r="BI126" i="2" s="1"/>
  <c r="BA126" i="2"/>
  <c r="BB126" i="2" s="1"/>
  <c r="BC126" i="2" s="1"/>
  <c r="BD126" i="2" s="1"/>
  <c r="AS126" i="2"/>
  <c r="AT126" i="2" s="1"/>
  <c r="AU126" i="2" s="1"/>
  <c r="AV126" i="2" s="1"/>
  <c r="AW126" i="2" s="1"/>
  <c r="AX126" i="2" s="1"/>
  <c r="AN126" i="2"/>
  <c r="AO126" i="2" s="1"/>
  <c r="AP126" i="2" s="1"/>
  <c r="AQ126" i="2" s="1"/>
  <c r="AG126" i="2"/>
  <c r="AH126" i="2" s="1"/>
  <c r="AI126" i="2" s="1"/>
  <c r="AJ126" i="2" s="1"/>
  <c r="AF126" i="2"/>
  <c r="AB126" i="2"/>
  <c r="AC126" i="2" s="1"/>
  <c r="AD126" i="2" s="1"/>
  <c r="AE126" i="2" s="1"/>
  <c r="CT125" i="2"/>
  <c r="CU125" i="2" s="1"/>
  <c r="CV125" i="2" s="1"/>
  <c r="CP125" i="2"/>
  <c r="CQ125" i="2" s="1"/>
  <c r="CR125" i="2" s="1"/>
  <c r="CM125" i="2"/>
  <c r="CN125" i="2" s="1"/>
  <c r="CC125" i="2"/>
  <c r="CD125" i="2" s="1"/>
  <c r="CE125" i="2" s="1"/>
  <c r="BU125" i="2"/>
  <c r="BV125" i="2" s="1"/>
  <c r="BP125" i="2"/>
  <c r="BQ125" i="2" s="1"/>
  <c r="BR125" i="2" s="1"/>
  <c r="BJ125" i="2"/>
  <c r="BH125" i="2"/>
  <c r="BI125" i="2" s="1"/>
  <c r="BA125" i="2"/>
  <c r="BB125" i="2" s="1"/>
  <c r="BC125" i="2" s="1"/>
  <c r="BD125" i="2" s="1"/>
  <c r="AS125" i="2"/>
  <c r="AT125" i="2" s="1"/>
  <c r="AU125" i="2" s="1"/>
  <c r="AV125" i="2" s="1"/>
  <c r="AW125" i="2" s="1"/>
  <c r="AX125" i="2" s="1"/>
  <c r="AN125" i="2"/>
  <c r="AO125" i="2" s="1"/>
  <c r="AP125" i="2" s="1"/>
  <c r="AQ125" i="2" s="1"/>
  <c r="AF125" i="2"/>
  <c r="AB125" i="2"/>
  <c r="AC125" i="2" s="1"/>
  <c r="AD125" i="2" s="1"/>
  <c r="AE125" i="2" s="1"/>
  <c r="CT124" i="2"/>
  <c r="CU124" i="2" s="1"/>
  <c r="CV124" i="2" s="1"/>
  <c r="CP124" i="2"/>
  <c r="CQ124" i="2" s="1"/>
  <c r="CR124" i="2" s="1"/>
  <c r="CM124" i="2"/>
  <c r="CN124" i="2" s="1"/>
  <c r="CC124" i="2"/>
  <c r="CD124" i="2" s="1"/>
  <c r="CE124" i="2" s="1"/>
  <c r="BU124" i="2"/>
  <c r="BV124" i="2" s="1"/>
  <c r="BP124" i="2"/>
  <c r="BQ124" i="2" s="1"/>
  <c r="BR124" i="2" s="1"/>
  <c r="BJ124" i="2"/>
  <c r="BH124" i="2"/>
  <c r="BI124" i="2" s="1"/>
  <c r="BA124" i="2"/>
  <c r="BB124" i="2" s="1"/>
  <c r="BC124" i="2" s="1"/>
  <c r="BD124" i="2" s="1"/>
  <c r="AS124" i="2"/>
  <c r="AT124" i="2" s="1"/>
  <c r="AU124" i="2" s="1"/>
  <c r="AV124" i="2" s="1"/>
  <c r="AW124" i="2" s="1"/>
  <c r="AX124" i="2" s="1"/>
  <c r="AN124" i="2"/>
  <c r="AO124" i="2" s="1"/>
  <c r="AP124" i="2" s="1"/>
  <c r="AQ124" i="2" s="1"/>
  <c r="AG124" i="2"/>
  <c r="AF124" i="2"/>
  <c r="AB124" i="2"/>
  <c r="AC124" i="2" s="1"/>
  <c r="AD124" i="2" s="1"/>
  <c r="AE124" i="2" s="1"/>
  <c r="CT123" i="2"/>
  <c r="CU123" i="2" s="1"/>
  <c r="CV123" i="2" s="1"/>
  <c r="CP123" i="2"/>
  <c r="CQ123" i="2" s="1"/>
  <c r="CR123" i="2" s="1"/>
  <c r="CM123" i="2"/>
  <c r="CN123" i="2" s="1"/>
  <c r="CC123" i="2"/>
  <c r="CD123" i="2" s="1"/>
  <c r="CE123" i="2" s="1"/>
  <c r="BU123" i="2"/>
  <c r="BV123" i="2" s="1"/>
  <c r="BP123" i="2"/>
  <c r="BQ123" i="2" s="1"/>
  <c r="BR123" i="2" s="1"/>
  <c r="BJ123" i="2"/>
  <c r="BH123" i="2"/>
  <c r="BI123" i="2" s="1"/>
  <c r="BB123" i="2"/>
  <c r="BC123" i="2" s="1"/>
  <c r="BD123" i="2" s="1"/>
  <c r="BA123" i="2"/>
  <c r="AS123" i="2"/>
  <c r="AT123" i="2" s="1"/>
  <c r="AU123" i="2" s="1"/>
  <c r="AV123" i="2" s="1"/>
  <c r="AW123" i="2" s="1"/>
  <c r="AX123" i="2" s="1"/>
  <c r="AN123" i="2"/>
  <c r="AO123" i="2" s="1"/>
  <c r="AP123" i="2" s="1"/>
  <c r="AQ123" i="2" s="1"/>
  <c r="AB123" i="2"/>
  <c r="AC123" i="2" s="1"/>
  <c r="AD123" i="2" s="1"/>
  <c r="AE123" i="2" s="1"/>
  <c r="CT122" i="2"/>
  <c r="CU122" i="2" s="1"/>
  <c r="CV122" i="2" s="1"/>
  <c r="CP122" i="2"/>
  <c r="CQ122" i="2" s="1"/>
  <c r="CR122" i="2" s="1"/>
  <c r="CM122" i="2"/>
  <c r="CN122" i="2" s="1"/>
  <c r="CI122" i="2"/>
  <c r="CJ122" i="2" s="1"/>
  <c r="BU122" i="2"/>
  <c r="BV122" i="2" s="1"/>
  <c r="BP122" i="2"/>
  <c r="BQ122" i="2" s="1"/>
  <c r="BR122" i="2" s="1"/>
  <c r="BJ122" i="2"/>
  <c r="BH122" i="2"/>
  <c r="BI122" i="2" s="1"/>
  <c r="BA122" i="2"/>
  <c r="BB122" i="2" s="1"/>
  <c r="BC122" i="2" s="1"/>
  <c r="BD122" i="2" s="1"/>
  <c r="AS122" i="2"/>
  <c r="AT122" i="2" s="1"/>
  <c r="AU122" i="2" s="1"/>
  <c r="AV122" i="2" s="1"/>
  <c r="AW122" i="2" s="1"/>
  <c r="AX122" i="2" s="1"/>
  <c r="AN122" i="2"/>
  <c r="AO122" i="2" s="1"/>
  <c r="AP122" i="2" s="1"/>
  <c r="AQ122" i="2" s="1"/>
  <c r="AF122" i="2"/>
  <c r="CT121" i="2"/>
  <c r="CU121" i="2" s="1"/>
  <c r="CV121" i="2" s="1"/>
  <c r="CP121" i="2"/>
  <c r="CQ121" i="2" s="1"/>
  <c r="CR121" i="2" s="1"/>
  <c r="CM121" i="2"/>
  <c r="CN121" i="2" s="1"/>
  <c r="CI121" i="2"/>
  <c r="CJ121" i="2" s="1"/>
  <c r="BU121" i="2"/>
  <c r="BV121" i="2" s="1"/>
  <c r="BP121" i="2"/>
  <c r="BQ121" i="2" s="1"/>
  <c r="BR121" i="2" s="1"/>
  <c r="BJ121" i="2"/>
  <c r="BH121" i="2"/>
  <c r="BI121" i="2" s="1"/>
  <c r="BA121" i="2"/>
  <c r="BB121" i="2" s="1"/>
  <c r="BC121" i="2" s="1"/>
  <c r="BD121" i="2" s="1"/>
  <c r="AT121" i="2"/>
  <c r="AU121" i="2" s="1"/>
  <c r="AV121" i="2" s="1"/>
  <c r="AW121" i="2" s="1"/>
  <c r="AX121" i="2" s="1"/>
  <c r="AS121" i="2"/>
  <c r="AN121" i="2"/>
  <c r="AO121" i="2" s="1"/>
  <c r="AP121" i="2" s="1"/>
  <c r="AQ121" i="2" s="1"/>
  <c r="CT120" i="2"/>
  <c r="CU120" i="2" s="1"/>
  <c r="CV120" i="2" s="1"/>
  <c r="CP120" i="2"/>
  <c r="CQ120" i="2" s="1"/>
  <c r="CR120" i="2" s="1"/>
  <c r="CM120" i="2"/>
  <c r="CN120" i="2" s="1"/>
  <c r="CC120" i="2"/>
  <c r="CD120" i="2" s="1"/>
  <c r="CE120" i="2" s="1"/>
  <c r="BU120" i="2"/>
  <c r="BV120" i="2" s="1"/>
  <c r="BQ120" i="2"/>
  <c r="BR120" i="2" s="1"/>
  <c r="BP120" i="2"/>
  <c r="BJ120" i="2"/>
  <c r="BH120" i="2"/>
  <c r="BI120" i="2" s="1"/>
  <c r="BA120" i="2"/>
  <c r="BB120" i="2" s="1"/>
  <c r="BC120" i="2" s="1"/>
  <c r="BD120" i="2" s="1"/>
  <c r="AS120" i="2"/>
  <c r="AT120" i="2" s="1"/>
  <c r="AU120" i="2" s="1"/>
  <c r="AV120" i="2" s="1"/>
  <c r="AW120" i="2" s="1"/>
  <c r="AX120" i="2" s="1"/>
  <c r="AN120" i="2"/>
  <c r="AO120" i="2" s="1"/>
  <c r="AP120" i="2" s="1"/>
  <c r="AQ120" i="2" s="1"/>
  <c r="CT119" i="2"/>
  <c r="CU119" i="2" s="1"/>
  <c r="CV119" i="2" s="1"/>
  <c r="CP119" i="2"/>
  <c r="CQ119" i="2" s="1"/>
  <c r="CR119" i="2" s="1"/>
  <c r="CM119" i="2"/>
  <c r="CN119" i="2" s="1"/>
  <c r="CC119" i="2"/>
  <c r="CD119" i="2" s="1"/>
  <c r="CE119" i="2" s="1"/>
  <c r="BU119" i="2"/>
  <c r="BV119" i="2" s="1"/>
  <c r="BP119" i="2"/>
  <c r="BQ119" i="2" s="1"/>
  <c r="BR119" i="2" s="1"/>
  <c r="BJ119" i="2"/>
  <c r="BH119" i="2"/>
  <c r="BI119" i="2" s="1"/>
  <c r="BA119" i="2"/>
  <c r="AS119" i="2"/>
  <c r="AT119" i="2" s="1"/>
  <c r="AU119" i="2" s="1"/>
  <c r="AV119" i="2" s="1"/>
  <c r="AW119" i="2" s="1"/>
  <c r="AX119" i="2" s="1"/>
  <c r="AN119" i="2"/>
  <c r="AO119" i="2" s="1"/>
  <c r="AP119" i="2" s="1"/>
  <c r="AQ119" i="2" s="1"/>
  <c r="AF119" i="2"/>
  <c r="CT118" i="2"/>
  <c r="CU118" i="2" s="1"/>
  <c r="CV118" i="2" s="1"/>
  <c r="CP118" i="2"/>
  <c r="CQ118" i="2" s="1"/>
  <c r="CR118" i="2" s="1"/>
  <c r="CM118" i="2"/>
  <c r="CN118" i="2" s="1"/>
  <c r="CC118" i="2"/>
  <c r="CD118" i="2" s="1"/>
  <c r="CE118" i="2" s="1"/>
  <c r="BU118" i="2"/>
  <c r="BV118" i="2" s="1"/>
  <c r="BP118" i="2"/>
  <c r="BQ118" i="2" s="1"/>
  <c r="BR118" i="2" s="1"/>
  <c r="BJ118" i="2"/>
  <c r="BH118" i="2"/>
  <c r="BI118" i="2" s="1"/>
  <c r="BA118" i="2"/>
  <c r="BB118" i="2" s="1"/>
  <c r="BC118" i="2" s="1"/>
  <c r="BD118" i="2" s="1"/>
  <c r="AS118" i="2"/>
  <c r="AT118" i="2" s="1"/>
  <c r="AU118" i="2" s="1"/>
  <c r="AV118" i="2" s="1"/>
  <c r="AW118" i="2" s="1"/>
  <c r="AX118" i="2" s="1"/>
  <c r="AN118" i="2"/>
  <c r="AO118" i="2" s="1"/>
  <c r="AP118" i="2" s="1"/>
  <c r="AQ118" i="2" s="1"/>
  <c r="CT117" i="2"/>
  <c r="CU117" i="2" s="1"/>
  <c r="CV117" i="2" s="1"/>
  <c r="CP117" i="2"/>
  <c r="CQ117" i="2" s="1"/>
  <c r="CR117" i="2" s="1"/>
  <c r="CM117" i="2"/>
  <c r="CN117" i="2" s="1"/>
  <c r="CC117" i="2"/>
  <c r="CD117" i="2" s="1"/>
  <c r="CE117" i="2" s="1"/>
  <c r="BU117" i="2"/>
  <c r="BV117" i="2" s="1"/>
  <c r="BP117" i="2"/>
  <c r="BQ117" i="2" s="1"/>
  <c r="BR117" i="2" s="1"/>
  <c r="BJ117" i="2"/>
  <c r="BI117" i="2"/>
  <c r="BH117" i="2"/>
  <c r="BA117" i="2"/>
  <c r="AS117" i="2"/>
  <c r="AT117" i="2" s="1"/>
  <c r="AU117" i="2" s="1"/>
  <c r="AV117" i="2" s="1"/>
  <c r="AW117" i="2" s="1"/>
  <c r="AX117" i="2" s="1"/>
  <c r="AN117" i="2"/>
  <c r="AO117" i="2" s="1"/>
  <c r="AP117" i="2" s="1"/>
  <c r="AQ117" i="2" s="1"/>
  <c r="AF117" i="2"/>
  <c r="AB117" i="2"/>
  <c r="AC117" i="2" s="1"/>
  <c r="AD117" i="2" s="1"/>
  <c r="AE117" i="2" s="1"/>
  <c r="AG117" i="2"/>
  <c r="CT116" i="2"/>
  <c r="CU116" i="2" s="1"/>
  <c r="CV116" i="2" s="1"/>
  <c r="CP116" i="2"/>
  <c r="CQ116" i="2" s="1"/>
  <c r="CR116" i="2" s="1"/>
  <c r="CM116" i="2"/>
  <c r="CN116" i="2" s="1"/>
  <c r="CC116" i="2"/>
  <c r="CD116" i="2" s="1"/>
  <c r="CE116" i="2" s="1"/>
  <c r="BU116" i="2"/>
  <c r="BV116" i="2" s="1"/>
  <c r="BP116" i="2"/>
  <c r="BQ116" i="2" s="1"/>
  <c r="BR116" i="2" s="1"/>
  <c r="BJ116" i="2"/>
  <c r="BH116" i="2"/>
  <c r="BI116" i="2" s="1"/>
  <c r="BA116" i="2"/>
  <c r="BB116" i="2" s="1"/>
  <c r="BC116" i="2" s="1"/>
  <c r="BD116" i="2" s="1"/>
  <c r="AS116" i="2"/>
  <c r="AT116" i="2" s="1"/>
  <c r="AU116" i="2" s="1"/>
  <c r="AV116" i="2" s="1"/>
  <c r="AW116" i="2" s="1"/>
  <c r="AX116" i="2" s="1"/>
  <c r="AN116" i="2"/>
  <c r="AO116" i="2" s="1"/>
  <c r="AP116" i="2" s="1"/>
  <c r="AQ116" i="2" s="1"/>
  <c r="AB116" i="2"/>
  <c r="AC116" i="2" s="1"/>
  <c r="AD116" i="2" s="1"/>
  <c r="AE116" i="2" s="1"/>
  <c r="CT115" i="2"/>
  <c r="CU115" i="2" s="1"/>
  <c r="CV115" i="2" s="1"/>
  <c r="CP115" i="2"/>
  <c r="CQ115" i="2" s="1"/>
  <c r="CR115" i="2" s="1"/>
  <c r="CM115" i="2"/>
  <c r="CN115" i="2" s="1"/>
  <c r="CC115" i="2"/>
  <c r="CD115" i="2" s="1"/>
  <c r="CE115" i="2" s="1"/>
  <c r="BU115" i="2"/>
  <c r="BV115" i="2" s="1"/>
  <c r="BP115" i="2"/>
  <c r="BQ115" i="2" s="1"/>
  <c r="BR115" i="2" s="1"/>
  <c r="BJ115" i="2"/>
  <c r="BH115" i="2"/>
  <c r="BI115" i="2" s="1"/>
  <c r="BA115" i="2"/>
  <c r="BB115" i="2" s="1"/>
  <c r="BC115" i="2" s="1"/>
  <c r="BD115" i="2" s="1"/>
  <c r="AT115" i="2"/>
  <c r="AU115" i="2" s="1"/>
  <c r="AV115" i="2" s="1"/>
  <c r="AW115" i="2" s="1"/>
  <c r="AX115" i="2" s="1"/>
  <c r="AS115" i="2"/>
  <c r="AN115" i="2"/>
  <c r="AO115" i="2" s="1"/>
  <c r="AP115" i="2" s="1"/>
  <c r="AQ115" i="2" s="1"/>
  <c r="CT114" i="2"/>
  <c r="CU114" i="2" s="1"/>
  <c r="CV114" i="2" s="1"/>
  <c r="CP114" i="2"/>
  <c r="CQ114" i="2" s="1"/>
  <c r="CR114" i="2" s="1"/>
  <c r="CM114" i="2"/>
  <c r="CN114" i="2" s="1"/>
  <c r="CD114" i="2"/>
  <c r="CE114" i="2" s="1"/>
  <c r="CC114" i="2"/>
  <c r="BU114" i="2"/>
  <c r="BV114" i="2" s="1"/>
  <c r="BP114" i="2"/>
  <c r="BQ114" i="2" s="1"/>
  <c r="BR114" i="2" s="1"/>
  <c r="BJ114" i="2"/>
  <c r="BH114" i="2"/>
  <c r="BI114" i="2" s="1"/>
  <c r="BA114" i="2"/>
  <c r="AS114" i="2"/>
  <c r="AT114" i="2" s="1"/>
  <c r="AU114" i="2" s="1"/>
  <c r="AV114" i="2" s="1"/>
  <c r="AW114" i="2" s="1"/>
  <c r="AX114" i="2" s="1"/>
  <c r="AP114" i="2"/>
  <c r="AQ114" i="2" s="1"/>
  <c r="AN114" i="2"/>
  <c r="AO114" i="2" s="1"/>
  <c r="AF114" i="2"/>
  <c r="AB114" i="2"/>
  <c r="AC114" i="2" s="1"/>
  <c r="AD114" i="2" s="1"/>
  <c r="AE114" i="2" s="1"/>
  <c r="AG114" i="2"/>
  <c r="CT113" i="2"/>
  <c r="CU113" i="2" s="1"/>
  <c r="CV113" i="2" s="1"/>
  <c r="CP113" i="2"/>
  <c r="CQ113" i="2" s="1"/>
  <c r="CR113" i="2" s="1"/>
  <c r="CM113" i="2"/>
  <c r="CN113" i="2" s="1"/>
  <c r="CC113" i="2"/>
  <c r="CD113" i="2" s="1"/>
  <c r="CE113" i="2" s="1"/>
  <c r="BU113" i="2"/>
  <c r="BV113" i="2" s="1"/>
  <c r="BP113" i="2"/>
  <c r="BQ113" i="2" s="1"/>
  <c r="BR113" i="2" s="1"/>
  <c r="BJ113" i="2"/>
  <c r="BH113" i="2"/>
  <c r="BI113" i="2" s="1"/>
  <c r="BA113" i="2"/>
  <c r="BB113" i="2" s="1"/>
  <c r="BC113" i="2" s="1"/>
  <c r="BD113" i="2" s="1"/>
  <c r="AS113" i="2"/>
  <c r="AT113" i="2" s="1"/>
  <c r="AU113" i="2" s="1"/>
  <c r="AV113" i="2" s="1"/>
  <c r="AW113" i="2" s="1"/>
  <c r="AX113" i="2" s="1"/>
  <c r="AN113" i="2"/>
  <c r="AO113" i="2" s="1"/>
  <c r="AP113" i="2" s="1"/>
  <c r="AQ113" i="2" s="1"/>
  <c r="AG113" i="2"/>
  <c r="AF113" i="2"/>
  <c r="AB113" i="2"/>
  <c r="AC113" i="2" s="1"/>
  <c r="AD113" i="2" s="1"/>
  <c r="AE113" i="2" s="1"/>
  <c r="CT112" i="2"/>
  <c r="CU112" i="2" s="1"/>
  <c r="CV112" i="2" s="1"/>
  <c r="CP112" i="2"/>
  <c r="CQ112" i="2" s="1"/>
  <c r="CR112" i="2" s="1"/>
  <c r="CM112" i="2"/>
  <c r="CN112" i="2" s="1"/>
  <c r="CC112" i="2"/>
  <c r="CD112" i="2" s="1"/>
  <c r="CE112" i="2" s="1"/>
  <c r="BU112" i="2"/>
  <c r="BV112" i="2" s="1"/>
  <c r="BP112" i="2"/>
  <c r="BQ112" i="2" s="1"/>
  <c r="BR112" i="2" s="1"/>
  <c r="BJ112" i="2"/>
  <c r="BI112" i="2"/>
  <c r="BH112" i="2"/>
  <c r="BA112" i="2"/>
  <c r="AS112" i="2"/>
  <c r="AT112" i="2" s="1"/>
  <c r="AU112" i="2" s="1"/>
  <c r="AV112" i="2" s="1"/>
  <c r="AW112" i="2" s="1"/>
  <c r="AX112" i="2" s="1"/>
  <c r="AN112" i="2"/>
  <c r="AO112" i="2" s="1"/>
  <c r="AP112" i="2" s="1"/>
  <c r="AQ112" i="2" s="1"/>
  <c r="AG112" i="2"/>
  <c r="AF112" i="2"/>
  <c r="AB112" i="2"/>
  <c r="AC112" i="2" s="1"/>
  <c r="AD112" i="2" s="1"/>
  <c r="AE112" i="2" s="1"/>
  <c r="CT111" i="2"/>
  <c r="CU111" i="2" s="1"/>
  <c r="CV111" i="2" s="1"/>
  <c r="CP111" i="2"/>
  <c r="CQ111" i="2" s="1"/>
  <c r="CR111" i="2" s="1"/>
  <c r="CM111" i="2"/>
  <c r="CN111" i="2" s="1"/>
  <c r="CC111" i="2"/>
  <c r="CD111" i="2" s="1"/>
  <c r="CE111" i="2" s="1"/>
  <c r="BU111" i="2"/>
  <c r="BV111" i="2" s="1"/>
  <c r="BQ111" i="2"/>
  <c r="BR111" i="2" s="1"/>
  <c r="BP111" i="2"/>
  <c r="BJ111" i="2"/>
  <c r="BH111" i="2"/>
  <c r="BI111" i="2" s="1"/>
  <c r="BA111" i="2"/>
  <c r="BB111" i="2" s="1"/>
  <c r="BC111" i="2" s="1"/>
  <c r="BD111" i="2" s="1"/>
  <c r="AS111" i="2"/>
  <c r="AT111" i="2" s="1"/>
  <c r="AU111" i="2" s="1"/>
  <c r="AV111" i="2" s="1"/>
  <c r="AW111" i="2" s="1"/>
  <c r="AX111" i="2" s="1"/>
  <c r="AN111" i="2"/>
  <c r="AO111" i="2" s="1"/>
  <c r="AP111" i="2" s="1"/>
  <c r="AQ111" i="2" s="1"/>
  <c r="AF111" i="2"/>
  <c r="CT110" i="2"/>
  <c r="CU110" i="2" s="1"/>
  <c r="CV110" i="2" s="1"/>
  <c r="CP110" i="2"/>
  <c r="CQ110" i="2" s="1"/>
  <c r="CR110" i="2" s="1"/>
  <c r="CM110" i="2"/>
  <c r="CN110" i="2" s="1"/>
  <c r="CC110" i="2"/>
  <c r="CD110" i="2" s="1"/>
  <c r="CE110" i="2" s="1"/>
  <c r="BU110" i="2"/>
  <c r="BV110" i="2" s="1"/>
  <c r="BP110" i="2"/>
  <c r="BQ110" i="2" s="1"/>
  <c r="BR110" i="2" s="1"/>
  <c r="BJ110" i="2"/>
  <c r="BH110" i="2"/>
  <c r="BI110" i="2" s="1"/>
  <c r="BA110" i="2"/>
  <c r="BB110" i="2" s="1"/>
  <c r="BC110" i="2" s="1"/>
  <c r="BD110" i="2" s="1"/>
  <c r="AS110" i="2"/>
  <c r="AT110" i="2" s="1"/>
  <c r="AU110" i="2" s="1"/>
  <c r="AV110" i="2" s="1"/>
  <c r="AW110" i="2" s="1"/>
  <c r="AX110" i="2" s="1"/>
  <c r="AN110" i="2"/>
  <c r="AO110" i="2" s="1"/>
  <c r="AP110" i="2" s="1"/>
  <c r="AQ110" i="2" s="1"/>
  <c r="CT109" i="2"/>
  <c r="CU109" i="2" s="1"/>
  <c r="CV109" i="2" s="1"/>
  <c r="CP109" i="2"/>
  <c r="CQ109" i="2" s="1"/>
  <c r="CR109" i="2" s="1"/>
  <c r="CM109" i="2"/>
  <c r="CN109" i="2" s="1"/>
  <c r="CD109" i="2"/>
  <c r="CE109" i="2" s="1"/>
  <c r="CC109" i="2"/>
  <c r="BU109" i="2"/>
  <c r="BV109" i="2" s="1"/>
  <c r="BP109" i="2"/>
  <c r="BQ109" i="2" s="1"/>
  <c r="BR109" i="2" s="1"/>
  <c r="BJ109" i="2"/>
  <c r="BH109" i="2"/>
  <c r="BI109" i="2" s="1"/>
  <c r="BA109" i="2"/>
  <c r="BB109" i="2" s="1"/>
  <c r="BC109" i="2" s="1"/>
  <c r="BD109" i="2" s="1"/>
  <c r="AS109" i="2"/>
  <c r="AT109" i="2" s="1"/>
  <c r="AU109" i="2" s="1"/>
  <c r="AV109" i="2" s="1"/>
  <c r="AW109" i="2" s="1"/>
  <c r="AX109" i="2" s="1"/>
  <c r="AN109" i="2"/>
  <c r="AO109" i="2" s="1"/>
  <c r="AP109" i="2" s="1"/>
  <c r="AQ109" i="2" s="1"/>
  <c r="AB109" i="2"/>
  <c r="AC109" i="2" s="1"/>
  <c r="AD109" i="2" s="1"/>
  <c r="AE109" i="2" s="1"/>
  <c r="CT108" i="2"/>
  <c r="CU108" i="2" s="1"/>
  <c r="CV108" i="2" s="1"/>
  <c r="CP108" i="2"/>
  <c r="CQ108" i="2" s="1"/>
  <c r="CR108" i="2" s="1"/>
  <c r="CM108" i="2"/>
  <c r="CN108" i="2" s="1"/>
  <c r="CC108" i="2"/>
  <c r="CD108" i="2" s="1"/>
  <c r="CE108" i="2" s="1"/>
  <c r="BU108" i="2"/>
  <c r="BV108" i="2" s="1"/>
  <c r="BP108" i="2"/>
  <c r="BQ108" i="2" s="1"/>
  <c r="BR108" i="2" s="1"/>
  <c r="BJ108" i="2"/>
  <c r="BH108" i="2"/>
  <c r="BI108" i="2" s="1"/>
  <c r="BA108" i="2"/>
  <c r="BB108" i="2" s="1"/>
  <c r="BC108" i="2" s="1"/>
  <c r="BD108" i="2" s="1"/>
  <c r="AS108" i="2"/>
  <c r="AT108" i="2" s="1"/>
  <c r="AU108" i="2" s="1"/>
  <c r="AV108" i="2" s="1"/>
  <c r="AW108" i="2" s="1"/>
  <c r="AX108" i="2" s="1"/>
  <c r="AN108" i="2"/>
  <c r="AO108" i="2" s="1"/>
  <c r="AP108" i="2" s="1"/>
  <c r="AQ108" i="2" s="1"/>
  <c r="CT107" i="2"/>
  <c r="CU107" i="2" s="1"/>
  <c r="CV107" i="2" s="1"/>
  <c r="CP107" i="2"/>
  <c r="CQ107" i="2" s="1"/>
  <c r="CR107" i="2" s="1"/>
  <c r="CM107" i="2"/>
  <c r="CN107" i="2" s="1"/>
  <c r="CC107" i="2"/>
  <c r="CD107" i="2" s="1"/>
  <c r="CE107" i="2" s="1"/>
  <c r="BU107" i="2"/>
  <c r="BV107" i="2" s="1"/>
  <c r="BP107" i="2"/>
  <c r="BQ107" i="2" s="1"/>
  <c r="BR107" i="2" s="1"/>
  <c r="BJ107" i="2"/>
  <c r="BH107" i="2"/>
  <c r="BI107" i="2" s="1"/>
  <c r="BA107" i="2"/>
  <c r="BB107" i="2" s="1"/>
  <c r="BC107" i="2" s="1"/>
  <c r="BD107" i="2" s="1"/>
  <c r="AT107" i="2"/>
  <c r="AU107" i="2" s="1"/>
  <c r="AV107" i="2" s="1"/>
  <c r="AW107" i="2" s="1"/>
  <c r="AX107" i="2" s="1"/>
  <c r="AS107" i="2"/>
  <c r="AN107" i="2"/>
  <c r="AO107" i="2" s="1"/>
  <c r="AP107" i="2" s="1"/>
  <c r="AQ107" i="2" s="1"/>
  <c r="AF107" i="2"/>
  <c r="CT106" i="2"/>
  <c r="CU106" i="2" s="1"/>
  <c r="CV106" i="2" s="1"/>
  <c r="CP106" i="2"/>
  <c r="CQ106" i="2" s="1"/>
  <c r="CR106" i="2" s="1"/>
  <c r="CM106" i="2"/>
  <c r="CN106" i="2" s="1"/>
  <c r="CC106" i="2"/>
  <c r="CD106" i="2" s="1"/>
  <c r="CE106" i="2" s="1"/>
  <c r="BU106" i="2"/>
  <c r="BV106" i="2" s="1"/>
  <c r="BQ106" i="2"/>
  <c r="BR106" i="2" s="1"/>
  <c r="BP106" i="2"/>
  <c r="BJ106" i="2"/>
  <c r="BH106" i="2"/>
  <c r="BI106" i="2" s="1"/>
  <c r="BA106" i="2"/>
  <c r="BB106" i="2" s="1"/>
  <c r="BC106" i="2" s="1"/>
  <c r="BD106" i="2" s="1"/>
  <c r="AS106" i="2"/>
  <c r="AT106" i="2" s="1"/>
  <c r="AU106" i="2" s="1"/>
  <c r="AV106" i="2" s="1"/>
  <c r="AW106" i="2" s="1"/>
  <c r="AX106" i="2" s="1"/>
  <c r="AN106" i="2"/>
  <c r="AO106" i="2" s="1"/>
  <c r="AP106" i="2" s="1"/>
  <c r="AQ106" i="2" s="1"/>
  <c r="AG106" i="2"/>
  <c r="AB106" i="2"/>
  <c r="AC106" i="2" s="1"/>
  <c r="AD106" i="2" s="1"/>
  <c r="AE106" i="2" s="1"/>
  <c r="CT105" i="2"/>
  <c r="CU105" i="2" s="1"/>
  <c r="CV105" i="2" s="1"/>
  <c r="CP105" i="2"/>
  <c r="CQ105" i="2" s="1"/>
  <c r="CR105" i="2" s="1"/>
  <c r="CM105" i="2"/>
  <c r="CN105" i="2" s="1"/>
  <c r="CC105" i="2"/>
  <c r="CD105" i="2" s="1"/>
  <c r="CE105" i="2" s="1"/>
  <c r="BU105" i="2"/>
  <c r="BV105" i="2" s="1"/>
  <c r="BR105" i="2"/>
  <c r="BP105" i="2"/>
  <c r="BQ105" i="2" s="1"/>
  <c r="BJ105" i="2"/>
  <c r="BH105" i="2"/>
  <c r="BI105" i="2" s="1"/>
  <c r="BA105" i="2"/>
  <c r="BB105" i="2" s="1"/>
  <c r="BC105" i="2" s="1"/>
  <c r="BD105" i="2" s="1"/>
  <c r="AS105" i="2"/>
  <c r="AT105" i="2" s="1"/>
  <c r="AU105" i="2" s="1"/>
  <c r="AV105" i="2" s="1"/>
  <c r="AW105" i="2" s="1"/>
  <c r="AX105" i="2" s="1"/>
  <c r="AN105" i="2"/>
  <c r="AO105" i="2" s="1"/>
  <c r="AP105" i="2" s="1"/>
  <c r="AQ105" i="2" s="1"/>
  <c r="AF105" i="2"/>
  <c r="CT104" i="2"/>
  <c r="CU104" i="2" s="1"/>
  <c r="CV104" i="2" s="1"/>
  <c r="CP104" i="2"/>
  <c r="CQ104" i="2" s="1"/>
  <c r="CR104" i="2" s="1"/>
  <c r="CM104" i="2"/>
  <c r="CN104" i="2" s="1"/>
  <c r="CC104" i="2"/>
  <c r="CD104" i="2" s="1"/>
  <c r="CE104" i="2" s="1"/>
  <c r="BU104" i="2"/>
  <c r="BV104" i="2" s="1"/>
  <c r="BP104" i="2"/>
  <c r="BQ104" i="2" s="1"/>
  <c r="BR104" i="2" s="1"/>
  <c r="BJ104" i="2"/>
  <c r="BH104" i="2"/>
  <c r="BI104" i="2" s="1"/>
  <c r="BA104" i="2"/>
  <c r="BB104" i="2" s="1"/>
  <c r="BC104" i="2" s="1"/>
  <c r="BD104" i="2" s="1"/>
  <c r="AS104" i="2"/>
  <c r="AT104" i="2" s="1"/>
  <c r="AU104" i="2" s="1"/>
  <c r="AV104" i="2" s="1"/>
  <c r="AW104" i="2" s="1"/>
  <c r="AX104" i="2" s="1"/>
  <c r="AN104" i="2"/>
  <c r="AO104" i="2" s="1"/>
  <c r="AP104" i="2" s="1"/>
  <c r="AQ104" i="2" s="1"/>
  <c r="AG104" i="2"/>
  <c r="CT103" i="2"/>
  <c r="CU103" i="2" s="1"/>
  <c r="CV103" i="2" s="1"/>
  <c r="CP103" i="2"/>
  <c r="CQ103" i="2" s="1"/>
  <c r="CR103" i="2" s="1"/>
  <c r="CM103" i="2"/>
  <c r="CN103" i="2" s="1"/>
  <c r="CC103" i="2"/>
  <c r="CD103" i="2" s="1"/>
  <c r="CE103" i="2" s="1"/>
  <c r="BU103" i="2"/>
  <c r="BV103" i="2" s="1"/>
  <c r="BP103" i="2"/>
  <c r="BQ103" i="2" s="1"/>
  <c r="BR103" i="2" s="1"/>
  <c r="BJ103" i="2"/>
  <c r="BH103" i="2"/>
  <c r="BI103" i="2" s="1"/>
  <c r="BA103" i="2"/>
  <c r="BB103" i="2" s="1"/>
  <c r="BC103" i="2" s="1"/>
  <c r="BD103" i="2" s="1"/>
  <c r="AS103" i="2"/>
  <c r="AT103" i="2" s="1"/>
  <c r="AU103" i="2" s="1"/>
  <c r="AV103" i="2" s="1"/>
  <c r="AW103" i="2" s="1"/>
  <c r="AX103" i="2" s="1"/>
  <c r="AN103" i="2"/>
  <c r="AO103" i="2" s="1"/>
  <c r="AP103" i="2" s="1"/>
  <c r="AQ103" i="2" s="1"/>
  <c r="CT102" i="2"/>
  <c r="CU102" i="2" s="1"/>
  <c r="CV102" i="2" s="1"/>
  <c r="CP102" i="2"/>
  <c r="CQ102" i="2" s="1"/>
  <c r="CR102" i="2" s="1"/>
  <c r="CM102" i="2"/>
  <c r="CN102" i="2" s="1"/>
  <c r="CI102" i="2"/>
  <c r="CJ102" i="2" s="1"/>
  <c r="BU102" i="2"/>
  <c r="BV102" i="2" s="1"/>
  <c r="BP102" i="2"/>
  <c r="BQ102" i="2" s="1"/>
  <c r="BR102" i="2" s="1"/>
  <c r="BJ102" i="2"/>
  <c r="BH102" i="2"/>
  <c r="BI102" i="2" s="1"/>
  <c r="BA102" i="2"/>
  <c r="AS102" i="2"/>
  <c r="AT102" i="2" s="1"/>
  <c r="AU102" i="2" s="1"/>
  <c r="AV102" i="2" s="1"/>
  <c r="AW102" i="2" s="1"/>
  <c r="AX102" i="2" s="1"/>
  <c r="AN102" i="2"/>
  <c r="AO102" i="2" s="1"/>
  <c r="AP102" i="2" s="1"/>
  <c r="AQ102" i="2" s="1"/>
  <c r="CT101" i="2"/>
  <c r="CU101" i="2" s="1"/>
  <c r="CV101" i="2" s="1"/>
  <c r="CP101" i="2"/>
  <c r="CQ101" i="2" s="1"/>
  <c r="CR101" i="2" s="1"/>
  <c r="CN101" i="2"/>
  <c r="CM101" i="2"/>
  <c r="CC101" i="2"/>
  <c r="CD101" i="2" s="1"/>
  <c r="CE101" i="2" s="1"/>
  <c r="BU101" i="2"/>
  <c r="BV101" i="2" s="1"/>
  <c r="BP101" i="2"/>
  <c r="BQ101" i="2" s="1"/>
  <c r="BR101" i="2" s="1"/>
  <c r="BJ101" i="2"/>
  <c r="BH101" i="2"/>
  <c r="BI101" i="2" s="1"/>
  <c r="BA101" i="2"/>
  <c r="BB101" i="2" s="1"/>
  <c r="BC101" i="2" s="1"/>
  <c r="BD101" i="2" s="1"/>
  <c r="AS101" i="2"/>
  <c r="AT101" i="2" s="1"/>
  <c r="AU101" i="2" s="1"/>
  <c r="AV101" i="2" s="1"/>
  <c r="AW101" i="2" s="1"/>
  <c r="AX101" i="2" s="1"/>
  <c r="AN101" i="2"/>
  <c r="AO101" i="2" s="1"/>
  <c r="AP101" i="2" s="1"/>
  <c r="AQ101" i="2" s="1"/>
  <c r="AG101" i="2"/>
  <c r="AF101" i="2"/>
  <c r="AB101" i="2"/>
  <c r="AC101" i="2" s="1"/>
  <c r="AD101" i="2" s="1"/>
  <c r="AE101" i="2" s="1"/>
  <c r="CT100" i="2"/>
  <c r="CU100" i="2" s="1"/>
  <c r="CV100" i="2" s="1"/>
  <c r="CQ100" i="2"/>
  <c r="CR100" i="2" s="1"/>
  <c r="CP100" i="2"/>
  <c r="CM100" i="2"/>
  <c r="CN100" i="2" s="1"/>
  <c r="CC100" i="2"/>
  <c r="CD100" i="2" s="1"/>
  <c r="CE100" i="2" s="1"/>
  <c r="BU100" i="2"/>
  <c r="BV100" i="2" s="1"/>
  <c r="BP100" i="2"/>
  <c r="BQ100" i="2" s="1"/>
  <c r="BR100" i="2" s="1"/>
  <c r="BJ100" i="2"/>
  <c r="BH100" i="2"/>
  <c r="BI100" i="2" s="1"/>
  <c r="BA100" i="2"/>
  <c r="BB100" i="2" s="1"/>
  <c r="BC100" i="2" s="1"/>
  <c r="BD100" i="2" s="1"/>
  <c r="AS100" i="2"/>
  <c r="AT100" i="2" s="1"/>
  <c r="AU100" i="2" s="1"/>
  <c r="AV100" i="2" s="1"/>
  <c r="AW100" i="2" s="1"/>
  <c r="AX100" i="2" s="1"/>
  <c r="AN100" i="2"/>
  <c r="AO100" i="2" s="1"/>
  <c r="AP100" i="2" s="1"/>
  <c r="AQ100" i="2" s="1"/>
  <c r="AF100" i="2"/>
  <c r="CT99" i="2"/>
  <c r="CU99" i="2" s="1"/>
  <c r="CV99" i="2" s="1"/>
  <c r="CP99" i="2"/>
  <c r="CQ99" i="2" s="1"/>
  <c r="CR99" i="2" s="1"/>
  <c r="CM99" i="2"/>
  <c r="CN99" i="2" s="1"/>
  <c r="CC99" i="2"/>
  <c r="CD99" i="2" s="1"/>
  <c r="CE99" i="2" s="1"/>
  <c r="BV99" i="2"/>
  <c r="BU99" i="2"/>
  <c r="BP99" i="2"/>
  <c r="BQ99" i="2" s="1"/>
  <c r="BR99" i="2" s="1"/>
  <c r="BJ99" i="2"/>
  <c r="BH99" i="2"/>
  <c r="BI99" i="2" s="1"/>
  <c r="BA99" i="2"/>
  <c r="BB99" i="2" s="1"/>
  <c r="BC99" i="2" s="1"/>
  <c r="BD99" i="2" s="1"/>
  <c r="AS99" i="2"/>
  <c r="AT99" i="2" s="1"/>
  <c r="AU99" i="2" s="1"/>
  <c r="AV99" i="2" s="1"/>
  <c r="AW99" i="2" s="1"/>
  <c r="AX99" i="2" s="1"/>
  <c r="AN99" i="2"/>
  <c r="AO99" i="2" s="1"/>
  <c r="AP99" i="2" s="1"/>
  <c r="AQ99" i="2" s="1"/>
  <c r="AF99" i="2"/>
  <c r="CT98" i="2"/>
  <c r="CU98" i="2" s="1"/>
  <c r="CV98" i="2" s="1"/>
  <c r="CP98" i="2"/>
  <c r="CQ98" i="2" s="1"/>
  <c r="CR98" i="2" s="1"/>
  <c r="CM98" i="2"/>
  <c r="CN98" i="2" s="1"/>
  <c r="CC98" i="2"/>
  <c r="CD98" i="2" s="1"/>
  <c r="CE98" i="2" s="1"/>
  <c r="BU98" i="2"/>
  <c r="BV98" i="2" s="1"/>
  <c r="BP98" i="2"/>
  <c r="BQ98" i="2" s="1"/>
  <c r="BR98" i="2" s="1"/>
  <c r="BJ98" i="2"/>
  <c r="BH98" i="2"/>
  <c r="BI98" i="2" s="1"/>
  <c r="BA98" i="2"/>
  <c r="BB98" i="2" s="1"/>
  <c r="BC98" i="2" s="1"/>
  <c r="BD98" i="2" s="1"/>
  <c r="AS98" i="2"/>
  <c r="AT98" i="2" s="1"/>
  <c r="AU98" i="2" s="1"/>
  <c r="AV98" i="2" s="1"/>
  <c r="AW98" i="2" s="1"/>
  <c r="AX98" i="2" s="1"/>
  <c r="AN98" i="2"/>
  <c r="AO98" i="2" s="1"/>
  <c r="AP98" i="2" s="1"/>
  <c r="AQ98" i="2" s="1"/>
  <c r="AG98" i="2"/>
  <c r="AF98" i="2"/>
  <c r="AB98" i="2"/>
  <c r="AC98" i="2" s="1"/>
  <c r="AD98" i="2" s="1"/>
  <c r="AE98" i="2" s="1"/>
  <c r="CT97" i="2"/>
  <c r="CU97" i="2" s="1"/>
  <c r="CV97" i="2" s="1"/>
  <c r="CP97" i="2"/>
  <c r="CQ97" i="2" s="1"/>
  <c r="CR97" i="2" s="1"/>
  <c r="CM97" i="2"/>
  <c r="CN97" i="2" s="1"/>
  <c r="CC97" i="2"/>
  <c r="CD97" i="2" s="1"/>
  <c r="CE97" i="2" s="1"/>
  <c r="BU97" i="2"/>
  <c r="BV97" i="2" s="1"/>
  <c r="BP97" i="2"/>
  <c r="BQ97" i="2" s="1"/>
  <c r="BR97" i="2" s="1"/>
  <c r="BJ97" i="2"/>
  <c r="BH97" i="2"/>
  <c r="BI97" i="2" s="1"/>
  <c r="BA97" i="2"/>
  <c r="BB97" i="2" s="1"/>
  <c r="BC97" i="2" s="1"/>
  <c r="BD97" i="2" s="1"/>
  <c r="AS97" i="2"/>
  <c r="AT97" i="2" s="1"/>
  <c r="AU97" i="2" s="1"/>
  <c r="AV97" i="2" s="1"/>
  <c r="AW97" i="2" s="1"/>
  <c r="AX97" i="2" s="1"/>
  <c r="AN97" i="2"/>
  <c r="AO97" i="2" s="1"/>
  <c r="AP97" i="2" s="1"/>
  <c r="AQ97" i="2" s="1"/>
  <c r="AB97" i="2"/>
  <c r="AC97" i="2" s="1"/>
  <c r="AD97" i="2" s="1"/>
  <c r="AE97" i="2" s="1"/>
  <c r="CT96" i="2"/>
  <c r="CU96" i="2" s="1"/>
  <c r="CV96" i="2" s="1"/>
  <c r="CQ96" i="2"/>
  <c r="CR96" i="2" s="1"/>
  <c r="CP96" i="2"/>
  <c r="CM96" i="2"/>
  <c r="CN96" i="2" s="1"/>
  <c r="CC96" i="2"/>
  <c r="CD96" i="2" s="1"/>
  <c r="CE96" i="2" s="1"/>
  <c r="BU96" i="2"/>
  <c r="BV96" i="2" s="1"/>
  <c r="BP96" i="2"/>
  <c r="BQ96" i="2" s="1"/>
  <c r="BR96" i="2" s="1"/>
  <c r="BJ96" i="2"/>
  <c r="BH96" i="2"/>
  <c r="BI96" i="2" s="1"/>
  <c r="BA96" i="2"/>
  <c r="AS96" i="2"/>
  <c r="AT96" i="2" s="1"/>
  <c r="AU96" i="2" s="1"/>
  <c r="AV96" i="2" s="1"/>
  <c r="AW96" i="2" s="1"/>
  <c r="AX96" i="2" s="1"/>
  <c r="AN96" i="2"/>
  <c r="AO96" i="2" s="1"/>
  <c r="AP96" i="2" s="1"/>
  <c r="AQ96" i="2" s="1"/>
  <c r="AB96" i="2"/>
  <c r="AC96" i="2" s="1"/>
  <c r="AD96" i="2" s="1"/>
  <c r="AE96" i="2" s="1"/>
  <c r="AG96" i="2"/>
  <c r="AF96" i="2"/>
  <c r="CT95" i="2"/>
  <c r="CU95" i="2" s="1"/>
  <c r="CV95" i="2" s="1"/>
  <c r="CP95" i="2"/>
  <c r="CQ95" i="2" s="1"/>
  <c r="CR95" i="2" s="1"/>
  <c r="CM95" i="2"/>
  <c r="CN95" i="2" s="1"/>
  <c r="CD95" i="2"/>
  <c r="CE95" i="2" s="1"/>
  <c r="CC95" i="2"/>
  <c r="BU95" i="2"/>
  <c r="BV95" i="2" s="1"/>
  <c r="BP95" i="2"/>
  <c r="BQ95" i="2" s="1"/>
  <c r="BR95" i="2" s="1"/>
  <c r="BJ95" i="2"/>
  <c r="BH95" i="2"/>
  <c r="BI95" i="2" s="1"/>
  <c r="BA95" i="2"/>
  <c r="BB95" i="2" s="1"/>
  <c r="BC95" i="2" s="1"/>
  <c r="BD95" i="2" s="1"/>
  <c r="AS95" i="2"/>
  <c r="AT95" i="2" s="1"/>
  <c r="AU95" i="2" s="1"/>
  <c r="AV95" i="2" s="1"/>
  <c r="AW95" i="2" s="1"/>
  <c r="AX95" i="2" s="1"/>
  <c r="AO95" i="2"/>
  <c r="AP95" i="2" s="1"/>
  <c r="AQ95" i="2" s="1"/>
  <c r="AN95" i="2"/>
  <c r="AG95" i="2"/>
  <c r="CT94" i="2"/>
  <c r="CU94" i="2" s="1"/>
  <c r="CV94" i="2" s="1"/>
  <c r="CP94" i="2"/>
  <c r="CQ94" i="2" s="1"/>
  <c r="CR94" i="2" s="1"/>
  <c r="CM94" i="2"/>
  <c r="CN94" i="2" s="1"/>
  <c r="CC94" i="2"/>
  <c r="CD94" i="2" s="1"/>
  <c r="CE94" i="2" s="1"/>
  <c r="BV94" i="2"/>
  <c r="BU94" i="2"/>
  <c r="BP94" i="2"/>
  <c r="BQ94" i="2" s="1"/>
  <c r="BR94" i="2" s="1"/>
  <c r="BJ94" i="2"/>
  <c r="BH94" i="2"/>
  <c r="BI94" i="2" s="1"/>
  <c r="BA94" i="2"/>
  <c r="BB94" i="2" s="1"/>
  <c r="BC94" i="2" s="1"/>
  <c r="BD94" i="2" s="1"/>
  <c r="AS94" i="2"/>
  <c r="AT94" i="2" s="1"/>
  <c r="AU94" i="2" s="1"/>
  <c r="AV94" i="2" s="1"/>
  <c r="AW94" i="2" s="1"/>
  <c r="AX94" i="2" s="1"/>
  <c r="AN94" i="2"/>
  <c r="AO94" i="2" s="1"/>
  <c r="AP94" i="2" s="1"/>
  <c r="AQ94" i="2" s="1"/>
  <c r="AG94" i="2"/>
  <c r="AF94" i="2"/>
  <c r="AB94" i="2"/>
  <c r="AC94" i="2" s="1"/>
  <c r="AD94" i="2" s="1"/>
  <c r="AE94" i="2" s="1"/>
  <c r="CT93" i="2"/>
  <c r="CU93" i="2" s="1"/>
  <c r="CV93" i="2" s="1"/>
  <c r="CP93" i="2"/>
  <c r="CQ93" i="2" s="1"/>
  <c r="CR93" i="2" s="1"/>
  <c r="CM93" i="2"/>
  <c r="CN93" i="2" s="1"/>
  <c r="CC93" i="2"/>
  <c r="CD93" i="2" s="1"/>
  <c r="CE93" i="2" s="1"/>
  <c r="BU93" i="2"/>
  <c r="BV93" i="2" s="1"/>
  <c r="BP93" i="2"/>
  <c r="BQ93" i="2" s="1"/>
  <c r="BR93" i="2" s="1"/>
  <c r="BJ93" i="2"/>
  <c r="BH93" i="2"/>
  <c r="BI93" i="2" s="1"/>
  <c r="BA93" i="2"/>
  <c r="BB93" i="2" s="1"/>
  <c r="BC93" i="2" s="1"/>
  <c r="BD93" i="2" s="1"/>
  <c r="AS93" i="2"/>
  <c r="AT93" i="2" s="1"/>
  <c r="AU93" i="2" s="1"/>
  <c r="AV93" i="2" s="1"/>
  <c r="AW93" i="2" s="1"/>
  <c r="AX93" i="2" s="1"/>
  <c r="AN93" i="2"/>
  <c r="AO93" i="2" s="1"/>
  <c r="AP93" i="2" s="1"/>
  <c r="AQ93" i="2" s="1"/>
  <c r="AG93" i="2"/>
  <c r="AF93" i="2"/>
  <c r="AB93" i="2"/>
  <c r="AC93" i="2" s="1"/>
  <c r="AD93" i="2" s="1"/>
  <c r="AE93" i="2" s="1"/>
  <c r="CT92" i="2"/>
  <c r="CU92" i="2" s="1"/>
  <c r="CV92" i="2" s="1"/>
  <c r="CP92" i="2"/>
  <c r="CQ92" i="2" s="1"/>
  <c r="CR92" i="2" s="1"/>
  <c r="CM92" i="2"/>
  <c r="CN92" i="2" s="1"/>
  <c r="CC92" i="2"/>
  <c r="CD92" i="2" s="1"/>
  <c r="CE92" i="2" s="1"/>
  <c r="BU92" i="2"/>
  <c r="BV92" i="2" s="1"/>
  <c r="BP92" i="2"/>
  <c r="BQ92" i="2" s="1"/>
  <c r="BR92" i="2" s="1"/>
  <c r="BJ92" i="2"/>
  <c r="BH92" i="2"/>
  <c r="BI92" i="2" s="1"/>
  <c r="BA92" i="2"/>
  <c r="AT92" i="2"/>
  <c r="AU92" i="2" s="1"/>
  <c r="AV92" i="2" s="1"/>
  <c r="AW92" i="2" s="1"/>
  <c r="AX92" i="2" s="1"/>
  <c r="AS92" i="2"/>
  <c r="AN92" i="2"/>
  <c r="AO92" i="2" s="1"/>
  <c r="AP92" i="2" s="1"/>
  <c r="AQ92" i="2" s="1"/>
  <c r="CT91" i="2"/>
  <c r="CU91" i="2" s="1"/>
  <c r="CV91" i="2" s="1"/>
  <c r="CP91" i="2"/>
  <c r="CQ91" i="2" s="1"/>
  <c r="CR91" i="2" s="1"/>
  <c r="CM91" i="2"/>
  <c r="CN91" i="2" s="1"/>
  <c r="CC91" i="2"/>
  <c r="CD91" i="2" s="1"/>
  <c r="CE91" i="2" s="1"/>
  <c r="BV91" i="2"/>
  <c r="BU91" i="2"/>
  <c r="BP91" i="2"/>
  <c r="BQ91" i="2" s="1"/>
  <c r="BR91" i="2" s="1"/>
  <c r="BJ91" i="2"/>
  <c r="BH91" i="2"/>
  <c r="BI91" i="2" s="1"/>
  <c r="BA91" i="2"/>
  <c r="BB91" i="2" s="1"/>
  <c r="BC91" i="2" s="1"/>
  <c r="BD91" i="2" s="1"/>
  <c r="AS91" i="2"/>
  <c r="AT91" i="2" s="1"/>
  <c r="AU91" i="2" s="1"/>
  <c r="AV91" i="2" s="1"/>
  <c r="AW91" i="2" s="1"/>
  <c r="AX91" i="2" s="1"/>
  <c r="AN91" i="2"/>
  <c r="AO91" i="2" s="1"/>
  <c r="AP91" i="2" s="1"/>
  <c r="AQ91" i="2" s="1"/>
  <c r="AB91" i="2"/>
  <c r="AC91" i="2" s="1"/>
  <c r="AD91" i="2" s="1"/>
  <c r="AE91" i="2" s="1"/>
  <c r="CT90" i="2"/>
  <c r="CU90" i="2" s="1"/>
  <c r="CV90" i="2" s="1"/>
  <c r="CP90" i="2"/>
  <c r="CQ90" i="2" s="1"/>
  <c r="CR90" i="2" s="1"/>
  <c r="CM90" i="2"/>
  <c r="CN90" i="2" s="1"/>
  <c r="CD90" i="2"/>
  <c r="CE90" i="2" s="1"/>
  <c r="CC90" i="2"/>
  <c r="BU90" i="2"/>
  <c r="BV90" i="2" s="1"/>
  <c r="BP90" i="2"/>
  <c r="BQ90" i="2" s="1"/>
  <c r="BR90" i="2" s="1"/>
  <c r="BJ90" i="2"/>
  <c r="BH90" i="2"/>
  <c r="BI90" i="2" s="1"/>
  <c r="BA90" i="2"/>
  <c r="BB90" i="2" s="1"/>
  <c r="BC90" i="2" s="1"/>
  <c r="BD90" i="2" s="1"/>
  <c r="AS90" i="2"/>
  <c r="AT90" i="2" s="1"/>
  <c r="AU90" i="2" s="1"/>
  <c r="AV90" i="2" s="1"/>
  <c r="AW90" i="2" s="1"/>
  <c r="AX90" i="2" s="1"/>
  <c r="AN90" i="2"/>
  <c r="AO90" i="2" s="1"/>
  <c r="AP90" i="2" s="1"/>
  <c r="AQ90" i="2" s="1"/>
  <c r="AG90" i="2"/>
  <c r="AF90" i="2"/>
  <c r="AB90" i="2"/>
  <c r="AC90" i="2" s="1"/>
  <c r="AD90" i="2" s="1"/>
  <c r="AE90" i="2" s="1"/>
  <c r="CT89" i="2"/>
  <c r="CU89" i="2" s="1"/>
  <c r="CV89" i="2" s="1"/>
  <c r="CP89" i="2"/>
  <c r="CQ89" i="2" s="1"/>
  <c r="CR89" i="2" s="1"/>
  <c r="CM89" i="2"/>
  <c r="CN89" i="2" s="1"/>
  <c r="CC89" i="2"/>
  <c r="CD89" i="2" s="1"/>
  <c r="CE89" i="2" s="1"/>
  <c r="BU89" i="2"/>
  <c r="BV89" i="2" s="1"/>
  <c r="BP89" i="2"/>
  <c r="BQ89" i="2" s="1"/>
  <c r="BR89" i="2" s="1"/>
  <c r="BJ89" i="2"/>
  <c r="BH89" i="2"/>
  <c r="BI89" i="2" s="1"/>
  <c r="BA89" i="2"/>
  <c r="BB89" i="2" s="1"/>
  <c r="BC89" i="2" s="1"/>
  <c r="BD89" i="2" s="1"/>
  <c r="AS89" i="2"/>
  <c r="AT89" i="2" s="1"/>
  <c r="AU89" i="2" s="1"/>
  <c r="AV89" i="2" s="1"/>
  <c r="AW89" i="2" s="1"/>
  <c r="AX89" i="2" s="1"/>
  <c r="AN89" i="2"/>
  <c r="AO89" i="2" s="1"/>
  <c r="AP89" i="2" s="1"/>
  <c r="AQ89" i="2" s="1"/>
  <c r="CT88" i="2"/>
  <c r="CU88" i="2" s="1"/>
  <c r="CV88" i="2" s="1"/>
  <c r="CP88" i="2"/>
  <c r="CQ88" i="2" s="1"/>
  <c r="CR88" i="2" s="1"/>
  <c r="CM88" i="2"/>
  <c r="CN88" i="2" s="1"/>
  <c r="CC88" i="2"/>
  <c r="CD88" i="2" s="1"/>
  <c r="CE88" i="2" s="1"/>
  <c r="BU88" i="2"/>
  <c r="BV88" i="2" s="1"/>
  <c r="BP88" i="2"/>
  <c r="BQ88" i="2" s="1"/>
  <c r="BR88" i="2" s="1"/>
  <c r="BJ88" i="2"/>
  <c r="BH88" i="2"/>
  <c r="BI88" i="2" s="1"/>
  <c r="BA88" i="2"/>
  <c r="BB88" i="2" s="1"/>
  <c r="BC88" i="2" s="1"/>
  <c r="BD88" i="2" s="1"/>
  <c r="AS88" i="2"/>
  <c r="AT88" i="2" s="1"/>
  <c r="AU88" i="2" s="1"/>
  <c r="AV88" i="2" s="1"/>
  <c r="AW88" i="2" s="1"/>
  <c r="AX88" i="2" s="1"/>
  <c r="AN88" i="2"/>
  <c r="AO88" i="2" s="1"/>
  <c r="AP88" i="2" s="1"/>
  <c r="AQ88" i="2" s="1"/>
  <c r="AG88" i="2"/>
  <c r="AH88" i="2" s="1"/>
  <c r="AI88" i="2" s="1"/>
  <c r="AJ88" i="2" s="1"/>
  <c r="AF88" i="2"/>
  <c r="AB88" i="2"/>
  <c r="AC88" i="2" s="1"/>
  <c r="AD88" i="2" s="1"/>
  <c r="AE88" i="2" s="1"/>
  <c r="CT87" i="2"/>
  <c r="CU87" i="2" s="1"/>
  <c r="CV87" i="2" s="1"/>
  <c r="CP87" i="2"/>
  <c r="CQ87" i="2" s="1"/>
  <c r="CR87" i="2" s="1"/>
  <c r="CM87" i="2"/>
  <c r="CN87" i="2" s="1"/>
  <c r="CC87" i="2"/>
  <c r="CD87" i="2" s="1"/>
  <c r="CE87" i="2" s="1"/>
  <c r="BU87" i="2"/>
  <c r="BV87" i="2" s="1"/>
  <c r="BP87" i="2"/>
  <c r="BQ87" i="2" s="1"/>
  <c r="BR87" i="2" s="1"/>
  <c r="BJ87" i="2"/>
  <c r="BH87" i="2"/>
  <c r="BI87" i="2" s="1"/>
  <c r="BA87" i="2"/>
  <c r="BB87" i="2" s="1"/>
  <c r="BC87" i="2" s="1"/>
  <c r="BD87" i="2" s="1"/>
  <c r="AS87" i="2"/>
  <c r="AT87" i="2" s="1"/>
  <c r="AU87" i="2" s="1"/>
  <c r="AV87" i="2" s="1"/>
  <c r="AW87" i="2" s="1"/>
  <c r="AX87" i="2" s="1"/>
  <c r="AN87" i="2"/>
  <c r="AO87" i="2" s="1"/>
  <c r="AP87" i="2" s="1"/>
  <c r="AQ87" i="2" s="1"/>
  <c r="CT86" i="2"/>
  <c r="CU86" i="2" s="1"/>
  <c r="CV86" i="2" s="1"/>
  <c r="CP86" i="2"/>
  <c r="CQ86" i="2" s="1"/>
  <c r="CR86" i="2" s="1"/>
  <c r="CM86" i="2"/>
  <c r="CN86" i="2" s="1"/>
  <c r="CC86" i="2"/>
  <c r="CD86" i="2" s="1"/>
  <c r="CE86" i="2" s="1"/>
  <c r="BU86" i="2"/>
  <c r="BV86" i="2" s="1"/>
  <c r="BP86" i="2"/>
  <c r="BQ86" i="2" s="1"/>
  <c r="BR86" i="2" s="1"/>
  <c r="BJ86" i="2"/>
  <c r="BH86" i="2"/>
  <c r="BI86" i="2" s="1"/>
  <c r="BA86" i="2"/>
  <c r="AS86" i="2"/>
  <c r="AT86" i="2" s="1"/>
  <c r="AU86" i="2" s="1"/>
  <c r="AV86" i="2" s="1"/>
  <c r="AW86" i="2" s="1"/>
  <c r="AX86" i="2" s="1"/>
  <c r="AN86" i="2"/>
  <c r="AO86" i="2" s="1"/>
  <c r="AP86" i="2" s="1"/>
  <c r="AQ86" i="2" s="1"/>
  <c r="AG86" i="2"/>
  <c r="AF86" i="2"/>
  <c r="AB86" i="2"/>
  <c r="AC86" i="2" s="1"/>
  <c r="AD86" i="2" s="1"/>
  <c r="AE86" i="2" s="1"/>
  <c r="CT85" i="2"/>
  <c r="CU85" i="2" s="1"/>
  <c r="CV85" i="2" s="1"/>
  <c r="CP85" i="2"/>
  <c r="CQ85" i="2" s="1"/>
  <c r="CR85" i="2" s="1"/>
  <c r="CM85" i="2"/>
  <c r="CN85" i="2" s="1"/>
  <c r="CD85" i="2"/>
  <c r="CE85" i="2" s="1"/>
  <c r="CC85" i="2"/>
  <c r="BU85" i="2"/>
  <c r="BV85" i="2" s="1"/>
  <c r="BP85" i="2"/>
  <c r="BQ85" i="2" s="1"/>
  <c r="BR85" i="2" s="1"/>
  <c r="BJ85" i="2"/>
  <c r="BH85" i="2"/>
  <c r="BI85" i="2" s="1"/>
  <c r="BA85" i="2"/>
  <c r="BB85" i="2" s="1"/>
  <c r="BC85" i="2" s="1"/>
  <c r="BD85" i="2" s="1"/>
  <c r="AS85" i="2"/>
  <c r="AT85" i="2" s="1"/>
  <c r="AU85" i="2" s="1"/>
  <c r="AV85" i="2" s="1"/>
  <c r="AW85" i="2" s="1"/>
  <c r="AX85" i="2" s="1"/>
  <c r="AN85" i="2"/>
  <c r="AO85" i="2" s="1"/>
  <c r="AP85" i="2" s="1"/>
  <c r="AQ85" i="2" s="1"/>
  <c r="CT84" i="2"/>
  <c r="CU84" i="2" s="1"/>
  <c r="CV84" i="2" s="1"/>
  <c r="CP84" i="2"/>
  <c r="CQ84" i="2" s="1"/>
  <c r="CR84" i="2" s="1"/>
  <c r="CM84" i="2"/>
  <c r="CN84" i="2" s="1"/>
  <c r="CC84" i="2"/>
  <c r="CD84" i="2" s="1"/>
  <c r="CE84" i="2" s="1"/>
  <c r="BU84" i="2"/>
  <c r="BV84" i="2" s="1"/>
  <c r="BP84" i="2"/>
  <c r="BQ84" i="2" s="1"/>
  <c r="BR84" i="2" s="1"/>
  <c r="BJ84" i="2"/>
  <c r="BH84" i="2"/>
  <c r="BI84" i="2" s="1"/>
  <c r="BA84" i="2"/>
  <c r="BB84" i="2" s="1"/>
  <c r="BC84" i="2" s="1"/>
  <c r="BD84" i="2" s="1"/>
  <c r="AS84" i="2"/>
  <c r="AT84" i="2" s="1"/>
  <c r="AU84" i="2" s="1"/>
  <c r="AV84" i="2" s="1"/>
  <c r="AW84" i="2" s="1"/>
  <c r="AX84" i="2" s="1"/>
  <c r="AN84" i="2"/>
  <c r="AO84" i="2" s="1"/>
  <c r="AP84" i="2" s="1"/>
  <c r="AQ84" i="2" s="1"/>
  <c r="CT83" i="2"/>
  <c r="CU83" i="2" s="1"/>
  <c r="CV83" i="2" s="1"/>
  <c r="CQ83" i="2"/>
  <c r="CR83" i="2" s="1"/>
  <c r="CP83" i="2"/>
  <c r="CM83" i="2"/>
  <c r="CN83" i="2" s="1"/>
  <c r="CC83" i="2"/>
  <c r="CD83" i="2" s="1"/>
  <c r="CE83" i="2" s="1"/>
  <c r="BU83" i="2"/>
  <c r="BV83" i="2" s="1"/>
  <c r="BP83" i="2"/>
  <c r="BQ83" i="2" s="1"/>
  <c r="BR83" i="2" s="1"/>
  <c r="BJ83" i="2"/>
  <c r="BH83" i="2"/>
  <c r="BI83" i="2" s="1"/>
  <c r="BA83" i="2"/>
  <c r="BB83" i="2" s="1"/>
  <c r="BC83" i="2" s="1"/>
  <c r="BD83" i="2" s="1"/>
  <c r="AS83" i="2"/>
  <c r="AT83" i="2" s="1"/>
  <c r="AU83" i="2" s="1"/>
  <c r="AV83" i="2" s="1"/>
  <c r="AW83" i="2" s="1"/>
  <c r="AX83" i="2" s="1"/>
  <c r="AN83" i="2"/>
  <c r="AO83" i="2" s="1"/>
  <c r="AP83" i="2" s="1"/>
  <c r="AQ83" i="2" s="1"/>
  <c r="AB83" i="2"/>
  <c r="AC83" i="2" s="1"/>
  <c r="AD83" i="2" s="1"/>
  <c r="AE83" i="2" s="1"/>
  <c r="CT82" i="2"/>
  <c r="CU82" i="2" s="1"/>
  <c r="CV82" i="2" s="1"/>
  <c r="CP82" i="2"/>
  <c r="CQ82" i="2" s="1"/>
  <c r="CR82" i="2" s="1"/>
  <c r="CM82" i="2"/>
  <c r="CN82" i="2" s="1"/>
  <c r="CC82" i="2"/>
  <c r="CD82" i="2" s="1"/>
  <c r="CE82" i="2" s="1"/>
  <c r="BU82" i="2"/>
  <c r="BV82" i="2" s="1"/>
  <c r="BR82" i="2"/>
  <c r="BP82" i="2"/>
  <c r="BQ82" i="2" s="1"/>
  <c r="BJ82" i="2"/>
  <c r="BH82" i="2"/>
  <c r="BI82" i="2" s="1"/>
  <c r="BD82" i="2"/>
  <c r="BA82" i="2"/>
  <c r="BB82" i="2" s="1"/>
  <c r="BC82" i="2" s="1"/>
  <c r="AS82" i="2"/>
  <c r="AT82" i="2" s="1"/>
  <c r="AU82" i="2" s="1"/>
  <c r="AV82" i="2" s="1"/>
  <c r="AW82" i="2" s="1"/>
  <c r="AX82" i="2" s="1"/>
  <c r="AN82" i="2"/>
  <c r="AO82" i="2" s="1"/>
  <c r="AP82" i="2" s="1"/>
  <c r="AQ82" i="2" s="1"/>
  <c r="AG82" i="2"/>
  <c r="AF82" i="2"/>
  <c r="AB82" i="2"/>
  <c r="AC82" i="2" s="1"/>
  <c r="AD82" i="2" s="1"/>
  <c r="AE82" i="2" s="1"/>
  <c r="CT81" i="2"/>
  <c r="CU81" i="2" s="1"/>
  <c r="CV81" i="2" s="1"/>
  <c r="CP81" i="2"/>
  <c r="CQ81" i="2" s="1"/>
  <c r="CR81" i="2" s="1"/>
  <c r="CM81" i="2"/>
  <c r="CN81" i="2" s="1"/>
  <c r="CC81" i="2"/>
  <c r="CD81" i="2" s="1"/>
  <c r="CE81" i="2" s="1"/>
  <c r="BU81" i="2"/>
  <c r="BV81" i="2" s="1"/>
  <c r="BP81" i="2"/>
  <c r="BQ81" i="2" s="1"/>
  <c r="BR81" i="2" s="1"/>
  <c r="BJ81" i="2"/>
  <c r="BH81" i="2"/>
  <c r="BI81" i="2" s="1"/>
  <c r="BA81" i="2"/>
  <c r="AS81" i="2"/>
  <c r="AT81" i="2" s="1"/>
  <c r="AU81" i="2" s="1"/>
  <c r="AV81" i="2" s="1"/>
  <c r="AW81" i="2" s="1"/>
  <c r="AX81" i="2" s="1"/>
  <c r="AN81" i="2"/>
  <c r="AO81" i="2" s="1"/>
  <c r="AP81" i="2" s="1"/>
  <c r="AQ81" i="2" s="1"/>
  <c r="AG81" i="2"/>
  <c r="AF81" i="2"/>
  <c r="AB81" i="2"/>
  <c r="AC81" i="2" s="1"/>
  <c r="AD81" i="2" s="1"/>
  <c r="AE81" i="2" s="1"/>
  <c r="CT80" i="2"/>
  <c r="CU80" i="2" s="1"/>
  <c r="CV80" i="2" s="1"/>
  <c r="CP80" i="2"/>
  <c r="CQ80" i="2" s="1"/>
  <c r="CR80" i="2" s="1"/>
  <c r="CM80" i="2"/>
  <c r="CN80" i="2" s="1"/>
  <c r="CC80" i="2"/>
  <c r="CD80" i="2" s="1"/>
  <c r="CE80" i="2" s="1"/>
  <c r="BU80" i="2"/>
  <c r="BV80" i="2" s="1"/>
  <c r="BP80" i="2"/>
  <c r="BQ80" i="2" s="1"/>
  <c r="BR80" i="2" s="1"/>
  <c r="BJ80" i="2"/>
  <c r="BH80" i="2"/>
  <c r="BI80" i="2" s="1"/>
  <c r="BA80" i="2"/>
  <c r="AS80" i="2"/>
  <c r="AT80" i="2" s="1"/>
  <c r="AU80" i="2" s="1"/>
  <c r="AV80" i="2" s="1"/>
  <c r="AW80" i="2" s="1"/>
  <c r="AX80" i="2" s="1"/>
  <c r="AN80" i="2"/>
  <c r="AO80" i="2" s="1"/>
  <c r="AP80" i="2" s="1"/>
  <c r="AQ80" i="2" s="1"/>
  <c r="AG80" i="2"/>
  <c r="AF80" i="2"/>
  <c r="AB80" i="2"/>
  <c r="AC80" i="2" s="1"/>
  <c r="AD80" i="2" s="1"/>
  <c r="AE80" i="2" s="1"/>
  <c r="CT79" i="2"/>
  <c r="CU79" i="2" s="1"/>
  <c r="CV79" i="2" s="1"/>
  <c r="CP79" i="2"/>
  <c r="CQ79" i="2" s="1"/>
  <c r="CR79" i="2" s="1"/>
  <c r="CM79" i="2"/>
  <c r="CN79" i="2" s="1"/>
  <c r="CC79" i="2"/>
  <c r="CD79" i="2" s="1"/>
  <c r="CE79" i="2" s="1"/>
  <c r="BU79" i="2"/>
  <c r="BV79" i="2" s="1"/>
  <c r="BP79" i="2"/>
  <c r="BQ79" i="2" s="1"/>
  <c r="BR79" i="2" s="1"/>
  <c r="BJ79" i="2"/>
  <c r="BH79" i="2"/>
  <c r="BI79" i="2" s="1"/>
  <c r="BA79" i="2"/>
  <c r="BB79" i="2" s="1"/>
  <c r="BC79" i="2" s="1"/>
  <c r="BD79" i="2" s="1"/>
  <c r="AS79" i="2"/>
  <c r="AT79" i="2" s="1"/>
  <c r="AU79" i="2" s="1"/>
  <c r="AV79" i="2" s="1"/>
  <c r="AW79" i="2" s="1"/>
  <c r="AX79" i="2" s="1"/>
  <c r="AN79" i="2"/>
  <c r="AO79" i="2" s="1"/>
  <c r="AP79" i="2" s="1"/>
  <c r="AQ79" i="2" s="1"/>
  <c r="AF79" i="2"/>
  <c r="AB79" i="2"/>
  <c r="AC79" i="2" s="1"/>
  <c r="AD79" i="2" s="1"/>
  <c r="AE79" i="2" s="1"/>
  <c r="AG79" i="2"/>
  <c r="CT78" i="2"/>
  <c r="CU78" i="2" s="1"/>
  <c r="CV78" i="2" s="1"/>
  <c r="CQ78" i="2"/>
  <c r="CR78" i="2" s="1"/>
  <c r="CP78" i="2"/>
  <c r="CM78" i="2"/>
  <c r="CN78" i="2" s="1"/>
  <c r="CC78" i="2"/>
  <c r="CD78" i="2" s="1"/>
  <c r="CE78" i="2" s="1"/>
  <c r="BU78" i="2"/>
  <c r="BV78" i="2" s="1"/>
  <c r="BP78" i="2"/>
  <c r="BQ78" i="2" s="1"/>
  <c r="BR78" i="2" s="1"/>
  <c r="BJ78" i="2"/>
  <c r="BH78" i="2"/>
  <c r="BI78" i="2" s="1"/>
  <c r="BB78" i="2"/>
  <c r="BC78" i="2" s="1"/>
  <c r="BD78" i="2" s="1"/>
  <c r="BA78" i="2"/>
  <c r="AS78" i="2"/>
  <c r="AT78" i="2" s="1"/>
  <c r="AU78" i="2" s="1"/>
  <c r="AV78" i="2" s="1"/>
  <c r="AW78" i="2" s="1"/>
  <c r="AX78" i="2" s="1"/>
  <c r="AN78" i="2"/>
  <c r="AO78" i="2" s="1"/>
  <c r="AP78" i="2" s="1"/>
  <c r="AQ78" i="2" s="1"/>
  <c r="AB78" i="2"/>
  <c r="AC78" i="2" s="1"/>
  <c r="AD78" i="2" s="1"/>
  <c r="AE78" i="2" s="1"/>
  <c r="CT77" i="2"/>
  <c r="CU77" i="2" s="1"/>
  <c r="CV77" i="2" s="1"/>
  <c r="CP77" i="2"/>
  <c r="CQ77" i="2" s="1"/>
  <c r="CR77" i="2" s="1"/>
  <c r="CM77" i="2"/>
  <c r="CN77" i="2" s="1"/>
  <c r="CC77" i="2"/>
  <c r="CD77" i="2" s="1"/>
  <c r="CE77" i="2" s="1"/>
  <c r="BU77" i="2"/>
  <c r="BV77" i="2" s="1"/>
  <c r="BP77" i="2"/>
  <c r="BQ77" i="2" s="1"/>
  <c r="BR77" i="2" s="1"/>
  <c r="BJ77" i="2"/>
  <c r="BH77" i="2"/>
  <c r="BI77" i="2" s="1"/>
  <c r="BA77" i="2"/>
  <c r="AS77" i="2"/>
  <c r="AT77" i="2" s="1"/>
  <c r="AU77" i="2" s="1"/>
  <c r="AV77" i="2" s="1"/>
  <c r="AW77" i="2" s="1"/>
  <c r="AX77" i="2" s="1"/>
  <c r="AN77" i="2"/>
  <c r="AO77" i="2" s="1"/>
  <c r="AP77" i="2" s="1"/>
  <c r="AQ77" i="2" s="1"/>
  <c r="CT76" i="2"/>
  <c r="CU76" i="2" s="1"/>
  <c r="CV76" i="2" s="1"/>
  <c r="CP76" i="2"/>
  <c r="CQ76" i="2" s="1"/>
  <c r="CR76" i="2" s="1"/>
  <c r="CM76" i="2"/>
  <c r="CN76" i="2" s="1"/>
  <c r="CI76" i="2"/>
  <c r="CJ76" i="2" s="1"/>
  <c r="BU76" i="2"/>
  <c r="BV76" i="2" s="1"/>
  <c r="BP76" i="2"/>
  <c r="BQ76" i="2" s="1"/>
  <c r="BR76" i="2" s="1"/>
  <c r="BJ76" i="2"/>
  <c r="BH76" i="2"/>
  <c r="BI76" i="2" s="1"/>
  <c r="BA76" i="2"/>
  <c r="BB76" i="2" s="1"/>
  <c r="BC76" i="2" s="1"/>
  <c r="BD76" i="2" s="1"/>
  <c r="AS76" i="2"/>
  <c r="AT76" i="2" s="1"/>
  <c r="AU76" i="2" s="1"/>
  <c r="AV76" i="2" s="1"/>
  <c r="AW76" i="2" s="1"/>
  <c r="AX76" i="2" s="1"/>
  <c r="AN76" i="2"/>
  <c r="AO76" i="2" s="1"/>
  <c r="AP76" i="2" s="1"/>
  <c r="AQ76" i="2" s="1"/>
  <c r="AG76" i="2"/>
  <c r="AF76" i="2"/>
  <c r="AB76" i="2"/>
  <c r="AC76" i="2" s="1"/>
  <c r="AD76" i="2" s="1"/>
  <c r="AE76" i="2" s="1"/>
  <c r="CT75" i="2"/>
  <c r="CU75" i="2" s="1"/>
  <c r="CV75" i="2" s="1"/>
  <c r="CP75" i="2"/>
  <c r="CQ75" i="2" s="1"/>
  <c r="CR75" i="2" s="1"/>
  <c r="CM75" i="2"/>
  <c r="CN75" i="2" s="1"/>
  <c r="CC75" i="2"/>
  <c r="CD75" i="2" s="1"/>
  <c r="CE75" i="2" s="1"/>
  <c r="BU75" i="2"/>
  <c r="BV75" i="2" s="1"/>
  <c r="BP75" i="2"/>
  <c r="BQ75" i="2" s="1"/>
  <c r="BR75" i="2" s="1"/>
  <c r="BJ75" i="2"/>
  <c r="BI75" i="2"/>
  <c r="BH75" i="2"/>
  <c r="BA75" i="2"/>
  <c r="BB75" i="2" s="1"/>
  <c r="BC75" i="2" s="1"/>
  <c r="BD75" i="2" s="1"/>
  <c r="AS75" i="2"/>
  <c r="AT75" i="2" s="1"/>
  <c r="AU75" i="2" s="1"/>
  <c r="AV75" i="2" s="1"/>
  <c r="AW75" i="2" s="1"/>
  <c r="AX75" i="2" s="1"/>
  <c r="AN75" i="2"/>
  <c r="AO75" i="2" s="1"/>
  <c r="AP75" i="2" s="1"/>
  <c r="AQ75" i="2" s="1"/>
  <c r="CT74" i="2"/>
  <c r="CU74" i="2" s="1"/>
  <c r="CV74" i="2" s="1"/>
  <c r="CP74" i="2"/>
  <c r="CQ74" i="2" s="1"/>
  <c r="CR74" i="2" s="1"/>
  <c r="CM74" i="2"/>
  <c r="CN74" i="2" s="1"/>
  <c r="CC74" i="2"/>
  <c r="CD74" i="2" s="1"/>
  <c r="CE74" i="2" s="1"/>
  <c r="BU74" i="2"/>
  <c r="BV74" i="2" s="1"/>
  <c r="BP74" i="2"/>
  <c r="BQ74" i="2" s="1"/>
  <c r="BR74" i="2" s="1"/>
  <c r="BJ74" i="2"/>
  <c r="BH74" i="2"/>
  <c r="BI74" i="2" s="1"/>
  <c r="BA74" i="2"/>
  <c r="BB74" i="2" s="1"/>
  <c r="BC74" i="2" s="1"/>
  <c r="BD74" i="2" s="1"/>
  <c r="AS74" i="2"/>
  <c r="AT74" i="2" s="1"/>
  <c r="AU74" i="2" s="1"/>
  <c r="AV74" i="2" s="1"/>
  <c r="AW74" i="2" s="1"/>
  <c r="AX74" i="2" s="1"/>
  <c r="AN74" i="2"/>
  <c r="AO74" i="2" s="1"/>
  <c r="AP74" i="2" s="1"/>
  <c r="AQ74" i="2" s="1"/>
  <c r="AB74" i="2"/>
  <c r="AC74" i="2" s="1"/>
  <c r="AD74" i="2" s="1"/>
  <c r="AE74" i="2" s="1"/>
  <c r="CT73" i="2"/>
  <c r="CU73" i="2" s="1"/>
  <c r="CV73" i="2" s="1"/>
  <c r="CP73" i="2"/>
  <c r="CQ73" i="2" s="1"/>
  <c r="CR73" i="2" s="1"/>
  <c r="CM73" i="2"/>
  <c r="CN73" i="2" s="1"/>
  <c r="CC73" i="2"/>
  <c r="CD73" i="2" s="1"/>
  <c r="CE73" i="2" s="1"/>
  <c r="BU73" i="2"/>
  <c r="BV73" i="2" s="1"/>
  <c r="BP73" i="2"/>
  <c r="BQ73" i="2" s="1"/>
  <c r="BR73" i="2" s="1"/>
  <c r="BJ73" i="2"/>
  <c r="BH73" i="2"/>
  <c r="BI73" i="2" s="1"/>
  <c r="BA73" i="2"/>
  <c r="BB73" i="2" s="1"/>
  <c r="BC73" i="2" s="1"/>
  <c r="BD73" i="2" s="1"/>
  <c r="AT73" i="2"/>
  <c r="AU73" i="2" s="1"/>
  <c r="AV73" i="2" s="1"/>
  <c r="AW73" i="2" s="1"/>
  <c r="AX73" i="2" s="1"/>
  <c r="AS73" i="2"/>
  <c r="AN73" i="2"/>
  <c r="AO73" i="2" s="1"/>
  <c r="AP73" i="2" s="1"/>
  <c r="AQ73" i="2" s="1"/>
  <c r="AG73" i="2"/>
  <c r="AH73" i="2" s="1"/>
  <c r="AI73" i="2" s="1"/>
  <c r="AJ73" i="2" s="1"/>
  <c r="AF73" i="2"/>
  <c r="AB73" i="2"/>
  <c r="AC73" i="2" s="1"/>
  <c r="AD73" i="2" s="1"/>
  <c r="AE73" i="2" s="1"/>
  <c r="CT72" i="2"/>
  <c r="CU72" i="2" s="1"/>
  <c r="CV72" i="2" s="1"/>
  <c r="CP72" i="2"/>
  <c r="CQ72" i="2" s="1"/>
  <c r="CR72" i="2" s="1"/>
  <c r="CM72" i="2"/>
  <c r="CN72" i="2" s="1"/>
  <c r="CC72" i="2"/>
  <c r="CD72" i="2" s="1"/>
  <c r="CE72" i="2" s="1"/>
  <c r="BU72" i="2"/>
  <c r="BV72" i="2" s="1"/>
  <c r="BP72" i="2"/>
  <c r="BQ72" i="2" s="1"/>
  <c r="BR72" i="2" s="1"/>
  <c r="BJ72" i="2"/>
  <c r="BH72" i="2"/>
  <c r="BI72" i="2" s="1"/>
  <c r="BA72" i="2"/>
  <c r="AS72" i="2"/>
  <c r="AT72" i="2" s="1"/>
  <c r="AU72" i="2" s="1"/>
  <c r="AV72" i="2" s="1"/>
  <c r="AW72" i="2" s="1"/>
  <c r="AX72" i="2" s="1"/>
  <c r="AN72" i="2"/>
  <c r="AO72" i="2" s="1"/>
  <c r="AP72" i="2" s="1"/>
  <c r="AQ72" i="2" s="1"/>
  <c r="AG72" i="2"/>
  <c r="AF72" i="2"/>
  <c r="AB72" i="2"/>
  <c r="AC72" i="2" s="1"/>
  <c r="AD72" i="2" s="1"/>
  <c r="AE72" i="2" s="1"/>
  <c r="CT71" i="2"/>
  <c r="CU71" i="2" s="1"/>
  <c r="CV71" i="2" s="1"/>
  <c r="CP71" i="2"/>
  <c r="CQ71" i="2" s="1"/>
  <c r="CR71" i="2" s="1"/>
  <c r="CM71" i="2"/>
  <c r="CN71" i="2" s="1"/>
  <c r="CC71" i="2"/>
  <c r="CD71" i="2" s="1"/>
  <c r="CE71" i="2" s="1"/>
  <c r="BU71" i="2"/>
  <c r="BV71" i="2" s="1"/>
  <c r="BP71" i="2"/>
  <c r="BQ71" i="2" s="1"/>
  <c r="BR71" i="2" s="1"/>
  <c r="BJ71" i="2"/>
  <c r="BH71" i="2"/>
  <c r="BI71" i="2" s="1"/>
  <c r="BA71" i="2"/>
  <c r="BB71" i="2" s="1"/>
  <c r="BC71" i="2" s="1"/>
  <c r="BD71" i="2" s="1"/>
  <c r="AS71" i="2"/>
  <c r="AT71" i="2" s="1"/>
  <c r="AU71" i="2" s="1"/>
  <c r="AV71" i="2" s="1"/>
  <c r="AW71" i="2" s="1"/>
  <c r="AX71" i="2" s="1"/>
  <c r="AN71" i="2"/>
  <c r="AO71" i="2" s="1"/>
  <c r="AP71" i="2" s="1"/>
  <c r="AQ71" i="2" s="1"/>
  <c r="AF71" i="2"/>
  <c r="CT70" i="2"/>
  <c r="CU70" i="2" s="1"/>
  <c r="CV70" i="2" s="1"/>
  <c r="CP70" i="2"/>
  <c r="CQ70" i="2" s="1"/>
  <c r="CR70" i="2" s="1"/>
  <c r="CM70" i="2"/>
  <c r="CN70" i="2" s="1"/>
  <c r="CC70" i="2"/>
  <c r="CD70" i="2" s="1"/>
  <c r="CE70" i="2" s="1"/>
  <c r="BU70" i="2"/>
  <c r="BV70" i="2" s="1"/>
  <c r="BP70" i="2"/>
  <c r="BQ70" i="2" s="1"/>
  <c r="BR70" i="2" s="1"/>
  <c r="BJ70" i="2"/>
  <c r="BH70" i="2"/>
  <c r="BI70" i="2" s="1"/>
  <c r="BA70" i="2"/>
  <c r="BB70" i="2"/>
  <c r="BC70" i="2" s="1"/>
  <c r="BD70" i="2" s="1"/>
  <c r="AS70" i="2"/>
  <c r="AT70" i="2" s="1"/>
  <c r="AU70" i="2" s="1"/>
  <c r="AV70" i="2" s="1"/>
  <c r="AW70" i="2" s="1"/>
  <c r="AX70" i="2" s="1"/>
  <c r="AN70" i="2"/>
  <c r="AO70" i="2" s="1"/>
  <c r="AP70" i="2" s="1"/>
  <c r="AQ70" i="2" s="1"/>
  <c r="CT69" i="2"/>
  <c r="CU69" i="2" s="1"/>
  <c r="CV69" i="2" s="1"/>
  <c r="CP69" i="2"/>
  <c r="CQ69" i="2" s="1"/>
  <c r="CR69" i="2" s="1"/>
  <c r="CM69" i="2"/>
  <c r="CN69" i="2" s="1"/>
  <c r="CC69" i="2"/>
  <c r="CD69" i="2" s="1"/>
  <c r="CE69" i="2" s="1"/>
  <c r="BU69" i="2"/>
  <c r="BV69" i="2" s="1"/>
  <c r="BP69" i="2"/>
  <c r="BQ69" i="2" s="1"/>
  <c r="BR69" i="2" s="1"/>
  <c r="BJ69" i="2"/>
  <c r="BH69" i="2"/>
  <c r="BI69" i="2" s="1"/>
  <c r="BA69" i="2"/>
  <c r="BB69" i="2" s="1"/>
  <c r="BC69" i="2" s="1"/>
  <c r="BD69" i="2" s="1"/>
  <c r="AS69" i="2"/>
  <c r="AT69" i="2" s="1"/>
  <c r="AU69" i="2" s="1"/>
  <c r="AV69" i="2" s="1"/>
  <c r="AW69" i="2" s="1"/>
  <c r="AX69" i="2" s="1"/>
  <c r="AN69" i="2"/>
  <c r="AO69" i="2" s="1"/>
  <c r="AP69" i="2" s="1"/>
  <c r="AQ69" i="2" s="1"/>
  <c r="CT68" i="2"/>
  <c r="CU68" i="2" s="1"/>
  <c r="CV68" i="2" s="1"/>
  <c r="CP68" i="2"/>
  <c r="CQ68" i="2" s="1"/>
  <c r="CR68" i="2" s="1"/>
  <c r="CM68" i="2"/>
  <c r="CN68" i="2" s="1"/>
  <c r="CC68" i="2"/>
  <c r="CD68" i="2" s="1"/>
  <c r="CE68" i="2" s="1"/>
  <c r="BU68" i="2"/>
  <c r="BV68" i="2" s="1"/>
  <c r="BP68" i="2"/>
  <c r="BQ68" i="2" s="1"/>
  <c r="BR68" i="2" s="1"/>
  <c r="BJ68" i="2"/>
  <c r="BH68" i="2"/>
  <c r="BI68" i="2" s="1"/>
  <c r="BA68" i="2"/>
  <c r="BB68" i="2" s="1"/>
  <c r="BC68" i="2" s="1"/>
  <c r="BD68" i="2" s="1"/>
  <c r="AS68" i="2"/>
  <c r="AT68" i="2" s="1"/>
  <c r="AU68" i="2" s="1"/>
  <c r="AV68" i="2" s="1"/>
  <c r="AW68" i="2" s="1"/>
  <c r="AX68" i="2" s="1"/>
  <c r="AN68" i="2"/>
  <c r="AO68" i="2" s="1"/>
  <c r="AP68" i="2" s="1"/>
  <c r="AQ68" i="2" s="1"/>
  <c r="AG68" i="2"/>
  <c r="AF68" i="2"/>
  <c r="AB68" i="2"/>
  <c r="AC68" i="2" s="1"/>
  <c r="AD68" i="2" s="1"/>
  <c r="AE68" i="2" s="1"/>
  <c r="CT67" i="2"/>
  <c r="CU67" i="2" s="1"/>
  <c r="CV67" i="2" s="1"/>
  <c r="CP67" i="2"/>
  <c r="CQ67" i="2" s="1"/>
  <c r="CR67" i="2" s="1"/>
  <c r="CM67" i="2"/>
  <c r="CN67" i="2" s="1"/>
  <c r="CC67" i="2"/>
  <c r="CD67" i="2" s="1"/>
  <c r="CE67" i="2" s="1"/>
  <c r="BU67" i="2"/>
  <c r="BV67" i="2" s="1"/>
  <c r="BP67" i="2"/>
  <c r="BQ67" i="2" s="1"/>
  <c r="BR67" i="2" s="1"/>
  <c r="BJ67" i="2"/>
  <c r="BH67" i="2"/>
  <c r="BI67" i="2" s="1"/>
  <c r="BA67" i="2"/>
  <c r="BB67" i="2" s="1"/>
  <c r="BC67" i="2" s="1"/>
  <c r="BD67" i="2" s="1"/>
  <c r="AS67" i="2"/>
  <c r="AT67" i="2" s="1"/>
  <c r="AU67" i="2" s="1"/>
  <c r="AV67" i="2" s="1"/>
  <c r="AW67" i="2" s="1"/>
  <c r="AX67" i="2" s="1"/>
  <c r="AN67" i="2"/>
  <c r="AO67" i="2" s="1"/>
  <c r="AP67" i="2" s="1"/>
  <c r="AQ67" i="2" s="1"/>
  <c r="CT66" i="2"/>
  <c r="CU66" i="2" s="1"/>
  <c r="CV66" i="2" s="1"/>
  <c r="CP66" i="2"/>
  <c r="CQ66" i="2" s="1"/>
  <c r="CR66" i="2" s="1"/>
  <c r="CM66" i="2"/>
  <c r="CN66" i="2" s="1"/>
  <c r="CC66" i="2"/>
  <c r="CD66" i="2" s="1"/>
  <c r="CE66" i="2" s="1"/>
  <c r="BU66" i="2"/>
  <c r="BV66" i="2" s="1"/>
  <c r="BP66" i="2"/>
  <c r="BQ66" i="2" s="1"/>
  <c r="BR66" i="2" s="1"/>
  <c r="BJ66" i="2"/>
  <c r="BH66" i="2"/>
  <c r="BI66" i="2" s="1"/>
  <c r="BA66" i="2"/>
  <c r="BB66" i="2" s="1"/>
  <c r="BC66" i="2" s="1"/>
  <c r="BD66" i="2" s="1"/>
  <c r="AS66" i="2"/>
  <c r="AT66" i="2" s="1"/>
  <c r="AU66" i="2" s="1"/>
  <c r="AV66" i="2" s="1"/>
  <c r="AW66" i="2" s="1"/>
  <c r="AX66" i="2" s="1"/>
  <c r="AN66" i="2"/>
  <c r="AO66" i="2" s="1"/>
  <c r="AP66" i="2" s="1"/>
  <c r="AQ66" i="2" s="1"/>
  <c r="CT65" i="2"/>
  <c r="CU65" i="2" s="1"/>
  <c r="CV65" i="2" s="1"/>
  <c r="CP65" i="2"/>
  <c r="CQ65" i="2" s="1"/>
  <c r="CR65" i="2" s="1"/>
  <c r="CM65" i="2"/>
  <c r="CN65" i="2" s="1"/>
  <c r="CC65" i="2"/>
  <c r="CD65" i="2" s="1"/>
  <c r="CE65" i="2" s="1"/>
  <c r="BU65" i="2"/>
  <c r="BV65" i="2" s="1"/>
  <c r="BP65" i="2"/>
  <c r="BQ65" i="2" s="1"/>
  <c r="BR65" i="2" s="1"/>
  <c r="BJ65" i="2"/>
  <c r="BH65" i="2"/>
  <c r="BI65" i="2" s="1"/>
  <c r="BA65" i="2"/>
  <c r="BB65" i="2" s="1"/>
  <c r="BC65" i="2" s="1"/>
  <c r="BD65" i="2" s="1"/>
  <c r="AS65" i="2"/>
  <c r="AT65" i="2" s="1"/>
  <c r="AU65" i="2" s="1"/>
  <c r="AV65" i="2" s="1"/>
  <c r="AW65" i="2" s="1"/>
  <c r="AX65" i="2" s="1"/>
  <c r="AN65" i="2"/>
  <c r="AO65" i="2" s="1"/>
  <c r="AP65" i="2" s="1"/>
  <c r="AQ65" i="2" s="1"/>
  <c r="CT64" i="2"/>
  <c r="CU64" i="2" s="1"/>
  <c r="CV64" i="2" s="1"/>
  <c r="CP64" i="2"/>
  <c r="CQ64" i="2" s="1"/>
  <c r="CR64" i="2" s="1"/>
  <c r="CM64" i="2"/>
  <c r="CN64" i="2" s="1"/>
  <c r="CC64" i="2"/>
  <c r="CD64" i="2" s="1"/>
  <c r="CE64" i="2" s="1"/>
  <c r="BU64" i="2"/>
  <c r="BV64" i="2" s="1"/>
  <c r="BQ64" i="2"/>
  <c r="BR64" i="2" s="1"/>
  <c r="BP64" i="2"/>
  <c r="BJ64" i="2"/>
  <c r="BH64" i="2"/>
  <c r="BI64" i="2" s="1"/>
  <c r="BA64" i="2"/>
  <c r="BB64" i="2" s="1"/>
  <c r="BC64" i="2" s="1"/>
  <c r="BD64" i="2" s="1"/>
  <c r="AS64" i="2"/>
  <c r="AT64" i="2" s="1"/>
  <c r="AU64" i="2" s="1"/>
  <c r="AV64" i="2" s="1"/>
  <c r="AW64" i="2" s="1"/>
  <c r="AX64" i="2" s="1"/>
  <c r="AN64" i="2"/>
  <c r="AO64" i="2" s="1"/>
  <c r="AP64" i="2" s="1"/>
  <c r="AQ64" i="2" s="1"/>
  <c r="CT63" i="2"/>
  <c r="CU63" i="2" s="1"/>
  <c r="CV63" i="2" s="1"/>
  <c r="CP63" i="2"/>
  <c r="CQ63" i="2" s="1"/>
  <c r="CR63" i="2" s="1"/>
  <c r="CM63" i="2"/>
  <c r="CN63" i="2" s="1"/>
  <c r="CJ63" i="2"/>
  <c r="CI63" i="2"/>
  <c r="BU63" i="2"/>
  <c r="BV63" i="2" s="1"/>
  <c r="BP63" i="2"/>
  <c r="BQ63" i="2" s="1"/>
  <c r="BR63" i="2" s="1"/>
  <c r="BJ63" i="2"/>
  <c r="BH63" i="2"/>
  <c r="BI63" i="2" s="1"/>
  <c r="BA63" i="2"/>
  <c r="BB63" i="2" s="1"/>
  <c r="BC63" i="2" s="1"/>
  <c r="BD63" i="2" s="1"/>
  <c r="AS63" i="2"/>
  <c r="AT63" i="2" s="1"/>
  <c r="AU63" i="2" s="1"/>
  <c r="AV63" i="2" s="1"/>
  <c r="AW63" i="2" s="1"/>
  <c r="AX63" i="2" s="1"/>
  <c r="AN63" i="2"/>
  <c r="AO63" i="2" s="1"/>
  <c r="AP63" i="2" s="1"/>
  <c r="AQ63" i="2" s="1"/>
  <c r="AF63" i="2"/>
  <c r="CT62" i="2"/>
  <c r="CU62" i="2" s="1"/>
  <c r="CV62" i="2" s="1"/>
  <c r="CP62" i="2"/>
  <c r="CQ62" i="2" s="1"/>
  <c r="CR62" i="2" s="1"/>
  <c r="CM62" i="2"/>
  <c r="CN62" i="2" s="1"/>
  <c r="CC62" i="2"/>
  <c r="CD62" i="2" s="1"/>
  <c r="CE62" i="2" s="1"/>
  <c r="BU62" i="2"/>
  <c r="BV62" i="2" s="1"/>
  <c r="BP62" i="2"/>
  <c r="BQ62" i="2" s="1"/>
  <c r="BR62" i="2" s="1"/>
  <c r="BJ62" i="2"/>
  <c r="BH62" i="2"/>
  <c r="BI62" i="2" s="1"/>
  <c r="BA62" i="2"/>
  <c r="BB62" i="2" s="1"/>
  <c r="BC62" i="2" s="1"/>
  <c r="BD62" i="2" s="1"/>
  <c r="AS62" i="2"/>
  <c r="AT62" i="2" s="1"/>
  <c r="AU62" i="2" s="1"/>
  <c r="AV62" i="2" s="1"/>
  <c r="AW62" i="2" s="1"/>
  <c r="AX62" i="2" s="1"/>
  <c r="AN62" i="2"/>
  <c r="AO62" i="2" s="1"/>
  <c r="AP62" i="2" s="1"/>
  <c r="AQ62" i="2" s="1"/>
  <c r="AG62" i="2"/>
  <c r="AF62" i="2"/>
  <c r="AB62" i="2"/>
  <c r="AC62" i="2" s="1"/>
  <c r="AD62" i="2" s="1"/>
  <c r="AE62" i="2" s="1"/>
  <c r="CT61" i="2"/>
  <c r="CU61" i="2" s="1"/>
  <c r="CV61" i="2" s="1"/>
  <c r="CP61" i="2"/>
  <c r="CQ61" i="2" s="1"/>
  <c r="CR61" i="2" s="1"/>
  <c r="CM61" i="2"/>
  <c r="CN61" i="2" s="1"/>
  <c r="CC61" i="2"/>
  <c r="CD61" i="2" s="1"/>
  <c r="CE61" i="2" s="1"/>
  <c r="BU61" i="2"/>
  <c r="BV61" i="2" s="1"/>
  <c r="BP61" i="2"/>
  <c r="BQ61" i="2" s="1"/>
  <c r="BR61" i="2" s="1"/>
  <c r="BJ61" i="2"/>
  <c r="BH61" i="2"/>
  <c r="BI61" i="2" s="1"/>
  <c r="BA61" i="2"/>
  <c r="BB61" i="2" s="1"/>
  <c r="BC61" i="2" s="1"/>
  <c r="BD61" i="2" s="1"/>
  <c r="AS61" i="2"/>
  <c r="AT61" i="2" s="1"/>
  <c r="AU61" i="2" s="1"/>
  <c r="AV61" i="2" s="1"/>
  <c r="AW61" i="2" s="1"/>
  <c r="AX61" i="2" s="1"/>
  <c r="AN61" i="2"/>
  <c r="AO61" i="2" s="1"/>
  <c r="AP61" i="2" s="1"/>
  <c r="AQ61" i="2" s="1"/>
  <c r="AG61" i="2"/>
  <c r="AH61" i="2" s="1"/>
  <c r="AI61" i="2" s="1"/>
  <c r="AJ61" i="2" s="1"/>
  <c r="AF61" i="2"/>
  <c r="AB61" i="2"/>
  <c r="AC61" i="2" s="1"/>
  <c r="AD61" i="2" s="1"/>
  <c r="AE61" i="2" s="1"/>
  <c r="CT60" i="2"/>
  <c r="CU60" i="2" s="1"/>
  <c r="CV60" i="2" s="1"/>
  <c r="CP60" i="2"/>
  <c r="CQ60" i="2" s="1"/>
  <c r="CR60" i="2" s="1"/>
  <c r="CM60" i="2"/>
  <c r="CN60" i="2" s="1"/>
  <c r="CC60" i="2"/>
  <c r="CD60" i="2" s="1"/>
  <c r="CE60" i="2" s="1"/>
  <c r="BU60" i="2"/>
  <c r="BV60" i="2" s="1"/>
  <c r="BP60" i="2"/>
  <c r="BQ60" i="2" s="1"/>
  <c r="BR60" i="2" s="1"/>
  <c r="BJ60" i="2"/>
  <c r="BH60" i="2"/>
  <c r="BI60" i="2" s="1"/>
  <c r="BA60" i="2"/>
  <c r="BB60" i="2" s="1"/>
  <c r="BC60" i="2" s="1"/>
  <c r="BD60" i="2" s="1"/>
  <c r="AS60" i="2"/>
  <c r="AT60" i="2" s="1"/>
  <c r="AU60" i="2" s="1"/>
  <c r="AV60" i="2" s="1"/>
  <c r="AW60" i="2" s="1"/>
  <c r="AX60" i="2" s="1"/>
  <c r="AN60" i="2"/>
  <c r="AO60" i="2" s="1"/>
  <c r="AP60" i="2" s="1"/>
  <c r="AQ60" i="2" s="1"/>
  <c r="AB60" i="2"/>
  <c r="AC60" i="2" s="1"/>
  <c r="AD60" i="2" s="1"/>
  <c r="AE60" i="2" s="1"/>
  <c r="AG60" i="2"/>
  <c r="AF60" i="2"/>
  <c r="CT59" i="2"/>
  <c r="CU59" i="2" s="1"/>
  <c r="CV59" i="2" s="1"/>
  <c r="CP59" i="2"/>
  <c r="CQ59" i="2" s="1"/>
  <c r="CR59" i="2" s="1"/>
  <c r="CM59" i="2"/>
  <c r="CN59" i="2" s="1"/>
  <c r="CC59" i="2"/>
  <c r="CD59" i="2" s="1"/>
  <c r="CE59" i="2" s="1"/>
  <c r="BU59" i="2"/>
  <c r="BV59" i="2" s="1"/>
  <c r="BP59" i="2"/>
  <c r="BQ59" i="2" s="1"/>
  <c r="BR59" i="2" s="1"/>
  <c r="BJ59" i="2"/>
  <c r="BH59" i="2"/>
  <c r="BI59" i="2" s="1"/>
  <c r="BA59" i="2"/>
  <c r="AS59" i="2"/>
  <c r="AT59" i="2" s="1"/>
  <c r="AU59" i="2" s="1"/>
  <c r="AV59" i="2" s="1"/>
  <c r="AW59" i="2" s="1"/>
  <c r="AX59" i="2" s="1"/>
  <c r="AN59" i="2"/>
  <c r="AO59" i="2" s="1"/>
  <c r="AP59" i="2" s="1"/>
  <c r="AQ59" i="2" s="1"/>
  <c r="AF59" i="2"/>
  <c r="CT58" i="2"/>
  <c r="CU58" i="2" s="1"/>
  <c r="CV58" i="2" s="1"/>
  <c r="CP58" i="2"/>
  <c r="CQ58" i="2" s="1"/>
  <c r="CR58" i="2" s="1"/>
  <c r="CM58" i="2"/>
  <c r="CN58" i="2" s="1"/>
  <c r="CC58" i="2"/>
  <c r="CD58" i="2" s="1"/>
  <c r="CE58" i="2" s="1"/>
  <c r="BU58" i="2"/>
  <c r="BV58" i="2" s="1"/>
  <c r="BP58" i="2"/>
  <c r="BQ58" i="2" s="1"/>
  <c r="BR58" i="2" s="1"/>
  <c r="BJ58" i="2"/>
  <c r="BH58" i="2"/>
  <c r="BI58" i="2" s="1"/>
  <c r="BA58" i="2"/>
  <c r="BB58" i="2" s="1"/>
  <c r="BC58" i="2" s="1"/>
  <c r="BD58" i="2" s="1"/>
  <c r="AS58" i="2"/>
  <c r="AT58" i="2" s="1"/>
  <c r="AU58" i="2" s="1"/>
  <c r="AV58" i="2" s="1"/>
  <c r="AW58" i="2" s="1"/>
  <c r="AX58" i="2" s="1"/>
  <c r="AN58" i="2"/>
  <c r="AO58" i="2" s="1"/>
  <c r="AP58" i="2" s="1"/>
  <c r="AQ58" i="2" s="1"/>
  <c r="CT57" i="2"/>
  <c r="CU57" i="2" s="1"/>
  <c r="CV57" i="2" s="1"/>
  <c r="CP57" i="2"/>
  <c r="CQ57" i="2" s="1"/>
  <c r="CR57" i="2" s="1"/>
  <c r="CM57" i="2"/>
  <c r="CN57" i="2" s="1"/>
  <c r="CC57" i="2"/>
  <c r="CD57" i="2" s="1"/>
  <c r="CE57" i="2" s="1"/>
  <c r="BV57" i="2"/>
  <c r="BU57" i="2"/>
  <c r="BP57" i="2"/>
  <c r="BQ57" i="2" s="1"/>
  <c r="BR57" i="2" s="1"/>
  <c r="BJ57" i="2"/>
  <c r="BH57" i="2"/>
  <c r="BI57" i="2" s="1"/>
  <c r="BA57" i="2"/>
  <c r="AS57" i="2"/>
  <c r="AT57" i="2" s="1"/>
  <c r="AU57" i="2" s="1"/>
  <c r="AV57" i="2" s="1"/>
  <c r="AW57" i="2" s="1"/>
  <c r="AX57" i="2" s="1"/>
  <c r="AN57" i="2"/>
  <c r="AO57" i="2" s="1"/>
  <c r="AP57" i="2" s="1"/>
  <c r="AQ57" i="2" s="1"/>
  <c r="AG57" i="2"/>
  <c r="AF57" i="2"/>
  <c r="AB57" i="2"/>
  <c r="AC57" i="2" s="1"/>
  <c r="AD57" i="2" s="1"/>
  <c r="AE57" i="2" s="1"/>
  <c r="CT56" i="2"/>
  <c r="CU56" i="2" s="1"/>
  <c r="CV56" i="2" s="1"/>
  <c r="CP56" i="2"/>
  <c r="CQ56" i="2" s="1"/>
  <c r="CR56" i="2" s="1"/>
  <c r="CM56" i="2"/>
  <c r="CN56" i="2" s="1"/>
  <c r="CC56" i="2"/>
  <c r="CD56" i="2" s="1"/>
  <c r="CE56" i="2" s="1"/>
  <c r="BU56" i="2"/>
  <c r="BV56" i="2" s="1"/>
  <c r="BP56" i="2"/>
  <c r="BQ56" i="2" s="1"/>
  <c r="BR56" i="2" s="1"/>
  <c r="BJ56" i="2"/>
  <c r="BH56" i="2"/>
  <c r="BI56" i="2" s="1"/>
  <c r="BA56" i="2"/>
  <c r="BB56" i="2" s="1"/>
  <c r="BC56" i="2" s="1"/>
  <c r="BD56" i="2" s="1"/>
  <c r="AS56" i="2"/>
  <c r="AT56" i="2" s="1"/>
  <c r="AU56" i="2" s="1"/>
  <c r="AV56" i="2" s="1"/>
  <c r="AW56" i="2" s="1"/>
  <c r="AX56" i="2" s="1"/>
  <c r="AN56" i="2"/>
  <c r="AO56" i="2" s="1"/>
  <c r="AP56" i="2" s="1"/>
  <c r="AQ56" i="2" s="1"/>
  <c r="AG56" i="2"/>
  <c r="AF56" i="2"/>
  <c r="AB56" i="2"/>
  <c r="AC56" i="2" s="1"/>
  <c r="AD56" i="2" s="1"/>
  <c r="AE56" i="2" s="1"/>
  <c r="CT55" i="2"/>
  <c r="CU55" i="2" s="1"/>
  <c r="CV55" i="2" s="1"/>
  <c r="CP55" i="2"/>
  <c r="CQ55" i="2" s="1"/>
  <c r="CR55" i="2" s="1"/>
  <c r="CM55" i="2"/>
  <c r="CN55" i="2" s="1"/>
  <c r="CC55" i="2"/>
  <c r="CD55" i="2" s="1"/>
  <c r="CE55" i="2" s="1"/>
  <c r="BU55" i="2"/>
  <c r="BV55" i="2" s="1"/>
  <c r="BP55" i="2"/>
  <c r="BQ55" i="2" s="1"/>
  <c r="BR55" i="2" s="1"/>
  <c r="BJ55" i="2"/>
  <c r="BH55" i="2"/>
  <c r="BI55" i="2" s="1"/>
  <c r="BA55" i="2"/>
  <c r="BB55" i="2" s="1"/>
  <c r="BC55" i="2" s="1"/>
  <c r="BD55" i="2" s="1"/>
  <c r="AS55" i="2"/>
  <c r="AT55" i="2" s="1"/>
  <c r="AU55" i="2" s="1"/>
  <c r="AV55" i="2" s="1"/>
  <c r="AW55" i="2" s="1"/>
  <c r="AX55" i="2" s="1"/>
  <c r="AN55" i="2"/>
  <c r="AO55" i="2" s="1"/>
  <c r="AP55" i="2" s="1"/>
  <c r="AQ55" i="2" s="1"/>
  <c r="CT54" i="2"/>
  <c r="CU54" i="2" s="1"/>
  <c r="CV54" i="2" s="1"/>
  <c r="CP54" i="2"/>
  <c r="CQ54" i="2" s="1"/>
  <c r="CR54" i="2" s="1"/>
  <c r="CM54" i="2"/>
  <c r="CN54" i="2" s="1"/>
  <c r="CD54" i="2"/>
  <c r="CE54" i="2" s="1"/>
  <c r="CC54" i="2"/>
  <c r="BU54" i="2"/>
  <c r="BV54" i="2" s="1"/>
  <c r="BP54" i="2"/>
  <c r="BQ54" i="2" s="1"/>
  <c r="BR54" i="2" s="1"/>
  <c r="BJ54" i="2"/>
  <c r="BH54" i="2"/>
  <c r="BI54" i="2" s="1"/>
  <c r="BA54" i="2"/>
  <c r="BB54" i="2" s="1"/>
  <c r="BC54" i="2" s="1"/>
  <c r="BD54" i="2" s="1"/>
  <c r="AS54" i="2"/>
  <c r="AT54" i="2" s="1"/>
  <c r="AU54" i="2" s="1"/>
  <c r="AV54" i="2" s="1"/>
  <c r="AW54" i="2" s="1"/>
  <c r="AX54" i="2" s="1"/>
  <c r="AN54" i="2"/>
  <c r="AO54" i="2" s="1"/>
  <c r="AP54" i="2" s="1"/>
  <c r="AQ54" i="2" s="1"/>
  <c r="AF54" i="2"/>
  <c r="CT53" i="2"/>
  <c r="CU53" i="2" s="1"/>
  <c r="CV53" i="2" s="1"/>
  <c r="CP53" i="2"/>
  <c r="CQ53" i="2" s="1"/>
  <c r="CR53" i="2" s="1"/>
  <c r="CM53" i="2"/>
  <c r="CN53" i="2" s="1"/>
  <c r="CC53" i="2"/>
  <c r="CD53" i="2" s="1"/>
  <c r="CE53" i="2" s="1"/>
  <c r="BU53" i="2"/>
  <c r="BV53" i="2" s="1"/>
  <c r="BP53" i="2"/>
  <c r="BQ53" i="2" s="1"/>
  <c r="BR53" i="2" s="1"/>
  <c r="BJ53" i="2"/>
  <c r="BH53" i="2"/>
  <c r="BI53" i="2" s="1"/>
  <c r="BA53" i="2"/>
  <c r="BB53" i="2" s="1"/>
  <c r="BC53" i="2" s="1"/>
  <c r="BD53" i="2" s="1"/>
  <c r="AS53" i="2"/>
  <c r="AT53" i="2" s="1"/>
  <c r="AU53" i="2" s="1"/>
  <c r="AV53" i="2" s="1"/>
  <c r="AW53" i="2" s="1"/>
  <c r="AX53" i="2" s="1"/>
  <c r="AN53" i="2"/>
  <c r="AO53" i="2" s="1"/>
  <c r="AP53" i="2" s="1"/>
  <c r="AQ53" i="2" s="1"/>
  <c r="CT52" i="2"/>
  <c r="CU52" i="2" s="1"/>
  <c r="CV52" i="2" s="1"/>
  <c r="CP52" i="2"/>
  <c r="CQ52" i="2" s="1"/>
  <c r="CR52" i="2" s="1"/>
  <c r="CM52" i="2"/>
  <c r="CN52" i="2" s="1"/>
  <c r="CC52" i="2"/>
  <c r="CD52" i="2" s="1"/>
  <c r="CE52" i="2" s="1"/>
  <c r="BU52" i="2"/>
  <c r="BV52" i="2" s="1"/>
  <c r="BP52" i="2"/>
  <c r="BQ52" i="2" s="1"/>
  <c r="BR52" i="2" s="1"/>
  <c r="BJ52" i="2"/>
  <c r="BH52" i="2"/>
  <c r="BI52" i="2" s="1"/>
  <c r="BA52" i="2"/>
  <c r="BB52" i="2" s="1"/>
  <c r="BC52" i="2" s="1"/>
  <c r="BD52" i="2" s="1"/>
  <c r="AS52" i="2"/>
  <c r="AT52" i="2" s="1"/>
  <c r="AU52" i="2" s="1"/>
  <c r="AV52" i="2" s="1"/>
  <c r="AW52" i="2" s="1"/>
  <c r="AX52" i="2" s="1"/>
  <c r="AN52" i="2"/>
  <c r="AO52" i="2" s="1"/>
  <c r="AP52" i="2" s="1"/>
  <c r="AQ52" i="2" s="1"/>
  <c r="AG52" i="2"/>
  <c r="AF52" i="2"/>
  <c r="AH52" i="2" s="1"/>
  <c r="AI52" i="2" s="1"/>
  <c r="AJ52" i="2" s="1"/>
  <c r="AB52" i="2"/>
  <c r="AC52" i="2" s="1"/>
  <c r="AD52" i="2" s="1"/>
  <c r="AE52" i="2" s="1"/>
  <c r="CT51" i="2"/>
  <c r="CU51" i="2" s="1"/>
  <c r="CV51" i="2" s="1"/>
  <c r="CP51" i="2"/>
  <c r="CQ51" i="2" s="1"/>
  <c r="CR51" i="2" s="1"/>
  <c r="CM51" i="2"/>
  <c r="CN51" i="2" s="1"/>
  <c r="CC51" i="2"/>
  <c r="CD51" i="2" s="1"/>
  <c r="CE51" i="2" s="1"/>
  <c r="BU51" i="2"/>
  <c r="BV51" i="2" s="1"/>
  <c r="BP51" i="2"/>
  <c r="BQ51" i="2" s="1"/>
  <c r="BR51" i="2" s="1"/>
  <c r="BJ51" i="2"/>
  <c r="BH51" i="2"/>
  <c r="BI51" i="2" s="1"/>
  <c r="BA51" i="2"/>
  <c r="BB51" i="2" s="1"/>
  <c r="BC51" i="2" s="1"/>
  <c r="BD51" i="2" s="1"/>
  <c r="AS51" i="2"/>
  <c r="AT51" i="2" s="1"/>
  <c r="AU51" i="2" s="1"/>
  <c r="AV51" i="2" s="1"/>
  <c r="AW51" i="2" s="1"/>
  <c r="AX51" i="2" s="1"/>
  <c r="AN51" i="2"/>
  <c r="AO51" i="2" s="1"/>
  <c r="AP51" i="2" s="1"/>
  <c r="AQ51" i="2" s="1"/>
  <c r="AG51" i="2"/>
  <c r="AF51" i="2"/>
  <c r="AB51" i="2"/>
  <c r="AC51" i="2" s="1"/>
  <c r="AD51" i="2" s="1"/>
  <c r="AE51" i="2" s="1"/>
  <c r="CT50" i="2"/>
  <c r="CU50" i="2" s="1"/>
  <c r="CV50" i="2" s="1"/>
  <c r="CP50" i="2"/>
  <c r="CQ50" i="2" s="1"/>
  <c r="CR50" i="2" s="1"/>
  <c r="CM50" i="2"/>
  <c r="CN50" i="2" s="1"/>
  <c r="CC50" i="2"/>
  <c r="CD50" i="2" s="1"/>
  <c r="CE50" i="2" s="1"/>
  <c r="BU50" i="2"/>
  <c r="BV50" i="2" s="1"/>
  <c r="BP50" i="2"/>
  <c r="BQ50" i="2" s="1"/>
  <c r="BR50" i="2" s="1"/>
  <c r="BJ50" i="2"/>
  <c r="BH50" i="2"/>
  <c r="BI50" i="2" s="1"/>
  <c r="BA50" i="2"/>
  <c r="BB50" i="2" s="1"/>
  <c r="BC50" i="2" s="1"/>
  <c r="BD50" i="2" s="1"/>
  <c r="AS50" i="2"/>
  <c r="AT50" i="2" s="1"/>
  <c r="AU50" i="2" s="1"/>
  <c r="AV50" i="2" s="1"/>
  <c r="AW50" i="2" s="1"/>
  <c r="AX50" i="2" s="1"/>
  <c r="AN50" i="2"/>
  <c r="AO50" i="2" s="1"/>
  <c r="AP50" i="2" s="1"/>
  <c r="AQ50" i="2" s="1"/>
  <c r="AG50" i="2"/>
  <c r="AF50" i="2"/>
  <c r="AB50" i="2"/>
  <c r="AC50" i="2" s="1"/>
  <c r="AD50" i="2" s="1"/>
  <c r="AE50" i="2" s="1"/>
  <c r="CT49" i="2"/>
  <c r="CU49" i="2" s="1"/>
  <c r="CV49" i="2" s="1"/>
  <c r="CP49" i="2"/>
  <c r="CQ49" i="2" s="1"/>
  <c r="CR49" i="2" s="1"/>
  <c r="CM49" i="2"/>
  <c r="CN49" i="2" s="1"/>
  <c r="CC49" i="2"/>
  <c r="CD49" i="2" s="1"/>
  <c r="CE49" i="2" s="1"/>
  <c r="BU49" i="2"/>
  <c r="BV49" i="2" s="1"/>
  <c r="BP49" i="2"/>
  <c r="BQ49" i="2" s="1"/>
  <c r="BR49" i="2" s="1"/>
  <c r="BJ49" i="2"/>
  <c r="BH49" i="2"/>
  <c r="BI49" i="2" s="1"/>
  <c r="BA49" i="2"/>
  <c r="BB49" i="2" s="1"/>
  <c r="BC49" i="2" s="1"/>
  <c r="BD49" i="2" s="1"/>
  <c r="AS49" i="2"/>
  <c r="AT49" i="2" s="1"/>
  <c r="AU49" i="2" s="1"/>
  <c r="AV49" i="2" s="1"/>
  <c r="AW49" i="2" s="1"/>
  <c r="AX49" i="2" s="1"/>
  <c r="AN49" i="2"/>
  <c r="AO49" i="2" s="1"/>
  <c r="AP49" i="2" s="1"/>
  <c r="AQ49" i="2" s="1"/>
  <c r="AF49" i="2"/>
  <c r="CT48" i="2"/>
  <c r="CU48" i="2" s="1"/>
  <c r="CV48" i="2" s="1"/>
  <c r="CP48" i="2"/>
  <c r="CQ48" i="2" s="1"/>
  <c r="CR48" i="2" s="1"/>
  <c r="CM48" i="2"/>
  <c r="CN48" i="2" s="1"/>
  <c r="CC48" i="2"/>
  <c r="CD48" i="2" s="1"/>
  <c r="CE48" i="2" s="1"/>
  <c r="BU48" i="2"/>
  <c r="BV48" i="2" s="1"/>
  <c r="BP48" i="2"/>
  <c r="BQ48" i="2" s="1"/>
  <c r="BR48" i="2" s="1"/>
  <c r="BJ48" i="2"/>
  <c r="BH48" i="2"/>
  <c r="BI48" i="2" s="1"/>
  <c r="BA48" i="2"/>
  <c r="BB48" i="2" s="1"/>
  <c r="BC48" i="2" s="1"/>
  <c r="BD48" i="2" s="1"/>
  <c r="AS48" i="2"/>
  <c r="AT48" i="2" s="1"/>
  <c r="AU48" i="2" s="1"/>
  <c r="AV48" i="2" s="1"/>
  <c r="AW48" i="2" s="1"/>
  <c r="AX48" i="2" s="1"/>
  <c r="AN48" i="2"/>
  <c r="AO48" i="2" s="1"/>
  <c r="AP48" i="2" s="1"/>
  <c r="AQ48" i="2" s="1"/>
  <c r="AG48" i="2"/>
  <c r="AF48" i="2"/>
  <c r="AB48" i="2"/>
  <c r="AC48" i="2" s="1"/>
  <c r="AD48" i="2" s="1"/>
  <c r="AE48" i="2" s="1"/>
  <c r="CT47" i="2"/>
  <c r="CU47" i="2" s="1"/>
  <c r="CV47" i="2" s="1"/>
  <c r="CP47" i="2"/>
  <c r="CQ47" i="2" s="1"/>
  <c r="CR47" i="2" s="1"/>
  <c r="CM47" i="2"/>
  <c r="CN47" i="2" s="1"/>
  <c r="CC47" i="2"/>
  <c r="CD47" i="2" s="1"/>
  <c r="CE47" i="2" s="1"/>
  <c r="BU47" i="2"/>
  <c r="BV47" i="2" s="1"/>
  <c r="BP47" i="2"/>
  <c r="BQ47" i="2" s="1"/>
  <c r="BR47" i="2" s="1"/>
  <c r="BJ47" i="2"/>
  <c r="BH47" i="2"/>
  <c r="BI47" i="2" s="1"/>
  <c r="BA47" i="2"/>
  <c r="AS47" i="2"/>
  <c r="AT47" i="2" s="1"/>
  <c r="AU47" i="2" s="1"/>
  <c r="AV47" i="2" s="1"/>
  <c r="AW47" i="2" s="1"/>
  <c r="AX47" i="2" s="1"/>
  <c r="AN47" i="2"/>
  <c r="AO47" i="2" s="1"/>
  <c r="AP47" i="2" s="1"/>
  <c r="AQ47" i="2" s="1"/>
  <c r="CT46" i="2"/>
  <c r="CU46" i="2" s="1"/>
  <c r="CV46" i="2" s="1"/>
  <c r="CP46" i="2"/>
  <c r="CQ46" i="2" s="1"/>
  <c r="CR46" i="2" s="1"/>
  <c r="CM46" i="2"/>
  <c r="CN46" i="2" s="1"/>
  <c r="CI46" i="2"/>
  <c r="CJ46" i="2" s="1"/>
  <c r="BU46" i="2"/>
  <c r="BV46" i="2" s="1"/>
  <c r="BP46" i="2"/>
  <c r="BQ46" i="2" s="1"/>
  <c r="BR46" i="2" s="1"/>
  <c r="BJ46" i="2"/>
  <c r="BI46" i="2"/>
  <c r="BH46" i="2"/>
  <c r="BA46" i="2"/>
  <c r="BB46" i="2" s="1"/>
  <c r="BC46" i="2" s="1"/>
  <c r="BD46" i="2" s="1"/>
  <c r="AT46" i="2"/>
  <c r="AU46" i="2" s="1"/>
  <c r="AV46" i="2" s="1"/>
  <c r="AW46" i="2" s="1"/>
  <c r="AX46" i="2" s="1"/>
  <c r="AS46" i="2"/>
  <c r="AN46" i="2"/>
  <c r="AO46" i="2" s="1"/>
  <c r="AP46" i="2" s="1"/>
  <c r="AQ46" i="2" s="1"/>
  <c r="AG46" i="2"/>
  <c r="AH46" i="2" s="1"/>
  <c r="AI46" i="2" s="1"/>
  <c r="AJ46" i="2" s="1"/>
  <c r="AF46" i="2"/>
  <c r="AB46" i="2"/>
  <c r="AC46" i="2" s="1"/>
  <c r="AD46" i="2" s="1"/>
  <c r="AE46" i="2" s="1"/>
  <c r="CT45" i="2"/>
  <c r="CU45" i="2" s="1"/>
  <c r="CV45" i="2" s="1"/>
  <c r="CP45" i="2"/>
  <c r="CQ45" i="2" s="1"/>
  <c r="CR45" i="2" s="1"/>
  <c r="CM45" i="2"/>
  <c r="CN45" i="2" s="1"/>
  <c r="CC45" i="2"/>
  <c r="CD45" i="2" s="1"/>
  <c r="CE45" i="2" s="1"/>
  <c r="BU45" i="2"/>
  <c r="BV45" i="2" s="1"/>
  <c r="BP45" i="2"/>
  <c r="BQ45" i="2" s="1"/>
  <c r="BR45" i="2" s="1"/>
  <c r="BJ45" i="2"/>
  <c r="BH45" i="2"/>
  <c r="BI45" i="2" s="1"/>
  <c r="BA45" i="2"/>
  <c r="BB45" i="2" s="1"/>
  <c r="BC45" i="2" s="1"/>
  <c r="BD45" i="2" s="1"/>
  <c r="AS45" i="2"/>
  <c r="AT45" i="2" s="1"/>
  <c r="AU45" i="2" s="1"/>
  <c r="AV45" i="2" s="1"/>
  <c r="AW45" i="2" s="1"/>
  <c r="AX45" i="2" s="1"/>
  <c r="AN45" i="2"/>
  <c r="AO45" i="2" s="1"/>
  <c r="AP45" i="2" s="1"/>
  <c r="AQ45" i="2" s="1"/>
  <c r="CT44" i="2"/>
  <c r="CU44" i="2" s="1"/>
  <c r="CV44" i="2" s="1"/>
  <c r="CP44" i="2"/>
  <c r="CQ44" i="2" s="1"/>
  <c r="CR44" i="2" s="1"/>
  <c r="CM44" i="2"/>
  <c r="CN44" i="2" s="1"/>
  <c r="CC44" i="2"/>
  <c r="CD44" i="2" s="1"/>
  <c r="CE44" i="2" s="1"/>
  <c r="BV44" i="2"/>
  <c r="BU44" i="2"/>
  <c r="BP44" i="2"/>
  <c r="BQ44" i="2" s="1"/>
  <c r="BR44" i="2" s="1"/>
  <c r="BJ44" i="2"/>
  <c r="BH44" i="2"/>
  <c r="BI44" i="2" s="1"/>
  <c r="BA44" i="2"/>
  <c r="BB44" i="2" s="1"/>
  <c r="BC44" i="2" s="1"/>
  <c r="BD44" i="2" s="1"/>
  <c r="AS44" i="2"/>
  <c r="AT44" i="2" s="1"/>
  <c r="AU44" i="2" s="1"/>
  <c r="AV44" i="2" s="1"/>
  <c r="AW44" i="2" s="1"/>
  <c r="AX44" i="2" s="1"/>
  <c r="AN44" i="2"/>
  <c r="AO44" i="2" s="1"/>
  <c r="AP44" i="2" s="1"/>
  <c r="AQ44" i="2" s="1"/>
  <c r="AF44" i="2"/>
  <c r="CT43" i="2"/>
  <c r="CU43" i="2" s="1"/>
  <c r="CV43" i="2" s="1"/>
  <c r="CP43" i="2"/>
  <c r="CQ43" i="2" s="1"/>
  <c r="CR43" i="2" s="1"/>
  <c r="CM43" i="2"/>
  <c r="CN43" i="2" s="1"/>
  <c r="CD43" i="2"/>
  <c r="CE43" i="2" s="1"/>
  <c r="CC43" i="2"/>
  <c r="BU43" i="2"/>
  <c r="BV43" i="2" s="1"/>
  <c r="BP43" i="2"/>
  <c r="BQ43" i="2" s="1"/>
  <c r="BR43" i="2" s="1"/>
  <c r="BJ43" i="2"/>
  <c r="BH43" i="2"/>
  <c r="BI43" i="2" s="1"/>
  <c r="BA43" i="2"/>
  <c r="AS43" i="2"/>
  <c r="AT43" i="2" s="1"/>
  <c r="AU43" i="2" s="1"/>
  <c r="AV43" i="2" s="1"/>
  <c r="AW43" i="2" s="1"/>
  <c r="AX43" i="2" s="1"/>
  <c r="AN43" i="2"/>
  <c r="AO43" i="2" s="1"/>
  <c r="AP43" i="2" s="1"/>
  <c r="AQ43" i="2" s="1"/>
  <c r="AF43" i="2"/>
  <c r="AB43" i="2"/>
  <c r="AC43" i="2" s="1"/>
  <c r="AD43" i="2" s="1"/>
  <c r="AE43" i="2" s="1"/>
  <c r="AG43" i="2"/>
  <c r="AH43" i="2" s="1"/>
  <c r="AI43" i="2" s="1"/>
  <c r="AJ43" i="2" s="1"/>
  <c r="CT42" i="2"/>
  <c r="CU42" i="2" s="1"/>
  <c r="CV42" i="2" s="1"/>
  <c r="CP42" i="2"/>
  <c r="CQ42" i="2" s="1"/>
  <c r="CR42" i="2" s="1"/>
  <c r="CM42" i="2"/>
  <c r="CN42" i="2" s="1"/>
  <c r="CC42" i="2"/>
  <c r="CD42" i="2" s="1"/>
  <c r="CE42" i="2" s="1"/>
  <c r="BU42" i="2"/>
  <c r="BV42" i="2" s="1"/>
  <c r="BP42" i="2"/>
  <c r="BQ42" i="2" s="1"/>
  <c r="BR42" i="2" s="1"/>
  <c r="BJ42" i="2"/>
  <c r="BH42" i="2"/>
  <c r="BI42" i="2" s="1"/>
  <c r="BA42" i="2"/>
  <c r="AS42" i="2"/>
  <c r="AT42" i="2" s="1"/>
  <c r="AU42" i="2" s="1"/>
  <c r="AV42" i="2" s="1"/>
  <c r="AW42" i="2" s="1"/>
  <c r="AX42" i="2" s="1"/>
  <c r="AN42" i="2"/>
  <c r="AO42" i="2" s="1"/>
  <c r="AP42" i="2" s="1"/>
  <c r="AQ42" i="2" s="1"/>
  <c r="AF42" i="2"/>
  <c r="AG42" i="2"/>
  <c r="CT41" i="2"/>
  <c r="CU41" i="2" s="1"/>
  <c r="CV41" i="2" s="1"/>
  <c r="CP41" i="2"/>
  <c r="CQ41" i="2" s="1"/>
  <c r="CR41" i="2" s="1"/>
  <c r="CM41" i="2"/>
  <c r="CN41" i="2" s="1"/>
  <c r="CC41" i="2"/>
  <c r="CD41" i="2" s="1"/>
  <c r="CE41" i="2" s="1"/>
  <c r="BU41" i="2"/>
  <c r="BV41" i="2" s="1"/>
  <c r="BP41" i="2"/>
  <c r="BQ41" i="2" s="1"/>
  <c r="BR41" i="2" s="1"/>
  <c r="BJ41" i="2"/>
  <c r="BH41" i="2"/>
  <c r="BI41" i="2" s="1"/>
  <c r="BA41" i="2"/>
  <c r="BB41" i="2" s="1"/>
  <c r="BC41" i="2" s="1"/>
  <c r="BD41" i="2" s="1"/>
  <c r="AS41" i="2"/>
  <c r="AT41" i="2" s="1"/>
  <c r="AU41" i="2" s="1"/>
  <c r="AV41" i="2" s="1"/>
  <c r="AW41" i="2" s="1"/>
  <c r="AX41" i="2" s="1"/>
  <c r="AN41" i="2"/>
  <c r="AO41" i="2" s="1"/>
  <c r="AP41" i="2" s="1"/>
  <c r="AQ41" i="2" s="1"/>
  <c r="AB41" i="2"/>
  <c r="AC41" i="2" s="1"/>
  <c r="AD41" i="2" s="1"/>
  <c r="AE41" i="2" s="1"/>
  <c r="CT40" i="2"/>
  <c r="CU40" i="2" s="1"/>
  <c r="CV40" i="2" s="1"/>
  <c r="CP40" i="2"/>
  <c r="CQ40" i="2" s="1"/>
  <c r="CR40" i="2" s="1"/>
  <c r="CM40" i="2"/>
  <c r="CN40" i="2" s="1"/>
  <c r="CC40" i="2"/>
  <c r="CD40" i="2" s="1"/>
  <c r="CE40" i="2" s="1"/>
  <c r="BU40" i="2"/>
  <c r="BV40" i="2" s="1"/>
  <c r="BP40" i="2"/>
  <c r="BQ40" i="2" s="1"/>
  <c r="BR40" i="2" s="1"/>
  <c r="BJ40" i="2"/>
  <c r="BI40" i="2"/>
  <c r="BH40" i="2"/>
  <c r="BA40" i="2"/>
  <c r="BB40" i="2" s="1"/>
  <c r="BC40" i="2" s="1"/>
  <c r="BD40" i="2" s="1"/>
  <c r="AT40" i="2"/>
  <c r="AU40" i="2" s="1"/>
  <c r="AV40" i="2" s="1"/>
  <c r="AW40" i="2" s="1"/>
  <c r="AX40" i="2" s="1"/>
  <c r="AS40" i="2"/>
  <c r="AN40" i="2"/>
  <c r="AO40" i="2" s="1"/>
  <c r="AP40" i="2" s="1"/>
  <c r="AQ40" i="2" s="1"/>
  <c r="AG40" i="2"/>
  <c r="AF40" i="2"/>
  <c r="AB40" i="2"/>
  <c r="AC40" i="2" s="1"/>
  <c r="AD40" i="2" s="1"/>
  <c r="AE40" i="2" s="1"/>
  <c r="CT39" i="2"/>
  <c r="CU39" i="2" s="1"/>
  <c r="CV39" i="2" s="1"/>
  <c r="CP39" i="2"/>
  <c r="CQ39" i="2" s="1"/>
  <c r="CR39" i="2" s="1"/>
  <c r="CM39" i="2"/>
  <c r="CN39" i="2" s="1"/>
  <c r="CC39" i="2"/>
  <c r="CD39" i="2" s="1"/>
  <c r="CE39" i="2" s="1"/>
  <c r="BU39" i="2"/>
  <c r="BV39" i="2" s="1"/>
  <c r="BP39" i="2"/>
  <c r="BQ39" i="2" s="1"/>
  <c r="BR39" i="2" s="1"/>
  <c r="BJ39" i="2"/>
  <c r="BH39" i="2"/>
  <c r="BI39" i="2" s="1"/>
  <c r="BA39" i="2"/>
  <c r="BB39" i="2" s="1"/>
  <c r="BC39" i="2" s="1"/>
  <c r="BD39" i="2" s="1"/>
  <c r="AS39" i="2"/>
  <c r="AT39" i="2" s="1"/>
  <c r="AU39" i="2" s="1"/>
  <c r="AV39" i="2" s="1"/>
  <c r="AW39" i="2" s="1"/>
  <c r="AX39" i="2" s="1"/>
  <c r="AN39" i="2"/>
  <c r="AO39" i="2" s="1"/>
  <c r="AP39" i="2" s="1"/>
  <c r="AQ39" i="2" s="1"/>
  <c r="AG39" i="2"/>
  <c r="CT38" i="2"/>
  <c r="CU38" i="2" s="1"/>
  <c r="CV38" i="2" s="1"/>
  <c r="CP38" i="2"/>
  <c r="CQ38" i="2" s="1"/>
  <c r="CR38" i="2" s="1"/>
  <c r="CM38" i="2"/>
  <c r="CN38" i="2" s="1"/>
  <c r="CC38" i="2"/>
  <c r="CD38" i="2" s="1"/>
  <c r="CE38" i="2" s="1"/>
  <c r="BU38" i="2"/>
  <c r="BV38" i="2" s="1"/>
  <c r="BP38" i="2"/>
  <c r="BQ38" i="2" s="1"/>
  <c r="BR38" i="2" s="1"/>
  <c r="BJ38" i="2"/>
  <c r="BH38" i="2"/>
  <c r="BI38" i="2" s="1"/>
  <c r="BA38" i="2"/>
  <c r="BB38" i="2" s="1"/>
  <c r="BC38" i="2" s="1"/>
  <c r="BD38" i="2" s="1"/>
  <c r="AS38" i="2"/>
  <c r="AT38" i="2" s="1"/>
  <c r="AU38" i="2" s="1"/>
  <c r="AV38" i="2" s="1"/>
  <c r="AW38" i="2" s="1"/>
  <c r="AX38" i="2" s="1"/>
  <c r="AN38" i="2"/>
  <c r="AO38" i="2" s="1"/>
  <c r="AP38" i="2" s="1"/>
  <c r="AQ38" i="2" s="1"/>
  <c r="AF38" i="2"/>
  <c r="AG38" i="2"/>
  <c r="CT37" i="2"/>
  <c r="CU37" i="2" s="1"/>
  <c r="CV37" i="2" s="1"/>
  <c r="CQ37" i="2"/>
  <c r="CR37" i="2" s="1"/>
  <c r="CP37" i="2"/>
  <c r="CM37" i="2"/>
  <c r="CN37" i="2" s="1"/>
  <c r="CC37" i="2"/>
  <c r="CD37" i="2" s="1"/>
  <c r="CE37" i="2" s="1"/>
  <c r="BU37" i="2"/>
  <c r="BV37" i="2" s="1"/>
  <c r="BP37" i="2"/>
  <c r="BQ37" i="2" s="1"/>
  <c r="BR37" i="2" s="1"/>
  <c r="BJ37" i="2"/>
  <c r="BH37" i="2"/>
  <c r="BI37" i="2" s="1"/>
  <c r="BA37" i="2"/>
  <c r="BB37" i="2" s="1"/>
  <c r="BC37" i="2" s="1"/>
  <c r="BD37" i="2" s="1"/>
  <c r="AS37" i="2"/>
  <c r="AT37" i="2" s="1"/>
  <c r="AU37" i="2" s="1"/>
  <c r="AV37" i="2" s="1"/>
  <c r="AW37" i="2" s="1"/>
  <c r="AX37" i="2" s="1"/>
  <c r="AN37" i="2"/>
  <c r="AO37" i="2" s="1"/>
  <c r="AP37" i="2" s="1"/>
  <c r="AQ37" i="2" s="1"/>
  <c r="AG37" i="2"/>
  <c r="AF37" i="2"/>
  <c r="AB37" i="2"/>
  <c r="AC37" i="2" s="1"/>
  <c r="AD37" i="2" s="1"/>
  <c r="AE37" i="2" s="1"/>
  <c r="CU36" i="2"/>
  <c r="CV36" i="2" s="1"/>
  <c r="CT36" i="2"/>
  <c r="CQ36" i="2"/>
  <c r="CR36" i="2" s="1"/>
  <c r="CP36" i="2"/>
  <c r="CM36" i="2"/>
  <c r="CN36" i="2" s="1"/>
  <c r="CI36" i="2"/>
  <c r="CJ36" i="2" s="1"/>
  <c r="BU36" i="2"/>
  <c r="BV36" i="2" s="1"/>
  <c r="BP36" i="2"/>
  <c r="BQ36" i="2" s="1"/>
  <c r="BR36" i="2" s="1"/>
  <c r="BJ36" i="2"/>
  <c r="BH36" i="2"/>
  <c r="BI36" i="2" s="1"/>
  <c r="BA36" i="2"/>
  <c r="AT36" i="2"/>
  <c r="AU36" i="2" s="1"/>
  <c r="AV36" i="2" s="1"/>
  <c r="AW36" i="2" s="1"/>
  <c r="AX36" i="2" s="1"/>
  <c r="AS36" i="2"/>
  <c r="AN36" i="2"/>
  <c r="AO36" i="2" s="1"/>
  <c r="AP36" i="2" s="1"/>
  <c r="AQ36" i="2" s="1"/>
  <c r="AG36" i="2"/>
  <c r="AF36" i="2"/>
  <c r="AB36" i="2"/>
  <c r="AC36" i="2" s="1"/>
  <c r="AD36" i="2" s="1"/>
  <c r="AE36" i="2" s="1"/>
  <c r="CT35" i="2"/>
  <c r="CU35" i="2" s="1"/>
  <c r="CV35" i="2" s="1"/>
  <c r="CP35" i="2"/>
  <c r="CQ35" i="2" s="1"/>
  <c r="CR35" i="2" s="1"/>
  <c r="CM35" i="2"/>
  <c r="CN35" i="2" s="1"/>
  <c r="CC35" i="2"/>
  <c r="CD35" i="2" s="1"/>
  <c r="CE35" i="2" s="1"/>
  <c r="BU35" i="2"/>
  <c r="BV35" i="2" s="1"/>
  <c r="BP35" i="2"/>
  <c r="BQ35" i="2" s="1"/>
  <c r="BR35" i="2" s="1"/>
  <c r="BJ35" i="2"/>
  <c r="BH35" i="2"/>
  <c r="BI35" i="2" s="1"/>
  <c r="BA35" i="2"/>
  <c r="AS35" i="2"/>
  <c r="AT35" i="2" s="1"/>
  <c r="AU35" i="2" s="1"/>
  <c r="AV35" i="2" s="1"/>
  <c r="AW35" i="2" s="1"/>
  <c r="AX35" i="2" s="1"/>
  <c r="AN35" i="2"/>
  <c r="AO35" i="2" s="1"/>
  <c r="AP35" i="2" s="1"/>
  <c r="AQ35" i="2" s="1"/>
  <c r="AF35" i="2"/>
  <c r="AB35" i="2"/>
  <c r="AC35" i="2" s="1"/>
  <c r="AD35" i="2" s="1"/>
  <c r="AE35" i="2" s="1"/>
  <c r="AG35" i="2"/>
  <c r="CT34" i="2"/>
  <c r="CU34" i="2" s="1"/>
  <c r="CV34" i="2" s="1"/>
  <c r="CP34" i="2"/>
  <c r="CQ34" i="2" s="1"/>
  <c r="CR34" i="2" s="1"/>
  <c r="CM34" i="2"/>
  <c r="CN34" i="2" s="1"/>
  <c r="CC34" i="2"/>
  <c r="CD34" i="2" s="1"/>
  <c r="CE34" i="2" s="1"/>
  <c r="BU34" i="2"/>
  <c r="BV34" i="2" s="1"/>
  <c r="BP34" i="2"/>
  <c r="BQ34" i="2" s="1"/>
  <c r="BR34" i="2" s="1"/>
  <c r="BJ34" i="2"/>
  <c r="BH34" i="2"/>
  <c r="BI34" i="2" s="1"/>
  <c r="BA34" i="2"/>
  <c r="BB34" i="2" s="1"/>
  <c r="BC34" i="2" s="1"/>
  <c r="BD34" i="2" s="1"/>
  <c r="AS34" i="2"/>
  <c r="AT34" i="2" s="1"/>
  <c r="AU34" i="2" s="1"/>
  <c r="AV34" i="2" s="1"/>
  <c r="AW34" i="2" s="1"/>
  <c r="AX34" i="2" s="1"/>
  <c r="AN34" i="2"/>
  <c r="AO34" i="2" s="1"/>
  <c r="AP34" i="2" s="1"/>
  <c r="AQ34" i="2" s="1"/>
  <c r="CT33" i="2"/>
  <c r="CU33" i="2" s="1"/>
  <c r="CV33" i="2" s="1"/>
  <c r="CP33" i="2"/>
  <c r="CQ33" i="2" s="1"/>
  <c r="CR33" i="2" s="1"/>
  <c r="CM33" i="2"/>
  <c r="CN33" i="2" s="1"/>
  <c r="CC33" i="2"/>
  <c r="CD33" i="2" s="1"/>
  <c r="CE33" i="2" s="1"/>
  <c r="BU33" i="2"/>
  <c r="BV33" i="2" s="1"/>
  <c r="BP33" i="2"/>
  <c r="BQ33" i="2" s="1"/>
  <c r="BR33" i="2" s="1"/>
  <c r="BJ33" i="2"/>
  <c r="BH33" i="2"/>
  <c r="BI33" i="2" s="1"/>
  <c r="BA33" i="2"/>
  <c r="BB33" i="2" s="1"/>
  <c r="BC33" i="2" s="1"/>
  <c r="BD33" i="2" s="1"/>
  <c r="AS33" i="2"/>
  <c r="AT33" i="2" s="1"/>
  <c r="AU33" i="2" s="1"/>
  <c r="AV33" i="2" s="1"/>
  <c r="AW33" i="2" s="1"/>
  <c r="AX33" i="2" s="1"/>
  <c r="AN33" i="2"/>
  <c r="AO33" i="2" s="1"/>
  <c r="AP33" i="2" s="1"/>
  <c r="AQ33" i="2" s="1"/>
  <c r="AG33" i="2"/>
  <c r="AF33" i="2"/>
  <c r="AB33" i="2"/>
  <c r="AC33" i="2" s="1"/>
  <c r="AD33" i="2" s="1"/>
  <c r="AE33" i="2" s="1"/>
  <c r="CT32" i="2"/>
  <c r="CU32" i="2" s="1"/>
  <c r="CV32" i="2" s="1"/>
  <c r="CP32" i="2"/>
  <c r="CQ32" i="2" s="1"/>
  <c r="CR32" i="2" s="1"/>
  <c r="CM32" i="2"/>
  <c r="CN32" i="2" s="1"/>
  <c r="CC32" i="2"/>
  <c r="CD32" i="2" s="1"/>
  <c r="CE32" i="2" s="1"/>
  <c r="BU32" i="2"/>
  <c r="BV32" i="2" s="1"/>
  <c r="BP32" i="2"/>
  <c r="BQ32" i="2" s="1"/>
  <c r="BR32" i="2" s="1"/>
  <c r="BJ32" i="2"/>
  <c r="BH32" i="2"/>
  <c r="BI32" i="2" s="1"/>
  <c r="BA32" i="2"/>
  <c r="BB32" i="2" s="1"/>
  <c r="BC32" i="2" s="1"/>
  <c r="BD32" i="2" s="1"/>
  <c r="AS32" i="2"/>
  <c r="AT32" i="2" s="1"/>
  <c r="AU32" i="2" s="1"/>
  <c r="AV32" i="2" s="1"/>
  <c r="AW32" i="2" s="1"/>
  <c r="AX32" i="2" s="1"/>
  <c r="AN32" i="2"/>
  <c r="AO32" i="2" s="1"/>
  <c r="AP32" i="2" s="1"/>
  <c r="AQ32" i="2" s="1"/>
  <c r="AF32" i="2"/>
  <c r="AG32" i="2"/>
  <c r="CT31" i="2"/>
  <c r="CU31" i="2" s="1"/>
  <c r="CV31" i="2" s="1"/>
  <c r="CP31" i="2"/>
  <c r="CQ31" i="2" s="1"/>
  <c r="CR31" i="2" s="1"/>
  <c r="CM31" i="2"/>
  <c r="CN31" i="2" s="1"/>
  <c r="CD31" i="2"/>
  <c r="CE31" i="2" s="1"/>
  <c r="CC31" i="2"/>
  <c r="BU31" i="2"/>
  <c r="BV31" i="2" s="1"/>
  <c r="BP31" i="2"/>
  <c r="BQ31" i="2" s="1"/>
  <c r="BR31" i="2" s="1"/>
  <c r="BJ31" i="2"/>
  <c r="BH31" i="2"/>
  <c r="BI31" i="2" s="1"/>
  <c r="BA31" i="2"/>
  <c r="BB31" i="2" s="1"/>
  <c r="BC31" i="2" s="1"/>
  <c r="BD31" i="2" s="1"/>
  <c r="AS31" i="2"/>
  <c r="AT31" i="2" s="1"/>
  <c r="AU31" i="2" s="1"/>
  <c r="AV31" i="2" s="1"/>
  <c r="AW31" i="2" s="1"/>
  <c r="AX31" i="2" s="1"/>
  <c r="AN31" i="2"/>
  <c r="AO31" i="2" s="1"/>
  <c r="AP31" i="2" s="1"/>
  <c r="AQ31" i="2" s="1"/>
  <c r="AG31" i="2"/>
  <c r="AF31" i="2"/>
  <c r="AB31" i="2"/>
  <c r="AC31" i="2" s="1"/>
  <c r="AD31" i="2" s="1"/>
  <c r="AE31" i="2" s="1"/>
  <c r="CT30" i="2"/>
  <c r="CU30" i="2" s="1"/>
  <c r="CV30" i="2" s="1"/>
  <c r="CP30" i="2"/>
  <c r="CQ30" i="2" s="1"/>
  <c r="CR30" i="2" s="1"/>
  <c r="CM30" i="2"/>
  <c r="CN30" i="2" s="1"/>
  <c r="CD30" i="2"/>
  <c r="CE30" i="2" s="1"/>
  <c r="CC30" i="2"/>
  <c r="BU30" i="2"/>
  <c r="BV30" i="2" s="1"/>
  <c r="BP30" i="2"/>
  <c r="BQ30" i="2" s="1"/>
  <c r="BR30" i="2" s="1"/>
  <c r="BJ30" i="2"/>
  <c r="BI30" i="2"/>
  <c r="BH30" i="2"/>
  <c r="BA30" i="2"/>
  <c r="BB30" i="2" s="1"/>
  <c r="BC30" i="2" s="1"/>
  <c r="BD30" i="2" s="1"/>
  <c r="AS30" i="2"/>
  <c r="AT30" i="2" s="1"/>
  <c r="AU30" i="2" s="1"/>
  <c r="AV30" i="2" s="1"/>
  <c r="AW30" i="2" s="1"/>
  <c r="AX30" i="2" s="1"/>
  <c r="AO30" i="2"/>
  <c r="AP30" i="2" s="1"/>
  <c r="AQ30" i="2" s="1"/>
  <c r="AN30" i="2"/>
  <c r="CT29" i="2"/>
  <c r="CU29" i="2" s="1"/>
  <c r="CV29" i="2" s="1"/>
  <c r="CP29" i="2"/>
  <c r="CQ29" i="2" s="1"/>
  <c r="CR29" i="2" s="1"/>
  <c r="CM29" i="2"/>
  <c r="CN29" i="2" s="1"/>
  <c r="CC29" i="2"/>
  <c r="CD29" i="2" s="1"/>
  <c r="CE29" i="2" s="1"/>
  <c r="BU29" i="2"/>
  <c r="BV29" i="2" s="1"/>
  <c r="BP29" i="2"/>
  <c r="BQ29" i="2" s="1"/>
  <c r="BR29" i="2" s="1"/>
  <c r="BJ29" i="2"/>
  <c r="BH29" i="2"/>
  <c r="BI29" i="2" s="1"/>
  <c r="BA29" i="2"/>
  <c r="BB29" i="2" s="1"/>
  <c r="BC29" i="2" s="1"/>
  <c r="BD29" i="2" s="1"/>
  <c r="AS29" i="2"/>
  <c r="AT29" i="2" s="1"/>
  <c r="AU29" i="2" s="1"/>
  <c r="AV29" i="2" s="1"/>
  <c r="AW29" i="2" s="1"/>
  <c r="AX29" i="2" s="1"/>
  <c r="AN29" i="2"/>
  <c r="AO29" i="2" s="1"/>
  <c r="AP29" i="2" s="1"/>
  <c r="AQ29" i="2" s="1"/>
  <c r="AF29" i="2"/>
  <c r="AB29" i="2"/>
  <c r="AC29" i="2" s="1"/>
  <c r="AD29" i="2" s="1"/>
  <c r="AE29" i="2" s="1"/>
  <c r="AG29" i="2"/>
  <c r="CT28" i="2"/>
  <c r="CU28" i="2" s="1"/>
  <c r="CV28" i="2" s="1"/>
  <c r="CP28" i="2"/>
  <c r="CQ28" i="2" s="1"/>
  <c r="CR28" i="2" s="1"/>
  <c r="CM28" i="2"/>
  <c r="CN28" i="2" s="1"/>
  <c r="CC28" i="2"/>
  <c r="CD28" i="2" s="1"/>
  <c r="CE28" i="2" s="1"/>
  <c r="BU28" i="2"/>
  <c r="BV28" i="2" s="1"/>
  <c r="BP28" i="2"/>
  <c r="BQ28" i="2" s="1"/>
  <c r="BR28" i="2" s="1"/>
  <c r="BJ28" i="2"/>
  <c r="BH28" i="2"/>
  <c r="BI28" i="2" s="1"/>
  <c r="BA28" i="2"/>
  <c r="BB28" i="2" s="1"/>
  <c r="BC28" i="2" s="1"/>
  <c r="BD28" i="2" s="1"/>
  <c r="AS28" i="2"/>
  <c r="AT28" i="2" s="1"/>
  <c r="AU28" i="2" s="1"/>
  <c r="AV28" i="2" s="1"/>
  <c r="AW28" i="2" s="1"/>
  <c r="AX28" i="2" s="1"/>
  <c r="AN28" i="2"/>
  <c r="AO28" i="2" s="1"/>
  <c r="AP28" i="2" s="1"/>
  <c r="AQ28" i="2" s="1"/>
  <c r="CT27" i="2"/>
  <c r="CU27" i="2" s="1"/>
  <c r="CV27" i="2" s="1"/>
  <c r="CP27" i="2"/>
  <c r="CQ27" i="2" s="1"/>
  <c r="CR27" i="2" s="1"/>
  <c r="CM27" i="2"/>
  <c r="CN27" i="2" s="1"/>
  <c r="CC27" i="2"/>
  <c r="CD27" i="2" s="1"/>
  <c r="CE27" i="2" s="1"/>
  <c r="BU27" i="2"/>
  <c r="BV27" i="2" s="1"/>
  <c r="BP27" i="2"/>
  <c r="BQ27" i="2" s="1"/>
  <c r="BR27" i="2" s="1"/>
  <c r="BJ27" i="2"/>
  <c r="BH27" i="2"/>
  <c r="BI27" i="2" s="1"/>
  <c r="BA27" i="2"/>
  <c r="AS27" i="2"/>
  <c r="AT27" i="2" s="1"/>
  <c r="AU27" i="2" s="1"/>
  <c r="AV27" i="2" s="1"/>
  <c r="AW27" i="2" s="1"/>
  <c r="AX27" i="2" s="1"/>
  <c r="AN27" i="2"/>
  <c r="AO27" i="2" s="1"/>
  <c r="AP27" i="2" s="1"/>
  <c r="AQ27" i="2" s="1"/>
  <c r="AG27" i="2"/>
  <c r="AB27" i="2"/>
  <c r="AC27" i="2" s="1"/>
  <c r="AD27" i="2" s="1"/>
  <c r="AE27" i="2" s="1"/>
  <c r="CT26" i="2"/>
  <c r="CU26" i="2" s="1"/>
  <c r="CV26" i="2" s="1"/>
  <c r="CP26" i="2"/>
  <c r="CQ26" i="2" s="1"/>
  <c r="CR26" i="2" s="1"/>
  <c r="CM26" i="2"/>
  <c r="CN26" i="2" s="1"/>
  <c r="CC26" i="2"/>
  <c r="CD26" i="2" s="1"/>
  <c r="CE26" i="2" s="1"/>
  <c r="BU26" i="2"/>
  <c r="BV26" i="2" s="1"/>
  <c r="BP26" i="2"/>
  <c r="BQ26" i="2" s="1"/>
  <c r="BR26" i="2" s="1"/>
  <c r="BJ26" i="2"/>
  <c r="BH26" i="2"/>
  <c r="BI26" i="2" s="1"/>
  <c r="BA26" i="2"/>
  <c r="BB26" i="2" s="1"/>
  <c r="BC26" i="2" s="1"/>
  <c r="BD26" i="2" s="1"/>
  <c r="AS26" i="2"/>
  <c r="AT26" i="2" s="1"/>
  <c r="AU26" i="2" s="1"/>
  <c r="AV26" i="2" s="1"/>
  <c r="AW26" i="2" s="1"/>
  <c r="AX26" i="2" s="1"/>
  <c r="AN26" i="2"/>
  <c r="AO26" i="2" s="1"/>
  <c r="AP26" i="2" s="1"/>
  <c r="AQ26" i="2" s="1"/>
  <c r="CT25" i="2"/>
  <c r="CU25" i="2" s="1"/>
  <c r="CV25" i="2" s="1"/>
  <c r="CP25" i="2"/>
  <c r="CQ25" i="2" s="1"/>
  <c r="CR25" i="2" s="1"/>
  <c r="CM25" i="2"/>
  <c r="CN25" i="2" s="1"/>
  <c r="CC25" i="2"/>
  <c r="CD25" i="2" s="1"/>
  <c r="CE25" i="2" s="1"/>
  <c r="BU25" i="2"/>
  <c r="BV25" i="2" s="1"/>
  <c r="BP25" i="2"/>
  <c r="BQ25" i="2" s="1"/>
  <c r="BR25" i="2" s="1"/>
  <c r="BJ25" i="2"/>
  <c r="BH25" i="2"/>
  <c r="BI25" i="2" s="1"/>
  <c r="BA25" i="2"/>
  <c r="BB25" i="2" s="1"/>
  <c r="BC25" i="2" s="1"/>
  <c r="BD25" i="2" s="1"/>
  <c r="AS25" i="2"/>
  <c r="AT25" i="2" s="1"/>
  <c r="AU25" i="2" s="1"/>
  <c r="AV25" i="2" s="1"/>
  <c r="AW25" i="2" s="1"/>
  <c r="AX25" i="2" s="1"/>
  <c r="AN25" i="2"/>
  <c r="AO25" i="2" s="1"/>
  <c r="AP25" i="2" s="1"/>
  <c r="AQ25" i="2" s="1"/>
  <c r="AG25" i="2"/>
  <c r="AF25" i="2"/>
  <c r="AB25" i="2"/>
  <c r="AC25" i="2" s="1"/>
  <c r="AD25" i="2" s="1"/>
  <c r="AE25" i="2" s="1"/>
  <c r="CT24" i="2"/>
  <c r="CU24" i="2" s="1"/>
  <c r="CV24" i="2" s="1"/>
  <c r="CP24" i="2"/>
  <c r="CQ24" i="2" s="1"/>
  <c r="CR24" i="2" s="1"/>
  <c r="CM24" i="2"/>
  <c r="CN24" i="2" s="1"/>
  <c r="CC24" i="2"/>
  <c r="CD24" i="2" s="1"/>
  <c r="CE24" i="2" s="1"/>
  <c r="BU24" i="2"/>
  <c r="BV24" i="2" s="1"/>
  <c r="BP24" i="2"/>
  <c r="BQ24" i="2" s="1"/>
  <c r="BR24" i="2" s="1"/>
  <c r="BJ24" i="2"/>
  <c r="BH24" i="2"/>
  <c r="BI24" i="2" s="1"/>
  <c r="BA24" i="2"/>
  <c r="BB24" i="2" s="1"/>
  <c r="BC24" i="2" s="1"/>
  <c r="BD24" i="2" s="1"/>
  <c r="AT24" i="2"/>
  <c r="AU24" i="2" s="1"/>
  <c r="AV24" i="2" s="1"/>
  <c r="AW24" i="2" s="1"/>
  <c r="AX24" i="2" s="1"/>
  <c r="AS24" i="2"/>
  <c r="AN24" i="2"/>
  <c r="AO24" i="2" s="1"/>
  <c r="AP24" i="2" s="1"/>
  <c r="AQ24" i="2" s="1"/>
  <c r="AG24" i="2"/>
  <c r="AF24" i="2"/>
  <c r="AB24" i="2"/>
  <c r="AC24" i="2" s="1"/>
  <c r="AD24" i="2" s="1"/>
  <c r="AE24" i="2" s="1"/>
  <c r="CT23" i="2"/>
  <c r="CU23" i="2" s="1"/>
  <c r="CV23" i="2" s="1"/>
  <c r="CQ23" i="2"/>
  <c r="CR23" i="2" s="1"/>
  <c r="CP23" i="2"/>
  <c r="CM23" i="2"/>
  <c r="CN23" i="2" s="1"/>
  <c r="CC23" i="2"/>
  <c r="CD23" i="2" s="1"/>
  <c r="CE23" i="2" s="1"/>
  <c r="BU23" i="2"/>
  <c r="BV23" i="2" s="1"/>
  <c r="BP23" i="2"/>
  <c r="BQ23" i="2" s="1"/>
  <c r="BR23" i="2" s="1"/>
  <c r="BJ23" i="2"/>
  <c r="BH23" i="2"/>
  <c r="BI23" i="2" s="1"/>
  <c r="BA23" i="2"/>
  <c r="AU23" i="2"/>
  <c r="AV23" i="2" s="1"/>
  <c r="AW23" i="2" s="1"/>
  <c r="AX23" i="2" s="1"/>
  <c r="AS23" i="2"/>
  <c r="AT23" i="2" s="1"/>
  <c r="AN23" i="2"/>
  <c r="AO23" i="2" s="1"/>
  <c r="AP23" i="2" s="1"/>
  <c r="AQ23" i="2" s="1"/>
  <c r="AF23" i="2"/>
  <c r="AG23" i="2"/>
  <c r="CT22" i="2"/>
  <c r="CU22" i="2" s="1"/>
  <c r="CV22" i="2" s="1"/>
  <c r="CP22" i="2"/>
  <c r="CQ22" i="2" s="1"/>
  <c r="CR22" i="2" s="1"/>
  <c r="CM22" i="2"/>
  <c r="CN22" i="2" s="1"/>
  <c r="CC22" i="2"/>
  <c r="CD22" i="2" s="1"/>
  <c r="CE22" i="2" s="1"/>
  <c r="BU22" i="2"/>
  <c r="BV22" i="2" s="1"/>
  <c r="BP22" i="2"/>
  <c r="BQ22" i="2" s="1"/>
  <c r="BR22" i="2" s="1"/>
  <c r="BJ22" i="2"/>
  <c r="BH22" i="2"/>
  <c r="BI22" i="2" s="1"/>
  <c r="BA22" i="2"/>
  <c r="AT22" i="2"/>
  <c r="AU22" i="2" s="1"/>
  <c r="AV22" i="2" s="1"/>
  <c r="AW22" i="2" s="1"/>
  <c r="AX22" i="2" s="1"/>
  <c r="AS22" i="2"/>
  <c r="AN22" i="2"/>
  <c r="AO22" i="2" s="1"/>
  <c r="AP22" i="2" s="1"/>
  <c r="AQ22" i="2" s="1"/>
  <c r="CU21" i="2"/>
  <c r="CV21" i="2" s="1"/>
  <c r="CT21" i="2"/>
  <c r="CP21" i="2"/>
  <c r="CQ21" i="2" s="1"/>
  <c r="CR21" i="2" s="1"/>
  <c r="CM21" i="2"/>
  <c r="CN21" i="2" s="1"/>
  <c r="CC21" i="2"/>
  <c r="CD21" i="2" s="1"/>
  <c r="CE21" i="2" s="1"/>
  <c r="BU21" i="2"/>
  <c r="BV21" i="2" s="1"/>
  <c r="BP21" i="2"/>
  <c r="BQ21" i="2" s="1"/>
  <c r="BR21" i="2" s="1"/>
  <c r="BJ21" i="2"/>
  <c r="BH21" i="2"/>
  <c r="BI21" i="2" s="1"/>
  <c r="BA21" i="2"/>
  <c r="BB21" i="2" s="1"/>
  <c r="BC21" i="2" s="1"/>
  <c r="BD21" i="2" s="1"/>
  <c r="AS21" i="2"/>
  <c r="AT21" i="2" s="1"/>
  <c r="AU21" i="2" s="1"/>
  <c r="AV21" i="2" s="1"/>
  <c r="AW21" i="2" s="1"/>
  <c r="AX21" i="2" s="1"/>
  <c r="AN21" i="2"/>
  <c r="AO21" i="2" s="1"/>
  <c r="AP21" i="2" s="1"/>
  <c r="AQ21" i="2" s="1"/>
  <c r="AG21" i="2"/>
  <c r="AF21" i="2"/>
  <c r="AB21" i="2"/>
  <c r="AC21" i="2" s="1"/>
  <c r="AD21" i="2" s="1"/>
  <c r="AE21" i="2" s="1"/>
  <c r="CT20" i="2"/>
  <c r="CU20" i="2" s="1"/>
  <c r="CV20" i="2" s="1"/>
  <c r="CP20" i="2"/>
  <c r="CQ20" i="2" s="1"/>
  <c r="CR20" i="2" s="1"/>
  <c r="CM20" i="2"/>
  <c r="CN20" i="2" s="1"/>
  <c r="CC20" i="2"/>
  <c r="CD20" i="2" s="1"/>
  <c r="CE20" i="2" s="1"/>
  <c r="BU20" i="2"/>
  <c r="BV20" i="2" s="1"/>
  <c r="BP20" i="2"/>
  <c r="BQ20" i="2" s="1"/>
  <c r="BR20" i="2" s="1"/>
  <c r="BJ20" i="2"/>
  <c r="BH20" i="2"/>
  <c r="BI20" i="2" s="1"/>
  <c r="BA20" i="2"/>
  <c r="BB20" i="2" s="1"/>
  <c r="BC20" i="2" s="1"/>
  <c r="BD20" i="2" s="1"/>
  <c r="AS20" i="2"/>
  <c r="AT20" i="2" s="1"/>
  <c r="AU20" i="2" s="1"/>
  <c r="AV20" i="2" s="1"/>
  <c r="AW20" i="2" s="1"/>
  <c r="AX20" i="2" s="1"/>
  <c r="AN20" i="2"/>
  <c r="AO20" i="2" s="1"/>
  <c r="AP20" i="2" s="1"/>
  <c r="AQ20" i="2" s="1"/>
  <c r="CT19" i="2"/>
  <c r="CU19" i="2" s="1"/>
  <c r="CV19" i="2" s="1"/>
  <c r="CP19" i="2"/>
  <c r="CQ19" i="2" s="1"/>
  <c r="CR19" i="2" s="1"/>
  <c r="CM19" i="2"/>
  <c r="CN19" i="2" s="1"/>
  <c r="CC19" i="2"/>
  <c r="CD19" i="2" s="1"/>
  <c r="CE19" i="2" s="1"/>
  <c r="BU19" i="2"/>
  <c r="BV19" i="2" s="1"/>
  <c r="BQ19" i="2"/>
  <c r="BR19" i="2" s="1"/>
  <c r="BP19" i="2"/>
  <c r="BJ19" i="2"/>
  <c r="BH19" i="2"/>
  <c r="BI19" i="2" s="1"/>
  <c r="BA19" i="2"/>
  <c r="BB19" i="2" s="1"/>
  <c r="BC19" i="2" s="1"/>
  <c r="BD19" i="2" s="1"/>
  <c r="AS19" i="2"/>
  <c r="AT19" i="2" s="1"/>
  <c r="AU19" i="2" s="1"/>
  <c r="AV19" i="2" s="1"/>
  <c r="AW19" i="2" s="1"/>
  <c r="AX19" i="2" s="1"/>
  <c r="AN19" i="2"/>
  <c r="AO19" i="2" s="1"/>
  <c r="AP19" i="2" s="1"/>
  <c r="AQ19" i="2" s="1"/>
  <c r="AG19" i="2"/>
  <c r="AF19" i="2"/>
  <c r="AB19" i="2"/>
  <c r="AC19" i="2" s="1"/>
  <c r="AD19" i="2" s="1"/>
  <c r="AE19" i="2" s="1"/>
  <c r="CT18" i="2"/>
  <c r="CU18" i="2" s="1"/>
  <c r="CV18" i="2" s="1"/>
  <c r="CP18" i="2"/>
  <c r="CQ18" i="2" s="1"/>
  <c r="CR18" i="2" s="1"/>
  <c r="CM18" i="2"/>
  <c r="CN18" i="2" s="1"/>
  <c r="CC18" i="2"/>
  <c r="CD18" i="2" s="1"/>
  <c r="CE18" i="2" s="1"/>
  <c r="BU18" i="2"/>
  <c r="BV18" i="2" s="1"/>
  <c r="BP18" i="2"/>
  <c r="BQ18" i="2" s="1"/>
  <c r="BR18" i="2" s="1"/>
  <c r="BJ18" i="2"/>
  <c r="BH18" i="2"/>
  <c r="BI18" i="2" s="1"/>
  <c r="BA18" i="2"/>
  <c r="BB18" i="2" s="1"/>
  <c r="BC18" i="2" s="1"/>
  <c r="BD18" i="2" s="1"/>
  <c r="AS18" i="2"/>
  <c r="AT18" i="2" s="1"/>
  <c r="AU18" i="2" s="1"/>
  <c r="AV18" i="2" s="1"/>
  <c r="AW18" i="2" s="1"/>
  <c r="AX18" i="2" s="1"/>
  <c r="AN18" i="2"/>
  <c r="AO18" i="2" s="1"/>
  <c r="AP18" i="2" s="1"/>
  <c r="AQ18" i="2" s="1"/>
  <c r="AG18" i="2"/>
  <c r="AF18" i="2"/>
  <c r="AB18" i="2"/>
  <c r="AC18" i="2" s="1"/>
  <c r="AD18" i="2" s="1"/>
  <c r="AE18" i="2" s="1"/>
  <c r="CT17" i="2"/>
  <c r="CU17" i="2" s="1"/>
  <c r="CV17" i="2" s="1"/>
  <c r="CP17" i="2"/>
  <c r="CQ17" i="2" s="1"/>
  <c r="CR17" i="2" s="1"/>
  <c r="CM17" i="2"/>
  <c r="CN17" i="2" s="1"/>
  <c r="CC17" i="2"/>
  <c r="CD17" i="2" s="1"/>
  <c r="CE17" i="2" s="1"/>
  <c r="BU17" i="2"/>
  <c r="BV17" i="2" s="1"/>
  <c r="BP17" i="2"/>
  <c r="BQ17" i="2" s="1"/>
  <c r="BR17" i="2" s="1"/>
  <c r="BJ17" i="2"/>
  <c r="BH17" i="2"/>
  <c r="BI17" i="2" s="1"/>
  <c r="BA17" i="2"/>
  <c r="BB17" i="2" s="1"/>
  <c r="BC17" i="2" s="1"/>
  <c r="BD17" i="2" s="1"/>
  <c r="AT17" i="2"/>
  <c r="AU17" i="2" s="1"/>
  <c r="AV17" i="2" s="1"/>
  <c r="AW17" i="2" s="1"/>
  <c r="AX17" i="2" s="1"/>
  <c r="AS17" i="2"/>
  <c r="AN17" i="2"/>
  <c r="AO17" i="2" s="1"/>
  <c r="AP17" i="2" s="1"/>
  <c r="AQ17" i="2" s="1"/>
  <c r="AG17" i="2"/>
  <c r="AF17" i="2"/>
  <c r="AB17" i="2"/>
  <c r="AC17" i="2" s="1"/>
  <c r="AD17" i="2" s="1"/>
  <c r="AE17" i="2" s="1"/>
  <c r="CT16" i="2"/>
  <c r="CU16" i="2" s="1"/>
  <c r="CV16" i="2" s="1"/>
  <c r="CP16" i="2"/>
  <c r="CQ16" i="2" s="1"/>
  <c r="CR16" i="2" s="1"/>
  <c r="CM16" i="2"/>
  <c r="CN16" i="2" s="1"/>
  <c r="CC16" i="2"/>
  <c r="CD16" i="2" s="1"/>
  <c r="CE16" i="2" s="1"/>
  <c r="BU16" i="2"/>
  <c r="BV16" i="2" s="1"/>
  <c r="BP16" i="2"/>
  <c r="BQ16" i="2" s="1"/>
  <c r="BR16" i="2" s="1"/>
  <c r="BJ16" i="2"/>
  <c r="BH16" i="2"/>
  <c r="BI16" i="2" s="1"/>
  <c r="BA16" i="2"/>
  <c r="BB16" i="2" s="1"/>
  <c r="BC16" i="2" s="1"/>
  <c r="BD16" i="2" s="1"/>
  <c r="AS16" i="2"/>
  <c r="AT16" i="2" s="1"/>
  <c r="AU16" i="2" s="1"/>
  <c r="AV16" i="2" s="1"/>
  <c r="AW16" i="2" s="1"/>
  <c r="AX16" i="2" s="1"/>
  <c r="AN16" i="2"/>
  <c r="AO16" i="2" s="1"/>
  <c r="AP16" i="2" s="1"/>
  <c r="AQ16" i="2" s="1"/>
  <c r="CT15" i="2"/>
  <c r="CU15" i="2" s="1"/>
  <c r="CV15" i="2" s="1"/>
  <c r="CP15" i="2"/>
  <c r="CQ15" i="2" s="1"/>
  <c r="CR15" i="2" s="1"/>
  <c r="CM15" i="2"/>
  <c r="CN15" i="2" s="1"/>
  <c r="CC15" i="2"/>
  <c r="CD15" i="2" s="1"/>
  <c r="CE15" i="2" s="1"/>
  <c r="BU15" i="2"/>
  <c r="BV15" i="2" s="1"/>
  <c r="BP15" i="2"/>
  <c r="BQ15" i="2" s="1"/>
  <c r="BR15" i="2" s="1"/>
  <c r="BJ15" i="2"/>
  <c r="BH15" i="2"/>
  <c r="BI15" i="2" s="1"/>
  <c r="BA15" i="2"/>
  <c r="BB15" i="2" s="1"/>
  <c r="BC15" i="2" s="1"/>
  <c r="BD15" i="2" s="1"/>
  <c r="AS15" i="2"/>
  <c r="AT15" i="2" s="1"/>
  <c r="AU15" i="2" s="1"/>
  <c r="AV15" i="2" s="1"/>
  <c r="AW15" i="2" s="1"/>
  <c r="AX15" i="2" s="1"/>
  <c r="AN15" i="2"/>
  <c r="AO15" i="2" s="1"/>
  <c r="AP15" i="2" s="1"/>
  <c r="AQ15" i="2" s="1"/>
  <c r="AB15" i="2"/>
  <c r="AC15" i="2" s="1"/>
  <c r="AD15" i="2" s="1"/>
  <c r="AE15" i="2" s="1"/>
  <c r="CT14" i="2"/>
  <c r="CU14" i="2" s="1"/>
  <c r="CV14" i="2" s="1"/>
  <c r="CP14" i="2"/>
  <c r="CQ14" i="2" s="1"/>
  <c r="CR14" i="2" s="1"/>
  <c r="CM14" i="2"/>
  <c r="CN14" i="2" s="1"/>
  <c r="CC14" i="2"/>
  <c r="CD14" i="2" s="1"/>
  <c r="CE14" i="2" s="1"/>
  <c r="BU14" i="2"/>
  <c r="BV14" i="2" s="1"/>
  <c r="BP14" i="2"/>
  <c r="BQ14" i="2" s="1"/>
  <c r="BR14" i="2" s="1"/>
  <c r="BJ14" i="2"/>
  <c r="BH14" i="2"/>
  <c r="BI14" i="2" s="1"/>
  <c r="BA14" i="2"/>
  <c r="AS14" i="2"/>
  <c r="AT14" i="2" s="1"/>
  <c r="AU14" i="2" s="1"/>
  <c r="AV14" i="2" s="1"/>
  <c r="AW14" i="2" s="1"/>
  <c r="AX14" i="2" s="1"/>
  <c r="AN14" i="2"/>
  <c r="AO14" i="2" s="1"/>
  <c r="AP14" i="2" s="1"/>
  <c r="AQ14" i="2" s="1"/>
  <c r="CT13" i="2"/>
  <c r="CU13" i="2" s="1"/>
  <c r="CV13" i="2" s="1"/>
  <c r="CP13" i="2"/>
  <c r="CQ13" i="2" s="1"/>
  <c r="CR13" i="2" s="1"/>
  <c r="CM13" i="2"/>
  <c r="CN13" i="2" s="1"/>
  <c r="CC13" i="2"/>
  <c r="CD13" i="2" s="1"/>
  <c r="CE13" i="2" s="1"/>
  <c r="BU13" i="2"/>
  <c r="BV13" i="2" s="1"/>
  <c r="BP13" i="2"/>
  <c r="BQ13" i="2" s="1"/>
  <c r="BR13" i="2" s="1"/>
  <c r="BJ13" i="2"/>
  <c r="BH13" i="2"/>
  <c r="BI13" i="2" s="1"/>
  <c r="BA13" i="2"/>
  <c r="BB13" i="2" s="1"/>
  <c r="BC13" i="2" s="1"/>
  <c r="BD13" i="2" s="1"/>
  <c r="AS13" i="2"/>
  <c r="AT13" i="2" s="1"/>
  <c r="AU13" i="2" s="1"/>
  <c r="AV13" i="2" s="1"/>
  <c r="AW13" i="2" s="1"/>
  <c r="AX13" i="2" s="1"/>
  <c r="AN13" i="2"/>
  <c r="AO13" i="2" s="1"/>
  <c r="AP13" i="2" s="1"/>
  <c r="AQ13" i="2" s="1"/>
  <c r="AF13" i="2"/>
  <c r="AG13" i="2"/>
  <c r="CT12" i="2"/>
  <c r="CU12" i="2" s="1"/>
  <c r="CV12" i="2" s="1"/>
  <c r="CP12" i="2"/>
  <c r="CQ12" i="2" s="1"/>
  <c r="CR12" i="2" s="1"/>
  <c r="CM12" i="2"/>
  <c r="CN12" i="2" s="1"/>
  <c r="CD12" i="2"/>
  <c r="CE12" i="2" s="1"/>
  <c r="CC12" i="2"/>
  <c r="BU12" i="2"/>
  <c r="BV12" i="2" s="1"/>
  <c r="BP12" i="2"/>
  <c r="BQ12" i="2" s="1"/>
  <c r="BR12" i="2" s="1"/>
  <c r="BJ12" i="2"/>
  <c r="BH12" i="2"/>
  <c r="BI12" i="2" s="1"/>
  <c r="BA12" i="2"/>
  <c r="BB12" i="2" s="1"/>
  <c r="BC12" i="2" s="1"/>
  <c r="BD12" i="2" s="1"/>
  <c r="AS12" i="2"/>
  <c r="AT12" i="2" s="1"/>
  <c r="AU12" i="2" s="1"/>
  <c r="AV12" i="2" s="1"/>
  <c r="AW12" i="2" s="1"/>
  <c r="AX12" i="2" s="1"/>
  <c r="AN12" i="2"/>
  <c r="AO12" i="2" s="1"/>
  <c r="AP12" i="2" s="1"/>
  <c r="AQ12" i="2" s="1"/>
  <c r="AB12" i="2"/>
  <c r="AC12" i="2" s="1"/>
  <c r="AD12" i="2" s="1"/>
  <c r="AE12" i="2" s="1"/>
  <c r="AG12" i="2"/>
  <c r="CT11" i="2"/>
  <c r="CU11" i="2" s="1"/>
  <c r="CV11" i="2" s="1"/>
  <c r="CP11" i="2"/>
  <c r="CQ11" i="2" s="1"/>
  <c r="CR11" i="2" s="1"/>
  <c r="CM11" i="2"/>
  <c r="CN11" i="2" s="1"/>
  <c r="CC11" i="2"/>
  <c r="CD11" i="2" s="1"/>
  <c r="CE11" i="2" s="1"/>
  <c r="BU11" i="2"/>
  <c r="BV11" i="2" s="1"/>
  <c r="BP11" i="2"/>
  <c r="BQ11" i="2" s="1"/>
  <c r="BR11" i="2" s="1"/>
  <c r="BJ11" i="2"/>
  <c r="BI11" i="2"/>
  <c r="BH11" i="2"/>
  <c r="BA11" i="2"/>
  <c r="AS11" i="2"/>
  <c r="AT11" i="2" s="1"/>
  <c r="AU11" i="2" s="1"/>
  <c r="AV11" i="2" s="1"/>
  <c r="AW11" i="2" s="1"/>
  <c r="AX11" i="2" s="1"/>
  <c r="AN11" i="2"/>
  <c r="AO11" i="2" s="1"/>
  <c r="AP11" i="2" s="1"/>
  <c r="AQ11" i="2" s="1"/>
  <c r="AG11" i="2"/>
  <c r="AF11" i="2"/>
  <c r="AB11" i="2"/>
  <c r="AC11" i="2" s="1"/>
  <c r="AD11" i="2" s="1"/>
  <c r="AE11" i="2" s="1"/>
  <c r="CT10" i="2"/>
  <c r="CU10" i="2" s="1"/>
  <c r="CV10" i="2" s="1"/>
  <c r="CP10" i="2"/>
  <c r="CQ10" i="2" s="1"/>
  <c r="CR10" i="2" s="1"/>
  <c r="CM10" i="2"/>
  <c r="CN10" i="2" s="1"/>
  <c r="CC10" i="2"/>
  <c r="CD10" i="2" s="1"/>
  <c r="CE10" i="2" s="1"/>
  <c r="BU10" i="2"/>
  <c r="BV10" i="2" s="1"/>
  <c r="BP10" i="2"/>
  <c r="BQ10" i="2" s="1"/>
  <c r="BR10" i="2" s="1"/>
  <c r="BJ10" i="2"/>
  <c r="BH10" i="2"/>
  <c r="BI10" i="2" s="1"/>
  <c r="BA10" i="2"/>
  <c r="BB10" i="2" s="1"/>
  <c r="BC10" i="2" s="1"/>
  <c r="BD10" i="2" s="1"/>
  <c r="AS10" i="2"/>
  <c r="AT10" i="2" s="1"/>
  <c r="AU10" i="2" s="1"/>
  <c r="AV10" i="2" s="1"/>
  <c r="AW10" i="2" s="1"/>
  <c r="AX10" i="2" s="1"/>
  <c r="AN10" i="2"/>
  <c r="AO10" i="2" s="1"/>
  <c r="AP10" i="2" s="1"/>
  <c r="AQ10" i="2" s="1"/>
  <c r="AF10" i="2"/>
  <c r="CT9" i="2"/>
  <c r="CU9" i="2" s="1"/>
  <c r="CV9" i="2" s="1"/>
  <c r="CP9" i="2"/>
  <c r="CQ9" i="2" s="1"/>
  <c r="CR9" i="2" s="1"/>
  <c r="CM9" i="2"/>
  <c r="CN9" i="2" s="1"/>
  <c r="CC9" i="2"/>
  <c r="CD9" i="2" s="1"/>
  <c r="CE9" i="2" s="1"/>
  <c r="BU9" i="2"/>
  <c r="BV9" i="2" s="1"/>
  <c r="BP9" i="2"/>
  <c r="BQ9" i="2" s="1"/>
  <c r="BR9" i="2" s="1"/>
  <c r="BJ9" i="2"/>
  <c r="BH9" i="2"/>
  <c r="BI9" i="2" s="1"/>
  <c r="BA9" i="2"/>
  <c r="BB9" i="2" s="1"/>
  <c r="BC9" i="2" s="1"/>
  <c r="BD9" i="2" s="1"/>
  <c r="AS9" i="2"/>
  <c r="AT9" i="2" s="1"/>
  <c r="AU9" i="2" s="1"/>
  <c r="AV9" i="2" s="1"/>
  <c r="AW9" i="2" s="1"/>
  <c r="AX9" i="2" s="1"/>
  <c r="AN9" i="2"/>
  <c r="AO9" i="2" s="1"/>
  <c r="AP9" i="2" s="1"/>
  <c r="AQ9" i="2" s="1"/>
  <c r="CT8" i="2"/>
  <c r="CU8" i="2" s="1"/>
  <c r="CV8" i="2" s="1"/>
  <c r="CP8" i="2"/>
  <c r="CQ8" i="2" s="1"/>
  <c r="CR8" i="2" s="1"/>
  <c r="CM8" i="2"/>
  <c r="CN8" i="2" s="1"/>
  <c r="CI8" i="2"/>
  <c r="CJ8" i="2" s="1"/>
  <c r="BU8" i="2"/>
  <c r="BV8" i="2" s="1"/>
  <c r="BP8" i="2"/>
  <c r="BQ8" i="2" s="1"/>
  <c r="BR8" i="2" s="1"/>
  <c r="BJ8" i="2"/>
  <c r="BH8" i="2"/>
  <c r="BI8" i="2" s="1"/>
  <c r="BA8" i="2"/>
  <c r="BB8" i="2" s="1"/>
  <c r="BC8" i="2" s="1"/>
  <c r="BD8" i="2" s="1"/>
  <c r="AS8" i="2"/>
  <c r="AT8" i="2" s="1"/>
  <c r="AU8" i="2" s="1"/>
  <c r="AV8" i="2" s="1"/>
  <c r="AW8" i="2" s="1"/>
  <c r="AX8" i="2" s="1"/>
  <c r="AN8" i="2"/>
  <c r="AO8" i="2" s="1"/>
  <c r="AP8" i="2" s="1"/>
  <c r="AQ8" i="2" s="1"/>
  <c r="CT7" i="2"/>
  <c r="CU7" i="2" s="1"/>
  <c r="CV7" i="2" s="1"/>
  <c r="CP7" i="2"/>
  <c r="CQ7" i="2" s="1"/>
  <c r="CR7" i="2" s="1"/>
  <c r="CM7" i="2"/>
  <c r="CN7" i="2" s="1"/>
  <c r="CC7" i="2"/>
  <c r="CD7" i="2" s="1"/>
  <c r="CE7" i="2" s="1"/>
  <c r="BU7" i="2"/>
  <c r="BV7" i="2" s="1"/>
  <c r="BP7" i="2"/>
  <c r="BQ7" i="2" s="1"/>
  <c r="BR7" i="2" s="1"/>
  <c r="BJ7" i="2"/>
  <c r="BH7" i="2"/>
  <c r="BI7" i="2" s="1"/>
  <c r="BA7" i="2"/>
  <c r="BB7" i="2" s="1"/>
  <c r="BC7" i="2" s="1"/>
  <c r="BD7" i="2" s="1"/>
  <c r="AS7" i="2"/>
  <c r="AT7" i="2" s="1"/>
  <c r="AU7" i="2" s="1"/>
  <c r="AV7" i="2" s="1"/>
  <c r="AW7" i="2" s="1"/>
  <c r="AX7" i="2" s="1"/>
  <c r="AN7" i="2"/>
  <c r="AO7" i="2" s="1"/>
  <c r="AP7" i="2" s="1"/>
  <c r="AQ7" i="2" s="1"/>
  <c r="AG7" i="2"/>
  <c r="AF7" i="2"/>
  <c r="AB7" i="2"/>
  <c r="AC7" i="2" s="1"/>
  <c r="AD7" i="2" s="1"/>
  <c r="AE7" i="2" s="1"/>
  <c r="CT6" i="2"/>
  <c r="CU6" i="2" s="1"/>
  <c r="CV6" i="2" s="1"/>
  <c r="CP6" i="2"/>
  <c r="CQ6" i="2" s="1"/>
  <c r="CR6" i="2" s="1"/>
  <c r="CM6" i="2"/>
  <c r="CN6" i="2" s="1"/>
  <c r="CD6" i="2"/>
  <c r="CE6" i="2" s="1"/>
  <c r="CC6" i="2"/>
  <c r="BU6" i="2"/>
  <c r="BV6" i="2" s="1"/>
  <c r="BP6" i="2"/>
  <c r="BQ6" i="2" s="1"/>
  <c r="BR6" i="2" s="1"/>
  <c r="BJ6" i="2"/>
  <c r="BH6" i="2"/>
  <c r="BI6" i="2" s="1"/>
  <c r="BA6" i="2"/>
  <c r="AS6" i="2"/>
  <c r="AT6" i="2" s="1"/>
  <c r="AU6" i="2" s="1"/>
  <c r="AV6" i="2" s="1"/>
  <c r="AW6" i="2" s="1"/>
  <c r="AX6" i="2" s="1"/>
  <c r="AN6" i="2"/>
  <c r="AO6" i="2" s="1"/>
  <c r="AP6" i="2" s="1"/>
  <c r="AQ6" i="2" s="1"/>
  <c r="AF6" i="2"/>
  <c r="AG6" i="2"/>
  <c r="AH6" i="2" s="1"/>
  <c r="AI6" i="2" s="1"/>
  <c r="AJ6" i="2" s="1"/>
  <c r="CT5" i="2"/>
  <c r="CU5" i="2" s="1"/>
  <c r="CV5" i="2" s="1"/>
  <c r="CP5" i="2"/>
  <c r="CQ5" i="2" s="1"/>
  <c r="CR5" i="2" s="1"/>
  <c r="CM5" i="2"/>
  <c r="CN5" i="2" s="1"/>
  <c r="CC5" i="2"/>
  <c r="CD5" i="2" s="1"/>
  <c r="CE5" i="2" s="1"/>
  <c r="BU5" i="2"/>
  <c r="BV5" i="2" s="1"/>
  <c r="BP5" i="2"/>
  <c r="BQ5" i="2" s="1"/>
  <c r="BR5" i="2" s="1"/>
  <c r="BJ5" i="2"/>
  <c r="BH5" i="2"/>
  <c r="BI5" i="2" s="1"/>
  <c r="BA5" i="2"/>
  <c r="BB5" i="2" s="1"/>
  <c r="BC5" i="2" s="1"/>
  <c r="BD5" i="2" s="1"/>
  <c r="AS5" i="2"/>
  <c r="AT5" i="2" s="1"/>
  <c r="AU5" i="2" s="1"/>
  <c r="AV5" i="2" s="1"/>
  <c r="AW5" i="2" s="1"/>
  <c r="AX5" i="2" s="1"/>
  <c r="AN5" i="2"/>
  <c r="AO5" i="2" s="1"/>
  <c r="AP5" i="2" s="1"/>
  <c r="AQ5" i="2" s="1"/>
  <c r="AG5" i="2"/>
  <c r="AF5" i="2"/>
  <c r="AB5" i="2"/>
  <c r="AC5" i="2" s="1"/>
  <c r="AD5" i="2" s="1"/>
  <c r="AE5" i="2" s="1"/>
  <c r="CT4" i="2"/>
  <c r="CU4" i="2" s="1"/>
  <c r="CV4" i="2" s="1"/>
  <c r="CP4" i="2"/>
  <c r="CQ4" i="2" s="1"/>
  <c r="CR4" i="2" s="1"/>
  <c r="CM4" i="2"/>
  <c r="CN4" i="2" s="1"/>
  <c r="CC4" i="2"/>
  <c r="CD4" i="2" s="1"/>
  <c r="CE4" i="2" s="1"/>
  <c r="BU4" i="2"/>
  <c r="BV4" i="2" s="1"/>
  <c r="BP4" i="2"/>
  <c r="BQ4" i="2" s="1"/>
  <c r="BR4" i="2" s="1"/>
  <c r="BJ4" i="2"/>
  <c r="BH4" i="2"/>
  <c r="BI4" i="2" s="1"/>
  <c r="BA4" i="2"/>
  <c r="BB4" i="2" s="1"/>
  <c r="BC4" i="2" s="1"/>
  <c r="BD4" i="2" s="1"/>
  <c r="AS4" i="2"/>
  <c r="AT4" i="2" s="1"/>
  <c r="AU4" i="2" s="1"/>
  <c r="AV4" i="2" s="1"/>
  <c r="AW4" i="2" s="1"/>
  <c r="AX4" i="2" s="1"/>
  <c r="AN4" i="2"/>
  <c r="AO4" i="2" s="1"/>
  <c r="AP4" i="2" s="1"/>
  <c r="AQ4" i="2" s="1"/>
  <c r="AF4" i="2"/>
  <c r="CT3" i="2"/>
  <c r="CU3" i="2" s="1"/>
  <c r="CV3" i="2" s="1"/>
  <c r="CP3" i="2"/>
  <c r="CQ3" i="2" s="1"/>
  <c r="CR3" i="2" s="1"/>
  <c r="CN3" i="2"/>
  <c r="CM3" i="2"/>
  <c r="CC3" i="2"/>
  <c r="CD3" i="2" s="1"/>
  <c r="CE3" i="2" s="1"/>
  <c r="BU3" i="2"/>
  <c r="BV3" i="2" s="1"/>
  <c r="BP3" i="2"/>
  <c r="BQ3" i="2" s="1"/>
  <c r="BR3" i="2" s="1"/>
  <c r="BJ3" i="2"/>
  <c r="BH3" i="2"/>
  <c r="BI3" i="2" s="1"/>
  <c r="BA3" i="2"/>
  <c r="AT3" i="2"/>
  <c r="AU3" i="2" s="1"/>
  <c r="AV3" i="2" s="1"/>
  <c r="AW3" i="2" s="1"/>
  <c r="AX3" i="2" s="1"/>
  <c r="AS3" i="2"/>
  <c r="AN3" i="2"/>
  <c r="AO3" i="2" s="1"/>
  <c r="AP3" i="2" s="1"/>
  <c r="AQ3" i="2" s="1"/>
  <c r="CT2" i="2"/>
  <c r="CU2" i="2" s="1"/>
  <c r="CV2" i="2" s="1"/>
  <c r="CP2" i="2"/>
  <c r="CQ2" i="2" s="1"/>
  <c r="CR2" i="2" s="1"/>
  <c r="CM2" i="2"/>
  <c r="CN2" i="2" s="1"/>
  <c r="CC2" i="2"/>
  <c r="CD2" i="2" s="1"/>
  <c r="CE2" i="2" s="1"/>
  <c r="BU2" i="2"/>
  <c r="BV2" i="2" s="1"/>
  <c r="BP2" i="2"/>
  <c r="BQ2" i="2" s="1"/>
  <c r="BR2" i="2" s="1"/>
  <c r="BJ2" i="2"/>
  <c r="BH2" i="2"/>
  <c r="BI2" i="2" s="1"/>
  <c r="BA2" i="2"/>
  <c r="AS2" i="2"/>
  <c r="AT2" i="2" s="1"/>
  <c r="AU2" i="2" s="1"/>
  <c r="AV2" i="2" s="1"/>
  <c r="AW2" i="2" s="1"/>
  <c r="AX2" i="2" s="1"/>
  <c r="AN2" i="2"/>
  <c r="AO2" i="2" s="1"/>
  <c r="AP2" i="2" s="1"/>
  <c r="AQ2" i="2" s="1"/>
  <c r="AG2" i="2"/>
  <c r="AB2" i="2"/>
  <c r="AC2" i="2" s="1"/>
  <c r="AD2" i="2" s="1"/>
  <c r="AE2" i="2" s="1"/>
  <c r="AF2" i="2"/>
  <c r="CP23" i="1"/>
  <c r="CQ23" i="1" s="1"/>
  <c r="CR23" i="1" s="1"/>
  <c r="CM23" i="1"/>
  <c r="CN23" i="1" s="1"/>
  <c r="CI23" i="1"/>
  <c r="CJ23" i="1" s="1"/>
  <c r="BU23" i="1"/>
  <c r="BV23" i="1" s="1"/>
  <c r="BP23" i="1"/>
  <c r="BQ23" i="1" s="1"/>
  <c r="BR23" i="1" s="1"/>
  <c r="BJ23" i="1"/>
  <c r="BF23" i="1"/>
  <c r="BE23" i="1"/>
  <c r="BH23" i="1" s="1"/>
  <c r="BI23" i="1" s="1"/>
  <c r="BA23" i="1"/>
  <c r="BB23" i="1" s="1"/>
  <c r="BC23" i="1" s="1"/>
  <c r="BD23" i="1" s="1"/>
  <c r="AS23" i="1"/>
  <c r="AT23" i="1" s="1"/>
  <c r="AU23" i="1" s="1"/>
  <c r="AV23" i="1" s="1"/>
  <c r="AW23" i="1" s="1"/>
  <c r="AX23" i="1" s="1"/>
  <c r="AN23" i="1"/>
  <c r="AO23" i="1" s="1"/>
  <c r="AP23" i="1" s="1"/>
  <c r="AQ23" i="1" s="1"/>
  <c r="AF23" i="1"/>
  <c r="W23" i="1"/>
  <c r="AG23" i="1" s="1"/>
  <c r="CP56" i="1"/>
  <c r="CQ56" i="1" s="1"/>
  <c r="CR56" i="1" s="1"/>
  <c r="CM56" i="1"/>
  <c r="CN56" i="1" s="1"/>
  <c r="CC56" i="1"/>
  <c r="CD56" i="1" s="1"/>
  <c r="CE56" i="1" s="1"/>
  <c r="BU56" i="1"/>
  <c r="BV56" i="1" s="1"/>
  <c r="BO56" i="1"/>
  <c r="BP56" i="1" s="1"/>
  <c r="BQ56" i="1" s="1"/>
  <c r="BR56" i="1" s="1"/>
  <c r="BJ56" i="1"/>
  <c r="BI56" i="1"/>
  <c r="BH56" i="1"/>
  <c r="BA56" i="1"/>
  <c r="BB56" i="1" s="1"/>
  <c r="BC56" i="1" s="1"/>
  <c r="BD56" i="1" s="1"/>
  <c r="AS56" i="1"/>
  <c r="AT56" i="1" s="1"/>
  <c r="AU56" i="1" s="1"/>
  <c r="AV56" i="1" s="1"/>
  <c r="AW56" i="1" s="1"/>
  <c r="AX56" i="1" s="1"/>
  <c r="AN56" i="1"/>
  <c r="AO56" i="1" s="1"/>
  <c r="AP56" i="1" s="1"/>
  <c r="AQ56" i="1" s="1"/>
  <c r="V56" i="1"/>
  <c r="CO242" i="1"/>
  <c r="CP242" i="1" s="1"/>
  <c r="CQ242" i="1" s="1"/>
  <c r="CR242" i="1" s="1"/>
  <c r="CM242" i="1"/>
  <c r="CN242" i="1" s="1"/>
  <c r="CC242" i="1"/>
  <c r="CD242" i="1" s="1"/>
  <c r="CE242" i="1" s="1"/>
  <c r="BU242" i="1"/>
  <c r="BV242" i="1" s="1"/>
  <c r="BO242" i="1"/>
  <c r="BP242" i="1" s="1"/>
  <c r="BQ242" i="1" s="1"/>
  <c r="BR242" i="1" s="1"/>
  <c r="BJ242" i="1"/>
  <c r="BH242" i="1"/>
  <c r="BI242" i="1" s="1"/>
  <c r="BA242" i="1"/>
  <c r="BB242" i="1" s="1"/>
  <c r="BC242" i="1" s="1"/>
  <c r="BD242" i="1" s="1"/>
  <c r="AS242" i="1"/>
  <c r="AT242" i="1" s="1"/>
  <c r="AU242" i="1" s="1"/>
  <c r="AV242" i="1" s="1"/>
  <c r="AW242" i="1" s="1"/>
  <c r="AX242" i="1" s="1"/>
  <c r="AN242" i="1"/>
  <c r="AO242" i="1" s="1"/>
  <c r="AP242" i="1" s="1"/>
  <c r="AQ242" i="1" s="1"/>
  <c r="AA242" i="1"/>
  <c r="Z242" i="1"/>
  <c r="W242" i="1"/>
  <c r="V242" i="1"/>
  <c r="U242" i="1"/>
  <c r="CO250" i="1"/>
  <c r="CP250" i="1" s="1"/>
  <c r="CQ250" i="1" s="1"/>
  <c r="CR250" i="1" s="1"/>
  <c r="CM250" i="1"/>
  <c r="CN250" i="1" s="1"/>
  <c r="CC250" i="1"/>
  <c r="CD250" i="1" s="1"/>
  <c r="CE250" i="1" s="1"/>
  <c r="BU250" i="1"/>
  <c r="BV250" i="1" s="1"/>
  <c r="BP250" i="1"/>
  <c r="BQ250" i="1" s="1"/>
  <c r="BR250" i="1" s="1"/>
  <c r="BJ250" i="1"/>
  <c r="BE250" i="1"/>
  <c r="BH250" i="1" s="1"/>
  <c r="BI250" i="1" s="1"/>
  <c r="BA250" i="1"/>
  <c r="BB250" i="1" s="1"/>
  <c r="BC250" i="1" s="1"/>
  <c r="BD250" i="1" s="1"/>
  <c r="AS250" i="1"/>
  <c r="AT250" i="1" s="1"/>
  <c r="AU250" i="1" s="1"/>
  <c r="AV250" i="1" s="1"/>
  <c r="AW250" i="1" s="1"/>
  <c r="AX250" i="1" s="1"/>
  <c r="AN250" i="1"/>
  <c r="AO250" i="1" s="1"/>
  <c r="AP250" i="1" s="1"/>
  <c r="AQ250" i="1" s="1"/>
  <c r="W250" i="1"/>
  <c r="V250" i="1" s="1"/>
  <c r="AB250" i="1" s="1"/>
  <c r="AC250" i="1" s="1"/>
  <c r="AD250" i="1" s="1"/>
  <c r="AE250" i="1" s="1"/>
  <c r="U250" i="1"/>
  <c r="CO171" i="1"/>
  <c r="CP171" i="1" s="1"/>
  <c r="CQ171" i="1" s="1"/>
  <c r="CR171" i="1" s="1"/>
  <c r="CM171" i="1"/>
  <c r="CN171" i="1" s="1"/>
  <c r="CD171" i="1"/>
  <c r="CE171" i="1" s="1"/>
  <c r="CC171" i="1"/>
  <c r="BU171" i="1"/>
  <c r="BV171" i="1" s="1"/>
  <c r="BP171" i="1"/>
  <c r="BQ171" i="1" s="1"/>
  <c r="BR171" i="1" s="1"/>
  <c r="BJ171" i="1"/>
  <c r="BH171" i="1"/>
  <c r="BI171" i="1" s="1"/>
  <c r="BA171" i="1"/>
  <c r="AZ171" i="1"/>
  <c r="AS171" i="1"/>
  <c r="AT171" i="1" s="1"/>
  <c r="AU171" i="1" s="1"/>
  <c r="AV171" i="1" s="1"/>
  <c r="AW171" i="1" s="1"/>
  <c r="AX171" i="1" s="1"/>
  <c r="AN171" i="1"/>
  <c r="AO171" i="1" s="1"/>
  <c r="AP171" i="1" s="1"/>
  <c r="AQ171" i="1" s="1"/>
  <c r="W171" i="1"/>
  <c r="V171" i="1"/>
  <c r="CP254" i="1"/>
  <c r="CQ254" i="1" s="1"/>
  <c r="CR254" i="1" s="1"/>
  <c r="CM254" i="1"/>
  <c r="CN254" i="1" s="1"/>
  <c r="CC254" i="1"/>
  <c r="CD254" i="1" s="1"/>
  <c r="CE254" i="1" s="1"/>
  <c r="BU254" i="1"/>
  <c r="BV254" i="1" s="1"/>
  <c r="BP254" i="1"/>
  <c r="BQ254" i="1" s="1"/>
  <c r="BR254" i="1" s="1"/>
  <c r="BJ254" i="1"/>
  <c r="BH254" i="1"/>
  <c r="BI254" i="1" s="1"/>
  <c r="BA254" i="1"/>
  <c r="AZ254" i="1"/>
  <c r="AS254" i="1"/>
  <c r="AT254" i="1" s="1"/>
  <c r="AU254" i="1" s="1"/>
  <c r="AV254" i="1" s="1"/>
  <c r="AW254" i="1" s="1"/>
  <c r="AX254" i="1" s="1"/>
  <c r="AN254" i="1"/>
  <c r="AO254" i="1" s="1"/>
  <c r="AP254" i="1" s="1"/>
  <c r="AQ254" i="1" s="1"/>
  <c r="AF254" i="1"/>
  <c r="Z254" i="1"/>
  <c r="AB254" i="1" s="1"/>
  <c r="AC254" i="1" s="1"/>
  <c r="AD254" i="1" s="1"/>
  <c r="AE254" i="1" s="1"/>
  <c r="W254" i="1"/>
  <c r="CP166" i="1"/>
  <c r="CQ166" i="1" s="1"/>
  <c r="CR166" i="1" s="1"/>
  <c r="CM166" i="1"/>
  <c r="CN166" i="1" s="1"/>
  <c r="CC166" i="1"/>
  <c r="CD166" i="1" s="1"/>
  <c r="CE166" i="1" s="1"/>
  <c r="BV166" i="1"/>
  <c r="BU166" i="1"/>
  <c r="BP166" i="1"/>
  <c r="BQ166" i="1" s="1"/>
  <c r="BR166" i="1" s="1"/>
  <c r="BJ166" i="1"/>
  <c r="BH166" i="1"/>
  <c r="BI166" i="1" s="1"/>
  <c r="BA166" i="1"/>
  <c r="BB166" i="1" s="1"/>
  <c r="BC166" i="1" s="1"/>
  <c r="BD166" i="1" s="1"/>
  <c r="AS166" i="1"/>
  <c r="AT166" i="1" s="1"/>
  <c r="AU166" i="1" s="1"/>
  <c r="AV166" i="1" s="1"/>
  <c r="AW166" i="1" s="1"/>
  <c r="AX166" i="1" s="1"/>
  <c r="AN166" i="1"/>
  <c r="AO166" i="1" s="1"/>
  <c r="AP166" i="1" s="1"/>
  <c r="AQ166" i="1" s="1"/>
  <c r="AB166" i="1"/>
  <c r="AC166" i="1" s="1"/>
  <c r="AD166" i="1" s="1"/>
  <c r="AE166" i="1" s="1"/>
  <c r="V166" i="1"/>
  <c r="AG166" i="1" s="1"/>
  <c r="CO180" i="1"/>
  <c r="CP180" i="1" s="1"/>
  <c r="CQ180" i="1" s="1"/>
  <c r="CR180" i="1" s="1"/>
  <c r="CM180" i="1"/>
  <c r="CN180" i="1" s="1"/>
  <c r="CC180" i="1"/>
  <c r="CD180" i="1" s="1"/>
  <c r="CE180" i="1" s="1"/>
  <c r="BU180" i="1"/>
  <c r="BV180" i="1" s="1"/>
  <c r="BP180" i="1"/>
  <c r="BQ180" i="1" s="1"/>
  <c r="BR180" i="1" s="1"/>
  <c r="BJ180" i="1"/>
  <c r="BH180" i="1"/>
  <c r="BI180" i="1" s="1"/>
  <c r="BA180" i="1"/>
  <c r="BB180" i="1" s="1"/>
  <c r="BC180" i="1" s="1"/>
  <c r="BD180" i="1" s="1"/>
  <c r="AS180" i="1"/>
  <c r="AT180" i="1" s="1"/>
  <c r="AU180" i="1" s="1"/>
  <c r="AV180" i="1" s="1"/>
  <c r="AW180" i="1" s="1"/>
  <c r="AX180" i="1" s="1"/>
  <c r="AN180" i="1"/>
  <c r="AO180" i="1" s="1"/>
  <c r="AP180" i="1" s="1"/>
  <c r="AQ180" i="1" s="1"/>
  <c r="V180" i="1"/>
  <c r="AF180" i="1" s="1"/>
  <c r="CO302" i="1"/>
  <c r="CP302" i="1" s="1"/>
  <c r="CQ302" i="1" s="1"/>
  <c r="CR302" i="1" s="1"/>
  <c r="CM302" i="1"/>
  <c r="CN302" i="1" s="1"/>
  <c r="CC302" i="1"/>
  <c r="CD302" i="1" s="1"/>
  <c r="CE302" i="1" s="1"/>
  <c r="BU302" i="1"/>
  <c r="BV302" i="1" s="1"/>
  <c r="BP302" i="1"/>
  <c r="BQ302" i="1" s="1"/>
  <c r="BR302" i="1" s="1"/>
  <c r="BJ302" i="1"/>
  <c r="BH302" i="1"/>
  <c r="BI302" i="1" s="1"/>
  <c r="BA302" i="1"/>
  <c r="AZ302" i="1"/>
  <c r="AS302" i="1"/>
  <c r="AT302" i="1" s="1"/>
  <c r="AU302" i="1" s="1"/>
  <c r="AV302" i="1" s="1"/>
  <c r="AW302" i="1" s="1"/>
  <c r="AX302" i="1" s="1"/>
  <c r="AN302" i="1"/>
  <c r="AO302" i="1" s="1"/>
  <c r="AP302" i="1" s="1"/>
  <c r="AQ302" i="1" s="1"/>
  <c r="W302" i="1"/>
  <c r="AG302" i="1" s="1"/>
  <c r="AH302" i="1" s="1"/>
  <c r="AI302" i="1" s="1"/>
  <c r="AJ302" i="1" s="1"/>
  <c r="U302" i="1"/>
  <c r="AF302" i="1" s="1"/>
  <c r="CQ322" i="1"/>
  <c r="CR322" i="1" s="1"/>
  <c r="CP322" i="1"/>
  <c r="CM322" i="1"/>
  <c r="CN322" i="1" s="1"/>
  <c r="CC322" i="1"/>
  <c r="CD322" i="1" s="1"/>
  <c r="CE322" i="1" s="1"/>
  <c r="BU322" i="1"/>
  <c r="BV322" i="1" s="1"/>
  <c r="BO322" i="1"/>
  <c r="BP322" i="1" s="1"/>
  <c r="BQ322" i="1" s="1"/>
  <c r="BR322" i="1" s="1"/>
  <c r="BJ322" i="1"/>
  <c r="BE322" i="1"/>
  <c r="BH322" i="1" s="1"/>
  <c r="BI322" i="1" s="1"/>
  <c r="BA322" i="1"/>
  <c r="BB322" i="1" s="1"/>
  <c r="BC322" i="1" s="1"/>
  <c r="BD322" i="1" s="1"/>
  <c r="AT322" i="1"/>
  <c r="AU322" i="1" s="1"/>
  <c r="AV322" i="1" s="1"/>
  <c r="AW322" i="1" s="1"/>
  <c r="AX322" i="1" s="1"/>
  <c r="AS322" i="1"/>
  <c r="AN322" i="1"/>
  <c r="AO322" i="1" s="1"/>
  <c r="AP322" i="1" s="1"/>
  <c r="AQ322" i="1" s="1"/>
  <c r="AG322" i="1"/>
  <c r="AF322" i="1"/>
  <c r="AB322" i="1"/>
  <c r="AC322" i="1" s="1"/>
  <c r="AD322" i="1" s="1"/>
  <c r="AE322" i="1" s="1"/>
  <c r="Z322" i="1"/>
  <c r="CP111" i="1"/>
  <c r="CQ111" i="1" s="1"/>
  <c r="CR111" i="1" s="1"/>
  <c r="CM111" i="1"/>
  <c r="CN111" i="1" s="1"/>
  <c r="CC111" i="1"/>
  <c r="CD111" i="1" s="1"/>
  <c r="CE111" i="1" s="1"/>
  <c r="BU111" i="1"/>
  <c r="BV111" i="1" s="1"/>
  <c r="BP111" i="1"/>
  <c r="BQ111" i="1" s="1"/>
  <c r="BR111" i="1" s="1"/>
  <c r="BJ111" i="1"/>
  <c r="BI111" i="1"/>
  <c r="BH111" i="1"/>
  <c r="BA111" i="1"/>
  <c r="AZ111" i="1"/>
  <c r="AS111" i="1"/>
  <c r="AT111" i="1" s="1"/>
  <c r="AU111" i="1" s="1"/>
  <c r="AV111" i="1" s="1"/>
  <c r="AW111" i="1" s="1"/>
  <c r="AX111" i="1" s="1"/>
  <c r="AO111" i="1"/>
  <c r="AP111" i="1" s="1"/>
  <c r="AQ111" i="1" s="1"/>
  <c r="AN111" i="1"/>
  <c r="Z111" i="1"/>
  <c r="V111" i="1" s="1"/>
  <c r="CP213" i="1"/>
  <c r="CQ213" i="1" s="1"/>
  <c r="CR213" i="1" s="1"/>
  <c r="CM213" i="1"/>
  <c r="CN213" i="1" s="1"/>
  <c r="CC213" i="1"/>
  <c r="CD213" i="1" s="1"/>
  <c r="CE213" i="1" s="1"/>
  <c r="BU213" i="1"/>
  <c r="BV213" i="1" s="1"/>
  <c r="BP213" i="1"/>
  <c r="BQ213" i="1" s="1"/>
  <c r="BR213" i="1" s="1"/>
  <c r="BJ213" i="1"/>
  <c r="BH213" i="1"/>
  <c r="BI213" i="1" s="1"/>
  <c r="BA213" i="1"/>
  <c r="BB213" i="1" s="1"/>
  <c r="BC213" i="1" s="1"/>
  <c r="BD213" i="1" s="1"/>
  <c r="AS213" i="1"/>
  <c r="AT213" i="1" s="1"/>
  <c r="AU213" i="1" s="1"/>
  <c r="AV213" i="1" s="1"/>
  <c r="AW213" i="1" s="1"/>
  <c r="AX213" i="1" s="1"/>
  <c r="AN213" i="1"/>
  <c r="AO213" i="1" s="1"/>
  <c r="AP213" i="1" s="1"/>
  <c r="AQ213" i="1" s="1"/>
  <c r="AG213" i="1"/>
  <c r="AH213" i="1" s="1"/>
  <c r="AI213" i="1" s="1"/>
  <c r="AJ213" i="1" s="1"/>
  <c r="AF213" i="1"/>
  <c r="AB213" i="1"/>
  <c r="AC213" i="1" s="1"/>
  <c r="AD213" i="1" s="1"/>
  <c r="AE213" i="1" s="1"/>
  <c r="CP7" i="1"/>
  <c r="CQ7" i="1" s="1"/>
  <c r="CR7" i="1" s="1"/>
  <c r="CM7" i="1"/>
  <c r="CN7" i="1" s="1"/>
  <c r="CI7" i="1"/>
  <c r="CJ7" i="1" s="1"/>
  <c r="BU7" i="1"/>
  <c r="BV7" i="1" s="1"/>
  <c r="BP7" i="1"/>
  <c r="BQ7" i="1" s="1"/>
  <c r="BR7" i="1" s="1"/>
  <c r="BJ7" i="1"/>
  <c r="BF7" i="1"/>
  <c r="BE7" i="1"/>
  <c r="BA7" i="1"/>
  <c r="AZ7" i="1"/>
  <c r="AS7" i="1"/>
  <c r="AT7" i="1" s="1"/>
  <c r="AU7" i="1" s="1"/>
  <c r="AV7" i="1" s="1"/>
  <c r="AW7" i="1" s="1"/>
  <c r="AX7" i="1" s="1"/>
  <c r="AN7" i="1"/>
  <c r="AO7" i="1" s="1"/>
  <c r="AP7" i="1" s="1"/>
  <c r="AQ7" i="1" s="1"/>
  <c r="W7" i="1"/>
  <c r="V7" i="1"/>
  <c r="AF7" i="1" s="1"/>
  <c r="CP318" i="1"/>
  <c r="CQ318" i="1" s="1"/>
  <c r="CR318" i="1" s="1"/>
  <c r="CM318" i="1"/>
  <c r="CN318" i="1" s="1"/>
  <c r="CC318" i="1"/>
  <c r="CD318" i="1" s="1"/>
  <c r="CE318" i="1" s="1"/>
  <c r="BU318" i="1"/>
  <c r="BV318" i="1" s="1"/>
  <c r="BP318" i="1"/>
  <c r="BQ318" i="1" s="1"/>
  <c r="BR318" i="1" s="1"/>
  <c r="BJ318" i="1"/>
  <c r="BH318" i="1"/>
  <c r="BI318" i="1" s="1"/>
  <c r="BA318" i="1"/>
  <c r="BB318" i="1" s="1"/>
  <c r="BC318" i="1" s="1"/>
  <c r="BD318" i="1" s="1"/>
  <c r="AS318" i="1"/>
  <c r="AT318" i="1" s="1"/>
  <c r="AU318" i="1" s="1"/>
  <c r="AV318" i="1" s="1"/>
  <c r="AW318" i="1" s="1"/>
  <c r="AX318" i="1" s="1"/>
  <c r="AN318" i="1"/>
  <c r="AO318" i="1" s="1"/>
  <c r="AP318" i="1" s="1"/>
  <c r="AQ318" i="1" s="1"/>
  <c r="U318" i="1"/>
  <c r="CP17" i="1"/>
  <c r="CQ17" i="1" s="1"/>
  <c r="CR17" i="1" s="1"/>
  <c r="CM17" i="1"/>
  <c r="CN17" i="1" s="1"/>
  <c r="CI17" i="1"/>
  <c r="CJ17" i="1" s="1"/>
  <c r="BU17" i="1"/>
  <c r="BV17" i="1" s="1"/>
  <c r="BP17" i="1"/>
  <c r="BQ17" i="1" s="1"/>
  <c r="BR17" i="1" s="1"/>
  <c r="BJ17" i="1"/>
  <c r="BE17" i="1"/>
  <c r="BH17" i="1" s="1"/>
  <c r="BI17" i="1" s="1"/>
  <c r="BA17" i="1"/>
  <c r="BB17" i="1" s="1"/>
  <c r="BC17" i="1" s="1"/>
  <c r="BD17" i="1" s="1"/>
  <c r="AS17" i="1"/>
  <c r="AT17" i="1" s="1"/>
  <c r="AU17" i="1" s="1"/>
  <c r="AV17" i="1" s="1"/>
  <c r="AW17" i="1" s="1"/>
  <c r="AX17" i="1" s="1"/>
  <c r="AN17" i="1"/>
  <c r="AO17" i="1" s="1"/>
  <c r="AP17" i="1" s="1"/>
  <c r="AQ17" i="1" s="1"/>
  <c r="AF17" i="1"/>
  <c r="Z17" i="1"/>
  <c r="W17" i="1"/>
  <c r="CP70" i="1"/>
  <c r="CQ70" i="1" s="1"/>
  <c r="CR70" i="1" s="1"/>
  <c r="CM70" i="1"/>
  <c r="CN70" i="1" s="1"/>
  <c r="CC70" i="1"/>
  <c r="CD70" i="1" s="1"/>
  <c r="CE70" i="1" s="1"/>
  <c r="BU70" i="1"/>
  <c r="BV70" i="1" s="1"/>
  <c r="BO70" i="1"/>
  <c r="BP70" i="1" s="1"/>
  <c r="BQ70" i="1" s="1"/>
  <c r="BR70" i="1" s="1"/>
  <c r="BJ70" i="1"/>
  <c r="BH70" i="1"/>
  <c r="BI70" i="1" s="1"/>
  <c r="BA70" i="1"/>
  <c r="BB70" i="1" s="1"/>
  <c r="BC70" i="1" s="1"/>
  <c r="BD70" i="1" s="1"/>
  <c r="AS70" i="1"/>
  <c r="AT70" i="1" s="1"/>
  <c r="AU70" i="1" s="1"/>
  <c r="AV70" i="1" s="1"/>
  <c r="AW70" i="1" s="1"/>
  <c r="AX70" i="1" s="1"/>
  <c r="AN70" i="1"/>
  <c r="AO70" i="1" s="1"/>
  <c r="AP70" i="1" s="1"/>
  <c r="AQ70" i="1" s="1"/>
  <c r="W70" i="1"/>
  <c r="V70" i="1"/>
  <c r="U70" i="1"/>
  <c r="CP157" i="1"/>
  <c r="CQ157" i="1" s="1"/>
  <c r="CR157" i="1" s="1"/>
  <c r="CM157" i="1"/>
  <c r="CN157" i="1" s="1"/>
  <c r="CC157" i="1"/>
  <c r="CD157" i="1" s="1"/>
  <c r="CE157" i="1" s="1"/>
  <c r="BU157" i="1"/>
  <c r="BV157" i="1" s="1"/>
  <c r="BP157" i="1"/>
  <c r="BQ157" i="1" s="1"/>
  <c r="BR157" i="1" s="1"/>
  <c r="BJ157" i="1"/>
  <c r="BH157" i="1"/>
  <c r="BI157" i="1" s="1"/>
  <c r="BA157" i="1"/>
  <c r="AZ157" i="1"/>
  <c r="AS157" i="1"/>
  <c r="AT157" i="1" s="1"/>
  <c r="AU157" i="1" s="1"/>
  <c r="AV157" i="1" s="1"/>
  <c r="AW157" i="1" s="1"/>
  <c r="AX157" i="1" s="1"/>
  <c r="AN157" i="1"/>
  <c r="AO157" i="1" s="1"/>
  <c r="AP157" i="1" s="1"/>
  <c r="AQ157" i="1" s="1"/>
  <c r="Z157" i="1"/>
  <c r="W157" i="1"/>
  <c r="U157" i="1"/>
  <c r="AG157" i="1" s="1"/>
  <c r="CP138" i="1"/>
  <c r="CQ138" i="1" s="1"/>
  <c r="CR138" i="1" s="1"/>
  <c r="CM138" i="1"/>
  <c r="CN138" i="1" s="1"/>
  <c r="CC138" i="1"/>
  <c r="CD138" i="1" s="1"/>
  <c r="CE138" i="1" s="1"/>
  <c r="BV138" i="1"/>
  <c r="BU138" i="1"/>
  <c r="BO138" i="1"/>
  <c r="BP138" i="1" s="1"/>
  <c r="BQ138" i="1" s="1"/>
  <c r="BR138" i="1" s="1"/>
  <c r="BJ138" i="1"/>
  <c r="BH138" i="1"/>
  <c r="BI138" i="1" s="1"/>
  <c r="BA138" i="1"/>
  <c r="AZ138" i="1"/>
  <c r="AV138" i="1"/>
  <c r="AW138" i="1" s="1"/>
  <c r="AX138" i="1" s="1"/>
  <c r="AS138" i="1"/>
  <c r="AT138" i="1" s="1"/>
  <c r="AU138" i="1" s="1"/>
  <c r="AN138" i="1"/>
  <c r="AO138" i="1" s="1"/>
  <c r="AP138" i="1" s="1"/>
  <c r="AQ138" i="1" s="1"/>
  <c r="W138" i="1"/>
  <c r="V138" i="1"/>
  <c r="AF138" i="1" s="1"/>
  <c r="U138" i="1"/>
  <c r="CP150" i="1"/>
  <c r="CQ150" i="1" s="1"/>
  <c r="CR150" i="1" s="1"/>
  <c r="CM150" i="1"/>
  <c r="CN150" i="1" s="1"/>
  <c r="CC150" i="1"/>
  <c r="CD150" i="1" s="1"/>
  <c r="CE150" i="1" s="1"/>
  <c r="BU150" i="1"/>
  <c r="BV150" i="1" s="1"/>
  <c r="BP150" i="1"/>
  <c r="BQ150" i="1" s="1"/>
  <c r="BR150" i="1" s="1"/>
  <c r="BJ150" i="1"/>
  <c r="BH150" i="1"/>
  <c r="BI150" i="1" s="1"/>
  <c r="BE150" i="1"/>
  <c r="AZ150" i="1"/>
  <c r="AY150" i="1"/>
  <c r="BA150" i="1" s="1"/>
  <c r="BB150" i="1" s="1"/>
  <c r="BC150" i="1" s="1"/>
  <c r="BD150" i="1" s="1"/>
  <c r="AS150" i="1"/>
  <c r="AT150" i="1" s="1"/>
  <c r="AU150" i="1" s="1"/>
  <c r="AV150" i="1" s="1"/>
  <c r="AW150" i="1" s="1"/>
  <c r="AX150" i="1" s="1"/>
  <c r="AN150" i="1"/>
  <c r="AO150" i="1" s="1"/>
  <c r="AP150" i="1" s="1"/>
  <c r="AQ150" i="1" s="1"/>
  <c r="AF150" i="1"/>
  <c r="Z150" i="1"/>
  <c r="AG150" i="1" s="1"/>
  <c r="CP55" i="1"/>
  <c r="CQ55" i="1" s="1"/>
  <c r="CR55" i="1" s="1"/>
  <c r="CM55" i="1"/>
  <c r="CN55" i="1" s="1"/>
  <c r="CC55" i="1"/>
  <c r="CD55" i="1" s="1"/>
  <c r="CE55" i="1" s="1"/>
  <c r="BU55" i="1"/>
  <c r="BV55" i="1" s="1"/>
  <c r="BO55" i="1"/>
  <c r="BP55" i="1" s="1"/>
  <c r="BQ55" i="1" s="1"/>
  <c r="BR55" i="1" s="1"/>
  <c r="BJ55" i="1"/>
  <c r="BH55" i="1"/>
  <c r="BI55" i="1" s="1"/>
  <c r="BB55" i="1"/>
  <c r="BC55" i="1" s="1"/>
  <c r="BD55" i="1" s="1"/>
  <c r="BA55" i="1"/>
  <c r="AZ55" i="1"/>
  <c r="AS55" i="1"/>
  <c r="AT55" i="1" s="1"/>
  <c r="AU55" i="1" s="1"/>
  <c r="AV55" i="1" s="1"/>
  <c r="AW55" i="1" s="1"/>
  <c r="AX55" i="1" s="1"/>
  <c r="AN55" i="1"/>
  <c r="AO55" i="1" s="1"/>
  <c r="AP55" i="1" s="1"/>
  <c r="AQ55" i="1" s="1"/>
  <c r="Z55" i="1"/>
  <c r="W55" i="1"/>
  <c r="V55" i="1"/>
  <c r="U55" i="1"/>
  <c r="CP98" i="1"/>
  <c r="CQ98" i="1" s="1"/>
  <c r="CR98" i="1" s="1"/>
  <c r="CM98" i="1"/>
  <c r="CN98" i="1" s="1"/>
  <c r="CC98" i="1"/>
  <c r="CD98" i="1" s="1"/>
  <c r="CE98" i="1" s="1"/>
  <c r="BU98" i="1"/>
  <c r="BV98" i="1" s="1"/>
  <c r="BP98" i="1"/>
  <c r="BQ98" i="1" s="1"/>
  <c r="BR98" i="1" s="1"/>
  <c r="BJ98" i="1"/>
  <c r="BH98" i="1"/>
  <c r="BI98" i="1" s="1"/>
  <c r="BA98" i="1"/>
  <c r="AZ98" i="1"/>
  <c r="AS98" i="1"/>
  <c r="AT98" i="1" s="1"/>
  <c r="AU98" i="1" s="1"/>
  <c r="AV98" i="1" s="1"/>
  <c r="AW98" i="1" s="1"/>
  <c r="AX98" i="1" s="1"/>
  <c r="AN98" i="1"/>
  <c r="AO98" i="1" s="1"/>
  <c r="AP98" i="1" s="1"/>
  <c r="AQ98" i="1" s="1"/>
  <c r="W98" i="1"/>
  <c r="AB98" i="1" s="1"/>
  <c r="AC98" i="1" s="1"/>
  <c r="AD98" i="1" s="1"/>
  <c r="AE98" i="1" s="1"/>
  <c r="S98" i="1"/>
  <c r="AF98" i="1" s="1"/>
  <c r="CP76" i="1"/>
  <c r="CQ76" i="1" s="1"/>
  <c r="CR76" i="1" s="1"/>
  <c r="CM76" i="1"/>
  <c r="CN76" i="1" s="1"/>
  <c r="CC76" i="1"/>
  <c r="CD76" i="1" s="1"/>
  <c r="CE76" i="1" s="1"/>
  <c r="BU76" i="1"/>
  <c r="BV76" i="1" s="1"/>
  <c r="BP76" i="1"/>
  <c r="BQ76" i="1" s="1"/>
  <c r="BR76" i="1" s="1"/>
  <c r="BJ76" i="1"/>
  <c r="BH76" i="1"/>
  <c r="BI76" i="1" s="1"/>
  <c r="BA76" i="1"/>
  <c r="BB76" i="1" s="1"/>
  <c r="BC76" i="1" s="1"/>
  <c r="BD76" i="1" s="1"/>
  <c r="AT76" i="1"/>
  <c r="AU76" i="1" s="1"/>
  <c r="AV76" i="1" s="1"/>
  <c r="AW76" i="1" s="1"/>
  <c r="AX76" i="1" s="1"/>
  <c r="AS76" i="1"/>
  <c r="AN76" i="1"/>
  <c r="AO76" i="1" s="1"/>
  <c r="AP76" i="1" s="1"/>
  <c r="AQ76" i="1" s="1"/>
  <c r="AG76" i="1"/>
  <c r="AF76" i="1"/>
  <c r="W76" i="1"/>
  <c r="AB76" i="1" s="1"/>
  <c r="AC76" i="1" s="1"/>
  <c r="AD76" i="1" s="1"/>
  <c r="AE76" i="1" s="1"/>
  <c r="CP206" i="1"/>
  <c r="CQ206" i="1" s="1"/>
  <c r="CR206" i="1" s="1"/>
  <c r="CM206" i="1"/>
  <c r="CN206" i="1" s="1"/>
  <c r="CC206" i="1"/>
  <c r="CD206" i="1" s="1"/>
  <c r="CE206" i="1" s="1"/>
  <c r="BU206" i="1"/>
  <c r="BV206" i="1" s="1"/>
  <c r="BO206" i="1"/>
  <c r="BP206" i="1" s="1"/>
  <c r="BQ206" i="1" s="1"/>
  <c r="BR206" i="1" s="1"/>
  <c r="BJ206" i="1"/>
  <c r="BH206" i="1"/>
  <c r="BI206" i="1" s="1"/>
  <c r="BA206" i="1"/>
  <c r="AZ206" i="1"/>
  <c r="BB206" i="1" s="1"/>
  <c r="BC206" i="1" s="1"/>
  <c r="BD206" i="1" s="1"/>
  <c r="AS206" i="1"/>
  <c r="AT206" i="1" s="1"/>
  <c r="AU206" i="1" s="1"/>
  <c r="AV206" i="1" s="1"/>
  <c r="AW206" i="1" s="1"/>
  <c r="AX206" i="1" s="1"/>
  <c r="AN206" i="1"/>
  <c r="AO206" i="1" s="1"/>
  <c r="AP206" i="1" s="1"/>
  <c r="AQ206" i="1" s="1"/>
  <c r="AF206" i="1"/>
  <c r="Z206" i="1"/>
  <c r="W206" i="1"/>
  <c r="CP83" i="1"/>
  <c r="CQ83" i="1" s="1"/>
  <c r="CR83" i="1" s="1"/>
  <c r="CM83" i="1"/>
  <c r="CN83" i="1" s="1"/>
  <c r="CC83" i="1"/>
  <c r="CD83" i="1" s="1"/>
  <c r="CE83" i="1" s="1"/>
  <c r="BU83" i="1"/>
  <c r="BV83" i="1" s="1"/>
  <c r="BO83" i="1"/>
  <c r="BP83" i="1" s="1"/>
  <c r="BQ83" i="1" s="1"/>
  <c r="BR83" i="1" s="1"/>
  <c r="BJ83" i="1"/>
  <c r="BH83" i="1"/>
  <c r="BI83" i="1" s="1"/>
  <c r="BA83" i="1"/>
  <c r="AZ83" i="1"/>
  <c r="AS83" i="1"/>
  <c r="AT83" i="1" s="1"/>
  <c r="AU83" i="1" s="1"/>
  <c r="AV83" i="1" s="1"/>
  <c r="AW83" i="1" s="1"/>
  <c r="AX83" i="1" s="1"/>
  <c r="AN83" i="1"/>
  <c r="AO83" i="1" s="1"/>
  <c r="AP83" i="1" s="1"/>
  <c r="AQ83" i="1" s="1"/>
  <c r="AF83" i="1"/>
  <c r="W83" i="1"/>
  <c r="CP13" i="1"/>
  <c r="CQ13" i="1" s="1"/>
  <c r="CR13" i="1" s="1"/>
  <c r="CM13" i="1"/>
  <c r="CN13" i="1" s="1"/>
  <c r="CI13" i="1"/>
  <c r="CJ13" i="1" s="1"/>
  <c r="BU13" i="1"/>
  <c r="BV13" i="1" s="1"/>
  <c r="BP13" i="1"/>
  <c r="BQ13" i="1" s="1"/>
  <c r="BR13" i="1" s="1"/>
  <c r="BJ13" i="1"/>
  <c r="BF13" i="1"/>
  <c r="BE13" i="1"/>
  <c r="BA13" i="1"/>
  <c r="AZ13" i="1"/>
  <c r="AS13" i="1"/>
  <c r="AT13" i="1" s="1"/>
  <c r="AU13" i="1" s="1"/>
  <c r="AV13" i="1" s="1"/>
  <c r="AW13" i="1" s="1"/>
  <c r="AX13" i="1" s="1"/>
  <c r="AN13" i="1"/>
  <c r="AO13" i="1" s="1"/>
  <c r="AP13" i="1" s="1"/>
  <c r="AQ13" i="1" s="1"/>
  <c r="AF13" i="1"/>
  <c r="AB13" i="1"/>
  <c r="AC13" i="1" s="1"/>
  <c r="AD13" i="1" s="1"/>
  <c r="AE13" i="1" s="1"/>
  <c r="W13" i="1"/>
  <c r="AG13" i="1" s="1"/>
  <c r="CP16" i="1"/>
  <c r="CQ16" i="1" s="1"/>
  <c r="CR16" i="1" s="1"/>
  <c r="CM16" i="1"/>
  <c r="CN16" i="1" s="1"/>
  <c r="CI16" i="1"/>
  <c r="CJ16" i="1" s="1"/>
  <c r="BV16" i="1"/>
  <c r="BU16" i="1"/>
  <c r="BP16" i="1"/>
  <c r="BQ16" i="1" s="1"/>
  <c r="BR16" i="1" s="1"/>
  <c r="BJ16" i="1"/>
  <c r="BH16" i="1"/>
  <c r="BI16" i="1" s="1"/>
  <c r="BA16" i="1"/>
  <c r="AZ16" i="1"/>
  <c r="AS16" i="1"/>
  <c r="AT16" i="1" s="1"/>
  <c r="AU16" i="1" s="1"/>
  <c r="AV16" i="1" s="1"/>
  <c r="AW16" i="1" s="1"/>
  <c r="AX16" i="1" s="1"/>
  <c r="AN16" i="1"/>
  <c r="AO16" i="1" s="1"/>
  <c r="AP16" i="1" s="1"/>
  <c r="AQ16" i="1" s="1"/>
  <c r="AG16" i="1"/>
  <c r="AF16" i="1"/>
  <c r="Z16" i="1"/>
  <c r="W16" i="1"/>
  <c r="CP140" i="1"/>
  <c r="CQ140" i="1" s="1"/>
  <c r="CR140" i="1" s="1"/>
  <c r="CM140" i="1"/>
  <c r="CN140" i="1" s="1"/>
  <c r="CC140" i="1"/>
  <c r="CD140" i="1" s="1"/>
  <c r="CE140" i="1" s="1"/>
  <c r="BU140" i="1"/>
  <c r="BV140" i="1" s="1"/>
  <c r="BP140" i="1"/>
  <c r="BQ140" i="1" s="1"/>
  <c r="BR140" i="1" s="1"/>
  <c r="BJ140" i="1"/>
  <c r="BE140" i="1"/>
  <c r="BH140" i="1" s="1"/>
  <c r="BI140" i="1" s="1"/>
  <c r="BA140" i="1"/>
  <c r="AZ140" i="1"/>
  <c r="AS140" i="1"/>
  <c r="AT140" i="1" s="1"/>
  <c r="AU140" i="1" s="1"/>
  <c r="AV140" i="1" s="1"/>
  <c r="AW140" i="1" s="1"/>
  <c r="AX140" i="1" s="1"/>
  <c r="AN140" i="1"/>
  <c r="AO140" i="1" s="1"/>
  <c r="AP140" i="1" s="1"/>
  <c r="AQ140" i="1" s="1"/>
  <c r="AG140" i="1"/>
  <c r="AF140" i="1"/>
  <c r="AB140" i="1"/>
  <c r="AC140" i="1" s="1"/>
  <c r="AD140" i="1" s="1"/>
  <c r="AE140" i="1" s="1"/>
  <c r="CO112" i="1"/>
  <c r="CP112" i="1" s="1"/>
  <c r="CQ112" i="1" s="1"/>
  <c r="CR112" i="1" s="1"/>
  <c r="CM112" i="1"/>
  <c r="CN112" i="1" s="1"/>
  <c r="CC112" i="1"/>
  <c r="CD112" i="1" s="1"/>
  <c r="CE112" i="1" s="1"/>
  <c r="BU112" i="1"/>
  <c r="BV112" i="1" s="1"/>
  <c r="BP112" i="1"/>
  <c r="BQ112" i="1" s="1"/>
  <c r="BR112" i="1" s="1"/>
  <c r="BJ112" i="1"/>
  <c r="BH112" i="1"/>
  <c r="BI112" i="1" s="1"/>
  <c r="BA112" i="1"/>
  <c r="AZ112" i="1"/>
  <c r="AS112" i="1"/>
  <c r="AT112" i="1" s="1"/>
  <c r="AU112" i="1" s="1"/>
  <c r="AV112" i="1" s="1"/>
  <c r="AW112" i="1" s="1"/>
  <c r="AX112" i="1" s="1"/>
  <c r="AN112" i="1"/>
  <c r="AO112" i="1" s="1"/>
  <c r="AP112" i="1" s="1"/>
  <c r="AQ112" i="1" s="1"/>
  <c r="W112" i="1"/>
  <c r="V112" i="1"/>
  <c r="U112" i="1"/>
  <c r="CR66" i="1"/>
  <c r="CO66" i="1"/>
  <c r="CP66" i="1" s="1"/>
  <c r="CQ66" i="1" s="1"/>
  <c r="CM66" i="1"/>
  <c r="CN66" i="1" s="1"/>
  <c r="CC66" i="1"/>
  <c r="CD66" i="1" s="1"/>
  <c r="CE66" i="1" s="1"/>
  <c r="BU66" i="1"/>
  <c r="BV66" i="1" s="1"/>
  <c r="BP66" i="1"/>
  <c r="BQ66" i="1" s="1"/>
  <c r="BR66" i="1" s="1"/>
  <c r="BJ66" i="1"/>
  <c r="BF66" i="1"/>
  <c r="BH66" i="1" s="1"/>
  <c r="BI66" i="1" s="1"/>
  <c r="BA66" i="1"/>
  <c r="AZ66" i="1"/>
  <c r="AS66" i="1"/>
  <c r="AT66" i="1" s="1"/>
  <c r="AU66" i="1" s="1"/>
  <c r="AV66" i="1" s="1"/>
  <c r="AW66" i="1" s="1"/>
  <c r="AX66" i="1" s="1"/>
  <c r="AN66" i="1"/>
  <c r="AO66" i="1" s="1"/>
  <c r="AP66" i="1" s="1"/>
  <c r="AQ66" i="1" s="1"/>
  <c r="AG66" i="1"/>
  <c r="AF66" i="1"/>
  <c r="AB66" i="1"/>
  <c r="AC66" i="1" s="1"/>
  <c r="AD66" i="1" s="1"/>
  <c r="AE66" i="1" s="1"/>
  <c r="CP154" i="1"/>
  <c r="CQ154" i="1" s="1"/>
  <c r="CR154" i="1" s="1"/>
  <c r="CM154" i="1"/>
  <c r="CN154" i="1" s="1"/>
  <c r="CC154" i="1"/>
  <c r="CD154" i="1" s="1"/>
  <c r="CE154" i="1" s="1"/>
  <c r="BU154" i="1"/>
  <c r="BV154" i="1" s="1"/>
  <c r="BP154" i="1"/>
  <c r="BQ154" i="1" s="1"/>
  <c r="BR154" i="1" s="1"/>
  <c r="BJ154" i="1"/>
  <c r="BH154" i="1"/>
  <c r="BI154" i="1" s="1"/>
  <c r="BA154" i="1"/>
  <c r="BB154" i="1" s="1"/>
  <c r="BC154" i="1" s="1"/>
  <c r="BD154" i="1" s="1"/>
  <c r="AS154" i="1"/>
  <c r="AT154" i="1" s="1"/>
  <c r="AU154" i="1" s="1"/>
  <c r="AV154" i="1" s="1"/>
  <c r="AW154" i="1" s="1"/>
  <c r="AX154" i="1" s="1"/>
  <c r="AN154" i="1"/>
  <c r="AO154" i="1" s="1"/>
  <c r="AP154" i="1" s="1"/>
  <c r="AQ154" i="1" s="1"/>
  <c r="AG154" i="1"/>
  <c r="AF154" i="1"/>
  <c r="AB154" i="1"/>
  <c r="AC154" i="1" s="1"/>
  <c r="AD154" i="1" s="1"/>
  <c r="AE154" i="1" s="1"/>
  <c r="CP269" i="1"/>
  <c r="CQ269" i="1" s="1"/>
  <c r="CR269" i="1" s="1"/>
  <c r="CM269" i="1"/>
  <c r="CN269" i="1" s="1"/>
  <c r="CC269" i="1"/>
  <c r="CD269" i="1" s="1"/>
  <c r="CE269" i="1" s="1"/>
  <c r="BU269" i="1"/>
  <c r="BV269" i="1" s="1"/>
  <c r="BO269" i="1"/>
  <c r="BP269" i="1" s="1"/>
  <c r="BQ269" i="1" s="1"/>
  <c r="BR269" i="1" s="1"/>
  <c r="BJ269" i="1"/>
  <c r="BH269" i="1"/>
  <c r="BI269" i="1" s="1"/>
  <c r="BA269" i="1"/>
  <c r="AZ269" i="1"/>
  <c r="AS269" i="1"/>
  <c r="AT269" i="1" s="1"/>
  <c r="AU269" i="1" s="1"/>
  <c r="AV269" i="1" s="1"/>
  <c r="AW269" i="1" s="1"/>
  <c r="AX269" i="1" s="1"/>
  <c r="AN269" i="1"/>
  <c r="AO269" i="1" s="1"/>
  <c r="AP269" i="1" s="1"/>
  <c r="AQ269" i="1" s="1"/>
  <c r="V269" i="1"/>
  <c r="AF269" i="1" s="1"/>
  <c r="CP38" i="1"/>
  <c r="CQ38" i="1" s="1"/>
  <c r="CR38" i="1" s="1"/>
  <c r="CM38" i="1"/>
  <c r="CN38" i="1" s="1"/>
  <c r="CC38" i="1"/>
  <c r="CD38" i="1" s="1"/>
  <c r="CE38" i="1" s="1"/>
  <c r="BU38" i="1"/>
  <c r="BV38" i="1" s="1"/>
  <c r="BO38" i="1"/>
  <c r="BP38" i="1" s="1"/>
  <c r="BQ38" i="1" s="1"/>
  <c r="BR38" i="1" s="1"/>
  <c r="BJ38" i="1"/>
  <c r="BH38" i="1"/>
  <c r="BI38" i="1" s="1"/>
  <c r="BA38" i="1"/>
  <c r="AZ38" i="1"/>
  <c r="AS38" i="1"/>
  <c r="AT38" i="1" s="1"/>
  <c r="AU38" i="1" s="1"/>
  <c r="AV38" i="1" s="1"/>
  <c r="AW38" i="1" s="1"/>
  <c r="AX38" i="1" s="1"/>
  <c r="AN38" i="1"/>
  <c r="AO38" i="1" s="1"/>
  <c r="AP38" i="1" s="1"/>
  <c r="AQ38" i="1" s="1"/>
  <c r="AF38" i="1"/>
  <c r="W38" i="1"/>
  <c r="AG38" i="1" s="1"/>
  <c r="AH38" i="1" s="1"/>
  <c r="AI38" i="1" s="1"/>
  <c r="AJ38" i="1" s="1"/>
  <c r="CP21" i="1"/>
  <c r="CQ21" i="1" s="1"/>
  <c r="CR21" i="1" s="1"/>
  <c r="CM21" i="1"/>
  <c r="CN21" i="1" s="1"/>
  <c r="CI21" i="1"/>
  <c r="CJ21" i="1" s="1"/>
  <c r="BV21" i="1"/>
  <c r="BU21" i="1"/>
  <c r="BP21" i="1"/>
  <c r="BQ21" i="1" s="1"/>
  <c r="BR21" i="1" s="1"/>
  <c r="BJ21" i="1"/>
  <c r="BH21" i="1"/>
  <c r="BI21" i="1" s="1"/>
  <c r="BA21" i="1"/>
  <c r="BB21" i="1" s="1"/>
  <c r="BC21" i="1" s="1"/>
  <c r="BD21" i="1" s="1"/>
  <c r="AS21" i="1"/>
  <c r="AT21" i="1" s="1"/>
  <c r="AU21" i="1" s="1"/>
  <c r="AV21" i="1" s="1"/>
  <c r="AW21" i="1" s="1"/>
  <c r="AX21" i="1" s="1"/>
  <c r="AN21" i="1"/>
  <c r="AO21" i="1" s="1"/>
  <c r="AP21" i="1" s="1"/>
  <c r="AQ21" i="1" s="1"/>
  <c r="AF21" i="1"/>
  <c r="Z21" i="1"/>
  <c r="AB21" i="1" s="1"/>
  <c r="AC21" i="1" s="1"/>
  <c r="AD21" i="1" s="1"/>
  <c r="AE21" i="1" s="1"/>
  <c r="W21" i="1"/>
  <c r="V21" i="1"/>
  <c r="U21" i="1"/>
  <c r="CP234" i="1"/>
  <c r="CQ234" i="1" s="1"/>
  <c r="CR234" i="1" s="1"/>
  <c r="CM234" i="1"/>
  <c r="CN234" i="1" s="1"/>
  <c r="CC234" i="1"/>
  <c r="CD234" i="1" s="1"/>
  <c r="CE234" i="1" s="1"/>
  <c r="BU234" i="1"/>
  <c r="BV234" i="1" s="1"/>
  <c r="BP234" i="1"/>
  <c r="BQ234" i="1" s="1"/>
  <c r="BR234" i="1" s="1"/>
  <c r="BJ234" i="1"/>
  <c r="BE234" i="1"/>
  <c r="BH234" i="1" s="1"/>
  <c r="BI234" i="1" s="1"/>
  <c r="BC234" i="1"/>
  <c r="BD234" i="1" s="1"/>
  <c r="BA234" i="1"/>
  <c r="BB234" i="1" s="1"/>
  <c r="AS234" i="1"/>
  <c r="AT234" i="1" s="1"/>
  <c r="AU234" i="1" s="1"/>
  <c r="AV234" i="1" s="1"/>
  <c r="AW234" i="1" s="1"/>
  <c r="AX234" i="1" s="1"/>
  <c r="AN234" i="1"/>
  <c r="AO234" i="1" s="1"/>
  <c r="AP234" i="1" s="1"/>
  <c r="AQ234" i="1" s="1"/>
  <c r="AF234" i="1"/>
  <c r="W234" i="1"/>
  <c r="CP279" i="1"/>
  <c r="CQ279" i="1" s="1"/>
  <c r="CR279" i="1" s="1"/>
  <c r="CO279" i="1"/>
  <c r="CM279" i="1"/>
  <c r="CN279" i="1" s="1"/>
  <c r="CC279" i="1"/>
  <c r="CD279" i="1" s="1"/>
  <c r="CE279" i="1" s="1"/>
  <c r="BU279" i="1"/>
  <c r="BV279" i="1" s="1"/>
  <c r="BP279" i="1"/>
  <c r="BQ279" i="1" s="1"/>
  <c r="BR279" i="1" s="1"/>
  <c r="BJ279" i="1"/>
  <c r="BH279" i="1"/>
  <c r="BI279" i="1" s="1"/>
  <c r="BA279" i="1"/>
  <c r="AZ279" i="1"/>
  <c r="AS279" i="1"/>
  <c r="AT279" i="1" s="1"/>
  <c r="AU279" i="1" s="1"/>
  <c r="AV279" i="1" s="1"/>
  <c r="AW279" i="1" s="1"/>
  <c r="AX279" i="1" s="1"/>
  <c r="AN279" i="1"/>
  <c r="AO279" i="1" s="1"/>
  <c r="AP279" i="1" s="1"/>
  <c r="AQ279" i="1" s="1"/>
  <c r="AG279" i="1"/>
  <c r="AF279" i="1"/>
  <c r="AH279" i="1" s="1"/>
  <c r="AI279" i="1" s="1"/>
  <c r="AJ279" i="1" s="1"/>
  <c r="AB279" i="1"/>
  <c r="AC279" i="1" s="1"/>
  <c r="AD279" i="1" s="1"/>
  <c r="AE279" i="1" s="1"/>
  <c r="CO75" i="1"/>
  <c r="CP75" i="1" s="1"/>
  <c r="CQ75" i="1" s="1"/>
  <c r="CR75" i="1" s="1"/>
  <c r="CM75" i="1"/>
  <c r="CN75" i="1" s="1"/>
  <c r="CC75" i="1"/>
  <c r="CD75" i="1" s="1"/>
  <c r="CE75" i="1" s="1"/>
  <c r="BU75" i="1"/>
  <c r="BV75" i="1" s="1"/>
  <c r="BP75" i="1"/>
  <c r="BQ75" i="1" s="1"/>
  <c r="BR75" i="1" s="1"/>
  <c r="BJ75" i="1"/>
  <c r="BH75" i="1"/>
  <c r="BI75" i="1" s="1"/>
  <c r="BA75" i="1"/>
  <c r="AZ75" i="1"/>
  <c r="AS75" i="1"/>
  <c r="AT75" i="1" s="1"/>
  <c r="AU75" i="1" s="1"/>
  <c r="AV75" i="1" s="1"/>
  <c r="AW75" i="1" s="1"/>
  <c r="AX75" i="1" s="1"/>
  <c r="AN75" i="1"/>
  <c r="AO75" i="1" s="1"/>
  <c r="AP75" i="1" s="1"/>
  <c r="AQ75" i="1" s="1"/>
  <c r="W75" i="1"/>
  <c r="V75" i="1"/>
  <c r="CO312" i="1"/>
  <c r="CP312" i="1" s="1"/>
  <c r="CQ312" i="1" s="1"/>
  <c r="CR312" i="1" s="1"/>
  <c r="CM312" i="1"/>
  <c r="CN312" i="1" s="1"/>
  <c r="CC312" i="1"/>
  <c r="CD312" i="1" s="1"/>
  <c r="CE312" i="1" s="1"/>
  <c r="BU312" i="1"/>
  <c r="BV312" i="1" s="1"/>
  <c r="BP312" i="1"/>
  <c r="BQ312" i="1" s="1"/>
  <c r="BR312" i="1" s="1"/>
  <c r="BJ312" i="1"/>
  <c r="BH312" i="1"/>
  <c r="BG312" i="1"/>
  <c r="BA312" i="1"/>
  <c r="AZ312" i="1"/>
  <c r="AS312" i="1"/>
  <c r="AT312" i="1" s="1"/>
  <c r="AU312" i="1" s="1"/>
  <c r="AV312" i="1" s="1"/>
  <c r="AW312" i="1" s="1"/>
  <c r="AX312" i="1" s="1"/>
  <c r="AN312" i="1"/>
  <c r="AO312" i="1" s="1"/>
  <c r="AP312" i="1" s="1"/>
  <c r="AQ312" i="1" s="1"/>
  <c r="AG312" i="1"/>
  <c r="AF312" i="1"/>
  <c r="AB312" i="1"/>
  <c r="AC312" i="1" s="1"/>
  <c r="AD312" i="1" s="1"/>
  <c r="AE312" i="1" s="1"/>
  <c r="CP297" i="1"/>
  <c r="CQ297" i="1" s="1"/>
  <c r="CR297" i="1" s="1"/>
  <c r="CM297" i="1"/>
  <c r="CN297" i="1" s="1"/>
  <c r="CC297" i="1"/>
  <c r="CD297" i="1" s="1"/>
  <c r="CE297" i="1" s="1"/>
  <c r="BU297" i="1"/>
  <c r="BV297" i="1" s="1"/>
  <c r="BP297" i="1"/>
  <c r="BQ297" i="1" s="1"/>
  <c r="BR297" i="1" s="1"/>
  <c r="BJ297" i="1"/>
  <c r="BH297" i="1"/>
  <c r="BI297" i="1" s="1"/>
  <c r="BA297" i="1"/>
  <c r="AZ297" i="1"/>
  <c r="AS297" i="1"/>
  <c r="AT297" i="1" s="1"/>
  <c r="AU297" i="1" s="1"/>
  <c r="AV297" i="1" s="1"/>
  <c r="AW297" i="1" s="1"/>
  <c r="AX297" i="1" s="1"/>
  <c r="AN297" i="1"/>
  <c r="AO297" i="1" s="1"/>
  <c r="AP297" i="1" s="1"/>
  <c r="AQ297" i="1" s="1"/>
  <c r="W297" i="1"/>
  <c r="V297" i="1"/>
  <c r="U297" i="1"/>
  <c r="CO80" i="1"/>
  <c r="CP80" i="1" s="1"/>
  <c r="CQ80" i="1" s="1"/>
  <c r="CR80" i="1" s="1"/>
  <c r="CM80" i="1"/>
  <c r="CN80" i="1" s="1"/>
  <c r="CC80" i="1"/>
  <c r="CD80" i="1" s="1"/>
  <c r="CE80" i="1" s="1"/>
  <c r="BU80" i="1"/>
  <c r="BV80" i="1" s="1"/>
  <c r="BP80" i="1"/>
  <c r="BQ80" i="1" s="1"/>
  <c r="BR80" i="1" s="1"/>
  <c r="BJ80" i="1"/>
  <c r="BH80" i="1"/>
  <c r="BI80" i="1" s="1"/>
  <c r="BA80" i="1"/>
  <c r="AZ80" i="1"/>
  <c r="BB80" i="1" s="1"/>
  <c r="BC80" i="1" s="1"/>
  <c r="BD80" i="1" s="1"/>
  <c r="AS80" i="1"/>
  <c r="AT80" i="1" s="1"/>
  <c r="AU80" i="1" s="1"/>
  <c r="AV80" i="1" s="1"/>
  <c r="AW80" i="1" s="1"/>
  <c r="AX80" i="1" s="1"/>
  <c r="AN80" i="1"/>
  <c r="AO80" i="1" s="1"/>
  <c r="AP80" i="1" s="1"/>
  <c r="AQ80" i="1" s="1"/>
  <c r="AG80" i="1"/>
  <c r="AH80" i="1" s="1"/>
  <c r="AI80" i="1" s="1"/>
  <c r="AJ80" i="1" s="1"/>
  <c r="AF80" i="1"/>
  <c r="AB80" i="1"/>
  <c r="AC80" i="1" s="1"/>
  <c r="AD80" i="1" s="1"/>
  <c r="AE80" i="1" s="1"/>
  <c r="CO62" i="1"/>
  <c r="CP62" i="1" s="1"/>
  <c r="CQ62" i="1" s="1"/>
  <c r="CR62" i="1" s="1"/>
  <c r="CM62" i="1"/>
  <c r="CN62" i="1" s="1"/>
  <c r="CC62" i="1"/>
  <c r="CD62" i="1" s="1"/>
  <c r="CE62" i="1" s="1"/>
  <c r="BU62" i="1"/>
  <c r="BV62" i="1" s="1"/>
  <c r="BP62" i="1"/>
  <c r="BQ62" i="1" s="1"/>
  <c r="BR62" i="1" s="1"/>
  <c r="BJ62" i="1"/>
  <c r="BH62" i="1"/>
  <c r="BI62" i="1" s="1"/>
  <c r="BA62" i="1"/>
  <c r="BB62" i="1" s="1"/>
  <c r="BC62" i="1" s="1"/>
  <c r="BD62" i="1" s="1"/>
  <c r="AS62" i="1"/>
  <c r="AT62" i="1" s="1"/>
  <c r="AU62" i="1" s="1"/>
  <c r="AV62" i="1" s="1"/>
  <c r="AW62" i="1" s="1"/>
  <c r="AX62" i="1" s="1"/>
  <c r="AN62" i="1"/>
  <c r="AO62" i="1" s="1"/>
  <c r="AP62" i="1" s="1"/>
  <c r="AQ62" i="1" s="1"/>
  <c r="AF62" i="1"/>
  <c r="W62" i="1"/>
  <c r="CO86" i="1"/>
  <c r="CP86" i="1" s="1"/>
  <c r="CQ86" i="1" s="1"/>
  <c r="CR86" i="1" s="1"/>
  <c r="CM86" i="1"/>
  <c r="CN86" i="1" s="1"/>
  <c r="CC86" i="1"/>
  <c r="CD86" i="1" s="1"/>
  <c r="CE86" i="1" s="1"/>
  <c r="BU86" i="1"/>
  <c r="BV86" i="1" s="1"/>
  <c r="BP86" i="1"/>
  <c r="BQ86" i="1" s="1"/>
  <c r="BR86" i="1" s="1"/>
  <c r="BJ86" i="1"/>
  <c r="BH86" i="1"/>
  <c r="BI86" i="1" s="1"/>
  <c r="BA86" i="1"/>
  <c r="BB86" i="1" s="1"/>
  <c r="BC86" i="1" s="1"/>
  <c r="BD86" i="1" s="1"/>
  <c r="AS86" i="1"/>
  <c r="AT86" i="1" s="1"/>
  <c r="AU86" i="1" s="1"/>
  <c r="AV86" i="1" s="1"/>
  <c r="AW86" i="1" s="1"/>
  <c r="AX86" i="1" s="1"/>
  <c r="AN86" i="1"/>
  <c r="AO86" i="1" s="1"/>
  <c r="AP86" i="1" s="1"/>
  <c r="AQ86" i="1" s="1"/>
  <c r="AA86" i="1"/>
  <c r="Z86" i="1"/>
  <c r="V86" i="1" s="1"/>
  <c r="AB86" i="1" s="1"/>
  <c r="AC86" i="1" s="1"/>
  <c r="AD86" i="1" s="1"/>
  <c r="AE86" i="1" s="1"/>
  <c r="CP93" i="1"/>
  <c r="CQ93" i="1" s="1"/>
  <c r="CR93" i="1" s="1"/>
  <c r="CM93" i="1"/>
  <c r="CN93" i="1" s="1"/>
  <c r="CC93" i="1"/>
  <c r="CD93" i="1" s="1"/>
  <c r="CE93" i="1" s="1"/>
  <c r="BU93" i="1"/>
  <c r="BV93" i="1" s="1"/>
  <c r="BP93" i="1"/>
  <c r="BQ93" i="1" s="1"/>
  <c r="BR93" i="1" s="1"/>
  <c r="BJ93" i="1"/>
  <c r="BF93" i="1"/>
  <c r="BE93" i="1"/>
  <c r="BH93" i="1" s="1"/>
  <c r="BI93" i="1" s="1"/>
  <c r="BA93" i="1"/>
  <c r="AZ93" i="1"/>
  <c r="AS93" i="1"/>
  <c r="AT93" i="1" s="1"/>
  <c r="AU93" i="1" s="1"/>
  <c r="AV93" i="1" s="1"/>
  <c r="AW93" i="1" s="1"/>
  <c r="AX93" i="1" s="1"/>
  <c r="AO93" i="1"/>
  <c r="AP93" i="1" s="1"/>
  <c r="AQ93" i="1" s="1"/>
  <c r="AN93" i="1"/>
  <c r="AF93" i="1"/>
  <c r="AB93" i="1"/>
  <c r="AC93" i="1" s="1"/>
  <c r="AD93" i="1" s="1"/>
  <c r="AE93" i="1" s="1"/>
  <c r="W93" i="1"/>
  <c r="AG93" i="1" s="1"/>
  <c r="CP99" i="1"/>
  <c r="CQ99" i="1" s="1"/>
  <c r="CR99" i="1" s="1"/>
  <c r="CM99" i="1"/>
  <c r="CN99" i="1" s="1"/>
  <c r="CC99" i="1"/>
  <c r="CD99" i="1" s="1"/>
  <c r="CE99" i="1" s="1"/>
  <c r="BU99" i="1"/>
  <c r="BV99" i="1" s="1"/>
  <c r="BP99" i="1"/>
  <c r="BQ99" i="1" s="1"/>
  <c r="BR99" i="1" s="1"/>
  <c r="BJ99" i="1"/>
  <c r="BH99" i="1"/>
  <c r="BI99" i="1" s="1"/>
  <c r="BA99" i="1"/>
  <c r="BB99" i="1" s="1"/>
  <c r="BC99" i="1" s="1"/>
  <c r="BD99" i="1" s="1"/>
  <c r="AS99" i="1"/>
  <c r="AT99" i="1" s="1"/>
  <c r="AU99" i="1" s="1"/>
  <c r="AV99" i="1" s="1"/>
  <c r="AW99" i="1" s="1"/>
  <c r="AX99" i="1" s="1"/>
  <c r="AN99" i="1"/>
  <c r="AO99" i="1" s="1"/>
  <c r="AP99" i="1" s="1"/>
  <c r="AQ99" i="1" s="1"/>
  <c r="Z99" i="1"/>
  <c r="V99" i="1" s="1"/>
  <c r="W99" i="1"/>
  <c r="CP194" i="1"/>
  <c r="CQ194" i="1" s="1"/>
  <c r="CR194" i="1" s="1"/>
  <c r="CM194" i="1"/>
  <c r="CN194" i="1" s="1"/>
  <c r="CE194" i="1"/>
  <c r="CC194" i="1"/>
  <c r="CD194" i="1" s="1"/>
  <c r="BU194" i="1"/>
  <c r="BV194" i="1" s="1"/>
  <c r="BP194" i="1"/>
  <c r="BQ194" i="1" s="1"/>
  <c r="BR194" i="1" s="1"/>
  <c r="BJ194" i="1"/>
  <c r="BH194" i="1"/>
  <c r="BI194" i="1" s="1"/>
  <c r="BA194" i="1"/>
  <c r="AZ194" i="1"/>
  <c r="AT194" i="1"/>
  <c r="AU194" i="1" s="1"/>
  <c r="AV194" i="1" s="1"/>
  <c r="AW194" i="1" s="1"/>
  <c r="AX194" i="1" s="1"/>
  <c r="AS194" i="1"/>
  <c r="AN194" i="1"/>
  <c r="AO194" i="1" s="1"/>
  <c r="AP194" i="1" s="1"/>
  <c r="AQ194" i="1" s="1"/>
  <c r="W194" i="1"/>
  <c r="V194" i="1"/>
  <c r="U194" i="1"/>
  <c r="CP84" i="1"/>
  <c r="CQ84" i="1" s="1"/>
  <c r="CR84" i="1" s="1"/>
  <c r="CM84" i="1"/>
  <c r="CN84" i="1" s="1"/>
  <c r="CC84" i="1"/>
  <c r="CD84" i="1" s="1"/>
  <c r="CE84" i="1" s="1"/>
  <c r="BU84" i="1"/>
  <c r="BV84" i="1" s="1"/>
  <c r="BP84" i="1"/>
  <c r="BQ84" i="1" s="1"/>
  <c r="BR84" i="1" s="1"/>
  <c r="BJ84" i="1"/>
  <c r="BH84" i="1"/>
  <c r="BI84" i="1" s="1"/>
  <c r="BA84" i="1"/>
  <c r="AZ84" i="1"/>
  <c r="AS84" i="1"/>
  <c r="AT84" i="1" s="1"/>
  <c r="AU84" i="1" s="1"/>
  <c r="AV84" i="1" s="1"/>
  <c r="AW84" i="1" s="1"/>
  <c r="AX84" i="1" s="1"/>
  <c r="AN84" i="1"/>
  <c r="AO84" i="1" s="1"/>
  <c r="AP84" i="1" s="1"/>
  <c r="AQ84" i="1" s="1"/>
  <c r="AG84" i="1"/>
  <c r="AH84" i="1" s="1"/>
  <c r="AI84" i="1" s="1"/>
  <c r="AJ84" i="1" s="1"/>
  <c r="AB84" i="1"/>
  <c r="AC84" i="1" s="1"/>
  <c r="AD84" i="1" s="1"/>
  <c r="AE84" i="1" s="1"/>
  <c r="V84" i="1"/>
  <c r="AF84" i="1" s="1"/>
  <c r="CO164" i="1"/>
  <c r="CP164" i="1" s="1"/>
  <c r="CQ164" i="1" s="1"/>
  <c r="CR164" i="1" s="1"/>
  <c r="CM164" i="1"/>
  <c r="CN164" i="1" s="1"/>
  <c r="CC164" i="1"/>
  <c r="CD164" i="1" s="1"/>
  <c r="CE164" i="1" s="1"/>
  <c r="BU164" i="1"/>
  <c r="BV164" i="1" s="1"/>
  <c r="BP164" i="1"/>
  <c r="BQ164" i="1" s="1"/>
  <c r="BR164" i="1" s="1"/>
  <c r="BJ164" i="1"/>
  <c r="BH164" i="1"/>
  <c r="BI164" i="1" s="1"/>
  <c r="BA164" i="1"/>
  <c r="AZ164" i="1"/>
  <c r="AS164" i="1"/>
  <c r="AT164" i="1" s="1"/>
  <c r="AU164" i="1" s="1"/>
  <c r="AV164" i="1" s="1"/>
  <c r="AW164" i="1" s="1"/>
  <c r="AX164" i="1" s="1"/>
  <c r="AN164" i="1"/>
  <c r="AO164" i="1" s="1"/>
  <c r="AP164" i="1" s="1"/>
  <c r="AQ164" i="1" s="1"/>
  <c r="V164" i="1"/>
  <c r="AG164" i="1" s="1"/>
  <c r="CP81" i="1"/>
  <c r="CQ81" i="1" s="1"/>
  <c r="CR81" i="1" s="1"/>
  <c r="CM81" i="1"/>
  <c r="CN81" i="1" s="1"/>
  <c r="CC81" i="1"/>
  <c r="CD81" i="1" s="1"/>
  <c r="CE81" i="1" s="1"/>
  <c r="BU81" i="1"/>
  <c r="BV81" i="1" s="1"/>
  <c r="BP81" i="1"/>
  <c r="BQ81" i="1" s="1"/>
  <c r="BR81" i="1" s="1"/>
  <c r="BO81" i="1"/>
  <c r="BJ81" i="1"/>
  <c r="BH81" i="1"/>
  <c r="BI81" i="1" s="1"/>
  <c r="BA81" i="1"/>
  <c r="BB81" i="1" s="1"/>
  <c r="BC81" i="1" s="1"/>
  <c r="BD81" i="1" s="1"/>
  <c r="AS81" i="1"/>
  <c r="AT81" i="1" s="1"/>
  <c r="AU81" i="1" s="1"/>
  <c r="AV81" i="1" s="1"/>
  <c r="AW81" i="1" s="1"/>
  <c r="AX81" i="1" s="1"/>
  <c r="AN81" i="1"/>
  <c r="AO81" i="1" s="1"/>
  <c r="AP81" i="1" s="1"/>
  <c r="AQ81" i="1" s="1"/>
  <c r="AF81" i="1"/>
  <c r="W81" i="1"/>
  <c r="CP100" i="1"/>
  <c r="CQ100" i="1" s="1"/>
  <c r="CR100" i="1" s="1"/>
  <c r="CM100" i="1"/>
  <c r="CN100" i="1" s="1"/>
  <c r="CC100" i="1"/>
  <c r="CD100" i="1" s="1"/>
  <c r="CE100" i="1" s="1"/>
  <c r="BU100" i="1"/>
  <c r="BV100" i="1" s="1"/>
  <c r="BQ100" i="1"/>
  <c r="BR100" i="1" s="1"/>
  <c r="BP100" i="1"/>
  <c r="BJ100" i="1"/>
  <c r="BH100" i="1"/>
  <c r="BG100" i="1"/>
  <c r="BI100" i="1" s="1"/>
  <c r="BA100" i="1"/>
  <c r="AZ100" i="1"/>
  <c r="AS100" i="1"/>
  <c r="AT100" i="1" s="1"/>
  <c r="AU100" i="1" s="1"/>
  <c r="AV100" i="1" s="1"/>
  <c r="AW100" i="1" s="1"/>
  <c r="AX100" i="1" s="1"/>
  <c r="AN100" i="1"/>
  <c r="AO100" i="1" s="1"/>
  <c r="AP100" i="1" s="1"/>
  <c r="AQ100" i="1" s="1"/>
  <c r="AG100" i="1"/>
  <c r="AF100" i="1"/>
  <c r="AB100" i="1"/>
  <c r="AC100" i="1" s="1"/>
  <c r="AD100" i="1" s="1"/>
  <c r="AE100" i="1" s="1"/>
  <c r="CP227" i="1"/>
  <c r="CQ227" i="1" s="1"/>
  <c r="CR227" i="1" s="1"/>
  <c r="CM227" i="1"/>
  <c r="CN227" i="1" s="1"/>
  <c r="CC227" i="1"/>
  <c r="CD227" i="1" s="1"/>
  <c r="CE227" i="1" s="1"/>
  <c r="BU227" i="1"/>
  <c r="BV227" i="1" s="1"/>
  <c r="BP227" i="1"/>
  <c r="BQ227" i="1" s="1"/>
  <c r="BR227" i="1" s="1"/>
  <c r="BJ227" i="1"/>
  <c r="BH227" i="1"/>
  <c r="BI227" i="1" s="1"/>
  <c r="BA227" i="1"/>
  <c r="BB227" i="1" s="1"/>
  <c r="BC227" i="1" s="1"/>
  <c r="BD227" i="1" s="1"/>
  <c r="AS227" i="1"/>
  <c r="AT227" i="1" s="1"/>
  <c r="AU227" i="1" s="1"/>
  <c r="AV227" i="1" s="1"/>
  <c r="AW227" i="1" s="1"/>
  <c r="AX227" i="1" s="1"/>
  <c r="AN227" i="1"/>
  <c r="AO227" i="1" s="1"/>
  <c r="AP227" i="1" s="1"/>
  <c r="AQ227" i="1" s="1"/>
  <c r="AG227" i="1"/>
  <c r="AF227" i="1"/>
  <c r="AB227" i="1"/>
  <c r="AC227" i="1" s="1"/>
  <c r="AD227" i="1" s="1"/>
  <c r="AE227" i="1" s="1"/>
  <c r="CP281" i="1"/>
  <c r="CQ281" i="1" s="1"/>
  <c r="CR281" i="1" s="1"/>
  <c r="CM281" i="1"/>
  <c r="CN281" i="1" s="1"/>
  <c r="CC281" i="1"/>
  <c r="CD281" i="1" s="1"/>
  <c r="CE281" i="1" s="1"/>
  <c r="BV281" i="1"/>
  <c r="BU281" i="1"/>
  <c r="BP281" i="1"/>
  <c r="BQ281" i="1" s="1"/>
  <c r="BR281" i="1" s="1"/>
  <c r="BJ281" i="1"/>
  <c r="BH281" i="1"/>
  <c r="BI281" i="1" s="1"/>
  <c r="BA281" i="1"/>
  <c r="BB281" i="1" s="1"/>
  <c r="BC281" i="1" s="1"/>
  <c r="BD281" i="1" s="1"/>
  <c r="AS281" i="1"/>
  <c r="AT281" i="1" s="1"/>
  <c r="AU281" i="1" s="1"/>
  <c r="AV281" i="1" s="1"/>
  <c r="AW281" i="1" s="1"/>
  <c r="AX281" i="1" s="1"/>
  <c r="AN281" i="1"/>
  <c r="AO281" i="1" s="1"/>
  <c r="AP281" i="1" s="1"/>
  <c r="AQ281" i="1" s="1"/>
  <c r="V281" i="1"/>
  <c r="CP87" i="1"/>
  <c r="CQ87" i="1" s="1"/>
  <c r="CR87" i="1" s="1"/>
  <c r="CM87" i="1"/>
  <c r="CN87" i="1" s="1"/>
  <c r="CC87" i="1"/>
  <c r="CD87" i="1" s="1"/>
  <c r="CE87" i="1" s="1"/>
  <c r="BV87" i="1"/>
  <c r="BU87" i="1"/>
  <c r="BP87" i="1"/>
  <c r="BQ87" i="1" s="1"/>
  <c r="BR87" i="1" s="1"/>
  <c r="BJ87" i="1"/>
  <c r="BH87" i="1"/>
  <c r="BI87" i="1" s="1"/>
  <c r="BA87" i="1"/>
  <c r="BB87" i="1" s="1"/>
  <c r="BC87" i="1" s="1"/>
  <c r="BD87" i="1" s="1"/>
  <c r="AS87" i="1"/>
  <c r="AT87" i="1" s="1"/>
  <c r="AU87" i="1" s="1"/>
  <c r="AV87" i="1" s="1"/>
  <c r="AW87" i="1" s="1"/>
  <c r="AX87" i="1" s="1"/>
  <c r="AN87" i="1"/>
  <c r="AO87" i="1" s="1"/>
  <c r="AP87" i="1" s="1"/>
  <c r="AQ87" i="1" s="1"/>
  <c r="AG87" i="1"/>
  <c r="AF87" i="1"/>
  <c r="V87" i="1"/>
  <c r="AB87" i="1" s="1"/>
  <c r="AC87" i="1" s="1"/>
  <c r="AD87" i="1" s="1"/>
  <c r="AE87" i="1" s="1"/>
  <c r="CP201" i="1"/>
  <c r="CQ201" i="1" s="1"/>
  <c r="CR201" i="1" s="1"/>
  <c r="CM201" i="1"/>
  <c r="CN201" i="1" s="1"/>
  <c r="CC201" i="1"/>
  <c r="CD201" i="1" s="1"/>
  <c r="CE201" i="1" s="1"/>
  <c r="BU201" i="1"/>
  <c r="BV201" i="1" s="1"/>
  <c r="BP201" i="1"/>
  <c r="BQ201" i="1" s="1"/>
  <c r="BR201" i="1" s="1"/>
  <c r="BJ201" i="1"/>
  <c r="BH201" i="1"/>
  <c r="BI201" i="1" s="1"/>
  <c r="BA201" i="1"/>
  <c r="BB201" i="1" s="1"/>
  <c r="BC201" i="1" s="1"/>
  <c r="BD201" i="1" s="1"/>
  <c r="AS201" i="1"/>
  <c r="AT201" i="1" s="1"/>
  <c r="AU201" i="1" s="1"/>
  <c r="AV201" i="1" s="1"/>
  <c r="AW201" i="1" s="1"/>
  <c r="AX201" i="1" s="1"/>
  <c r="AN201" i="1"/>
  <c r="AO201" i="1" s="1"/>
  <c r="AP201" i="1" s="1"/>
  <c r="AQ201" i="1" s="1"/>
  <c r="Z201" i="1"/>
  <c r="V201" i="1"/>
  <c r="AB201" i="1" s="1"/>
  <c r="AC201" i="1" s="1"/>
  <c r="AD201" i="1" s="1"/>
  <c r="AE201" i="1" s="1"/>
  <c r="CP128" i="1"/>
  <c r="CQ128" i="1" s="1"/>
  <c r="CR128" i="1" s="1"/>
  <c r="CM128" i="1"/>
  <c r="CN128" i="1" s="1"/>
  <c r="CC128" i="1"/>
  <c r="CD128" i="1" s="1"/>
  <c r="CE128" i="1" s="1"/>
  <c r="BU128" i="1"/>
  <c r="BV128" i="1" s="1"/>
  <c r="BP128" i="1"/>
  <c r="BQ128" i="1" s="1"/>
  <c r="BR128" i="1" s="1"/>
  <c r="BJ128" i="1"/>
  <c r="BH128" i="1"/>
  <c r="BI128" i="1" s="1"/>
  <c r="BA128" i="1"/>
  <c r="BB128" i="1" s="1"/>
  <c r="BC128" i="1" s="1"/>
  <c r="BD128" i="1" s="1"/>
  <c r="AZ128" i="1"/>
  <c r="AT128" i="1"/>
  <c r="AU128" i="1" s="1"/>
  <c r="AV128" i="1" s="1"/>
  <c r="AW128" i="1" s="1"/>
  <c r="AX128" i="1" s="1"/>
  <c r="AS128" i="1"/>
  <c r="AN128" i="1"/>
  <c r="AO128" i="1" s="1"/>
  <c r="AP128" i="1" s="1"/>
  <c r="AQ128" i="1" s="1"/>
  <c r="AA128" i="1"/>
  <c r="Z128" i="1"/>
  <c r="AB128" i="1" s="1"/>
  <c r="AC128" i="1" s="1"/>
  <c r="AD128" i="1" s="1"/>
  <c r="AE128" i="1" s="1"/>
  <c r="W128" i="1"/>
  <c r="V128" i="1"/>
  <c r="U128" i="1"/>
  <c r="CP90" i="1"/>
  <c r="CQ90" i="1" s="1"/>
  <c r="CR90" i="1" s="1"/>
  <c r="CM90" i="1"/>
  <c r="CN90" i="1" s="1"/>
  <c r="CC90" i="1"/>
  <c r="CD90" i="1" s="1"/>
  <c r="CE90" i="1" s="1"/>
  <c r="BU90" i="1"/>
  <c r="BV90" i="1" s="1"/>
  <c r="BP90" i="1"/>
  <c r="BQ90" i="1" s="1"/>
  <c r="BR90" i="1" s="1"/>
  <c r="BJ90" i="1"/>
  <c r="BH90" i="1"/>
  <c r="BI90" i="1" s="1"/>
  <c r="BA90" i="1"/>
  <c r="BB90" i="1" s="1"/>
  <c r="BC90" i="1" s="1"/>
  <c r="BD90" i="1" s="1"/>
  <c r="AS90" i="1"/>
  <c r="AT90" i="1" s="1"/>
  <c r="AU90" i="1" s="1"/>
  <c r="AV90" i="1" s="1"/>
  <c r="AW90" i="1" s="1"/>
  <c r="AX90" i="1" s="1"/>
  <c r="AN90" i="1"/>
  <c r="AO90" i="1" s="1"/>
  <c r="AP90" i="1" s="1"/>
  <c r="AQ90" i="1" s="1"/>
  <c r="AG90" i="1"/>
  <c r="W90" i="1"/>
  <c r="V90" i="1"/>
  <c r="AB90" i="1" s="1"/>
  <c r="AC90" i="1" s="1"/>
  <c r="AD90" i="1" s="1"/>
  <c r="AE90" i="1" s="1"/>
  <c r="CP172" i="1"/>
  <c r="CQ172" i="1" s="1"/>
  <c r="CR172" i="1" s="1"/>
  <c r="CM172" i="1"/>
  <c r="CN172" i="1" s="1"/>
  <c r="CC172" i="1"/>
  <c r="CD172" i="1" s="1"/>
  <c r="CE172" i="1" s="1"/>
  <c r="BU172" i="1"/>
  <c r="BV172" i="1" s="1"/>
  <c r="BO172" i="1"/>
  <c r="BP172" i="1" s="1"/>
  <c r="BQ172" i="1" s="1"/>
  <c r="BR172" i="1" s="1"/>
  <c r="BJ172" i="1"/>
  <c r="BH172" i="1"/>
  <c r="BI172" i="1" s="1"/>
  <c r="BB172" i="1"/>
  <c r="BC172" i="1" s="1"/>
  <c r="BD172" i="1" s="1"/>
  <c r="BA172" i="1"/>
  <c r="AZ172" i="1"/>
  <c r="AS172" i="1"/>
  <c r="AT172" i="1" s="1"/>
  <c r="AU172" i="1" s="1"/>
  <c r="AV172" i="1" s="1"/>
  <c r="AW172" i="1" s="1"/>
  <c r="AX172" i="1" s="1"/>
  <c r="AO172" i="1"/>
  <c r="AP172" i="1" s="1"/>
  <c r="AQ172" i="1" s="1"/>
  <c r="AN172" i="1"/>
  <c r="W172" i="1"/>
  <c r="U172" i="1"/>
  <c r="AF172" i="1" s="1"/>
  <c r="CP204" i="1"/>
  <c r="CQ204" i="1" s="1"/>
  <c r="CR204" i="1" s="1"/>
  <c r="CO204" i="1"/>
  <c r="CM204" i="1"/>
  <c r="CN204" i="1" s="1"/>
  <c r="CC204" i="1"/>
  <c r="CD204" i="1" s="1"/>
  <c r="CE204" i="1" s="1"/>
  <c r="BU204" i="1"/>
  <c r="BV204" i="1" s="1"/>
  <c r="BO204" i="1"/>
  <c r="BP204" i="1" s="1"/>
  <c r="BQ204" i="1" s="1"/>
  <c r="BR204" i="1" s="1"/>
  <c r="BJ204" i="1"/>
  <c r="BH204" i="1"/>
  <c r="BI204" i="1" s="1"/>
  <c r="BA204" i="1"/>
  <c r="AZ204" i="1"/>
  <c r="AS204" i="1"/>
  <c r="AT204" i="1" s="1"/>
  <c r="AU204" i="1" s="1"/>
  <c r="AV204" i="1" s="1"/>
  <c r="AW204" i="1" s="1"/>
  <c r="AX204" i="1" s="1"/>
  <c r="AN204" i="1"/>
  <c r="AO204" i="1" s="1"/>
  <c r="AP204" i="1" s="1"/>
  <c r="AQ204" i="1" s="1"/>
  <c r="W204" i="1"/>
  <c r="V204" i="1"/>
  <c r="CP72" i="1"/>
  <c r="CQ72" i="1" s="1"/>
  <c r="CR72" i="1" s="1"/>
  <c r="CM72" i="1"/>
  <c r="CN72" i="1" s="1"/>
  <c r="CC72" i="1"/>
  <c r="CD72" i="1" s="1"/>
  <c r="CE72" i="1" s="1"/>
  <c r="BU72" i="1"/>
  <c r="BV72" i="1" s="1"/>
  <c r="BO72" i="1"/>
  <c r="BP72" i="1" s="1"/>
  <c r="BQ72" i="1" s="1"/>
  <c r="BR72" i="1" s="1"/>
  <c r="BJ72" i="1"/>
  <c r="BH72" i="1"/>
  <c r="BI72" i="1" s="1"/>
  <c r="BA72" i="1"/>
  <c r="AZ72" i="1"/>
  <c r="AS72" i="1"/>
  <c r="AT72" i="1" s="1"/>
  <c r="AU72" i="1" s="1"/>
  <c r="AV72" i="1" s="1"/>
  <c r="AW72" i="1" s="1"/>
  <c r="AX72" i="1" s="1"/>
  <c r="AN72" i="1"/>
  <c r="AO72" i="1" s="1"/>
  <c r="AP72" i="1" s="1"/>
  <c r="AQ72" i="1" s="1"/>
  <c r="AF72" i="1"/>
  <c r="AB72" i="1"/>
  <c r="AC72" i="1" s="1"/>
  <c r="AD72" i="1" s="1"/>
  <c r="AE72" i="1" s="1"/>
  <c r="W72" i="1"/>
  <c r="AG72" i="1" s="1"/>
  <c r="CP147" i="1"/>
  <c r="CQ147" i="1" s="1"/>
  <c r="CR147" i="1" s="1"/>
  <c r="CM147" i="1"/>
  <c r="CN147" i="1" s="1"/>
  <c r="CC147" i="1"/>
  <c r="CD147" i="1" s="1"/>
  <c r="CE147" i="1" s="1"/>
  <c r="BU147" i="1"/>
  <c r="BV147" i="1" s="1"/>
  <c r="BP147" i="1"/>
  <c r="BQ147" i="1" s="1"/>
  <c r="BR147" i="1" s="1"/>
  <c r="BJ147" i="1"/>
  <c r="BH147" i="1"/>
  <c r="BI147" i="1" s="1"/>
  <c r="BA147" i="1"/>
  <c r="BB147" i="1" s="1"/>
  <c r="BC147" i="1" s="1"/>
  <c r="BD147" i="1" s="1"/>
  <c r="AS147" i="1"/>
  <c r="AT147" i="1" s="1"/>
  <c r="AU147" i="1" s="1"/>
  <c r="AV147" i="1" s="1"/>
  <c r="AW147" i="1" s="1"/>
  <c r="AX147" i="1" s="1"/>
  <c r="AO147" i="1"/>
  <c r="AP147" i="1" s="1"/>
  <c r="AQ147" i="1" s="1"/>
  <c r="AN147" i="1"/>
  <c r="AF147" i="1"/>
  <c r="AB147" i="1"/>
  <c r="AC147" i="1" s="1"/>
  <c r="AD147" i="1" s="1"/>
  <c r="AE147" i="1" s="1"/>
  <c r="W147" i="1"/>
  <c r="AG147" i="1" s="1"/>
  <c r="CO205" i="1"/>
  <c r="CP205" i="1" s="1"/>
  <c r="CQ205" i="1" s="1"/>
  <c r="CR205" i="1" s="1"/>
  <c r="CM205" i="1"/>
  <c r="CN205" i="1" s="1"/>
  <c r="CC205" i="1"/>
  <c r="CD205" i="1" s="1"/>
  <c r="CE205" i="1" s="1"/>
  <c r="BU205" i="1"/>
  <c r="BV205" i="1" s="1"/>
  <c r="BP205" i="1"/>
  <c r="BQ205" i="1" s="1"/>
  <c r="BR205" i="1" s="1"/>
  <c r="BJ205" i="1"/>
  <c r="BH205" i="1"/>
  <c r="BI205" i="1" s="1"/>
  <c r="BA205" i="1"/>
  <c r="AZ205" i="1"/>
  <c r="AS205" i="1"/>
  <c r="AT205" i="1" s="1"/>
  <c r="AU205" i="1" s="1"/>
  <c r="AV205" i="1" s="1"/>
  <c r="AW205" i="1" s="1"/>
  <c r="AX205" i="1" s="1"/>
  <c r="AN205" i="1"/>
  <c r="AO205" i="1" s="1"/>
  <c r="AP205" i="1" s="1"/>
  <c r="AQ205" i="1" s="1"/>
  <c r="W205" i="1"/>
  <c r="V205" i="1"/>
  <c r="U205" i="1"/>
  <c r="CO264" i="1"/>
  <c r="CP264" i="1" s="1"/>
  <c r="CQ264" i="1" s="1"/>
  <c r="CR264" i="1" s="1"/>
  <c r="CM264" i="1"/>
  <c r="CN264" i="1" s="1"/>
  <c r="CC264" i="1"/>
  <c r="CD264" i="1" s="1"/>
  <c r="CE264" i="1" s="1"/>
  <c r="BU264" i="1"/>
  <c r="BV264" i="1" s="1"/>
  <c r="BP264" i="1"/>
  <c r="BQ264" i="1" s="1"/>
  <c r="BR264" i="1" s="1"/>
  <c r="BJ264" i="1"/>
  <c r="BH264" i="1"/>
  <c r="BI264" i="1" s="1"/>
  <c r="BA264" i="1"/>
  <c r="BB264" i="1" s="1"/>
  <c r="BC264" i="1" s="1"/>
  <c r="BD264" i="1" s="1"/>
  <c r="AS264" i="1"/>
  <c r="AT264" i="1" s="1"/>
  <c r="AU264" i="1" s="1"/>
  <c r="AV264" i="1" s="1"/>
  <c r="AW264" i="1" s="1"/>
  <c r="AX264" i="1" s="1"/>
  <c r="AN264" i="1"/>
  <c r="AO264" i="1" s="1"/>
  <c r="AP264" i="1" s="1"/>
  <c r="AQ264" i="1" s="1"/>
  <c r="V264" i="1"/>
  <c r="AB264" i="1" s="1"/>
  <c r="AC264" i="1" s="1"/>
  <c r="AD264" i="1" s="1"/>
  <c r="AE264" i="1" s="1"/>
  <c r="CQ168" i="1"/>
  <c r="CR168" i="1" s="1"/>
  <c r="CP168" i="1"/>
  <c r="CN168" i="1"/>
  <c r="CM168" i="1"/>
  <c r="CC168" i="1"/>
  <c r="CD168" i="1" s="1"/>
  <c r="CE168" i="1" s="1"/>
  <c r="BU168" i="1"/>
  <c r="BV168" i="1" s="1"/>
  <c r="BP168" i="1"/>
  <c r="BQ168" i="1" s="1"/>
  <c r="BR168" i="1" s="1"/>
  <c r="BJ168" i="1"/>
  <c r="BH168" i="1"/>
  <c r="BI168" i="1" s="1"/>
  <c r="BA168" i="1"/>
  <c r="AZ168" i="1"/>
  <c r="AS168" i="1"/>
  <c r="AT168" i="1" s="1"/>
  <c r="AU168" i="1" s="1"/>
  <c r="AV168" i="1" s="1"/>
  <c r="AW168" i="1" s="1"/>
  <c r="AX168" i="1" s="1"/>
  <c r="AN168" i="1"/>
  <c r="AO168" i="1" s="1"/>
  <c r="AP168" i="1" s="1"/>
  <c r="AQ168" i="1" s="1"/>
  <c r="AF168" i="1"/>
  <c r="W168" i="1"/>
  <c r="AB168" i="1" s="1"/>
  <c r="AC168" i="1" s="1"/>
  <c r="AD168" i="1" s="1"/>
  <c r="AE168" i="1" s="1"/>
  <c r="V168" i="1"/>
  <c r="CP29" i="1"/>
  <c r="CQ29" i="1" s="1"/>
  <c r="CR29" i="1" s="1"/>
  <c r="CN29" i="1"/>
  <c r="CM29" i="1"/>
  <c r="CC29" i="1"/>
  <c r="CD29" i="1" s="1"/>
  <c r="CE29" i="1" s="1"/>
  <c r="BU29" i="1"/>
  <c r="BV29" i="1" s="1"/>
  <c r="BP29" i="1"/>
  <c r="BQ29" i="1" s="1"/>
  <c r="BR29" i="1" s="1"/>
  <c r="BJ29" i="1"/>
  <c r="BH29" i="1"/>
  <c r="BI29" i="1" s="1"/>
  <c r="BA29" i="1"/>
  <c r="BB29" i="1" s="1"/>
  <c r="BC29" i="1" s="1"/>
  <c r="BD29" i="1" s="1"/>
  <c r="AS29" i="1"/>
  <c r="AT29" i="1" s="1"/>
  <c r="AU29" i="1" s="1"/>
  <c r="AV29" i="1" s="1"/>
  <c r="AW29" i="1" s="1"/>
  <c r="AX29" i="1" s="1"/>
  <c r="AN29" i="1"/>
  <c r="AO29" i="1" s="1"/>
  <c r="AP29" i="1" s="1"/>
  <c r="AQ29" i="1" s="1"/>
  <c r="AF29" i="1"/>
  <c r="W29" i="1"/>
  <c r="V29" i="1"/>
  <c r="CO45" i="1"/>
  <c r="CP45" i="1" s="1"/>
  <c r="CQ45" i="1" s="1"/>
  <c r="CR45" i="1" s="1"/>
  <c r="CM45" i="1"/>
  <c r="CN45" i="1" s="1"/>
  <c r="CC45" i="1"/>
  <c r="CD45" i="1" s="1"/>
  <c r="CE45" i="1" s="1"/>
  <c r="BU45" i="1"/>
  <c r="BV45" i="1" s="1"/>
  <c r="BP45" i="1"/>
  <c r="BQ45" i="1" s="1"/>
  <c r="BR45" i="1" s="1"/>
  <c r="BJ45" i="1"/>
  <c r="BH45" i="1"/>
  <c r="BI45" i="1" s="1"/>
  <c r="BA45" i="1"/>
  <c r="BB45" i="1" s="1"/>
  <c r="BC45" i="1" s="1"/>
  <c r="BD45" i="1" s="1"/>
  <c r="AS45" i="1"/>
  <c r="AT45" i="1" s="1"/>
  <c r="AU45" i="1" s="1"/>
  <c r="AV45" i="1" s="1"/>
  <c r="AW45" i="1" s="1"/>
  <c r="AX45" i="1" s="1"/>
  <c r="AN45" i="1"/>
  <c r="AO45" i="1" s="1"/>
  <c r="AP45" i="1" s="1"/>
  <c r="AQ45" i="1" s="1"/>
  <c r="AB45" i="1"/>
  <c r="AC45" i="1" s="1"/>
  <c r="AD45" i="1" s="1"/>
  <c r="AE45" i="1" s="1"/>
  <c r="V45" i="1"/>
  <c r="U45" i="1"/>
  <c r="CP144" i="1"/>
  <c r="CQ144" i="1" s="1"/>
  <c r="CR144" i="1" s="1"/>
  <c r="CO144" i="1"/>
  <c r="CM144" i="1"/>
  <c r="CN144" i="1" s="1"/>
  <c r="CC144" i="1"/>
  <c r="CD144" i="1" s="1"/>
  <c r="CE144" i="1" s="1"/>
  <c r="BU144" i="1"/>
  <c r="BV144" i="1" s="1"/>
  <c r="BP144" i="1"/>
  <c r="BQ144" i="1" s="1"/>
  <c r="BR144" i="1" s="1"/>
  <c r="BJ144" i="1"/>
  <c r="BH144" i="1"/>
  <c r="BI144" i="1" s="1"/>
  <c r="BA144" i="1"/>
  <c r="BB144" i="1" s="1"/>
  <c r="BC144" i="1" s="1"/>
  <c r="BD144" i="1" s="1"/>
  <c r="AS144" i="1"/>
  <c r="AT144" i="1" s="1"/>
  <c r="AU144" i="1" s="1"/>
  <c r="AV144" i="1" s="1"/>
  <c r="AW144" i="1" s="1"/>
  <c r="AX144" i="1" s="1"/>
  <c r="AN144" i="1"/>
  <c r="AO144" i="1" s="1"/>
  <c r="AP144" i="1" s="1"/>
  <c r="AQ144" i="1" s="1"/>
  <c r="AG144" i="1"/>
  <c r="AF144" i="1"/>
  <c r="AB144" i="1"/>
  <c r="AC144" i="1" s="1"/>
  <c r="AD144" i="1" s="1"/>
  <c r="AE144" i="1" s="1"/>
  <c r="CP78" i="1"/>
  <c r="CQ78" i="1" s="1"/>
  <c r="CR78" i="1" s="1"/>
  <c r="CM78" i="1"/>
  <c r="CN78" i="1" s="1"/>
  <c r="CC78" i="1"/>
  <c r="CD78" i="1" s="1"/>
  <c r="CE78" i="1" s="1"/>
  <c r="BU78" i="1"/>
  <c r="BV78" i="1" s="1"/>
  <c r="BP78" i="1"/>
  <c r="BQ78" i="1" s="1"/>
  <c r="BR78" i="1" s="1"/>
  <c r="BJ78" i="1"/>
  <c r="BH78" i="1"/>
  <c r="BI78" i="1" s="1"/>
  <c r="BA78" i="1"/>
  <c r="AZ78" i="1"/>
  <c r="BB78" i="1" s="1"/>
  <c r="BC78" i="1" s="1"/>
  <c r="BD78" i="1" s="1"/>
  <c r="AS78" i="1"/>
  <c r="AT78" i="1" s="1"/>
  <c r="AU78" i="1" s="1"/>
  <c r="AV78" i="1" s="1"/>
  <c r="AW78" i="1" s="1"/>
  <c r="AX78" i="1" s="1"/>
  <c r="AN78" i="1"/>
  <c r="AO78" i="1" s="1"/>
  <c r="AP78" i="1" s="1"/>
  <c r="AQ78" i="1" s="1"/>
  <c r="AF78" i="1"/>
  <c r="W78" i="1"/>
  <c r="CP298" i="1"/>
  <c r="CQ298" i="1" s="1"/>
  <c r="CR298" i="1" s="1"/>
  <c r="CM298" i="1"/>
  <c r="CN298" i="1" s="1"/>
  <c r="CC298" i="1"/>
  <c r="CD298" i="1" s="1"/>
  <c r="CE298" i="1" s="1"/>
  <c r="BU298" i="1"/>
  <c r="BV298" i="1" s="1"/>
  <c r="BP298" i="1"/>
  <c r="BQ298" i="1" s="1"/>
  <c r="BR298" i="1" s="1"/>
  <c r="BJ298" i="1"/>
  <c r="BH298" i="1"/>
  <c r="BI298" i="1" s="1"/>
  <c r="BA298" i="1"/>
  <c r="BB298" i="1" s="1"/>
  <c r="BC298" i="1" s="1"/>
  <c r="BD298" i="1" s="1"/>
  <c r="AU298" i="1"/>
  <c r="AV298" i="1" s="1"/>
  <c r="AW298" i="1" s="1"/>
  <c r="AX298" i="1" s="1"/>
  <c r="AS298" i="1"/>
  <c r="AT298" i="1" s="1"/>
  <c r="AN298" i="1"/>
  <c r="AO298" i="1" s="1"/>
  <c r="AP298" i="1" s="1"/>
  <c r="AQ298" i="1" s="1"/>
  <c r="W298" i="1"/>
  <c r="V298" i="1"/>
  <c r="AG298" i="1" s="1"/>
  <c r="CP299" i="1"/>
  <c r="CQ299" i="1" s="1"/>
  <c r="CR299" i="1" s="1"/>
  <c r="CM299" i="1"/>
  <c r="CN299" i="1" s="1"/>
  <c r="CC299" i="1"/>
  <c r="CD299" i="1" s="1"/>
  <c r="CE299" i="1" s="1"/>
  <c r="BU299" i="1"/>
  <c r="BV299" i="1" s="1"/>
  <c r="BP299" i="1"/>
  <c r="BQ299" i="1" s="1"/>
  <c r="BR299" i="1" s="1"/>
  <c r="BJ299" i="1"/>
  <c r="BH299" i="1"/>
  <c r="BI299" i="1" s="1"/>
  <c r="BA299" i="1"/>
  <c r="AZ299" i="1"/>
  <c r="AS299" i="1"/>
  <c r="AT299" i="1" s="1"/>
  <c r="AU299" i="1" s="1"/>
  <c r="AV299" i="1" s="1"/>
  <c r="AW299" i="1" s="1"/>
  <c r="AX299" i="1" s="1"/>
  <c r="AN299" i="1"/>
  <c r="AO299" i="1" s="1"/>
  <c r="AP299" i="1" s="1"/>
  <c r="AQ299" i="1" s="1"/>
  <c r="W299" i="1"/>
  <c r="V299" i="1"/>
  <c r="U299" i="1"/>
  <c r="CP316" i="1"/>
  <c r="CQ316" i="1" s="1"/>
  <c r="CR316" i="1" s="1"/>
  <c r="CM316" i="1"/>
  <c r="CN316" i="1" s="1"/>
  <c r="CC316" i="1"/>
  <c r="CD316" i="1" s="1"/>
  <c r="CE316" i="1" s="1"/>
  <c r="BU316" i="1"/>
  <c r="BV316" i="1" s="1"/>
  <c r="BP316" i="1"/>
  <c r="BQ316" i="1" s="1"/>
  <c r="BR316" i="1" s="1"/>
  <c r="BJ316" i="1"/>
  <c r="BH316" i="1"/>
  <c r="BI316" i="1" s="1"/>
  <c r="BA316" i="1"/>
  <c r="BB316" i="1" s="1"/>
  <c r="BC316" i="1" s="1"/>
  <c r="BD316" i="1" s="1"/>
  <c r="AS316" i="1"/>
  <c r="AT316" i="1" s="1"/>
  <c r="AU316" i="1" s="1"/>
  <c r="AV316" i="1" s="1"/>
  <c r="AW316" i="1" s="1"/>
  <c r="AX316" i="1" s="1"/>
  <c r="AN316" i="1"/>
  <c r="AO316" i="1" s="1"/>
  <c r="AP316" i="1" s="1"/>
  <c r="AQ316" i="1" s="1"/>
  <c r="AG316" i="1"/>
  <c r="AF316" i="1"/>
  <c r="AB316" i="1"/>
  <c r="AC316" i="1" s="1"/>
  <c r="AD316" i="1" s="1"/>
  <c r="AE316" i="1" s="1"/>
  <c r="CO286" i="1"/>
  <c r="CP286" i="1" s="1"/>
  <c r="CQ286" i="1" s="1"/>
  <c r="CR286" i="1" s="1"/>
  <c r="CM286" i="1"/>
  <c r="CN286" i="1" s="1"/>
  <c r="CC286" i="1"/>
  <c r="CD286" i="1" s="1"/>
  <c r="CE286" i="1" s="1"/>
  <c r="BU286" i="1"/>
  <c r="BV286" i="1" s="1"/>
  <c r="BP286" i="1"/>
  <c r="BQ286" i="1" s="1"/>
  <c r="BR286" i="1" s="1"/>
  <c r="BJ286" i="1"/>
  <c r="BH286" i="1"/>
  <c r="BI286" i="1" s="1"/>
  <c r="BA286" i="1"/>
  <c r="BB286" i="1" s="1"/>
  <c r="BC286" i="1" s="1"/>
  <c r="BD286" i="1" s="1"/>
  <c r="AS286" i="1"/>
  <c r="AT286" i="1" s="1"/>
  <c r="AU286" i="1" s="1"/>
  <c r="AV286" i="1" s="1"/>
  <c r="AW286" i="1" s="1"/>
  <c r="AX286" i="1" s="1"/>
  <c r="AN286" i="1"/>
  <c r="AO286" i="1" s="1"/>
  <c r="AP286" i="1" s="1"/>
  <c r="AQ286" i="1" s="1"/>
  <c r="AA286" i="1"/>
  <c r="Z286" i="1"/>
  <c r="V286" i="1"/>
  <c r="CO212" i="1"/>
  <c r="CP212" i="1" s="1"/>
  <c r="CQ212" i="1" s="1"/>
  <c r="CR212" i="1" s="1"/>
  <c r="CM212" i="1"/>
  <c r="CN212" i="1" s="1"/>
  <c r="CC212" i="1"/>
  <c r="CD212" i="1" s="1"/>
  <c r="CE212" i="1" s="1"/>
  <c r="BU212" i="1"/>
  <c r="BV212" i="1" s="1"/>
  <c r="BP212" i="1"/>
  <c r="BQ212" i="1" s="1"/>
  <c r="BR212" i="1" s="1"/>
  <c r="BJ212" i="1"/>
  <c r="BH212" i="1"/>
  <c r="BI212" i="1" s="1"/>
  <c r="BA212" i="1"/>
  <c r="BB212" i="1" s="1"/>
  <c r="BC212" i="1" s="1"/>
  <c r="BD212" i="1" s="1"/>
  <c r="AS212" i="1"/>
  <c r="AT212" i="1" s="1"/>
  <c r="AU212" i="1" s="1"/>
  <c r="AV212" i="1" s="1"/>
  <c r="AW212" i="1" s="1"/>
  <c r="AX212" i="1" s="1"/>
  <c r="AN212" i="1"/>
  <c r="AO212" i="1" s="1"/>
  <c r="AP212" i="1" s="1"/>
  <c r="AQ212" i="1" s="1"/>
  <c r="AG212" i="1"/>
  <c r="AF212" i="1"/>
  <c r="AB212" i="1"/>
  <c r="AC212" i="1" s="1"/>
  <c r="AD212" i="1" s="1"/>
  <c r="AE212" i="1" s="1"/>
  <c r="CP22" i="1"/>
  <c r="CQ22" i="1" s="1"/>
  <c r="CR22" i="1" s="1"/>
  <c r="CM22" i="1"/>
  <c r="CN22" i="1" s="1"/>
  <c r="CI22" i="1"/>
  <c r="CJ22" i="1" s="1"/>
  <c r="BU22" i="1"/>
  <c r="BV22" i="1" s="1"/>
  <c r="BP22" i="1"/>
  <c r="BQ22" i="1" s="1"/>
  <c r="BR22" i="1" s="1"/>
  <c r="BJ22" i="1"/>
  <c r="BH22" i="1"/>
  <c r="BI22" i="1" s="1"/>
  <c r="BA22" i="1"/>
  <c r="BB22" i="1" s="1"/>
  <c r="BC22" i="1" s="1"/>
  <c r="BD22" i="1" s="1"/>
  <c r="AZ22" i="1"/>
  <c r="AS22" i="1"/>
  <c r="AT22" i="1" s="1"/>
  <c r="AU22" i="1" s="1"/>
  <c r="AV22" i="1" s="1"/>
  <c r="AW22" i="1" s="1"/>
  <c r="AX22" i="1" s="1"/>
  <c r="AO22" i="1"/>
  <c r="AP22" i="1" s="1"/>
  <c r="AQ22" i="1" s="1"/>
  <c r="AN22" i="1"/>
  <c r="AF22" i="1"/>
  <c r="W22" i="1"/>
  <c r="CP94" i="1"/>
  <c r="CQ94" i="1" s="1"/>
  <c r="CR94" i="1" s="1"/>
  <c r="CM94" i="1"/>
  <c r="CN94" i="1" s="1"/>
  <c r="CC94" i="1"/>
  <c r="CD94" i="1" s="1"/>
  <c r="CE94" i="1" s="1"/>
  <c r="BU94" i="1"/>
  <c r="BV94" i="1" s="1"/>
  <c r="BP94" i="1"/>
  <c r="BQ94" i="1" s="1"/>
  <c r="BR94" i="1" s="1"/>
  <c r="BJ94" i="1"/>
  <c r="BI94" i="1"/>
  <c r="BH94" i="1"/>
  <c r="BA94" i="1"/>
  <c r="BB94" i="1" s="1"/>
  <c r="BC94" i="1" s="1"/>
  <c r="BD94" i="1" s="1"/>
  <c r="AS94" i="1"/>
  <c r="AT94" i="1" s="1"/>
  <c r="AU94" i="1" s="1"/>
  <c r="AV94" i="1" s="1"/>
  <c r="AW94" i="1" s="1"/>
  <c r="AX94" i="1" s="1"/>
  <c r="AN94" i="1"/>
  <c r="AO94" i="1" s="1"/>
  <c r="AP94" i="1" s="1"/>
  <c r="AQ94" i="1" s="1"/>
  <c r="W94" i="1"/>
  <c r="AB94" i="1" s="1"/>
  <c r="AC94" i="1" s="1"/>
  <c r="AD94" i="1" s="1"/>
  <c r="AE94" i="1" s="1"/>
  <c r="V94" i="1"/>
  <c r="AF94" i="1" s="1"/>
  <c r="CQ110" i="1"/>
  <c r="CR110" i="1" s="1"/>
  <c r="CP110" i="1"/>
  <c r="CM110" i="1"/>
  <c r="CN110" i="1" s="1"/>
  <c r="CC110" i="1"/>
  <c r="CD110" i="1" s="1"/>
  <c r="CE110" i="1" s="1"/>
  <c r="BU110" i="1"/>
  <c r="BV110" i="1" s="1"/>
  <c r="BP110" i="1"/>
  <c r="BQ110" i="1" s="1"/>
  <c r="BR110" i="1" s="1"/>
  <c r="BJ110" i="1"/>
  <c r="BH110" i="1"/>
  <c r="BI110" i="1" s="1"/>
  <c r="BA110" i="1"/>
  <c r="BB110" i="1" s="1"/>
  <c r="BC110" i="1" s="1"/>
  <c r="BD110" i="1" s="1"/>
  <c r="AS110" i="1"/>
  <c r="AT110" i="1" s="1"/>
  <c r="AU110" i="1" s="1"/>
  <c r="AV110" i="1" s="1"/>
  <c r="AW110" i="1" s="1"/>
  <c r="AX110" i="1" s="1"/>
  <c r="AN110" i="1"/>
  <c r="AO110" i="1" s="1"/>
  <c r="AP110" i="1" s="1"/>
  <c r="AQ110" i="1" s="1"/>
  <c r="AF110" i="1"/>
  <c r="AB110" i="1"/>
  <c r="AC110" i="1" s="1"/>
  <c r="AD110" i="1" s="1"/>
  <c r="AE110" i="1" s="1"/>
  <c r="V110" i="1"/>
  <c r="U110" i="1"/>
  <c r="AG110" i="1" s="1"/>
  <c r="CP142" i="1"/>
  <c r="CQ142" i="1" s="1"/>
  <c r="CR142" i="1" s="1"/>
  <c r="CM142" i="1"/>
  <c r="CN142" i="1" s="1"/>
  <c r="CD142" i="1"/>
  <c r="CE142" i="1" s="1"/>
  <c r="CC142" i="1"/>
  <c r="BU142" i="1"/>
  <c r="BV142" i="1" s="1"/>
  <c r="BQ142" i="1"/>
  <c r="BR142" i="1" s="1"/>
  <c r="BP142" i="1"/>
  <c r="BJ142" i="1"/>
  <c r="BH142" i="1"/>
  <c r="BI142" i="1" s="1"/>
  <c r="BA142" i="1"/>
  <c r="AZ142" i="1"/>
  <c r="AS142" i="1"/>
  <c r="AT142" i="1" s="1"/>
  <c r="AU142" i="1" s="1"/>
  <c r="AV142" i="1" s="1"/>
  <c r="AW142" i="1" s="1"/>
  <c r="AX142" i="1" s="1"/>
  <c r="AO142" i="1"/>
  <c r="AP142" i="1" s="1"/>
  <c r="AQ142" i="1" s="1"/>
  <c r="AN142" i="1"/>
  <c r="V142" i="1"/>
  <c r="U142" i="1"/>
  <c r="CP51" i="1"/>
  <c r="CQ51" i="1" s="1"/>
  <c r="CR51" i="1" s="1"/>
  <c r="CN51" i="1"/>
  <c r="CM51" i="1"/>
  <c r="CC51" i="1"/>
  <c r="CD51" i="1" s="1"/>
  <c r="CE51" i="1" s="1"/>
  <c r="BU51" i="1"/>
  <c r="BV51" i="1" s="1"/>
  <c r="BP51" i="1"/>
  <c r="BQ51" i="1" s="1"/>
  <c r="BR51" i="1" s="1"/>
  <c r="BJ51" i="1"/>
  <c r="BH51" i="1"/>
  <c r="BI51" i="1" s="1"/>
  <c r="BA51" i="1"/>
  <c r="AZ51" i="1"/>
  <c r="AS51" i="1"/>
  <c r="AT51" i="1" s="1"/>
  <c r="AU51" i="1" s="1"/>
  <c r="AV51" i="1" s="1"/>
  <c r="AW51" i="1" s="1"/>
  <c r="AX51" i="1" s="1"/>
  <c r="AN51" i="1"/>
  <c r="AO51" i="1" s="1"/>
  <c r="AP51" i="1" s="1"/>
  <c r="AQ51" i="1" s="1"/>
  <c r="AF51" i="1"/>
  <c r="W51" i="1"/>
  <c r="AB51" i="1" s="1"/>
  <c r="AC51" i="1" s="1"/>
  <c r="AD51" i="1" s="1"/>
  <c r="AE51" i="1" s="1"/>
  <c r="CP129" i="1"/>
  <c r="CQ129" i="1" s="1"/>
  <c r="CR129" i="1" s="1"/>
  <c r="CM129" i="1"/>
  <c r="CN129" i="1" s="1"/>
  <c r="CC129" i="1"/>
  <c r="CD129" i="1" s="1"/>
  <c r="CE129" i="1" s="1"/>
  <c r="BU129" i="1"/>
  <c r="BV129" i="1" s="1"/>
  <c r="BP129" i="1"/>
  <c r="BQ129" i="1" s="1"/>
  <c r="BR129" i="1" s="1"/>
  <c r="BJ129" i="1"/>
  <c r="BE129" i="1"/>
  <c r="BH129" i="1" s="1"/>
  <c r="BI129" i="1" s="1"/>
  <c r="BA129" i="1"/>
  <c r="AZ129" i="1"/>
  <c r="AS129" i="1"/>
  <c r="AT129" i="1" s="1"/>
  <c r="AU129" i="1" s="1"/>
  <c r="AV129" i="1" s="1"/>
  <c r="AW129" i="1" s="1"/>
  <c r="AX129" i="1" s="1"/>
  <c r="AN129" i="1"/>
  <c r="AO129" i="1" s="1"/>
  <c r="AP129" i="1" s="1"/>
  <c r="AQ129" i="1" s="1"/>
  <c r="AF129" i="1"/>
  <c r="W129" i="1"/>
  <c r="AG129" i="1" s="1"/>
  <c r="CP11" i="1"/>
  <c r="CQ11" i="1" s="1"/>
  <c r="CR11" i="1" s="1"/>
  <c r="CM11" i="1"/>
  <c r="CN11" i="1" s="1"/>
  <c r="CI11" i="1"/>
  <c r="CJ11" i="1" s="1"/>
  <c r="BU11" i="1"/>
  <c r="BV11" i="1" s="1"/>
  <c r="BP11" i="1"/>
  <c r="BQ11" i="1" s="1"/>
  <c r="BR11" i="1" s="1"/>
  <c r="BJ11" i="1"/>
  <c r="BH11" i="1"/>
  <c r="BI11" i="1" s="1"/>
  <c r="BA11" i="1"/>
  <c r="BB11" i="1" s="1"/>
  <c r="BC11" i="1" s="1"/>
  <c r="BD11" i="1" s="1"/>
  <c r="AS11" i="1"/>
  <c r="AT11" i="1" s="1"/>
  <c r="AU11" i="1" s="1"/>
  <c r="AV11" i="1" s="1"/>
  <c r="AW11" i="1" s="1"/>
  <c r="AX11" i="1" s="1"/>
  <c r="AN11" i="1"/>
  <c r="AO11" i="1" s="1"/>
  <c r="AP11" i="1" s="1"/>
  <c r="AQ11" i="1" s="1"/>
  <c r="V11" i="1"/>
  <c r="CR141" i="1"/>
  <c r="CP141" i="1"/>
  <c r="CQ141" i="1" s="1"/>
  <c r="CM141" i="1"/>
  <c r="CN141" i="1" s="1"/>
  <c r="CC141" i="1"/>
  <c r="CD141" i="1" s="1"/>
  <c r="CE141" i="1" s="1"/>
  <c r="BU141" i="1"/>
  <c r="BV141" i="1" s="1"/>
  <c r="BP141" i="1"/>
  <c r="BQ141" i="1" s="1"/>
  <c r="BR141" i="1" s="1"/>
  <c r="BJ141" i="1"/>
  <c r="BH141" i="1"/>
  <c r="BI141" i="1" s="1"/>
  <c r="BB141" i="1"/>
  <c r="BC141" i="1" s="1"/>
  <c r="BD141" i="1" s="1"/>
  <c r="BA141" i="1"/>
  <c r="AS141" i="1"/>
  <c r="AT141" i="1" s="1"/>
  <c r="AU141" i="1" s="1"/>
  <c r="AV141" i="1" s="1"/>
  <c r="AW141" i="1" s="1"/>
  <c r="AX141" i="1" s="1"/>
  <c r="AN141" i="1"/>
  <c r="AO141" i="1" s="1"/>
  <c r="AP141" i="1" s="1"/>
  <c r="AQ141" i="1" s="1"/>
  <c r="W141" i="1"/>
  <c r="V141" i="1"/>
  <c r="AF141" i="1" s="1"/>
  <c r="U141" i="1"/>
  <c r="CQ48" i="1"/>
  <c r="CR48" i="1" s="1"/>
  <c r="CP48" i="1"/>
  <c r="CM48" i="1"/>
  <c r="CN48" i="1" s="1"/>
  <c r="CD48" i="1"/>
  <c r="CE48" i="1" s="1"/>
  <c r="CC48" i="1"/>
  <c r="BU48" i="1"/>
  <c r="BV48" i="1" s="1"/>
  <c r="BP48" i="1"/>
  <c r="BQ48" i="1" s="1"/>
  <c r="BR48" i="1" s="1"/>
  <c r="BJ48" i="1"/>
  <c r="BH48" i="1"/>
  <c r="BI48" i="1" s="1"/>
  <c r="BA48" i="1"/>
  <c r="AZ48" i="1"/>
  <c r="AS48" i="1"/>
  <c r="AT48" i="1" s="1"/>
  <c r="AU48" i="1" s="1"/>
  <c r="AV48" i="1" s="1"/>
  <c r="AW48" i="1" s="1"/>
  <c r="AX48" i="1" s="1"/>
  <c r="AN48" i="1"/>
  <c r="AO48" i="1" s="1"/>
  <c r="AP48" i="1" s="1"/>
  <c r="AQ48" i="1" s="1"/>
  <c r="AF48" i="1"/>
  <c r="W48" i="1"/>
  <c r="CP215" i="1"/>
  <c r="CQ215" i="1" s="1"/>
  <c r="CR215" i="1" s="1"/>
  <c r="CM215" i="1"/>
  <c r="CN215" i="1" s="1"/>
  <c r="CC215" i="1"/>
  <c r="CD215" i="1" s="1"/>
  <c r="CE215" i="1" s="1"/>
  <c r="BV215" i="1"/>
  <c r="BU215" i="1"/>
  <c r="BP215" i="1"/>
  <c r="BQ215" i="1" s="1"/>
  <c r="BR215" i="1" s="1"/>
  <c r="BJ215" i="1"/>
  <c r="BH215" i="1"/>
  <c r="BI215" i="1" s="1"/>
  <c r="BC215" i="1"/>
  <c r="BD215" i="1" s="1"/>
  <c r="BA215" i="1"/>
  <c r="BB215" i="1" s="1"/>
  <c r="AS215" i="1"/>
  <c r="AT215" i="1" s="1"/>
  <c r="AU215" i="1" s="1"/>
  <c r="AV215" i="1" s="1"/>
  <c r="AW215" i="1" s="1"/>
  <c r="AX215" i="1" s="1"/>
  <c r="AN215" i="1"/>
  <c r="AO215" i="1" s="1"/>
  <c r="AP215" i="1" s="1"/>
  <c r="AQ215" i="1" s="1"/>
  <c r="AG215" i="1"/>
  <c r="AF215" i="1"/>
  <c r="W215" i="1"/>
  <c r="AB215" i="1" s="1"/>
  <c r="AC215" i="1" s="1"/>
  <c r="AD215" i="1" s="1"/>
  <c r="AE215" i="1" s="1"/>
  <c r="CP47" i="1"/>
  <c r="CQ47" i="1" s="1"/>
  <c r="CR47" i="1" s="1"/>
  <c r="CM47" i="1"/>
  <c r="CN47" i="1" s="1"/>
  <c r="CC47" i="1"/>
  <c r="CD47" i="1" s="1"/>
  <c r="CE47" i="1" s="1"/>
  <c r="BU47" i="1"/>
  <c r="BV47" i="1" s="1"/>
  <c r="BO47" i="1"/>
  <c r="BP47" i="1" s="1"/>
  <c r="BQ47" i="1" s="1"/>
  <c r="BR47" i="1" s="1"/>
  <c r="BJ47" i="1"/>
  <c r="BF47" i="1"/>
  <c r="BH47" i="1" s="1"/>
  <c r="BI47" i="1" s="1"/>
  <c r="BA47" i="1"/>
  <c r="AZ47" i="1"/>
  <c r="AS47" i="1"/>
  <c r="AT47" i="1" s="1"/>
  <c r="AU47" i="1" s="1"/>
  <c r="AV47" i="1" s="1"/>
  <c r="AW47" i="1" s="1"/>
  <c r="AX47" i="1" s="1"/>
  <c r="AN47" i="1"/>
  <c r="AO47" i="1" s="1"/>
  <c r="AP47" i="1" s="1"/>
  <c r="AQ47" i="1" s="1"/>
  <c r="AF47" i="1"/>
  <c r="W47" i="1"/>
  <c r="CP244" i="1"/>
  <c r="CQ244" i="1" s="1"/>
  <c r="CR244" i="1" s="1"/>
  <c r="CM244" i="1"/>
  <c r="CN244" i="1" s="1"/>
  <c r="CC244" i="1"/>
  <c r="CD244" i="1" s="1"/>
  <c r="CE244" i="1" s="1"/>
  <c r="BU244" i="1"/>
  <c r="BV244" i="1" s="1"/>
  <c r="BP244" i="1"/>
  <c r="BQ244" i="1" s="1"/>
  <c r="BR244" i="1" s="1"/>
  <c r="BJ244" i="1"/>
  <c r="BH244" i="1"/>
  <c r="BI244" i="1" s="1"/>
  <c r="BA244" i="1"/>
  <c r="BB244" i="1" s="1"/>
  <c r="BC244" i="1" s="1"/>
  <c r="BD244" i="1" s="1"/>
  <c r="AS244" i="1"/>
  <c r="AT244" i="1" s="1"/>
  <c r="AU244" i="1" s="1"/>
  <c r="AV244" i="1" s="1"/>
  <c r="AW244" i="1" s="1"/>
  <c r="AX244" i="1" s="1"/>
  <c r="AN244" i="1"/>
  <c r="AO244" i="1" s="1"/>
  <c r="AP244" i="1" s="1"/>
  <c r="AQ244" i="1" s="1"/>
  <c r="AF244" i="1"/>
  <c r="W244" i="1"/>
  <c r="CP228" i="1"/>
  <c r="CQ228" i="1" s="1"/>
  <c r="CR228" i="1" s="1"/>
  <c r="CM228" i="1"/>
  <c r="CN228" i="1" s="1"/>
  <c r="CC228" i="1"/>
  <c r="CD228" i="1" s="1"/>
  <c r="CE228" i="1" s="1"/>
  <c r="BU228" i="1"/>
  <c r="BV228" i="1" s="1"/>
  <c r="BP228" i="1"/>
  <c r="BQ228" i="1" s="1"/>
  <c r="BR228" i="1" s="1"/>
  <c r="BJ228" i="1"/>
  <c r="BH228" i="1"/>
  <c r="BI228" i="1" s="1"/>
  <c r="BA228" i="1"/>
  <c r="BB228" i="1" s="1"/>
  <c r="BC228" i="1" s="1"/>
  <c r="BD228" i="1" s="1"/>
  <c r="AS228" i="1"/>
  <c r="AT228" i="1" s="1"/>
  <c r="AU228" i="1" s="1"/>
  <c r="AV228" i="1" s="1"/>
  <c r="AW228" i="1" s="1"/>
  <c r="AX228" i="1" s="1"/>
  <c r="AN228" i="1"/>
  <c r="AO228" i="1" s="1"/>
  <c r="AP228" i="1" s="1"/>
  <c r="AQ228" i="1" s="1"/>
  <c r="W228" i="1"/>
  <c r="V228" i="1"/>
  <c r="AF228" i="1" s="1"/>
  <c r="CQ59" i="1"/>
  <c r="CR59" i="1" s="1"/>
  <c r="CP59" i="1"/>
  <c r="CM59" i="1"/>
  <c r="CN59" i="1" s="1"/>
  <c r="CC59" i="1"/>
  <c r="CD59" i="1" s="1"/>
  <c r="CE59" i="1" s="1"/>
  <c r="BU59" i="1"/>
  <c r="BV59" i="1" s="1"/>
  <c r="BP59" i="1"/>
  <c r="BQ59" i="1" s="1"/>
  <c r="BR59" i="1" s="1"/>
  <c r="BJ59" i="1"/>
  <c r="BH59" i="1"/>
  <c r="BI59" i="1" s="1"/>
  <c r="BA59" i="1"/>
  <c r="BB59" i="1" s="1"/>
  <c r="BC59" i="1" s="1"/>
  <c r="BD59" i="1" s="1"/>
  <c r="AS59" i="1"/>
  <c r="AT59" i="1" s="1"/>
  <c r="AU59" i="1" s="1"/>
  <c r="AV59" i="1" s="1"/>
  <c r="AW59" i="1" s="1"/>
  <c r="AX59" i="1" s="1"/>
  <c r="AO59" i="1"/>
  <c r="AP59" i="1" s="1"/>
  <c r="AQ59" i="1" s="1"/>
  <c r="AN59" i="1"/>
  <c r="W59" i="1"/>
  <c r="V59" i="1"/>
  <c r="U59" i="1"/>
  <c r="CP116" i="1"/>
  <c r="CQ116" i="1" s="1"/>
  <c r="CR116" i="1" s="1"/>
  <c r="CM116" i="1"/>
  <c r="CN116" i="1" s="1"/>
  <c r="CC116" i="1"/>
  <c r="CD116" i="1" s="1"/>
  <c r="CE116" i="1" s="1"/>
  <c r="BU116" i="1"/>
  <c r="BV116" i="1" s="1"/>
  <c r="BO116" i="1"/>
  <c r="BP116" i="1" s="1"/>
  <c r="BQ116" i="1" s="1"/>
  <c r="BR116" i="1" s="1"/>
  <c r="BJ116" i="1"/>
  <c r="BH116" i="1"/>
  <c r="BI116" i="1" s="1"/>
  <c r="BA116" i="1"/>
  <c r="AZ116" i="1"/>
  <c r="AS116" i="1"/>
  <c r="AT116" i="1" s="1"/>
  <c r="AU116" i="1" s="1"/>
  <c r="AV116" i="1" s="1"/>
  <c r="AW116" i="1" s="1"/>
  <c r="AX116" i="1" s="1"/>
  <c r="AN116" i="1"/>
  <c r="AO116" i="1" s="1"/>
  <c r="AP116" i="1" s="1"/>
  <c r="AQ116" i="1" s="1"/>
  <c r="V116" i="1"/>
  <c r="AF116" i="1" s="1"/>
  <c r="CP118" i="1"/>
  <c r="CQ118" i="1" s="1"/>
  <c r="CR118" i="1" s="1"/>
  <c r="CM118" i="1"/>
  <c r="CN118" i="1" s="1"/>
  <c r="CC118" i="1"/>
  <c r="CD118" i="1" s="1"/>
  <c r="CE118" i="1" s="1"/>
  <c r="BU118" i="1"/>
  <c r="BV118" i="1" s="1"/>
  <c r="BP118" i="1"/>
  <c r="BQ118" i="1" s="1"/>
  <c r="BR118" i="1" s="1"/>
  <c r="BJ118" i="1"/>
  <c r="BH118" i="1"/>
  <c r="BI118" i="1" s="1"/>
  <c r="BA118" i="1"/>
  <c r="BB118" i="1" s="1"/>
  <c r="BC118" i="1" s="1"/>
  <c r="BD118" i="1" s="1"/>
  <c r="AV118" i="1"/>
  <c r="AW118" i="1" s="1"/>
  <c r="AX118" i="1" s="1"/>
  <c r="AS118" i="1"/>
  <c r="AT118" i="1" s="1"/>
  <c r="AU118" i="1" s="1"/>
  <c r="AN118" i="1"/>
  <c r="AO118" i="1" s="1"/>
  <c r="AP118" i="1" s="1"/>
  <c r="AQ118" i="1" s="1"/>
  <c r="W118" i="1"/>
  <c r="V118" i="1"/>
  <c r="CP2" i="1"/>
  <c r="CQ2" i="1" s="1"/>
  <c r="CR2" i="1" s="1"/>
  <c r="CM2" i="1"/>
  <c r="CN2" i="1" s="1"/>
  <c r="CI2" i="1"/>
  <c r="CJ2" i="1" s="1"/>
  <c r="BU2" i="1"/>
  <c r="BV2" i="1" s="1"/>
  <c r="BP2" i="1"/>
  <c r="BQ2" i="1" s="1"/>
  <c r="BR2" i="1" s="1"/>
  <c r="BJ2" i="1"/>
  <c r="BF2" i="1"/>
  <c r="BE2" i="1"/>
  <c r="BH2" i="1" s="1"/>
  <c r="BI2" i="1" s="1"/>
  <c r="BA2" i="1"/>
  <c r="AZ2" i="1"/>
  <c r="AS2" i="1"/>
  <c r="AT2" i="1" s="1"/>
  <c r="AU2" i="1" s="1"/>
  <c r="AV2" i="1" s="1"/>
  <c r="AW2" i="1" s="1"/>
  <c r="AX2" i="1" s="1"/>
  <c r="AN2" i="1"/>
  <c r="AO2" i="1" s="1"/>
  <c r="AP2" i="1" s="1"/>
  <c r="AQ2" i="1" s="1"/>
  <c r="AG2" i="1"/>
  <c r="AF2" i="1"/>
  <c r="AB2" i="1"/>
  <c r="AC2" i="1" s="1"/>
  <c r="AD2" i="1" s="1"/>
  <c r="AE2" i="1" s="1"/>
  <c r="W2" i="1"/>
  <c r="CP224" i="1"/>
  <c r="CQ224" i="1" s="1"/>
  <c r="CR224" i="1" s="1"/>
  <c r="CM224" i="1"/>
  <c r="CN224" i="1" s="1"/>
  <c r="CC224" i="1"/>
  <c r="CD224" i="1" s="1"/>
  <c r="CE224" i="1" s="1"/>
  <c r="BU224" i="1"/>
  <c r="BV224" i="1" s="1"/>
  <c r="BP224" i="1"/>
  <c r="BQ224" i="1" s="1"/>
  <c r="BR224" i="1" s="1"/>
  <c r="BJ224" i="1"/>
  <c r="BH224" i="1"/>
  <c r="BI224" i="1" s="1"/>
  <c r="BA224" i="1"/>
  <c r="BB224" i="1" s="1"/>
  <c r="BC224" i="1" s="1"/>
  <c r="BD224" i="1" s="1"/>
  <c r="AS224" i="1"/>
  <c r="AT224" i="1" s="1"/>
  <c r="AU224" i="1" s="1"/>
  <c r="AV224" i="1" s="1"/>
  <c r="AW224" i="1" s="1"/>
  <c r="AX224" i="1" s="1"/>
  <c r="AN224" i="1"/>
  <c r="AO224" i="1" s="1"/>
  <c r="AP224" i="1" s="1"/>
  <c r="AQ224" i="1" s="1"/>
  <c r="AG224" i="1"/>
  <c r="AF224" i="1"/>
  <c r="AB224" i="1"/>
  <c r="AC224" i="1" s="1"/>
  <c r="AD224" i="1" s="1"/>
  <c r="AE224" i="1" s="1"/>
  <c r="CP216" i="1"/>
  <c r="CQ216" i="1" s="1"/>
  <c r="CR216" i="1" s="1"/>
  <c r="CM216" i="1"/>
  <c r="CN216" i="1" s="1"/>
  <c r="CC216" i="1"/>
  <c r="CD216" i="1" s="1"/>
  <c r="CE216" i="1" s="1"/>
  <c r="BU216" i="1"/>
  <c r="BV216" i="1" s="1"/>
  <c r="BP216" i="1"/>
  <c r="BQ216" i="1" s="1"/>
  <c r="BR216" i="1" s="1"/>
  <c r="BJ216" i="1"/>
  <c r="BH216" i="1"/>
  <c r="BI216" i="1" s="1"/>
  <c r="BA216" i="1"/>
  <c r="BB216" i="1" s="1"/>
  <c r="BC216" i="1" s="1"/>
  <c r="BD216" i="1" s="1"/>
  <c r="AS216" i="1"/>
  <c r="AT216" i="1" s="1"/>
  <c r="AU216" i="1" s="1"/>
  <c r="AV216" i="1" s="1"/>
  <c r="AW216" i="1" s="1"/>
  <c r="AX216" i="1" s="1"/>
  <c r="AN216" i="1"/>
  <c r="AO216" i="1" s="1"/>
  <c r="AP216" i="1" s="1"/>
  <c r="AQ216" i="1" s="1"/>
  <c r="AG216" i="1"/>
  <c r="AF216" i="1"/>
  <c r="AC216" i="1"/>
  <c r="AD216" i="1" s="1"/>
  <c r="AE216" i="1" s="1"/>
  <c r="AB216" i="1"/>
  <c r="CP143" i="1"/>
  <c r="CQ143" i="1" s="1"/>
  <c r="CR143" i="1" s="1"/>
  <c r="CM143" i="1"/>
  <c r="CN143" i="1" s="1"/>
  <c r="CD143" i="1"/>
  <c r="CE143" i="1" s="1"/>
  <c r="CC143" i="1"/>
  <c r="BU143" i="1"/>
  <c r="BV143" i="1" s="1"/>
  <c r="BP143" i="1"/>
  <c r="BQ143" i="1" s="1"/>
  <c r="BR143" i="1" s="1"/>
  <c r="BJ143" i="1"/>
  <c r="BH143" i="1"/>
  <c r="BI143" i="1" s="1"/>
  <c r="BA143" i="1"/>
  <c r="BB143" i="1" s="1"/>
  <c r="BC143" i="1" s="1"/>
  <c r="BD143" i="1" s="1"/>
  <c r="AT143" i="1"/>
  <c r="AU143" i="1" s="1"/>
  <c r="AV143" i="1" s="1"/>
  <c r="AW143" i="1" s="1"/>
  <c r="AX143" i="1" s="1"/>
  <c r="AS143" i="1"/>
  <c r="AN143" i="1"/>
  <c r="AO143" i="1" s="1"/>
  <c r="AP143" i="1" s="1"/>
  <c r="AQ143" i="1" s="1"/>
  <c r="AG143" i="1"/>
  <c r="AF143" i="1"/>
  <c r="AB143" i="1"/>
  <c r="AC143" i="1" s="1"/>
  <c r="AD143" i="1" s="1"/>
  <c r="AE143" i="1" s="1"/>
  <c r="CP148" i="1"/>
  <c r="CQ148" i="1" s="1"/>
  <c r="CR148" i="1" s="1"/>
  <c r="CM148" i="1"/>
  <c r="CN148" i="1" s="1"/>
  <c r="CC148" i="1"/>
  <c r="CD148" i="1" s="1"/>
  <c r="CE148" i="1" s="1"/>
  <c r="BU148" i="1"/>
  <c r="BV148" i="1" s="1"/>
  <c r="BQ148" i="1"/>
  <c r="BR148" i="1" s="1"/>
  <c r="BP148" i="1"/>
  <c r="BJ148" i="1"/>
  <c r="BH148" i="1"/>
  <c r="BI148" i="1" s="1"/>
  <c r="BA148" i="1"/>
  <c r="AZ148" i="1"/>
  <c r="BB148" i="1" s="1"/>
  <c r="BC148" i="1" s="1"/>
  <c r="BD148" i="1" s="1"/>
  <c r="AS148" i="1"/>
  <c r="AT148" i="1" s="1"/>
  <c r="AU148" i="1" s="1"/>
  <c r="AV148" i="1" s="1"/>
  <c r="AW148" i="1" s="1"/>
  <c r="AX148" i="1" s="1"/>
  <c r="AN148" i="1"/>
  <c r="AO148" i="1" s="1"/>
  <c r="AP148" i="1" s="1"/>
  <c r="AQ148" i="1" s="1"/>
  <c r="AF148" i="1"/>
  <c r="W148" i="1"/>
  <c r="CP37" i="1"/>
  <c r="CQ37" i="1" s="1"/>
  <c r="CR37" i="1" s="1"/>
  <c r="CM37" i="1"/>
  <c r="CN37" i="1" s="1"/>
  <c r="CC37" i="1"/>
  <c r="CD37" i="1" s="1"/>
  <c r="CE37" i="1" s="1"/>
  <c r="BU37" i="1"/>
  <c r="BV37" i="1" s="1"/>
  <c r="BO37" i="1"/>
  <c r="BP37" i="1" s="1"/>
  <c r="BQ37" i="1" s="1"/>
  <c r="BR37" i="1" s="1"/>
  <c r="BJ37" i="1"/>
  <c r="BH37" i="1"/>
  <c r="BI37" i="1" s="1"/>
  <c r="BA37" i="1"/>
  <c r="AZ37" i="1"/>
  <c r="BB37" i="1" s="1"/>
  <c r="BC37" i="1" s="1"/>
  <c r="BD37" i="1" s="1"/>
  <c r="AS37" i="1"/>
  <c r="AT37" i="1" s="1"/>
  <c r="AU37" i="1" s="1"/>
  <c r="AV37" i="1" s="1"/>
  <c r="AW37" i="1" s="1"/>
  <c r="AX37" i="1" s="1"/>
  <c r="AO37" i="1"/>
  <c r="AP37" i="1" s="1"/>
  <c r="AQ37" i="1" s="1"/>
  <c r="AN37" i="1"/>
  <c r="V37" i="1"/>
  <c r="U37" i="1"/>
  <c r="AB37" i="1" s="1"/>
  <c r="AC37" i="1" s="1"/>
  <c r="AD37" i="1" s="1"/>
  <c r="AE37" i="1" s="1"/>
  <c r="CP159" i="1"/>
  <c r="CQ159" i="1" s="1"/>
  <c r="CR159" i="1" s="1"/>
  <c r="CM159" i="1"/>
  <c r="CN159" i="1" s="1"/>
  <c r="CC159" i="1"/>
  <c r="CD159" i="1" s="1"/>
  <c r="CE159" i="1" s="1"/>
  <c r="BU159" i="1"/>
  <c r="BV159" i="1" s="1"/>
  <c r="BQ159" i="1"/>
  <c r="BR159" i="1" s="1"/>
  <c r="BP159" i="1"/>
  <c r="BJ159" i="1"/>
  <c r="BH159" i="1"/>
  <c r="BI159" i="1" s="1"/>
  <c r="BA159" i="1"/>
  <c r="BB159" i="1" s="1"/>
  <c r="BC159" i="1" s="1"/>
  <c r="BD159" i="1" s="1"/>
  <c r="AS159" i="1"/>
  <c r="AT159" i="1" s="1"/>
  <c r="AU159" i="1" s="1"/>
  <c r="AV159" i="1" s="1"/>
  <c r="AW159" i="1" s="1"/>
  <c r="AX159" i="1" s="1"/>
  <c r="AN159" i="1"/>
  <c r="AO159" i="1" s="1"/>
  <c r="AP159" i="1" s="1"/>
  <c r="AQ159" i="1" s="1"/>
  <c r="Z159" i="1"/>
  <c r="V159" i="1"/>
  <c r="U159" i="1"/>
  <c r="CP91" i="1"/>
  <c r="CQ91" i="1" s="1"/>
  <c r="CR91" i="1" s="1"/>
  <c r="CM91" i="1"/>
  <c r="CN91" i="1" s="1"/>
  <c r="CC91" i="1"/>
  <c r="CD91" i="1" s="1"/>
  <c r="CE91" i="1" s="1"/>
  <c r="BU91" i="1"/>
  <c r="BV91" i="1" s="1"/>
  <c r="BP91" i="1"/>
  <c r="BQ91" i="1" s="1"/>
  <c r="BR91" i="1" s="1"/>
  <c r="BJ91" i="1"/>
  <c r="BI91" i="1"/>
  <c r="BH91" i="1"/>
  <c r="BA91" i="1"/>
  <c r="BB91" i="1" s="1"/>
  <c r="BC91" i="1" s="1"/>
  <c r="BD91" i="1" s="1"/>
  <c r="AS91" i="1"/>
  <c r="AT91" i="1" s="1"/>
  <c r="AU91" i="1" s="1"/>
  <c r="AV91" i="1" s="1"/>
  <c r="AW91" i="1" s="1"/>
  <c r="AX91" i="1" s="1"/>
  <c r="AN91" i="1"/>
  <c r="AO91" i="1" s="1"/>
  <c r="AP91" i="1" s="1"/>
  <c r="AQ91" i="1" s="1"/>
  <c r="U91" i="1"/>
  <c r="CP193" i="1"/>
  <c r="CQ193" i="1" s="1"/>
  <c r="CR193" i="1" s="1"/>
  <c r="CN193" i="1"/>
  <c r="CM193" i="1"/>
  <c r="CC193" i="1"/>
  <c r="CD193" i="1" s="1"/>
  <c r="CE193" i="1" s="1"/>
  <c r="BU193" i="1"/>
  <c r="BV193" i="1" s="1"/>
  <c r="BO193" i="1"/>
  <c r="BP193" i="1" s="1"/>
  <c r="BQ193" i="1" s="1"/>
  <c r="BR193" i="1" s="1"/>
  <c r="BJ193" i="1"/>
  <c r="BH193" i="1"/>
  <c r="BI193" i="1" s="1"/>
  <c r="BA193" i="1"/>
  <c r="BB193" i="1" s="1"/>
  <c r="BC193" i="1" s="1"/>
  <c r="BD193" i="1" s="1"/>
  <c r="AS193" i="1"/>
  <c r="AT193" i="1" s="1"/>
  <c r="AU193" i="1" s="1"/>
  <c r="AV193" i="1" s="1"/>
  <c r="AW193" i="1" s="1"/>
  <c r="AX193" i="1" s="1"/>
  <c r="AN193" i="1"/>
  <c r="AO193" i="1" s="1"/>
  <c r="AP193" i="1" s="1"/>
  <c r="AQ193" i="1" s="1"/>
  <c r="AG193" i="1"/>
  <c r="AF193" i="1"/>
  <c r="AB193" i="1"/>
  <c r="AC193" i="1" s="1"/>
  <c r="AD193" i="1" s="1"/>
  <c r="AE193" i="1" s="1"/>
  <c r="CP97" i="1"/>
  <c r="CQ97" i="1" s="1"/>
  <c r="CR97" i="1" s="1"/>
  <c r="CM97" i="1"/>
  <c r="CN97" i="1" s="1"/>
  <c r="CC97" i="1"/>
  <c r="CD97" i="1" s="1"/>
  <c r="CE97" i="1" s="1"/>
  <c r="BU97" i="1"/>
  <c r="BV97" i="1" s="1"/>
  <c r="BP97" i="1"/>
  <c r="BQ97" i="1" s="1"/>
  <c r="BR97" i="1" s="1"/>
  <c r="BJ97" i="1"/>
  <c r="BH97" i="1"/>
  <c r="BI97" i="1" s="1"/>
  <c r="BC97" i="1"/>
  <c r="BD97" i="1" s="1"/>
  <c r="BA97" i="1"/>
  <c r="BB97" i="1" s="1"/>
  <c r="AS97" i="1"/>
  <c r="AT97" i="1" s="1"/>
  <c r="AU97" i="1" s="1"/>
  <c r="AV97" i="1" s="1"/>
  <c r="AW97" i="1" s="1"/>
  <c r="AX97" i="1" s="1"/>
  <c r="AN97" i="1"/>
  <c r="AO97" i="1" s="1"/>
  <c r="AP97" i="1" s="1"/>
  <c r="AQ97" i="1" s="1"/>
  <c r="V97" i="1"/>
  <c r="AF97" i="1" s="1"/>
  <c r="CP5" i="1"/>
  <c r="CQ5" i="1" s="1"/>
  <c r="CR5" i="1" s="1"/>
  <c r="CM5" i="1"/>
  <c r="CN5" i="1" s="1"/>
  <c r="CI5" i="1"/>
  <c r="CJ5" i="1" s="1"/>
  <c r="BU5" i="1"/>
  <c r="BV5" i="1" s="1"/>
  <c r="BP5" i="1"/>
  <c r="BQ5" i="1" s="1"/>
  <c r="BR5" i="1" s="1"/>
  <c r="BJ5" i="1"/>
  <c r="BF5" i="1"/>
  <c r="BH5" i="1" s="1"/>
  <c r="BI5" i="1" s="1"/>
  <c r="BA5" i="1"/>
  <c r="BB5" i="1" s="1"/>
  <c r="BC5" i="1" s="1"/>
  <c r="BD5" i="1" s="1"/>
  <c r="AS5" i="1"/>
  <c r="AT5" i="1" s="1"/>
  <c r="AU5" i="1" s="1"/>
  <c r="AV5" i="1" s="1"/>
  <c r="AW5" i="1" s="1"/>
  <c r="AX5" i="1" s="1"/>
  <c r="AN5" i="1"/>
  <c r="AO5" i="1" s="1"/>
  <c r="AP5" i="1" s="1"/>
  <c r="AQ5" i="1" s="1"/>
  <c r="AF5" i="1"/>
  <c r="W5" i="1"/>
  <c r="CP69" i="1"/>
  <c r="CQ69" i="1" s="1"/>
  <c r="CR69" i="1" s="1"/>
  <c r="CM69" i="1"/>
  <c r="CN69" i="1" s="1"/>
  <c r="CC69" i="1"/>
  <c r="CD69" i="1" s="1"/>
  <c r="CE69" i="1" s="1"/>
  <c r="BU69" i="1"/>
  <c r="BV69" i="1" s="1"/>
  <c r="BP69" i="1"/>
  <c r="BQ69" i="1" s="1"/>
  <c r="BR69" i="1" s="1"/>
  <c r="BJ69" i="1"/>
  <c r="BH69" i="1"/>
  <c r="BI69" i="1" s="1"/>
  <c r="BA69" i="1"/>
  <c r="BB69" i="1" s="1"/>
  <c r="BC69" i="1" s="1"/>
  <c r="BD69" i="1" s="1"/>
  <c r="AZ69" i="1"/>
  <c r="AS69" i="1"/>
  <c r="AT69" i="1" s="1"/>
  <c r="AU69" i="1" s="1"/>
  <c r="AV69" i="1" s="1"/>
  <c r="AW69" i="1" s="1"/>
  <c r="AX69" i="1" s="1"/>
  <c r="AN69" i="1"/>
  <c r="AO69" i="1" s="1"/>
  <c r="AP69" i="1" s="1"/>
  <c r="AQ69" i="1" s="1"/>
  <c r="W69" i="1"/>
  <c r="V69" i="1"/>
  <c r="AF69" i="1" s="1"/>
  <c r="CP219" i="1"/>
  <c r="CQ219" i="1" s="1"/>
  <c r="CR219" i="1" s="1"/>
  <c r="CM219" i="1"/>
  <c r="CN219" i="1" s="1"/>
  <c r="CC219" i="1"/>
  <c r="CD219" i="1" s="1"/>
  <c r="CE219" i="1" s="1"/>
  <c r="BU219" i="1"/>
  <c r="BV219" i="1" s="1"/>
  <c r="BP219" i="1"/>
  <c r="BQ219" i="1" s="1"/>
  <c r="BR219" i="1" s="1"/>
  <c r="BJ219" i="1"/>
  <c r="BH219" i="1"/>
  <c r="BI219" i="1" s="1"/>
  <c r="BA219" i="1"/>
  <c r="BB219" i="1" s="1"/>
  <c r="BC219" i="1" s="1"/>
  <c r="BD219" i="1" s="1"/>
  <c r="AS219" i="1"/>
  <c r="AT219" i="1" s="1"/>
  <c r="AU219" i="1" s="1"/>
  <c r="AV219" i="1" s="1"/>
  <c r="AW219" i="1" s="1"/>
  <c r="AX219" i="1" s="1"/>
  <c r="AN219" i="1"/>
  <c r="AO219" i="1" s="1"/>
  <c r="AP219" i="1" s="1"/>
  <c r="AQ219" i="1" s="1"/>
  <c r="AF219" i="1"/>
  <c r="Z219" i="1"/>
  <c r="W219" i="1"/>
  <c r="CP165" i="1"/>
  <c r="CQ165" i="1" s="1"/>
  <c r="CR165" i="1" s="1"/>
  <c r="CM165" i="1"/>
  <c r="CN165" i="1" s="1"/>
  <c r="CC165" i="1"/>
  <c r="CD165" i="1" s="1"/>
  <c r="CE165" i="1" s="1"/>
  <c r="BU165" i="1"/>
  <c r="BV165" i="1" s="1"/>
  <c r="BP165" i="1"/>
  <c r="BQ165" i="1" s="1"/>
  <c r="BR165" i="1" s="1"/>
  <c r="BJ165" i="1"/>
  <c r="BH165" i="1"/>
  <c r="BI165" i="1" s="1"/>
  <c r="BA165" i="1"/>
  <c r="BB165" i="1" s="1"/>
  <c r="BC165" i="1" s="1"/>
  <c r="BD165" i="1" s="1"/>
  <c r="AS165" i="1"/>
  <c r="AT165" i="1" s="1"/>
  <c r="AU165" i="1" s="1"/>
  <c r="AV165" i="1" s="1"/>
  <c r="AW165" i="1" s="1"/>
  <c r="AX165" i="1" s="1"/>
  <c r="AN165" i="1"/>
  <c r="AO165" i="1" s="1"/>
  <c r="AP165" i="1" s="1"/>
  <c r="AQ165" i="1" s="1"/>
  <c r="AF165" i="1"/>
  <c r="W165" i="1"/>
  <c r="AG165" i="1" s="1"/>
  <c r="CP34" i="1"/>
  <c r="CQ34" i="1" s="1"/>
  <c r="CR34" i="1" s="1"/>
  <c r="CM34" i="1"/>
  <c r="CN34" i="1" s="1"/>
  <c r="CC34" i="1"/>
  <c r="CD34" i="1" s="1"/>
  <c r="CE34" i="1" s="1"/>
  <c r="BU34" i="1"/>
  <c r="BV34" i="1" s="1"/>
  <c r="BO34" i="1"/>
  <c r="BP34" i="1" s="1"/>
  <c r="BQ34" i="1" s="1"/>
  <c r="BR34" i="1" s="1"/>
  <c r="BJ34" i="1"/>
  <c r="BH34" i="1"/>
  <c r="BI34" i="1" s="1"/>
  <c r="BA34" i="1"/>
  <c r="BB34" i="1" s="1"/>
  <c r="BC34" i="1" s="1"/>
  <c r="BD34" i="1" s="1"/>
  <c r="AT34" i="1"/>
  <c r="AU34" i="1" s="1"/>
  <c r="AV34" i="1" s="1"/>
  <c r="AW34" i="1" s="1"/>
  <c r="AX34" i="1" s="1"/>
  <c r="AS34" i="1"/>
  <c r="AO34" i="1"/>
  <c r="AP34" i="1" s="1"/>
  <c r="AQ34" i="1" s="1"/>
  <c r="AN34" i="1"/>
  <c r="AG34" i="1"/>
  <c r="AF34" i="1"/>
  <c r="AB34" i="1"/>
  <c r="AC34" i="1" s="1"/>
  <c r="AD34" i="1" s="1"/>
  <c r="AE34" i="1" s="1"/>
  <c r="CP107" i="1"/>
  <c r="CQ107" i="1" s="1"/>
  <c r="CR107" i="1" s="1"/>
  <c r="CM107" i="1"/>
  <c r="CN107" i="1" s="1"/>
  <c r="CC107" i="1"/>
  <c r="CD107" i="1" s="1"/>
  <c r="CE107" i="1" s="1"/>
  <c r="BU107" i="1"/>
  <c r="BV107" i="1" s="1"/>
  <c r="BP107" i="1"/>
  <c r="BQ107" i="1" s="1"/>
  <c r="BR107" i="1" s="1"/>
  <c r="BJ107" i="1"/>
  <c r="BH107" i="1"/>
  <c r="BI107" i="1" s="1"/>
  <c r="BA107" i="1"/>
  <c r="BB107" i="1" s="1"/>
  <c r="BC107" i="1" s="1"/>
  <c r="BD107" i="1" s="1"/>
  <c r="AT107" i="1"/>
  <c r="AU107" i="1" s="1"/>
  <c r="AV107" i="1" s="1"/>
  <c r="AW107" i="1" s="1"/>
  <c r="AX107" i="1" s="1"/>
  <c r="AS107" i="1"/>
  <c r="AN107" i="1"/>
  <c r="AO107" i="1" s="1"/>
  <c r="AP107" i="1" s="1"/>
  <c r="AQ107" i="1" s="1"/>
  <c r="W107" i="1"/>
  <c r="U107" i="1"/>
  <c r="CP71" i="1"/>
  <c r="CQ71" i="1" s="1"/>
  <c r="CR71" i="1" s="1"/>
  <c r="CM71" i="1"/>
  <c r="CN71" i="1" s="1"/>
  <c r="CC71" i="1"/>
  <c r="CD71" i="1" s="1"/>
  <c r="CE71" i="1" s="1"/>
  <c r="BU71" i="1"/>
  <c r="BV71" i="1" s="1"/>
  <c r="BO71" i="1"/>
  <c r="BP71" i="1" s="1"/>
  <c r="BQ71" i="1" s="1"/>
  <c r="BR71" i="1" s="1"/>
  <c r="BJ71" i="1"/>
  <c r="BH71" i="1"/>
  <c r="BI71" i="1" s="1"/>
  <c r="BA71" i="1"/>
  <c r="AZ71" i="1"/>
  <c r="AS71" i="1"/>
  <c r="AT71" i="1" s="1"/>
  <c r="AU71" i="1" s="1"/>
  <c r="AV71" i="1" s="1"/>
  <c r="AW71" i="1" s="1"/>
  <c r="AX71" i="1" s="1"/>
  <c r="AP71" i="1"/>
  <c r="AQ71" i="1" s="1"/>
  <c r="AN71" i="1"/>
  <c r="AO71" i="1" s="1"/>
  <c r="W71" i="1"/>
  <c r="V71" i="1"/>
  <c r="CP196" i="1"/>
  <c r="CQ196" i="1" s="1"/>
  <c r="CR196" i="1" s="1"/>
  <c r="CM196" i="1"/>
  <c r="CN196" i="1" s="1"/>
  <c r="CC196" i="1"/>
  <c r="CD196" i="1" s="1"/>
  <c r="CE196" i="1" s="1"/>
  <c r="BU196" i="1"/>
  <c r="BV196" i="1" s="1"/>
  <c r="BP196" i="1"/>
  <c r="BQ196" i="1" s="1"/>
  <c r="BR196" i="1" s="1"/>
  <c r="BJ196" i="1"/>
  <c r="BH196" i="1"/>
  <c r="BI196" i="1" s="1"/>
  <c r="BA196" i="1"/>
  <c r="BB196" i="1" s="1"/>
  <c r="BC196" i="1" s="1"/>
  <c r="BD196" i="1" s="1"/>
  <c r="AS196" i="1"/>
  <c r="AT196" i="1" s="1"/>
  <c r="AU196" i="1" s="1"/>
  <c r="AV196" i="1" s="1"/>
  <c r="AW196" i="1" s="1"/>
  <c r="AX196" i="1" s="1"/>
  <c r="AN196" i="1"/>
  <c r="AO196" i="1" s="1"/>
  <c r="AP196" i="1" s="1"/>
  <c r="AQ196" i="1" s="1"/>
  <c r="AG196" i="1"/>
  <c r="AH196" i="1" s="1"/>
  <c r="AI196" i="1" s="1"/>
  <c r="AJ196" i="1" s="1"/>
  <c r="AF196" i="1"/>
  <c r="AB196" i="1"/>
  <c r="AC196" i="1" s="1"/>
  <c r="AD196" i="1" s="1"/>
  <c r="AE196" i="1" s="1"/>
  <c r="CP263" i="1"/>
  <c r="CQ263" i="1" s="1"/>
  <c r="CR263" i="1" s="1"/>
  <c r="CM263" i="1"/>
  <c r="CN263" i="1" s="1"/>
  <c r="CC263" i="1"/>
  <c r="CD263" i="1" s="1"/>
  <c r="CE263" i="1" s="1"/>
  <c r="BU263" i="1"/>
  <c r="BV263" i="1" s="1"/>
  <c r="BP263" i="1"/>
  <c r="BQ263" i="1" s="1"/>
  <c r="BR263" i="1" s="1"/>
  <c r="BJ263" i="1"/>
  <c r="BH263" i="1"/>
  <c r="BI263" i="1" s="1"/>
  <c r="BA263" i="1"/>
  <c r="BB263" i="1" s="1"/>
  <c r="BC263" i="1" s="1"/>
  <c r="BD263" i="1" s="1"/>
  <c r="AS263" i="1"/>
  <c r="AT263" i="1" s="1"/>
  <c r="AU263" i="1" s="1"/>
  <c r="AV263" i="1" s="1"/>
  <c r="AW263" i="1" s="1"/>
  <c r="AX263" i="1" s="1"/>
  <c r="AN263" i="1"/>
  <c r="AO263" i="1" s="1"/>
  <c r="AP263" i="1" s="1"/>
  <c r="AQ263" i="1" s="1"/>
  <c r="AF263" i="1"/>
  <c r="W263" i="1"/>
  <c r="CP282" i="1"/>
  <c r="CQ282" i="1" s="1"/>
  <c r="CR282" i="1" s="1"/>
  <c r="CM282" i="1"/>
  <c r="CN282" i="1" s="1"/>
  <c r="CC282" i="1"/>
  <c r="CD282" i="1" s="1"/>
  <c r="CE282" i="1" s="1"/>
  <c r="BU282" i="1"/>
  <c r="BV282" i="1" s="1"/>
  <c r="BP282" i="1"/>
  <c r="BQ282" i="1" s="1"/>
  <c r="BR282" i="1" s="1"/>
  <c r="BJ282" i="1"/>
  <c r="BH282" i="1"/>
  <c r="BI282" i="1" s="1"/>
  <c r="BA282" i="1"/>
  <c r="AZ282" i="1"/>
  <c r="AS282" i="1"/>
  <c r="AT282" i="1" s="1"/>
  <c r="AU282" i="1" s="1"/>
  <c r="AV282" i="1" s="1"/>
  <c r="AW282" i="1" s="1"/>
  <c r="AX282" i="1" s="1"/>
  <c r="AN282" i="1"/>
  <c r="AO282" i="1" s="1"/>
  <c r="AP282" i="1" s="1"/>
  <c r="AQ282" i="1" s="1"/>
  <c r="Z282" i="1"/>
  <c r="W282" i="1"/>
  <c r="V282" i="1"/>
  <c r="U282" i="1"/>
  <c r="CQ169" i="1"/>
  <c r="CR169" i="1" s="1"/>
  <c r="CP169" i="1"/>
  <c r="CM169" i="1"/>
  <c r="CN169" i="1" s="1"/>
  <c r="CC169" i="1"/>
  <c r="CD169" i="1" s="1"/>
  <c r="CE169" i="1" s="1"/>
  <c r="BU169" i="1"/>
  <c r="BV169" i="1" s="1"/>
  <c r="BQ169" i="1"/>
  <c r="BR169" i="1" s="1"/>
  <c r="BP169" i="1"/>
  <c r="BJ169" i="1"/>
  <c r="BH169" i="1"/>
  <c r="BI169" i="1" s="1"/>
  <c r="BA169" i="1"/>
  <c r="AZ169" i="1"/>
  <c r="AS169" i="1"/>
  <c r="AT169" i="1" s="1"/>
  <c r="AU169" i="1" s="1"/>
  <c r="AV169" i="1" s="1"/>
  <c r="AW169" i="1" s="1"/>
  <c r="AX169" i="1" s="1"/>
  <c r="AN169" i="1"/>
  <c r="AO169" i="1" s="1"/>
  <c r="AP169" i="1" s="1"/>
  <c r="AQ169" i="1" s="1"/>
  <c r="W169" i="1"/>
  <c r="V169" i="1"/>
  <c r="AF169" i="1" s="1"/>
  <c r="CP265" i="1"/>
  <c r="CQ265" i="1" s="1"/>
  <c r="CR265" i="1" s="1"/>
  <c r="CM265" i="1"/>
  <c r="CN265" i="1" s="1"/>
  <c r="CC265" i="1"/>
  <c r="CD265" i="1" s="1"/>
  <c r="CE265" i="1" s="1"/>
  <c r="BV265" i="1"/>
  <c r="BT265" i="1"/>
  <c r="BU265" i="1" s="1"/>
  <c r="BP265" i="1"/>
  <c r="BQ265" i="1" s="1"/>
  <c r="BR265" i="1" s="1"/>
  <c r="BJ265" i="1"/>
  <c r="BH265" i="1"/>
  <c r="BI265" i="1" s="1"/>
  <c r="BA265" i="1"/>
  <c r="BB265" i="1" s="1"/>
  <c r="BC265" i="1" s="1"/>
  <c r="BD265" i="1" s="1"/>
  <c r="AS265" i="1"/>
  <c r="AT265" i="1" s="1"/>
  <c r="AU265" i="1" s="1"/>
  <c r="AV265" i="1" s="1"/>
  <c r="AW265" i="1" s="1"/>
  <c r="AX265" i="1" s="1"/>
  <c r="AN265" i="1"/>
  <c r="AO265" i="1" s="1"/>
  <c r="AP265" i="1" s="1"/>
  <c r="AQ265" i="1" s="1"/>
  <c r="W265" i="1"/>
  <c r="V265" i="1"/>
  <c r="CO40" i="1"/>
  <c r="CP40" i="1" s="1"/>
  <c r="CQ40" i="1" s="1"/>
  <c r="CR40" i="1" s="1"/>
  <c r="CM40" i="1"/>
  <c r="CN40" i="1" s="1"/>
  <c r="CC40" i="1"/>
  <c r="CD40" i="1" s="1"/>
  <c r="CE40" i="1" s="1"/>
  <c r="BU40" i="1"/>
  <c r="BV40" i="1" s="1"/>
  <c r="BQ40" i="1"/>
  <c r="BR40" i="1" s="1"/>
  <c r="BP40" i="1"/>
  <c r="BJ40" i="1"/>
  <c r="BH40" i="1"/>
  <c r="BI40" i="1" s="1"/>
  <c r="BA40" i="1"/>
  <c r="BB40" i="1" s="1"/>
  <c r="BC40" i="1" s="1"/>
  <c r="BD40" i="1" s="1"/>
  <c r="AS40" i="1"/>
  <c r="AT40" i="1" s="1"/>
  <c r="AU40" i="1" s="1"/>
  <c r="AV40" i="1" s="1"/>
  <c r="AW40" i="1" s="1"/>
  <c r="AX40" i="1" s="1"/>
  <c r="AN40" i="1"/>
  <c r="AO40" i="1" s="1"/>
  <c r="AP40" i="1" s="1"/>
  <c r="AQ40" i="1" s="1"/>
  <c r="W40" i="1"/>
  <c r="V40" i="1"/>
  <c r="CP202" i="1"/>
  <c r="CQ202" i="1" s="1"/>
  <c r="CR202" i="1" s="1"/>
  <c r="CO202" i="1"/>
  <c r="CN202" i="1"/>
  <c r="CM202" i="1"/>
  <c r="CC202" i="1"/>
  <c r="CD202" i="1" s="1"/>
  <c r="CE202" i="1" s="1"/>
  <c r="BU202" i="1"/>
  <c r="BV202" i="1" s="1"/>
  <c r="BP202" i="1"/>
  <c r="BQ202" i="1" s="1"/>
  <c r="BR202" i="1" s="1"/>
  <c r="BJ202" i="1"/>
  <c r="BH202" i="1"/>
  <c r="BI202" i="1" s="1"/>
  <c r="BA202" i="1"/>
  <c r="BB202" i="1" s="1"/>
  <c r="BC202" i="1" s="1"/>
  <c r="BD202" i="1" s="1"/>
  <c r="AS202" i="1"/>
  <c r="AT202" i="1" s="1"/>
  <c r="AU202" i="1" s="1"/>
  <c r="AV202" i="1" s="1"/>
  <c r="AW202" i="1" s="1"/>
  <c r="AX202" i="1" s="1"/>
  <c r="AN202" i="1"/>
  <c r="AO202" i="1" s="1"/>
  <c r="AP202" i="1" s="1"/>
  <c r="AQ202" i="1" s="1"/>
  <c r="V202" i="1"/>
  <c r="U202" i="1"/>
  <c r="CP145" i="1"/>
  <c r="CQ145" i="1" s="1"/>
  <c r="CR145" i="1" s="1"/>
  <c r="CM145" i="1"/>
  <c r="CN145" i="1" s="1"/>
  <c r="CC145" i="1"/>
  <c r="CD145" i="1" s="1"/>
  <c r="CE145" i="1" s="1"/>
  <c r="BU145" i="1"/>
  <c r="BV145" i="1" s="1"/>
  <c r="BP145" i="1"/>
  <c r="BQ145" i="1" s="1"/>
  <c r="BR145" i="1" s="1"/>
  <c r="BJ145" i="1"/>
  <c r="BH145" i="1"/>
  <c r="BI145" i="1" s="1"/>
  <c r="BA145" i="1"/>
  <c r="AZ145" i="1"/>
  <c r="AS145" i="1"/>
  <c r="AT145" i="1" s="1"/>
  <c r="AU145" i="1" s="1"/>
  <c r="AV145" i="1" s="1"/>
  <c r="AW145" i="1" s="1"/>
  <c r="AX145" i="1" s="1"/>
  <c r="AN145" i="1"/>
  <c r="AO145" i="1" s="1"/>
  <c r="AP145" i="1" s="1"/>
  <c r="AQ145" i="1" s="1"/>
  <c r="AG145" i="1"/>
  <c r="AF145" i="1"/>
  <c r="AB145" i="1"/>
  <c r="AC145" i="1" s="1"/>
  <c r="AD145" i="1" s="1"/>
  <c r="AE145" i="1" s="1"/>
  <c r="CP192" i="1"/>
  <c r="CQ192" i="1" s="1"/>
  <c r="CR192" i="1" s="1"/>
  <c r="CM192" i="1"/>
  <c r="CN192" i="1" s="1"/>
  <c r="CC192" i="1"/>
  <c r="CD192" i="1" s="1"/>
  <c r="CE192" i="1" s="1"/>
  <c r="BU192" i="1"/>
  <c r="BV192" i="1" s="1"/>
  <c r="BP192" i="1"/>
  <c r="BQ192" i="1" s="1"/>
  <c r="BR192" i="1" s="1"/>
  <c r="BJ192" i="1"/>
  <c r="BH192" i="1"/>
  <c r="BI192" i="1" s="1"/>
  <c r="BA192" i="1"/>
  <c r="AZ192" i="1"/>
  <c r="AS192" i="1"/>
  <c r="AT192" i="1" s="1"/>
  <c r="AU192" i="1" s="1"/>
  <c r="AV192" i="1" s="1"/>
  <c r="AW192" i="1" s="1"/>
  <c r="AX192" i="1" s="1"/>
  <c r="AO192" i="1"/>
  <c r="AP192" i="1" s="1"/>
  <c r="AQ192" i="1" s="1"/>
  <c r="AN192" i="1"/>
  <c r="AF192" i="1"/>
  <c r="W192" i="1"/>
  <c r="CP245" i="1"/>
  <c r="CQ245" i="1" s="1"/>
  <c r="CR245" i="1" s="1"/>
  <c r="CM245" i="1"/>
  <c r="CN245" i="1" s="1"/>
  <c r="CC245" i="1"/>
  <c r="CD245" i="1" s="1"/>
  <c r="CE245" i="1" s="1"/>
  <c r="BU245" i="1"/>
  <c r="BV245" i="1" s="1"/>
  <c r="BP245" i="1"/>
  <c r="BQ245" i="1" s="1"/>
  <c r="BR245" i="1" s="1"/>
  <c r="BJ245" i="1"/>
  <c r="BH245" i="1"/>
  <c r="BI245" i="1" s="1"/>
  <c r="BA245" i="1"/>
  <c r="AZ245" i="1"/>
  <c r="AS245" i="1"/>
  <c r="AT245" i="1" s="1"/>
  <c r="AU245" i="1" s="1"/>
  <c r="AV245" i="1" s="1"/>
  <c r="AW245" i="1" s="1"/>
  <c r="AX245" i="1" s="1"/>
  <c r="AN245" i="1"/>
  <c r="AO245" i="1" s="1"/>
  <c r="AP245" i="1" s="1"/>
  <c r="AQ245" i="1" s="1"/>
  <c r="AF245" i="1"/>
  <c r="W245" i="1"/>
  <c r="V245" i="1"/>
  <c r="CP79" i="1"/>
  <c r="CQ79" i="1" s="1"/>
  <c r="CR79" i="1" s="1"/>
  <c r="CM79" i="1"/>
  <c r="CN79" i="1" s="1"/>
  <c r="CC79" i="1"/>
  <c r="CD79" i="1" s="1"/>
  <c r="CE79" i="1" s="1"/>
  <c r="BU79" i="1"/>
  <c r="BV79" i="1" s="1"/>
  <c r="BP79" i="1"/>
  <c r="BQ79" i="1" s="1"/>
  <c r="BR79" i="1" s="1"/>
  <c r="BJ79" i="1"/>
  <c r="BH79" i="1"/>
  <c r="BI79" i="1" s="1"/>
  <c r="BE79" i="1"/>
  <c r="BA79" i="1"/>
  <c r="BB79" i="1" s="1"/>
  <c r="BC79" i="1" s="1"/>
  <c r="BD79" i="1" s="1"/>
  <c r="AS79" i="1"/>
  <c r="AT79" i="1" s="1"/>
  <c r="AU79" i="1" s="1"/>
  <c r="AV79" i="1" s="1"/>
  <c r="AW79" i="1" s="1"/>
  <c r="AX79" i="1" s="1"/>
  <c r="AN79" i="1"/>
  <c r="AO79" i="1" s="1"/>
  <c r="AP79" i="1" s="1"/>
  <c r="AQ79" i="1" s="1"/>
  <c r="AF79" i="1"/>
  <c r="W79" i="1"/>
  <c r="AB79" i="1" s="1"/>
  <c r="AC79" i="1" s="1"/>
  <c r="AD79" i="1" s="1"/>
  <c r="AE79" i="1" s="1"/>
  <c r="CQ19" i="1"/>
  <c r="CR19" i="1" s="1"/>
  <c r="CP19" i="1"/>
  <c r="CN19" i="1"/>
  <c r="CM19" i="1"/>
  <c r="CI19" i="1"/>
  <c r="CJ19" i="1" s="1"/>
  <c r="BU19" i="1"/>
  <c r="BV19" i="1" s="1"/>
  <c r="BP19" i="1"/>
  <c r="BQ19" i="1" s="1"/>
  <c r="BR19" i="1" s="1"/>
  <c r="BJ19" i="1"/>
  <c r="BH19" i="1"/>
  <c r="BI19" i="1" s="1"/>
  <c r="BA19" i="1"/>
  <c r="AZ19" i="1"/>
  <c r="BB19" i="1" s="1"/>
  <c r="BC19" i="1" s="1"/>
  <c r="BD19" i="1" s="1"/>
  <c r="AX19" i="1"/>
  <c r="AS19" i="1"/>
  <c r="AT19" i="1" s="1"/>
  <c r="AU19" i="1" s="1"/>
  <c r="AV19" i="1" s="1"/>
  <c r="AW19" i="1" s="1"/>
  <c r="AN19" i="1"/>
  <c r="AO19" i="1" s="1"/>
  <c r="AP19" i="1" s="1"/>
  <c r="AQ19" i="1" s="1"/>
  <c r="Z19" i="1"/>
  <c r="W19" i="1"/>
  <c r="V19" i="1"/>
  <c r="AF19" i="1" s="1"/>
  <c r="CP15" i="1"/>
  <c r="CQ15" i="1" s="1"/>
  <c r="CR15" i="1" s="1"/>
  <c r="CM15" i="1"/>
  <c r="CN15" i="1" s="1"/>
  <c r="CI15" i="1"/>
  <c r="CJ15" i="1" s="1"/>
  <c r="BU15" i="1"/>
  <c r="BV15" i="1" s="1"/>
  <c r="BP15" i="1"/>
  <c r="BQ15" i="1" s="1"/>
  <c r="BR15" i="1" s="1"/>
  <c r="BJ15" i="1"/>
  <c r="BH15" i="1"/>
  <c r="BI15" i="1" s="1"/>
  <c r="BA15" i="1"/>
  <c r="AZ15" i="1"/>
  <c r="AS15" i="1"/>
  <c r="AT15" i="1" s="1"/>
  <c r="AU15" i="1" s="1"/>
  <c r="AV15" i="1" s="1"/>
  <c r="AW15" i="1" s="1"/>
  <c r="AX15" i="1" s="1"/>
  <c r="AN15" i="1"/>
  <c r="AO15" i="1" s="1"/>
  <c r="AP15" i="1" s="1"/>
  <c r="AQ15" i="1" s="1"/>
  <c r="W15" i="1"/>
  <c r="U15" i="1"/>
  <c r="CP136" i="1"/>
  <c r="CQ136" i="1" s="1"/>
  <c r="CR136" i="1" s="1"/>
  <c r="CM136" i="1"/>
  <c r="CN136" i="1" s="1"/>
  <c r="CC136" i="1"/>
  <c r="CD136" i="1" s="1"/>
  <c r="CE136" i="1" s="1"/>
  <c r="BU136" i="1"/>
  <c r="BV136" i="1" s="1"/>
  <c r="BQ136" i="1"/>
  <c r="BR136" i="1" s="1"/>
  <c r="BP136" i="1"/>
  <c r="BJ136" i="1"/>
  <c r="BH136" i="1"/>
  <c r="BI136" i="1" s="1"/>
  <c r="BA136" i="1"/>
  <c r="AZ136" i="1"/>
  <c r="AS136" i="1"/>
  <c r="AT136" i="1" s="1"/>
  <c r="AU136" i="1" s="1"/>
  <c r="AV136" i="1" s="1"/>
  <c r="AW136" i="1" s="1"/>
  <c r="AX136" i="1" s="1"/>
  <c r="AN136" i="1"/>
  <c r="AO136" i="1" s="1"/>
  <c r="AP136" i="1" s="1"/>
  <c r="AQ136" i="1" s="1"/>
  <c r="W136" i="1"/>
  <c r="V136" i="1"/>
  <c r="CP185" i="1"/>
  <c r="CQ185" i="1" s="1"/>
  <c r="CR185" i="1" s="1"/>
  <c r="CN185" i="1"/>
  <c r="CM185" i="1"/>
  <c r="CC185" i="1"/>
  <c r="CD185" i="1" s="1"/>
  <c r="CE185" i="1" s="1"/>
  <c r="BU185" i="1"/>
  <c r="BV185" i="1" s="1"/>
  <c r="BP185" i="1"/>
  <c r="BQ185" i="1" s="1"/>
  <c r="BR185" i="1" s="1"/>
  <c r="BJ185" i="1"/>
  <c r="BH185" i="1"/>
  <c r="BI185" i="1" s="1"/>
  <c r="BA185" i="1"/>
  <c r="BB185" i="1" s="1"/>
  <c r="BC185" i="1" s="1"/>
  <c r="BD185" i="1" s="1"/>
  <c r="AS185" i="1"/>
  <c r="AT185" i="1" s="1"/>
  <c r="AU185" i="1" s="1"/>
  <c r="AV185" i="1" s="1"/>
  <c r="AW185" i="1" s="1"/>
  <c r="AX185" i="1" s="1"/>
  <c r="AN185" i="1"/>
  <c r="AO185" i="1" s="1"/>
  <c r="AP185" i="1" s="1"/>
  <c r="AQ185" i="1" s="1"/>
  <c r="W185" i="1"/>
  <c r="V185" i="1"/>
  <c r="U185" i="1"/>
  <c r="CP231" i="1"/>
  <c r="CQ231" i="1" s="1"/>
  <c r="CR231" i="1" s="1"/>
  <c r="CM231" i="1"/>
  <c r="CN231" i="1" s="1"/>
  <c r="CC231" i="1"/>
  <c r="CD231" i="1" s="1"/>
  <c r="CE231" i="1" s="1"/>
  <c r="BU231" i="1"/>
  <c r="BV231" i="1" s="1"/>
  <c r="BP231" i="1"/>
  <c r="BQ231" i="1" s="1"/>
  <c r="BR231" i="1" s="1"/>
  <c r="BJ231" i="1"/>
  <c r="BE231" i="1"/>
  <c r="BH231" i="1" s="1"/>
  <c r="BI231" i="1" s="1"/>
  <c r="BA231" i="1"/>
  <c r="BB231" i="1" s="1"/>
  <c r="BC231" i="1" s="1"/>
  <c r="BD231" i="1" s="1"/>
  <c r="AS231" i="1"/>
  <c r="AT231" i="1" s="1"/>
  <c r="AU231" i="1" s="1"/>
  <c r="AV231" i="1" s="1"/>
  <c r="AW231" i="1" s="1"/>
  <c r="AX231" i="1" s="1"/>
  <c r="AN231" i="1"/>
  <c r="AO231" i="1" s="1"/>
  <c r="AP231" i="1" s="1"/>
  <c r="AQ231" i="1" s="1"/>
  <c r="W231" i="1"/>
  <c r="AG231" i="1" s="1"/>
  <c r="V231" i="1"/>
  <c r="U231" i="1"/>
  <c r="CO126" i="1"/>
  <c r="CP126" i="1" s="1"/>
  <c r="CQ126" i="1" s="1"/>
  <c r="CR126" i="1" s="1"/>
  <c r="CM126" i="1"/>
  <c r="CN126" i="1" s="1"/>
  <c r="CC126" i="1"/>
  <c r="CD126" i="1" s="1"/>
  <c r="CE126" i="1" s="1"/>
  <c r="BU126" i="1"/>
  <c r="BV126" i="1" s="1"/>
  <c r="BP126" i="1"/>
  <c r="BQ126" i="1" s="1"/>
  <c r="BR126" i="1" s="1"/>
  <c r="BJ126" i="1"/>
  <c r="BH126" i="1"/>
  <c r="BI126" i="1" s="1"/>
  <c r="BA126" i="1"/>
  <c r="BB126" i="1" s="1"/>
  <c r="BC126" i="1" s="1"/>
  <c r="BD126" i="1" s="1"/>
  <c r="AS126" i="1"/>
  <c r="AT126" i="1" s="1"/>
  <c r="AU126" i="1" s="1"/>
  <c r="AV126" i="1" s="1"/>
  <c r="AW126" i="1" s="1"/>
  <c r="AX126" i="1" s="1"/>
  <c r="AN126" i="1"/>
  <c r="AO126" i="1" s="1"/>
  <c r="AP126" i="1" s="1"/>
  <c r="AQ126" i="1" s="1"/>
  <c r="AF126" i="1"/>
  <c r="Z126" i="1"/>
  <c r="W126" i="1"/>
  <c r="V126" i="1"/>
  <c r="CP240" i="1"/>
  <c r="CQ240" i="1" s="1"/>
  <c r="CR240" i="1" s="1"/>
  <c r="CO240" i="1"/>
  <c r="CM240" i="1"/>
  <c r="CN240" i="1" s="1"/>
  <c r="CC240" i="1"/>
  <c r="CD240" i="1" s="1"/>
  <c r="CE240" i="1" s="1"/>
  <c r="BU240" i="1"/>
  <c r="BV240" i="1" s="1"/>
  <c r="BP240" i="1"/>
  <c r="BQ240" i="1" s="1"/>
  <c r="BR240" i="1" s="1"/>
  <c r="BJ240" i="1"/>
  <c r="BH240" i="1"/>
  <c r="BI240" i="1" s="1"/>
  <c r="BA240" i="1"/>
  <c r="BB240" i="1" s="1"/>
  <c r="BC240" i="1" s="1"/>
  <c r="BD240" i="1" s="1"/>
  <c r="AS240" i="1"/>
  <c r="AT240" i="1" s="1"/>
  <c r="AU240" i="1" s="1"/>
  <c r="AV240" i="1" s="1"/>
  <c r="AW240" i="1" s="1"/>
  <c r="AX240" i="1" s="1"/>
  <c r="AN240" i="1"/>
  <c r="AO240" i="1" s="1"/>
  <c r="AP240" i="1" s="1"/>
  <c r="AQ240" i="1" s="1"/>
  <c r="W240" i="1"/>
  <c r="V240" i="1"/>
  <c r="U240" i="1"/>
  <c r="CP199" i="1"/>
  <c r="CQ199" i="1" s="1"/>
  <c r="CR199" i="1" s="1"/>
  <c r="CM199" i="1"/>
  <c r="CN199" i="1" s="1"/>
  <c r="CC199" i="1"/>
  <c r="CD199" i="1" s="1"/>
  <c r="CE199" i="1" s="1"/>
  <c r="BU199" i="1"/>
  <c r="BV199" i="1" s="1"/>
  <c r="BP199" i="1"/>
  <c r="BQ199" i="1" s="1"/>
  <c r="BR199" i="1" s="1"/>
  <c r="BJ199" i="1"/>
  <c r="BH199" i="1"/>
  <c r="BI199" i="1" s="1"/>
  <c r="BA199" i="1"/>
  <c r="BB199" i="1" s="1"/>
  <c r="BC199" i="1" s="1"/>
  <c r="BD199" i="1" s="1"/>
  <c r="AS199" i="1"/>
  <c r="AT199" i="1" s="1"/>
  <c r="AU199" i="1" s="1"/>
  <c r="AV199" i="1" s="1"/>
  <c r="AW199" i="1" s="1"/>
  <c r="AX199" i="1" s="1"/>
  <c r="AN199" i="1"/>
  <c r="AO199" i="1" s="1"/>
  <c r="AP199" i="1" s="1"/>
  <c r="AQ199" i="1" s="1"/>
  <c r="V199" i="1"/>
  <c r="CP114" i="1"/>
  <c r="CQ114" i="1" s="1"/>
  <c r="CR114" i="1" s="1"/>
  <c r="CM114" i="1"/>
  <c r="CN114" i="1" s="1"/>
  <c r="CC114" i="1"/>
  <c r="CD114" i="1" s="1"/>
  <c r="CE114" i="1" s="1"/>
  <c r="BU114" i="1"/>
  <c r="BV114" i="1" s="1"/>
  <c r="BP114" i="1"/>
  <c r="BQ114" i="1" s="1"/>
  <c r="BR114" i="1" s="1"/>
  <c r="BJ114" i="1"/>
  <c r="BH114" i="1"/>
  <c r="BI114" i="1" s="1"/>
  <c r="BA114" i="1"/>
  <c r="AZ114" i="1"/>
  <c r="AT114" i="1"/>
  <c r="AU114" i="1" s="1"/>
  <c r="AV114" i="1" s="1"/>
  <c r="AW114" i="1" s="1"/>
  <c r="AX114" i="1" s="1"/>
  <c r="AS114" i="1"/>
  <c r="AN114" i="1"/>
  <c r="AO114" i="1" s="1"/>
  <c r="AP114" i="1" s="1"/>
  <c r="AQ114" i="1" s="1"/>
  <c r="W114" i="1"/>
  <c r="V114" i="1"/>
  <c r="U114" i="1"/>
  <c r="AG114" i="1" s="1"/>
  <c r="CP133" i="1"/>
  <c r="CQ133" i="1" s="1"/>
  <c r="CR133" i="1" s="1"/>
  <c r="CM133" i="1"/>
  <c r="CN133" i="1" s="1"/>
  <c r="CC133" i="1"/>
  <c r="CD133" i="1" s="1"/>
  <c r="CE133" i="1" s="1"/>
  <c r="BU133" i="1"/>
  <c r="BV133" i="1" s="1"/>
  <c r="BQ133" i="1"/>
  <c r="BR133" i="1" s="1"/>
  <c r="BP133" i="1"/>
  <c r="BJ133" i="1"/>
  <c r="BH133" i="1"/>
  <c r="BI133" i="1" s="1"/>
  <c r="BA133" i="1"/>
  <c r="AZ133" i="1"/>
  <c r="BB133" i="1" s="1"/>
  <c r="BC133" i="1" s="1"/>
  <c r="BD133" i="1" s="1"/>
  <c r="AS133" i="1"/>
  <c r="AT133" i="1" s="1"/>
  <c r="AU133" i="1" s="1"/>
  <c r="AV133" i="1" s="1"/>
  <c r="AW133" i="1" s="1"/>
  <c r="AX133" i="1" s="1"/>
  <c r="AN133" i="1"/>
  <c r="AO133" i="1" s="1"/>
  <c r="AP133" i="1" s="1"/>
  <c r="AQ133" i="1" s="1"/>
  <c r="AG133" i="1"/>
  <c r="AF133" i="1"/>
  <c r="AB133" i="1"/>
  <c r="AC133" i="1" s="1"/>
  <c r="AD133" i="1" s="1"/>
  <c r="AE133" i="1" s="1"/>
  <c r="CP211" i="1"/>
  <c r="CQ211" i="1" s="1"/>
  <c r="CR211" i="1" s="1"/>
  <c r="CM211" i="1"/>
  <c r="CN211" i="1" s="1"/>
  <c r="CC211" i="1"/>
  <c r="CD211" i="1" s="1"/>
  <c r="CE211" i="1" s="1"/>
  <c r="BU211" i="1"/>
  <c r="BV211" i="1" s="1"/>
  <c r="BP211" i="1"/>
  <c r="BQ211" i="1" s="1"/>
  <c r="BR211" i="1" s="1"/>
  <c r="BJ211" i="1"/>
  <c r="BI211" i="1"/>
  <c r="BH211" i="1"/>
  <c r="BA211" i="1"/>
  <c r="BB211" i="1" s="1"/>
  <c r="BC211" i="1" s="1"/>
  <c r="BD211" i="1" s="1"/>
  <c r="AS211" i="1"/>
  <c r="AT211" i="1" s="1"/>
  <c r="AU211" i="1" s="1"/>
  <c r="AV211" i="1" s="1"/>
  <c r="AW211" i="1" s="1"/>
  <c r="AX211" i="1" s="1"/>
  <c r="AN211" i="1"/>
  <c r="AO211" i="1" s="1"/>
  <c r="AP211" i="1" s="1"/>
  <c r="AQ211" i="1" s="1"/>
  <c r="W211" i="1"/>
  <c r="V211" i="1"/>
  <c r="AF211" i="1" s="1"/>
  <c r="CO207" i="1"/>
  <c r="CP207" i="1" s="1"/>
  <c r="CQ207" i="1" s="1"/>
  <c r="CR207" i="1" s="1"/>
  <c r="CM207" i="1"/>
  <c r="CN207" i="1" s="1"/>
  <c r="CC207" i="1"/>
  <c r="CD207" i="1" s="1"/>
  <c r="CE207" i="1" s="1"/>
  <c r="BU207" i="1"/>
  <c r="BV207" i="1" s="1"/>
  <c r="BP207" i="1"/>
  <c r="BQ207" i="1" s="1"/>
  <c r="BR207" i="1" s="1"/>
  <c r="BJ207" i="1"/>
  <c r="BH207" i="1"/>
  <c r="BI207" i="1" s="1"/>
  <c r="BA207" i="1"/>
  <c r="BB207" i="1" s="1"/>
  <c r="BC207" i="1" s="1"/>
  <c r="BD207" i="1" s="1"/>
  <c r="AS207" i="1"/>
  <c r="AT207" i="1" s="1"/>
  <c r="AU207" i="1" s="1"/>
  <c r="AV207" i="1" s="1"/>
  <c r="AW207" i="1" s="1"/>
  <c r="AX207" i="1" s="1"/>
  <c r="AN207" i="1"/>
  <c r="AO207" i="1" s="1"/>
  <c r="AP207" i="1" s="1"/>
  <c r="AQ207" i="1" s="1"/>
  <c r="AG207" i="1"/>
  <c r="AF207" i="1"/>
  <c r="AB207" i="1"/>
  <c r="AC207" i="1" s="1"/>
  <c r="AD207" i="1" s="1"/>
  <c r="AE207" i="1" s="1"/>
  <c r="CO151" i="1"/>
  <c r="CP151" i="1" s="1"/>
  <c r="CQ151" i="1" s="1"/>
  <c r="CR151" i="1" s="1"/>
  <c r="CM151" i="1"/>
  <c r="CN151" i="1" s="1"/>
  <c r="CC151" i="1"/>
  <c r="CD151" i="1" s="1"/>
  <c r="CE151" i="1" s="1"/>
  <c r="BU151" i="1"/>
  <c r="BV151" i="1" s="1"/>
  <c r="BP151" i="1"/>
  <c r="BQ151" i="1" s="1"/>
  <c r="BR151" i="1" s="1"/>
  <c r="BJ151" i="1"/>
  <c r="BH151" i="1"/>
  <c r="BI151" i="1" s="1"/>
  <c r="BA151" i="1"/>
  <c r="AZ151" i="1"/>
  <c r="BB151" i="1" s="1"/>
  <c r="BC151" i="1" s="1"/>
  <c r="BD151" i="1" s="1"/>
  <c r="AT151" i="1"/>
  <c r="AU151" i="1" s="1"/>
  <c r="AV151" i="1" s="1"/>
  <c r="AW151" i="1" s="1"/>
  <c r="AX151" i="1" s="1"/>
  <c r="AS151" i="1"/>
  <c r="AN151" i="1"/>
  <c r="AO151" i="1" s="1"/>
  <c r="AP151" i="1" s="1"/>
  <c r="AQ151" i="1" s="1"/>
  <c r="W151" i="1"/>
  <c r="AB151" i="1" s="1"/>
  <c r="AC151" i="1" s="1"/>
  <c r="AD151" i="1" s="1"/>
  <c r="AE151" i="1" s="1"/>
  <c r="V151" i="1"/>
  <c r="CP313" i="1"/>
  <c r="CQ313" i="1" s="1"/>
  <c r="CR313" i="1" s="1"/>
  <c r="CM313" i="1"/>
  <c r="CN313" i="1" s="1"/>
  <c r="CC313" i="1"/>
  <c r="CD313" i="1" s="1"/>
  <c r="CE313" i="1" s="1"/>
  <c r="BV313" i="1"/>
  <c r="BU313" i="1"/>
  <c r="BP313" i="1"/>
  <c r="BQ313" i="1" s="1"/>
  <c r="BR313" i="1" s="1"/>
  <c r="BJ313" i="1"/>
  <c r="BH313" i="1"/>
  <c r="BI313" i="1" s="1"/>
  <c r="BA313" i="1"/>
  <c r="BB313" i="1" s="1"/>
  <c r="BC313" i="1" s="1"/>
  <c r="BD313" i="1" s="1"/>
  <c r="AS313" i="1"/>
  <c r="AT313" i="1" s="1"/>
  <c r="AU313" i="1" s="1"/>
  <c r="AV313" i="1" s="1"/>
  <c r="AW313" i="1" s="1"/>
  <c r="AX313" i="1" s="1"/>
  <c r="AO313" i="1"/>
  <c r="AP313" i="1" s="1"/>
  <c r="AQ313" i="1" s="1"/>
  <c r="AN313" i="1"/>
  <c r="AA313" i="1"/>
  <c r="Z313" i="1"/>
  <c r="V313" i="1"/>
  <c r="CP24" i="1"/>
  <c r="CQ24" i="1" s="1"/>
  <c r="CR24" i="1" s="1"/>
  <c r="CM24" i="1"/>
  <c r="CN24" i="1" s="1"/>
  <c r="CH24" i="1"/>
  <c r="CI24" i="1" s="1"/>
  <c r="CJ24" i="1" s="1"/>
  <c r="BU24" i="1"/>
  <c r="BV24" i="1" s="1"/>
  <c r="BP24" i="1"/>
  <c r="BQ24" i="1" s="1"/>
  <c r="BR24" i="1" s="1"/>
  <c r="BJ24" i="1"/>
  <c r="BE24" i="1"/>
  <c r="BH24" i="1" s="1"/>
  <c r="BI24" i="1" s="1"/>
  <c r="BA24" i="1"/>
  <c r="AZ24" i="1"/>
  <c r="AS24" i="1"/>
  <c r="AT24" i="1" s="1"/>
  <c r="AU24" i="1" s="1"/>
  <c r="AV24" i="1" s="1"/>
  <c r="AW24" i="1" s="1"/>
  <c r="AX24" i="1" s="1"/>
  <c r="AN24" i="1"/>
  <c r="AO24" i="1" s="1"/>
  <c r="AP24" i="1" s="1"/>
  <c r="AQ24" i="1" s="1"/>
  <c r="W24" i="1"/>
  <c r="V24" i="1"/>
  <c r="CP33" i="1"/>
  <c r="CQ33" i="1" s="1"/>
  <c r="CR33" i="1" s="1"/>
  <c r="CM33" i="1"/>
  <c r="CN33" i="1" s="1"/>
  <c r="CE33" i="1"/>
  <c r="CC33" i="1"/>
  <c r="CD33" i="1" s="1"/>
  <c r="BU33" i="1"/>
  <c r="BV33" i="1" s="1"/>
  <c r="BP33" i="1"/>
  <c r="BQ33" i="1" s="1"/>
  <c r="BR33" i="1" s="1"/>
  <c r="BJ33" i="1"/>
  <c r="BH33" i="1"/>
  <c r="BI33" i="1" s="1"/>
  <c r="BA33" i="1"/>
  <c r="BB33" i="1" s="1"/>
  <c r="BC33" i="1" s="1"/>
  <c r="BD33" i="1" s="1"/>
  <c r="AS33" i="1"/>
  <c r="AT33" i="1" s="1"/>
  <c r="AU33" i="1" s="1"/>
  <c r="AV33" i="1" s="1"/>
  <c r="AW33" i="1" s="1"/>
  <c r="AX33" i="1" s="1"/>
  <c r="AN33" i="1"/>
  <c r="AO33" i="1" s="1"/>
  <c r="AP33" i="1" s="1"/>
  <c r="AQ33" i="1" s="1"/>
  <c r="AF33" i="1"/>
  <c r="AB33" i="1"/>
  <c r="AC33" i="1" s="1"/>
  <c r="AD33" i="1" s="1"/>
  <c r="AE33" i="1" s="1"/>
  <c r="W33" i="1"/>
  <c r="AG33" i="1" s="1"/>
  <c r="CP139" i="1"/>
  <c r="CQ139" i="1" s="1"/>
  <c r="CR139" i="1" s="1"/>
  <c r="CM139" i="1"/>
  <c r="CN139" i="1" s="1"/>
  <c r="CC139" i="1"/>
  <c r="CD139" i="1" s="1"/>
  <c r="CE139" i="1" s="1"/>
  <c r="BU139" i="1"/>
  <c r="BV139" i="1" s="1"/>
  <c r="BP139" i="1"/>
  <c r="BQ139" i="1" s="1"/>
  <c r="BR139" i="1" s="1"/>
  <c r="BJ139" i="1"/>
  <c r="BH139" i="1"/>
  <c r="BI139" i="1" s="1"/>
  <c r="BA139" i="1"/>
  <c r="AZ139" i="1"/>
  <c r="AS139" i="1"/>
  <c r="AT139" i="1" s="1"/>
  <c r="AU139" i="1" s="1"/>
  <c r="AV139" i="1" s="1"/>
  <c r="AW139" i="1" s="1"/>
  <c r="AX139" i="1" s="1"/>
  <c r="AN139" i="1"/>
  <c r="AO139" i="1" s="1"/>
  <c r="AP139" i="1" s="1"/>
  <c r="AQ139" i="1" s="1"/>
  <c r="V139" i="1"/>
  <c r="CP214" i="1"/>
  <c r="CQ214" i="1" s="1"/>
  <c r="CR214" i="1" s="1"/>
  <c r="CM214" i="1"/>
  <c r="CN214" i="1" s="1"/>
  <c r="CC214" i="1"/>
  <c r="CD214" i="1" s="1"/>
  <c r="CE214" i="1" s="1"/>
  <c r="BU214" i="1"/>
  <c r="BV214" i="1" s="1"/>
  <c r="BP214" i="1"/>
  <c r="BQ214" i="1" s="1"/>
  <c r="BR214" i="1" s="1"/>
  <c r="BJ214" i="1"/>
  <c r="BH214" i="1"/>
  <c r="BI214" i="1" s="1"/>
  <c r="BA214" i="1"/>
  <c r="AZ214" i="1"/>
  <c r="AS214" i="1"/>
  <c r="AT214" i="1" s="1"/>
  <c r="AU214" i="1" s="1"/>
  <c r="AV214" i="1" s="1"/>
  <c r="AW214" i="1" s="1"/>
  <c r="AX214" i="1" s="1"/>
  <c r="AN214" i="1"/>
  <c r="AO214" i="1" s="1"/>
  <c r="AP214" i="1" s="1"/>
  <c r="AQ214" i="1" s="1"/>
  <c r="Z214" i="1"/>
  <c r="W214" i="1"/>
  <c r="V214" i="1"/>
  <c r="CO247" i="1"/>
  <c r="CP247" i="1" s="1"/>
  <c r="CQ247" i="1" s="1"/>
  <c r="CR247" i="1" s="1"/>
  <c r="CM247" i="1"/>
  <c r="CN247" i="1" s="1"/>
  <c r="CD247" i="1"/>
  <c r="CE247" i="1" s="1"/>
  <c r="CC247" i="1"/>
  <c r="BU247" i="1"/>
  <c r="BV247" i="1" s="1"/>
  <c r="BP247" i="1"/>
  <c r="BQ247" i="1" s="1"/>
  <c r="BR247" i="1" s="1"/>
  <c r="BJ247" i="1"/>
  <c r="BH247" i="1"/>
  <c r="BI247" i="1" s="1"/>
  <c r="BA247" i="1"/>
  <c r="BB247" i="1" s="1"/>
  <c r="BC247" i="1" s="1"/>
  <c r="BD247" i="1" s="1"/>
  <c r="AZ247" i="1"/>
  <c r="AS247" i="1"/>
  <c r="AT247" i="1" s="1"/>
  <c r="AU247" i="1" s="1"/>
  <c r="AV247" i="1" s="1"/>
  <c r="AW247" i="1" s="1"/>
  <c r="AX247" i="1" s="1"/>
  <c r="AN247" i="1"/>
  <c r="AO247" i="1" s="1"/>
  <c r="AP247" i="1" s="1"/>
  <c r="AQ247" i="1" s="1"/>
  <c r="V247" i="1"/>
  <c r="AB247" i="1" s="1"/>
  <c r="AC247" i="1" s="1"/>
  <c r="AD247" i="1" s="1"/>
  <c r="AE247" i="1" s="1"/>
  <c r="U247" i="1"/>
  <c r="CP131" i="1"/>
  <c r="CQ131" i="1" s="1"/>
  <c r="CR131" i="1" s="1"/>
  <c r="CM131" i="1"/>
  <c r="CN131" i="1" s="1"/>
  <c r="CC131" i="1"/>
  <c r="CD131" i="1" s="1"/>
  <c r="CE131" i="1" s="1"/>
  <c r="BU131" i="1"/>
  <c r="BV131" i="1" s="1"/>
  <c r="BO131" i="1"/>
  <c r="BP131" i="1" s="1"/>
  <c r="BQ131" i="1" s="1"/>
  <c r="BR131" i="1" s="1"/>
  <c r="BJ131" i="1"/>
  <c r="BH131" i="1"/>
  <c r="BI131" i="1" s="1"/>
  <c r="BA131" i="1"/>
  <c r="BB131" i="1" s="1"/>
  <c r="BC131" i="1" s="1"/>
  <c r="BD131" i="1" s="1"/>
  <c r="AS131" i="1"/>
  <c r="AT131" i="1" s="1"/>
  <c r="AU131" i="1" s="1"/>
  <c r="AV131" i="1" s="1"/>
  <c r="AW131" i="1" s="1"/>
  <c r="AX131" i="1" s="1"/>
  <c r="AN131" i="1"/>
  <c r="AO131" i="1" s="1"/>
  <c r="AP131" i="1" s="1"/>
  <c r="AQ131" i="1" s="1"/>
  <c r="W131" i="1"/>
  <c r="V131" i="1"/>
  <c r="CP248" i="1"/>
  <c r="CQ248" i="1" s="1"/>
  <c r="CR248" i="1" s="1"/>
  <c r="CM248" i="1"/>
  <c r="CN248" i="1" s="1"/>
  <c r="CC248" i="1"/>
  <c r="CD248" i="1" s="1"/>
  <c r="CE248" i="1" s="1"/>
  <c r="BU248" i="1"/>
  <c r="BV248" i="1" s="1"/>
  <c r="BR248" i="1"/>
  <c r="BP248" i="1"/>
  <c r="BQ248" i="1" s="1"/>
  <c r="BJ248" i="1"/>
  <c r="BH248" i="1"/>
  <c r="BI248" i="1" s="1"/>
  <c r="BA248" i="1"/>
  <c r="AZ248" i="1"/>
  <c r="AS248" i="1"/>
  <c r="AT248" i="1" s="1"/>
  <c r="AU248" i="1" s="1"/>
  <c r="AV248" i="1" s="1"/>
  <c r="AW248" i="1" s="1"/>
  <c r="AX248" i="1" s="1"/>
  <c r="AN248" i="1"/>
  <c r="AO248" i="1" s="1"/>
  <c r="AP248" i="1" s="1"/>
  <c r="AQ248" i="1" s="1"/>
  <c r="AF248" i="1"/>
  <c r="W248" i="1"/>
  <c r="AG248" i="1" s="1"/>
  <c r="V248" i="1"/>
  <c r="U248" i="1"/>
  <c r="CP284" i="1"/>
  <c r="CQ284" i="1" s="1"/>
  <c r="CR284" i="1" s="1"/>
  <c r="CM284" i="1"/>
  <c r="CN284" i="1" s="1"/>
  <c r="CD284" i="1"/>
  <c r="CE284" i="1" s="1"/>
  <c r="CC284" i="1"/>
  <c r="BU284" i="1"/>
  <c r="BV284" i="1" s="1"/>
  <c r="BP284" i="1"/>
  <c r="BQ284" i="1" s="1"/>
  <c r="BR284" i="1" s="1"/>
  <c r="BJ284" i="1"/>
  <c r="BH284" i="1"/>
  <c r="BI284" i="1" s="1"/>
  <c r="BA284" i="1"/>
  <c r="AZ284" i="1"/>
  <c r="AS284" i="1"/>
  <c r="AT284" i="1" s="1"/>
  <c r="AU284" i="1" s="1"/>
  <c r="AV284" i="1" s="1"/>
  <c r="AW284" i="1" s="1"/>
  <c r="AX284" i="1" s="1"/>
  <c r="AN284" i="1"/>
  <c r="AO284" i="1" s="1"/>
  <c r="AP284" i="1" s="1"/>
  <c r="AQ284" i="1" s="1"/>
  <c r="AF284" i="1"/>
  <c r="W284" i="1"/>
  <c r="CP239" i="1"/>
  <c r="CQ239" i="1" s="1"/>
  <c r="CR239" i="1" s="1"/>
  <c r="CN239" i="1"/>
  <c r="CM239" i="1"/>
  <c r="CC239" i="1"/>
  <c r="CD239" i="1" s="1"/>
  <c r="CE239" i="1" s="1"/>
  <c r="BT239" i="1"/>
  <c r="BU239" i="1" s="1"/>
  <c r="BV239" i="1" s="1"/>
  <c r="BP239" i="1"/>
  <c r="BQ239" i="1" s="1"/>
  <c r="BR239" i="1" s="1"/>
  <c r="BJ239" i="1"/>
  <c r="BH239" i="1"/>
  <c r="BI239" i="1" s="1"/>
  <c r="BA239" i="1"/>
  <c r="BB239" i="1" s="1"/>
  <c r="BC239" i="1" s="1"/>
  <c r="BD239" i="1" s="1"/>
  <c r="AT239" i="1"/>
  <c r="AU239" i="1" s="1"/>
  <c r="AV239" i="1" s="1"/>
  <c r="AW239" i="1" s="1"/>
  <c r="AX239" i="1" s="1"/>
  <c r="AS239" i="1"/>
  <c r="AN239" i="1"/>
  <c r="AO239" i="1" s="1"/>
  <c r="AP239" i="1" s="1"/>
  <c r="AQ239" i="1" s="1"/>
  <c r="AB239" i="1"/>
  <c r="AC239" i="1" s="1"/>
  <c r="AD239" i="1" s="1"/>
  <c r="AE239" i="1" s="1"/>
  <c r="V239" i="1"/>
  <c r="AG239" i="1" s="1"/>
  <c r="CO303" i="1"/>
  <c r="CP303" i="1" s="1"/>
  <c r="CQ303" i="1" s="1"/>
  <c r="CR303" i="1" s="1"/>
  <c r="CM303" i="1"/>
  <c r="CN303" i="1" s="1"/>
  <c r="CC303" i="1"/>
  <c r="CD303" i="1" s="1"/>
  <c r="CE303" i="1" s="1"/>
  <c r="BV303" i="1"/>
  <c r="BU303" i="1"/>
  <c r="BP303" i="1"/>
  <c r="BQ303" i="1" s="1"/>
  <c r="BR303" i="1" s="1"/>
  <c r="BJ303" i="1"/>
  <c r="BH303" i="1"/>
  <c r="BI303" i="1" s="1"/>
  <c r="BA303" i="1"/>
  <c r="BB303" i="1" s="1"/>
  <c r="BC303" i="1" s="1"/>
  <c r="BD303" i="1" s="1"/>
  <c r="AS303" i="1"/>
  <c r="AT303" i="1" s="1"/>
  <c r="AU303" i="1" s="1"/>
  <c r="AV303" i="1" s="1"/>
  <c r="AW303" i="1" s="1"/>
  <c r="AX303" i="1" s="1"/>
  <c r="AN303" i="1"/>
  <c r="AO303" i="1" s="1"/>
  <c r="AP303" i="1" s="1"/>
  <c r="AQ303" i="1" s="1"/>
  <c r="AG303" i="1"/>
  <c r="W303" i="1"/>
  <c r="V303" i="1"/>
  <c r="U303" i="1"/>
  <c r="CO294" i="1"/>
  <c r="CP294" i="1" s="1"/>
  <c r="CQ294" i="1" s="1"/>
  <c r="CR294" i="1" s="1"/>
  <c r="CM294" i="1"/>
  <c r="CN294" i="1" s="1"/>
  <c r="CC294" i="1"/>
  <c r="CD294" i="1" s="1"/>
  <c r="CE294" i="1" s="1"/>
  <c r="BS294" i="1"/>
  <c r="BU294" i="1" s="1"/>
  <c r="BV294" i="1" s="1"/>
  <c r="BO294" i="1"/>
  <c r="BP294" i="1" s="1"/>
  <c r="BQ294" i="1" s="1"/>
  <c r="BR294" i="1" s="1"/>
  <c r="BJ294" i="1"/>
  <c r="BG294" i="1"/>
  <c r="BF294" i="1"/>
  <c r="BE294" i="1"/>
  <c r="BA294" i="1"/>
  <c r="BB294" i="1" s="1"/>
  <c r="BC294" i="1" s="1"/>
  <c r="BD294" i="1" s="1"/>
  <c r="AS294" i="1"/>
  <c r="AT294" i="1" s="1"/>
  <c r="AU294" i="1" s="1"/>
  <c r="AV294" i="1" s="1"/>
  <c r="AW294" i="1" s="1"/>
  <c r="AX294" i="1" s="1"/>
  <c r="AO294" i="1"/>
  <c r="AP294" i="1" s="1"/>
  <c r="AQ294" i="1" s="1"/>
  <c r="AN294" i="1"/>
  <c r="V294" i="1"/>
  <c r="U294" i="1"/>
  <c r="CP49" i="1"/>
  <c r="CQ49" i="1" s="1"/>
  <c r="CR49" i="1" s="1"/>
  <c r="CM49" i="1"/>
  <c r="CN49" i="1" s="1"/>
  <c r="CC49" i="1"/>
  <c r="CD49" i="1" s="1"/>
  <c r="CE49" i="1" s="1"/>
  <c r="BU49" i="1"/>
  <c r="BV49" i="1" s="1"/>
  <c r="BP49" i="1"/>
  <c r="BQ49" i="1" s="1"/>
  <c r="BR49" i="1" s="1"/>
  <c r="BJ49" i="1"/>
  <c r="BH49" i="1"/>
  <c r="BI49" i="1" s="1"/>
  <c r="BA49" i="1"/>
  <c r="BB49" i="1" s="1"/>
  <c r="BC49" i="1" s="1"/>
  <c r="BD49" i="1" s="1"/>
  <c r="AS49" i="1"/>
  <c r="AT49" i="1" s="1"/>
  <c r="AU49" i="1" s="1"/>
  <c r="AV49" i="1" s="1"/>
  <c r="AW49" i="1" s="1"/>
  <c r="AX49" i="1" s="1"/>
  <c r="AN49" i="1"/>
  <c r="AO49" i="1" s="1"/>
  <c r="AP49" i="1" s="1"/>
  <c r="AQ49" i="1" s="1"/>
  <c r="V49" i="1"/>
  <c r="AB49" i="1" s="1"/>
  <c r="AC49" i="1" s="1"/>
  <c r="AD49" i="1" s="1"/>
  <c r="AE49" i="1" s="1"/>
  <c r="CO252" i="1"/>
  <c r="CP252" i="1" s="1"/>
  <c r="CQ252" i="1" s="1"/>
  <c r="CR252" i="1" s="1"/>
  <c r="CM252" i="1"/>
  <c r="CN252" i="1" s="1"/>
  <c r="CC252" i="1"/>
  <c r="CD252" i="1" s="1"/>
  <c r="CE252" i="1" s="1"/>
  <c r="BU252" i="1"/>
  <c r="BV252" i="1" s="1"/>
  <c r="BQ252" i="1"/>
  <c r="BR252" i="1" s="1"/>
  <c r="BP252" i="1"/>
  <c r="BJ252" i="1"/>
  <c r="BH252" i="1"/>
  <c r="BI252" i="1" s="1"/>
  <c r="BA252" i="1"/>
  <c r="BB252" i="1" s="1"/>
  <c r="BC252" i="1" s="1"/>
  <c r="BD252" i="1" s="1"/>
  <c r="AS252" i="1"/>
  <c r="AT252" i="1" s="1"/>
  <c r="AU252" i="1" s="1"/>
  <c r="AV252" i="1" s="1"/>
  <c r="AW252" i="1" s="1"/>
  <c r="AX252" i="1" s="1"/>
  <c r="AN252" i="1"/>
  <c r="AO252" i="1" s="1"/>
  <c r="AP252" i="1" s="1"/>
  <c r="AQ252" i="1" s="1"/>
  <c r="AF252" i="1"/>
  <c r="W252" i="1"/>
  <c r="AG252" i="1" s="1"/>
  <c r="AH252" i="1" s="1"/>
  <c r="AI252" i="1" s="1"/>
  <c r="AJ252" i="1" s="1"/>
  <c r="CO208" i="1"/>
  <c r="CP208" i="1" s="1"/>
  <c r="CQ208" i="1" s="1"/>
  <c r="CR208" i="1" s="1"/>
  <c r="CM208" i="1"/>
  <c r="CN208" i="1" s="1"/>
  <c r="CC208" i="1"/>
  <c r="CD208" i="1" s="1"/>
  <c r="CE208" i="1" s="1"/>
  <c r="BU208" i="1"/>
  <c r="BV208" i="1" s="1"/>
  <c r="BP208" i="1"/>
  <c r="BQ208" i="1" s="1"/>
  <c r="BR208" i="1" s="1"/>
  <c r="BJ208" i="1"/>
  <c r="BH208" i="1"/>
  <c r="BI208" i="1" s="1"/>
  <c r="BA208" i="1"/>
  <c r="BB208" i="1" s="1"/>
  <c r="BC208" i="1" s="1"/>
  <c r="BD208" i="1" s="1"/>
  <c r="AS208" i="1"/>
  <c r="AT208" i="1" s="1"/>
  <c r="AU208" i="1" s="1"/>
  <c r="AV208" i="1" s="1"/>
  <c r="AW208" i="1" s="1"/>
  <c r="AX208" i="1" s="1"/>
  <c r="AN208" i="1"/>
  <c r="AO208" i="1" s="1"/>
  <c r="AP208" i="1" s="1"/>
  <c r="AQ208" i="1" s="1"/>
  <c r="Z208" i="1"/>
  <c r="W208" i="1"/>
  <c r="V208" i="1"/>
  <c r="AG208" i="1" s="1"/>
  <c r="CP132" i="1"/>
  <c r="CQ132" i="1" s="1"/>
  <c r="CR132" i="1" s="1"/>
  <c r="CM132" i="1"/>
  <c r="CN132" i="1" s="1"/>
  <c r="CC132" i="1"/>
  <c r="CD132" i="1" s="1"/>
  <c r="CE132" i="1" s="1"/>
  <c r="BU132" i="1"/>
  <c r="BV132" i="1" s="1"/>
  <c r="BQ132" i="1"/>
  <c r="BR132" i="1" s="1"/>
  <c r="BP132" i="1"/>
  <c r="BJ132" i="1"/>
  <c r="BH132" i="1"/>
  <c r="BI132" i="1" s="1"/>
  <c r="BA132" i="1"/>
  <c r="BB132" i="1" s="1"/>
  <c r="BC132" i="1" s="1"/>
  <c r="BD132" i="1" s="1"/>
  <c r="AS132" i="1"/>
  <c r="AT132" i="1" s="1"/>
  <c r="AU132" i="1" s="1"/>
  <c r="AV132" i="1" s="1"/>
  <c r="AW132" i="1" s="1"/>
  <c r="AX132" i="1" s="1"/>
  <c r="AN132" i="1"/>
  <c r="AO132" i="1" s="1"/>
  <c r="AP132" i="1" s="1"/>
  <c r="AQ132" i="1" s="1"/>
  <c r="W132" i="1"/>
  <c r="V132" i="1"/>
  <c r="CP18" i="1"/>
  <c r="CQ18" i="1" s="1"/>
  <c r="CR18" i="1" s="1"/>
  <c r="CM18" i="1"/>
  <c r="CN18" i="1" s="1"/>
  <c r="CI18" i="1"/>
  <c r="CJ18" i="1" s="1"/>
  <c r="BU18" i="1"/>
  <c r="BV18" i="1" s="1"/>
  <c r="BP18" i="1"/>
  <c r="BQ18" i="1" s="1"/>
  <c r="BR18" i="1" s="1"/>
  <c r="BJ18" i="1"/>
  <c r="BH18" i="1"/>
  <c r="BI18" i="1" s="1"/>
  <c r="BA18" i="1"/>
  <c r="AZ18" i="1"/>
  <c r="AS18" i="1"/>
  <c r="AT18" i="1" s="1"/>
  <c r="AU18" i="1" s="1"/>
  <c r="AV18" i="1" s="1"/>
  <c r="AW18" i="1" s="1"/>
  <c r="AX18" i="1" s="1"/>
  <c r="AN18" i="1"/>
  <c r="AO18" i="1" s="1"/>
  <c r="AP18" i="1" s="1"/>
  <c r="AQ18" i="1" s="1"/>
  <c r="W18" i="1"/>
  <c r="V18" i="1"/>
  <c r="U18" i="1"/>
  <c r="AG18" i="1" s="1"/>
  <c r="CP253" i="1"/>
  <c r="CQ253" i="1" s="1"/>
  <c r="CR253" i="1" s="1"/>
  <c r="CM253" i="1"/>
  <c r="CN253" i="1" s="1"/>
  <c r="CC253" i="1"/>
  <c r="CD253" i="1" s="1"/>
  <c r="CE253" i="1" s="1"/>
  <c r="BU253" i="1"/>
  <c r="BV253" i="1" s="1"/>
  <c r="BP253" i="1"/>
  <c r="BQ253" i="1" s="1"/>
  <c r="BR253" i="1" s="1"/>
  <c r="BJ253" i="1"/>
  <c r="BH253" i="1"/>
  <c r="BI253" i="1" s="1"/>
  <c r="BA253" i="1"/>
  <c r="AZ253" i="1"/>
  <c r="AW253" i="1"/>
  <c r="AX253" i="1" s="1"/>
  <c r="AS253" i="1"/>
  <c r="AT253" i="1" s="1"/>
  <c r="AU253" i="1" s="1"/>
  <c r="AV253" i="1" s="1"/>
  <c r="AN253" i="1"/>
  <c r="AO253" i="1" s="1"/>
  <c r="AP253" i="1" s="1"/>
  <c r="AQ253" i="1" s="1"/>
  <c r="AG253" i="1"/>
  <c r="AB253" i="1"/>
  <c r="AC253" i="1" s="1"/>
  <c r="AD253" i="1" s="1"/>
  <c r="AE253" i="1" s="1"/>
  <c r="AA253" i="1"/>
  <c r="AF253" i="1" s="1"/>
  <c r="Z253" i="1"/>
  <c r="CP103" i="1"/>
  <c r="CQ103" i="1" s="1"/>
  <c r="CR103" i="1" s="1"/>
  <c r="CM103" i="1"/>
  <c r="CN103" i="1" s="1"/>
  <c r="CC103" i="1"/>
  <c r="CD103" i="1" s="1"/>
  <c r="CE103" i="1" s="1"/>
  <c r="BU103" i="1"/>
  <c r="BV103" i="1" s="1"/>
  <c r="BP103" i="1"/>
  <c r="BQ103" i="1" s="1"/>
  <c r="BR103" i="1" s="1"/>
  <c r="BJ103" i="1"/>
  <c r="BH103" i="1"/>
  <c r="BI103" i="1" s="1"/>
  <c r="BA103" i="1"/>
  <c r="AZ103" i="1"/>
  <c r="AS103" i="1"/>
  <c r="AT103" i="1" s="1"/>
  <c r="AU103" i="1" s="1"/>
  <c r="AV103" i="1" s="1"/>
  <c r="AW103" i="1" s="1"/>
  <c r="AX103" i="1" s="1"/>
  <c r="AN103" i="1"/>
  <c r="AO103" i="1" s="1"/>
  <c r="AP103" i="1" s="1"/>
  <c r="AQ103" i="1" s="1"/>
  <c r="W103" i="1"/>
  <c r="U103" i="1"/>
  <c r="CP95" i="1"/>
  <c r="CQ95" i="1" s="1"/>
  <c r="CR95" i="1" s="1"/>
  <c r="CM95" i="1"/>
  <c r="CN95" i="1" s="1"/>
  <c r="CD95" i="1"/>
  <c r="CE95" i="1" s="1"/>
  <c r="CC95" i="1"/>
  <c r="BU95" i="1"/>
  <c r="BV95" i="1" s="1"/>
  <c r="BP95" i="1"/>
  <c r="BQ95" i="1" s="1"/>
  <c r="BR95" i="1" s="1"/>
  <c r="BJ95" i="1"/>
  <c r="BH95" i="1"/>
  <c r="BI95" i="1" s="1"/>
  <c r="BA95" i="1"/>
  <c r="AZ95" i="1"/>
  <c r="BB95" i="1" s="1"/>
  <c r="BC95" i="1" s="1"/>
  <c r="BD95" i="1" s="1"/>
  <c r="AS95" i="1"/>
  <c r="AT95" i="1" s="1"/>
  <c r="AU95" i="1" s="1"/>
  <c r="AV95" i="1" s="1"/>
  <c r="AW95" i="1" s="1"/>
  <c r="AX95" i="1" s="1"/>
  <c r="AP95" i="1"/>
  <c r="AQ95" i="1" s="1"/>
  <c r="AN95" i="1"/>
  <c r="AO95" i="1" s="1"/>
  <c r="AF95" i="1"/>
  <c r="W95" i="1"/>
  <c r="AG95" i="1" s="1"/>
  <c r="CP315" i="1"/>
  <c r="CQ315" i="1" s="1"/>
  <c r="CR315" i="1" s="1"/>
  <c r="CM315" i="1"/>
  <c r="CN315" i="1" s="1"/>
  <c r="CC315" i="1"/>
  <c r="CD315" i="1" s="1"/>
  <c r="CE315" i="1" s="1"/>
  <c r="BU315" i="1"/>
  <c r="BV315" i="1" s="1"/>
  <c r="BP315" i="1"/>
  <c r="BQ315" i="1" s="1"/>
  <c r="BR315" i="1" s="1"/>
  <c r="BJ315" i="1"/>
  <c r="BH315" i="1"/>
  <c r="BI315" i="1" s="1"/>
  <c r="BA315" i="1"/>
  <c r="BB315" i="1" s="1"/>
  <c r="BC315" i="1" s="1"/>
  <c r="BD315" i="1" s="1"/>
  <c r="AS315" i="1"/>
  <c r="AT315" i="1" s="1"/>
  <c r="AU315" i="1" s="1"/>
  <c r="AV315" i="1" s="1"/>
  <c r="AW315" i="1" s="1"/>
  <c r="AX315" i="1" s="1"/>
  <c r="AN315" i="1"/>
  <c r="AO315" i="1" s="1"/>
  <c r="AP315" i="1" s="1"/>
  <c r="AQ315" i="1" s="1"/>
  <c r="V315" i="1"/>
  <c r="U315" i="1"/>
  <c r="AF315" i="1" s="1"/>
  <c r="CO223" i="1"/>
  <c r="CP223" i="1" s="1"/>
  <c r="CQ223" i="1" s="1"/>
  <c r="CR223" i="1" s="1"/>
  <c r="CM223" i="1"/>
  <c r="CN223" i="1" s="1"/>
  <c r="CC223" i="1"/>
  <c r="CD223" i="1" s="1"/>
  <c r="CE223" i="1" s="1"/>
  <c r="BV223" i="1"/>
  <c r="BU223" i="1"/>
  <c r="BQ223" i="1"/>
  <c r="BR223" i="1" s="1"/>
  <c r="BP223" i="1"/>
  <c r="BJ223" i="1"/>
  <c r="BH223" i="1"/>
  <c r="BI223" i="1" s="1"/>
  <c r="BA223" i="1"/>
  <c r="AZ223" i="1"/>
  <c r="AS223" i="1"/>
  <c r="AT223" i="1" s="1"/>
  <c r="AU223" i="1" s="1"/>
  <c r="AV223" i="1" s="1"/>
  <c r="AW223" i="1" s="1"/>
  <c r="AX223" i="1" s="1"/>
  <c r="AN223" i="1"/>
  <c r="AO223" i="1" s="1"/>
  <c r="AP223" i="1" s="1"/>
  <c r="AQ223" i="1" s="1"/>
  <c r="W223" i="1"/>
  <c r="V223" i="1"/>
  <c r="U223" i="1"/>
  <c r="CP291" i="1"/>
  <c r="CQ291" i="1" s="1"/>
  <c r="CR291" i="1" s="1"/>
  <c r="CM291" i="1"/>
  <c r="CN291" i="1" s="1"/>
  <c r="CC291" i="1"/>
  <c r="CD291" i="1" s="1"/>
  <c r="CE291" i="1" s="1"/>
  <c r="BU291" i="1"/>
  <c r="BV291" i="1" s="1"/>
  <c r="BP291" i="1"/>
  <c r="BQ291" i="1" s="1"/>
  <c r="BR291" i="1" s="1"/>
  <c r="BJ291" i="1"/>
  <c r="BH291" i="1"/>
  <c r="BI291" i="1" s="1"/>
  <c r="BA291" i="1"/>
  <c r="AZ291" i="1"/>
  <c r="AS291" i="1"/>
  <c r="AT291" i="1" s="1"/>
  <c r="AU291" i="1" s="1"/>
  <c r="AV291" i="1" s="1"/>
  <c r="AW291" i="1" s="1"/>
  <c r="AX291" i="1" s="1"/>
  <c r="AN291" i="1"/>
  <c r="AO291" i="1" s="1"/>
  <c r="AP291" i="1" s="1"/>
  <c r="AQ291" i="1" s="1"/>
  <c r="AA291" i="1"/>
  <c r="Z291" i="1"/>
  <c r="V291" i="1"/>
  <c r="CP209" i="1"/>
  <c r="CQ209" i="1" s="1"/>
  <c r="CR209" i="1" s="1"/>
  <c r="CM209" i="1"/>
  <c r="CN209" i="1" s="1"/>
  <c r="CC209" i="1"/>
  <c r="CD209" i="1" s="1"/>
  <c r="CE209" i="1" s="1"/>
  <c r="BU209" i="1"/>
  <c r="BV209" i="1" s="1"/>
  <c r="BP209" i="1"/>
  <c r="BQ209" i="1" s="1"/>
  <c r="BR209" i="1" s="1"/>
  <c r="BJ209" i="1"/>
  <c r="BH209" i="1"/>
  <c r="BI209" i="1" s="1"/>
  <c r="BA209" i="1"/>
  <c r="BB209" i="1" s="1"/>
  <c r="BC209" i="1" s="1"/>
  <c r="BD209" i="1" s="1"/>
  <c r="AS209" i="1"/>
  <c r="AT209" i="1" s="1"/>
  <c r="AU209" i="1" s="1"/>
  <c r="AV209" i="1" s="1"/>
  <c r="AW209" i="1" s="1"/>
  <c r="AX209" i="1" s="1"/>
  <c r="AQ209" i="1"/>
  <c r="AN209" i="1"/>
  <c r="AO209" i="1" s="1"/>
  <c r="AP209" i="1" s="1"/>
  <c r="W209" i="1"/>
  <c r="AG209" i="1" s="1"/>
  <c r="U209" i="1"/>
  <c r="CP255" i="1"/>
  <c r="CQ255" i="1" s="1"/>
  <c r="CR255" i="1" s="1"/>
  <c r="CM255" i="1"/>
  <c r="CN255" i="1" s="1"/>
  <c r="CC255" i="1"/>
  <c r="CD255" i="1" s="1"/>
  <c r="CE255" i="1" s="1"/>
  <c r="BU255" i="1"/>
  <c r="BV255" i="1" s="1"/>
  <c r="BP255" i="1"/>
  <c r="BQ255" i="1" s="1"/>
  <c r="BR255" i="1" s="1"/>
  <c r="BJ255" i="1"/>
  <c r="BH255" i="1"/>
  <c r="BI255" i="1" s="1"/>
  <c r="BA255" i="1"/>
  <c r="BB255" i="1" s="1"/>
  <c r="BC255" i="1" s="1"/>
  <c r="BD255" i="1" s="1"/>
  <c r="AS255" i="1"/>
  <c r="AT255" i="1" s="1"/>
  <c r="AU255" i="1" s="1"/>
  <c r="AV255" i="1" s="1"/>
  <c r="AW255" i="1" s="1"/>
  <c r="AX255" i="1" s="1"/>
  <c r="AN255" i="1"/>
  <c r="AO255" i="1" s="1"/>
  <c r="AP255" i="1" s="1"/>
  <c r="AQ255" i="1" s="1"/>
  <c r="W255" i="1"/>
  <c r="V255" i="1"/>
  <c r="U255" i="1"/>
  <c r="CP267" i="1"/>
  <c r="CQ267" i="1" s="1"/>
  <c r="CR267" i="1" s="1"/>
  <c r="CM267" i="1"/>
  <c r="CN267" i="1" s="1"/>
  <c r="CC267" i="1"/>
  <c r="CD267" i="1" s="1"/>
  <c r="CE267" i="1" s="1"/>
  <c r="BU267" i="1"/>
  <c r="BV267" i="1" s="1"/>
  <c r="BO267" i="1"/>
  <c r="BP267" i="1" s="1"/>
  <c r="BQ267" i="1" s="1"/>
  <c r="BR267" i="1" s="1"/>
  <c r="BJ267" i="1"/>
  <c r="BH267" i="1"/>
  <c r="BI267" i="1" s="1"/>
  <c r="AY267" i="1"/>
  <c r="BA267" i="1" s="1"/>
  <c r="BB267" i="1" s="1"/>
  <c r="BC267" i="1" s="1"/>
  <c r="BD267" i="1" s="1"/>
  <c r="AS267" i="1"/>
  <c r="AT267" i="1" s="1"/>
  <c r="AU267" i="1" s="1"/>
  <c r="AV267" i="1" s="1"/>
  <c r="AW267" i="1" s="1"/>
  <c r="AX267" i="1" s="1"/>
  <c r="AN267" i="1"/>
  <c r="AO267" i="1" s="1"/>
  <c r="AP267" i="1" s="1"/>
  <c r="AQ267" i="1" s="1"/>
  <c r="W267" i="1"/>
  <c r="V267" i="1"/>
  <c r="U267" i="1"/>
  <c r="CP156" i="1"/>
  <c r="CQ156" i="1" s="1"/>
  <c r="CR156" i="1" s="1"/>
  <c r="CM156" i="1"/>
  <c r="CN156" i="1" s="1"/>
  <c r="CD156" i="1"/>
  <c r="CE156" i="1" s="1"/>
  <c r="CC156" i="1"/>
  <c r="BU156" i="1"/>
  <c r="BV156" i="1" s="1"/>
  <c r="BP156" i="1"/>
  <c r="BQ156" i="1" s="1"/>
  <c r="BR156" i="1" s="1"/>
  <c r="BJ156" i="1"/>
  <c r="BH156" i="1"/>
  <c r="BI156" i="1" s="1"/>
  <c r="BA156" i="1"/>
  <c r="AZ156" i="1"/>
  <c r="AS156" i="1"/>
  <c r="AT156" i="1" s="1"/>
  <c r="AU156" i="1" s="1"/>
  <c r="AV156" i="1" s="1"/>
  <c r="AW156" i="1" s="1"/>
  <c r="AX156" i="1" s="1"/>
  <c r="AP156" i="1"/>
  <c r="AQ156" i="1" s="1"/>
  <c r="AN156" i="1"/>
  <c r="AO156" i="1" s="1"/>
  <c r="W156" i="1"/>
  <c r="V156" i="1"/>
  <c r="AF156" i="1" s="1"/>
  <c r="CQ117" i="1"/>
  <c r="CR117" i="1" s="1"/>
  <c r="CP117" i="1"/>
  <c r="CM117" i="1"/>
  <c r="CN117" i="1" s="1"/>
  <c r="CC117" i="1"/>
  <c r="CD117" i="1" s="1"/>
  <c r="CE117" i="1" s="1"/>
  <c r="BU117" i="1"/>
  <c r="BV117" i="1" s="1"/>
  <c r="BP117" i="1"/>
  <c r="BQ117" i="1" s="1"/>
  <c r="BR117" i="1" s="1"/>
  <c r="BJ117" i="1"/>
  <c r="BF117" i="1"/>
  <c r="BE117" i="1" s="1"/>
  <c r="BH117" i="1" s="1"/>
  <c r="BI117" i="1" s="1"/>
  <c r="AZ117" i="1"/>
  <c r="BB117" i="1" s="1"/>
  <c r="BC117" i="1" s="1"/>
  <c r="BD117" i="1" s="1"/>
  <c r="AY117" i="1"/>
  <c r="BA117" i="1" s="1"/>
  <c r="AS117" i="1"/>
  <c r="AT117" i="1" s="1"/>
  <c r="AU117" i="1" s="1"/>
  <c r="AV117" i="1" s="1"/>
  <c r="AW117" i="1" s="1"/>
  <c r="AX117" i="1" s="1"/>
  <c r="AN117" i="1"/>
  <c r="AO117" i="1" s="1"/>
  <c r="AP117" i="1" s="1"/>
  <c r="AQ117" i="1" s="1"/>
  <c r="W117" i="1"/>
  <c r="V117" i="1"/>
  <c r="CP273" i="1"/>
  <c r="CQ273" i="1" s="1"/>
  <c r="CR273" i="1" s="1"/>
  <c r="CM273" i="1"/>
  <c r="CN273" i="1" s="1"/>
  <c r="CC273" i="1"/>
  <c r="CD273" i="1" s="1"/>
  <c r="CE273" i="1" s="1"/>
  <c r="BU273" i="1"/>
  <c r="BV273" i="1" s="1"/>
  <c r="BP273" i="1"/>
  <c r="BQ273" i="1" s="1"/>
  <c r="BR273" i="1" s="1"/>
  <c r="BJ273" i="1"/>
  <c r="BH273" i="1"/>
  <c r="BI273" i="1" s="1"/>
  <c r="BA273" i="1"/>
  <c r="BB273" i="1" s="1"/>
  <c r="BC273" i="1" s="1"/>
  <c r="BD273" i="1" s="1"/>
  <c r="AS273" i="1"/>
  <c r="AT273" i="1" s="1"/>
  <c r="AU273" i="1" s="1"/>
  <c r="AV273" i="1" s="1"/>
  <c r="AW273" i="1" s="1"/>
  <c r="AX273" i="1" s="1"/>
  <c r="AN273" i="1"/>
  <c r="AO273" i="1" s="1"/>
  <c r="AP273" i="1" s="1"/>
  <c r="AQ273" i="1" s="1"/>
  <c r="AG273" i="1"/>
  <c r="AH273" i="1" s="1"/>
  <c r="AI273" i="1" s="1"/>
  <c r="AJ273" i="1" s="1"/>
  <c r="AF273" i="1"/>
  <c r="W273" i="1"/>
  <c r="AB273" i="1" s="1"/>
  <c r="AC273" i="1" s="1"/>
  <c r="AD273" i="1" s="1"/>
  <c r="AE273" i="1" s="1"/>
  <c r="U273" i="1"/>
  <c r="CO163" i="1"/>
  <c r="CP163" i="1" s="1"/>
  <c r="CQ163" i="1" s="1"/>
  <c r="CR163" i="1" s="1"/>
  <c r="CM163" i="1"/>
  <c r="CN163" i="1" s="1"/>
  <c r="CC163" i="1"/>
  <c r="CD163" i="1" s="1"/>
  <c r="CE163" i="1" s="1"/>
  <c r="BU163" i="1"/>
  <c r="BV163" i="1" s="1"/>
  <c r="BO163" i="1"/>
  <c r="BP163" i="1" s="1"/>
  <c r="BQ163" i="1" s="1"/>
  <c r="BR163" i="1" s="1"/>
  <c r="BJ163" i="1"/>
  <c r="BH163" i="1"/>
  <c r="BI163" i="1" s="1"/>
  <c r="BA163" i="1"/>
  <c r="AZ163" i="1"/>
  <c r="AT163" i="1"/>
  <c r="AU163" i="1" s="1"/>
  <c r="AV163" i="1" s="1"/>
  <c r="AW163" i="1" s="1"/>
  <c r="AX163" i="1" s="1"/>
  <c r="AS163" i="1"/>
  <c r="AN163" i="1"/>
  <c r="AO163" i="1" s="1"/>
  <c r="AP163" i="1" s="1"/>
  <c r="AQ163" i="1" s="1"/>
  <c r="W163" i="1"/>
  <c r="V163" i="1"/>
  <c r="U163" i="1"/>
  <c r="CP217" i="1"/>
  <c r="CQ217" i="1" s="1"/>
  <c r="CR217" i="1" s="1"/>
  <c r="CM217" i="1"/>
  <c r="CN217" i="1" s="1"/>
  <c r="CC217" i="1"/>
  <c r="CD217" i="1" s="1"/>
  <c r="CE217" i="1" s="1"/>
  <c r="BU217" i="1"/>
  <c r="BV217" i="1" s="1"/>
  <c r="BP217" i="1"/>
  <c r="BQ217" i="1" s="1"/>
  <c r="BR217" i="1" s="1"/>
  <c r="BJ217" i="1"/>
  <c r="BH217" i="1"/>
  <c r="BI217" i="1" s="1"/>
  <c r="BA217" i="1"/>
  <c r="BB217" i="1" s="1"/>
  <c r="BC217" i="1" s="1"/>
  <c r="BD217" i="1" s="1"/>
  <c r="AS217" i="1"/>
  <c r="AT217" i="1" s="1"/>
  <c r="AU217" i="1" s="1"/>
  <c r="AV217" i="1" s="1"/>
  <c r="AW217" i="1" s="1"/>
  <c r="AX217" i="1" s="1"/>
  <c r="AN217" i="1"/>
  <c r="AO217" i="1" s="1"/>
  <c r="AP217" i="1" s="1"/>
  <c r="AQ217" i="1" s="1"/>
  <c r="AG217" i="1"/>
  <c r="AF217" i="1"/>
  <c r="AB217" i="1"/>
  <c r="AC217" i="1" s="1"/>
  <c r="AD217" i="1" s="1"/>
  <c r="AE217" i="1" s="1"/>
  <c r="CP102" i="1"/>
  <c r="CQ102" i="1" s="1"/>
  <c r="CR102" i="1" s="1"/>
  <c r="CM102" i="1"/>
  <c r="CN102" i="1" s="1"/>
  <c r="CC102" i="1"/>
  <c r="CD102" i="1" s="1"/>
  <c r="CE102" i="1" s="1"/>
  <c r="BU102" i="1"/>
  <c r="BV102" i="1" s="1"/>
  <c r="BP102" i="1"/>
  <c r="BQ102" i="1" s="1"/>
  <c r="BR102" i="1" s="1"/>
  <c r="BJ102" i="1"/>
  <c r="BH102" i="1"/>
  <c r="BI102" i="1" s="1"/>
  <c r="BA102" i="1"/>
  <c r="AZ102" i="1"/>
  <c r="AS102" i="1"/>
  <c r="AT102" i="1" s="1"/>
  <c r="AU102" i="1" s="1"/>
  <c r="AV102" i="1" s="1"/>
  <c r="AW102" i="1" s="1"/>
  <c r="AX102" i="1" s="1"/>
  <c r="AN102" i="1"/>
  <c r="AO102" i="1" s="1"/>
  <c r="AP102" i="1" s="1"/>
  <c r="AQ102" i="1" s="1"/>
  <c r="X102" i="1"/>
  <c r="W102" i="1"/>
  <c r="U102" i="1"/>
  <c r="CP233" i="1"/>
  <c r="CQ233" i="1" s="1"/>
  <c r="CR233" i="1" s="1"/>
  <c r="CM233" i="1"/>
  <c r="CN233" i="1" s="1"/>
  <c r="CC233" i="1"/>
  <c r="CD233" i="1" s="1"/>
  <c r="CE233" i="1" s="1"/>
  <c r="BU233" i="1"/>
  <c r="BV233" i="1" s="1"/>
  <c r="BP233" i="1"/>
  <c r="BQ233" i="1" s="1"/>
  <c r="BR233" i="1" s="1"/>
  <c r="BJ233" i="1"/>
  <c r="BH233" i="1"/>
  <c r="BI233" i="1" s="1"/>
  <c r="BA233" i="1"/>
  <c r="BB233" i="1" s="1"/>
  <c r="BC233" i="1" s="1"/>
  <c r="BD233" i="1" s="1"/>
  <c r="AS233" i="1"/>
  <c r="AT233" i="1" s="1"/>
  <c r="AU233" i="1" s="1"/>
  <c r="AV233" i="1" s="1"/>
  <c r="AW233" i="1" s="1"/>
  <c r="AX233" i="1" s="1"/>
  <c r="AN233" i="1"/>
  <c r="AO233" i="1" s="1"/>
  <c r="AP233" i="1" s="1"/>
  <c r="AQ233" i="1" s="1"/>
  <c r="W233" i="1"/>
  <c r="V233" i="1"/>
  <c r="U233" i="1"/>
  <c r="AG233" i="1" s="1"/>
  <c r="CP304" i="1"/>
  <c r="CQ304" i="1" s="1"/>
  <c r="CR304" i="1" s="1"/>
  <c r="CM304" i="1"/>
  <c r="CN304" i="1" s="1"/>
  <c r="CC304" i="1"/>
  <c r="CD304" i="1" s="1"/>
  <c r="CE304" i="1" s="1"/>
  <c r="BU304" i="1"/>
  <c r="BV304" i="1" s="1"/>
  <c r="BP304" i="1"/>
  <c r="BQ304" i="1" s="1"/>
  <c r="BR304" i="1" s="1"/>
  <c r="BJ304" i="1"/>
  <c r="BH304" i="1"/>
  <c r="BI304" i="1" s="1"/>
  <c r="BA304" i="1"/>
  <c r="BB304" i="1" s="1"/>
  <c r="BC304" i="1" s="1"/>
  <c r="BD304" i="1" s="1"/>
  <c r="AS304" i="1"/>
  <c r="AT304" i="1" s="1"/>
  <c r="AU304" i="1" s="1"/>
  <c r="AV304" i="1" s="1"/>
  <c r="AW304" i="1" s="1"/>
  <c r="AX304" i="1" s="1"/>
  <c r="AN304" i="1"/>
  <c r="AO304" i="1" s="1"/>
  <c r="AP304" i="1" s="1"/>
  <c r="AQ304" i="1" s="1"/>
  <c r="AA304" i="1"/>
  <c r="Z304" i="1"/>
  <c r="W304" i="1"/>
  <c r="V304" i="1"/>
  <c r="CP308" i="1"/>
  <c r="CQ308" i="1" s="1"/>
  <c r="CR308" i="1" s="1"/>
  <c r="CM308" i="1"/>
  <c r="CN308" i="1" s="1"/>
  <c r="CC308" i="1"/>
  <c r="CD308" i="1" s="1"/>
  <c r="CE308" i="1" s="1"/>
  <c r="BU308" i="1"/>
  <c r="BV308" i="1" s="1"/>
  <c r="BP308" i="1"/>
  <c r="BQ308" i="1" s="1"/>
  <c r="BR308" i="1" s="1"/>
  <c r="BJ308" i="1"/>
  <c r="BH308" i="1"/>
  <c r="BI308" i="1" s="1"/>
  <c r="BA308" i="1"/>
  <c r="BB308" i="1" s="1"/>
  <c r="BC308" i="1" s="1"/>
  <c r="BD308" i="1" s="1"/>
  <c r="AS308" i="1"/>
  <c r="AT308" i="1" s="1"/>
  <c r="AU308" i="1" s="1"/>
  <c r="AV308" i="1" s="1"/>
  <c r="AW308" i="1" s="1"/>
  <c r="AX308" i="1" s="1"/>
  <c r="AN308" i="1"/>
  <c r="AO308" i="1" s="1"/>
  <c r="AP308" i="1" s="1"/>
  <c r="AQ308" i="1" s="1"/>
  <c r="AF308" i="1"/>
  <c r="W308" i="1"/>
  <c r="AG308" i="1" s="1"/>
  <c r="CP283" i="1"/>
  <c r="CQ283" i="1" s="1"/>
  <c r="CR283" i="1" s="1"/>
  <c r="CM283" i="1"/>
  <c r="CN283" i="1" s="1"/>
  <c r="CC283" i="1"/>
  <c r="CD283" i="1" s="1"/>
  <c r="CE283" i="1" s="1"/>
  <c r="BU283" i="1"/>
  <c r="BV283" i="1" s="1"/>
  <c r="BP283" i="1"/>
  <c r="BQ283" i="1" s="1"/>
  <c r="BR283" i="1" s="1"/>
  <c r="BJ283" i="1"/>
  <c r="BH283" i="1"/>
  <c r="BI283" i="1" s="1"/>
  <c r="BA283" i="1"/>
  <c r="AZ283" i="1"/>
  <c r="AS283" i="1"/>
  <c r="AT283" i="1" s="1"/>
  <c r="AU283" i="1" s="1"/>
  <c r="AV283" i="1" s="1"/>
  <c r="AW283" i="1" s="1"/>
  <c r="AX283" i="1" s="1"/>
  <c r="AN283" i="1"/>
  <c r="AO283" i="1" s="1"/>
  <c r="AP283" i="1" s="1"/>
  <c r="AQ283" i="1" s="1"/>
  <c r="Z283" i="1"/>
  <c r="W283" i="1"/>
  <c r="V283" i="1"/>
  <c r="U283" i="1"/>
  <c r="CP64" i="1"/>
  <c r="CQ64" i="1" s="1"/>
  <c r="CR64" i="1" s="1"/>
  <c r="CM64" i="1"/>
  <c r="CN64" i="1" s="1"/>
  <c r="CC64" i="1"/>
  <c r="CD64" i="1" s="1"/>
  <c r="CE64" i="1" s="1"/>
  <c r="BU64" i="1"/>
  <c r="BV64" i="1" s="1"/>
  <c r="BP64" i="1"/>
  <c r="BQ64" i="1" s="1"/>
  <c r="BR64" i="1" s="1"/>
  <c r="BJ64" i="1"/>
  <c r="BH64" i="1"/>
  <c r="BI64" i="1" s="1"/>
  <c r="BA64" i="1"/>
  <c r="BB64" i="1" s="1"/>
  <c r="BC64" i="1" s="1"/>
  <c r="BD64" i="1" s="1"/>
  <c r="AS64" i="1"/>
  <c r="AT64" i="1" s="1"/>
  <c r="AU64" i="1" s="1"/>
  <c r="AV64" i="1" s="1"/>
  <c r="AW64" i="1" s="1"/>
  <c r="AX64" i="1" s="1"/>
  <c r="AN64" i="1"/>
  <c r="AO64" i="1" s="1"/>
  <c r="AP64" i="1" s="1"/>
  <c r="AQ64" i="1" s="1"/>
  <c r="W64" i="1"/>
  <c r="V64" i="1"/>
  <c r="AF64" i="1" s="1"/>
  <c r="U64" i="1"/>
  <c r="CP289" i="1"/>
  <c r="CQ289" i="1" s="1"/>
  <c r="CR289" i="1" s="1"/>
  <c r="CM289" i="1"/>
  <c r="CN289" i="1" s="1"/>
  <c r="CC289" i="1"/>
  <c r="CD289" i="1" s="1"/>
  <c r="CE289" i="1" s="1"/>
  <c r="BU289" i="1"/>
  <c r="BV289" i="1" s="1"/>
  <c r="BP289" i="1"/>
  <c r="BQ289" i="1" s="1"/>
  <c r="BR289" i="1" s="1"/>
  <c r="BJ289" i="1"/>
  <c r="BH289" i="1"/>
  <c r="BI289" i="1" s="1"/>
  <c r="BA289" i="1"/>
  <c r="AZ289" i="1"/>
  <c r="AS289" i="1"/>
  <c r="AT289" i="1" s="1"/>
  <c r="AU289" i="1" s="1"/>
  <c r="AV289" i="1" s="1"/>
  <c r="AW289" i="1" s="1"/>
  <c r="AX289" i="1" s="1"/>
  <c r="AN289" i="1"/>
  <c r="AO289" i="1" s="1"/>
  <c r="AP289" i="1" s="1"/>
  <c r="AQ289" i="1" s="1"/>
  <c r="W289" i="1"/>
  <c r="V289" i="1"/>
  <c r="AF289" i="1" s="1"/>
  <c r="CR77" i="1"/>
  <c r="CO77" i="1"/>
  <c r="CP77" i="1" s="1"/>
  <c r="CQ77" i="1" s="1"/>
  <c r="CM77" i="1"/>
  <c r="CN77" i="1" s="1"/>
  <c r="CC77" i="1"/>
  <c r="CD77" i="1" s="1"/>
  <c r="CE77" i="1" s="1"/>
  <c r="BU77" i="1"/>
  <c r="BV77" i="1" s="1"/>
  <c r="BP77" i="1"/>
  <c r="BQ77" i="1" s="1"/>
  <c r="BR77" i="1" s="1"/>
  <c r="BJ77" i="1"/>
  <c r="BH77" i="1"/>
  <c r="BI77" i="1" s="1"/>
  <c r="BD77" i="1"/>
  <c r="BA77" i="1"/>
  <c r="BB77" i="1" s="1"/>
  <c r="BC77" i="1" s="1"/>
  <c r="AS77" i="1"/>
  <c r="AT77" i="1" s="1"/>
  <c r="AU77" i="1" s="1"/>
  <c r="AV77" i="1" s="1"/>
  <c r="AW77" i="1" s="1"/>
  <c r="AX77" i="1" s="1"/>
  <c r="AN77" i="1"/>
  <c r="AO77" i="1" s="1"/>
  <c r="AP77" i="1" s="1"/>
  <c r="AQ77" i="1" s="1"/>
  <c r="AF77" i="1"/>
  <c r="Z77" i="1"/>
  <c r="CO226" i="1"/>
  <c r="CP226" i="1" s="1"/>
  <c r="CQ226" i="1" s="1"/>
  <c r="CR226" i="1" s="1"/>
  <c r="CM226" i="1"/>
  <c r="CN226" i="1" s="1"/>
  <c r="CC226" i="1"/>
  <c r="CD226" i="1" s="1"/>
  <c r="CE226" i="1" s="1"/>
  <c r="BU226" i="1"/>
  <c r="BV226" i="1" s="1"/>
  <c r="BP226" i="1"/>
  <c r="BQ226" i="1" s="1"/>
  <c r="BR226" i="1" s="1"/>
  <c r="BJ226" i="1"/>
  <c r="BH226" i="1"/>
  <c r="BI226" i="1" s="1"/>
  <c r="BA226" i="1"/>
  <c r="BB226" i="1" s="1"/>
  <c r="BC226" i="1" s="1"/>
  <c r="BD226" i="1" s="1"/>
  <c r="AT226" i="1"/>
  <c r="AU226" i="1" s="1"/>
  <c r="AV226" i="1" s="1"/>
  <c r="AW226" i="1" s="1"/>
  <c r="AX226" i="1" s="1"/>
  <c r="AS226" i="1"/>
  <c r="AN226" i="1"/>
  <c r="AO226" i="1" s="1"/>
  <c r="AP226" i="1" s="1"/>
  <c r="AQ226" i="1" s="1"/>
  <c r="AF226" i="1"/>
  <c r="W226" i="1"/>
  <c r="CQ197" i="1"/>
  <c r="CR197" i="1" s="1"/>
  <c r="CP197" i="1"/>
  <c r="CM197" i="1"/>
  <c r="CN197" i="1" s="1"/>
  <c r="CC197" i="1"/>
  <c r="CD197" i="1" s="1"/>
  <c r="CE197" i="1" s="1"/>
  <c r="BU197" i="1"/>
  <c r="BV197" i="1" s="1"/>
  <c r="BP197" i="1"/>
  <c r="BQ197" i="1" s="1"/>
  <c r="BR197" i="1" s="1"/>
  <c r="BJ197" i="1"/>
  <c r="BH197" i="1"/>
  <c r="BI197" i="1" s="1"/>
  <c r="BA197" i="1"/>
  <c r="BB197" i="1" s="1"/>
  <c r="BC197" i="1" s="1"/>
  <c r="BD197" i="1" s="1"/>
  <c r="AS197" i="1"/>
  <c r="AT197" i="1" s="1"/>
  <c r="AU197" i="1" s="1"/>
  <c r="AV197" i="1" s="1"/>
  <c r="AW197" i="1" s="1"/>
  <c r="AX197" i="1" s="1"/>
  <c r="AN197" i="1"/>
  <c r="AO197" i="1" s="1"/>
  <c r="AP197" i="1" s="1"/>
  <c r="AQ197" i="1" s="1"/>
  <c r="AF197" i="1"/>
  <c r="AB197" i="1"/>
  <c r="AC197" i="1" s="1"/>
  <c r="AD197" i="1" s="1"/>
  <c r="AE197" i="1" s="1"/>
  <c r="W197" i="1"/>
  <c r="AG197" i="1" s="1"/>
  <c r="CO113" i="1"/>
  <c r="CP113" i="1" s="1"/>
  <c r="CQ113" i="1" s="1"/>
  <c r="CR113" i="1" s="1"/>
  <c r="CM113" i="1"/>
  <c r="CN113" i="1" s="1"/>
  <c r="CC113" i="1"/>
  <c r="CD113" i="1" s="1"/>
  <c r="CE113" i="1" s="1"/>
  <c r="BU113" i="1"/>
  <c r="BV113" i="1" s="1"/>
  <c r="BO113" i="1"/>
  <c r="BP113" i="1" s="1"/>
  <c r="BQ113" i="1" s="1"/>
  <c r="BR113" i="1" s="1"/>
  <c r="BJ113" i="1"/>
  <c r="BH113" i="1"/>
  <c r="BI113" i="1" s="1"/>
  <c r="BA113" i="1"/>
  <c r="BB113" i="1" s="1"/>
  <c r="BC113" i="1" s="1"/>
  <c r="BD113" i="1" s="1"/>
  <c r="AS113" i="1"/>
  <c r="AT113" i="1" s="1"/>
  <c r="AU113" i="1" s="1"/>
  <c r="AV113" i="1" s="1"/>
  <c r="AW113" i="1" s="1"/>
  <c r="AX113" i="1" s="1"/>
  <c r="AN113" i="1"/>
  <c r="AO113" i="1" s="1"/>
  <c r="AP113" i="1" s="1"/>
  <c r="AQ113" i="1" s="1"/>
  <c r="W113" i="1"/>
  <c r="V113" i="1"/>
  <c r="U113" i="1"/>
  <c r="CP311" i="1"/>
  <c r="CQ311" i="1" s="1"/>
  <c r="CR311" i="1" s="1"/>
  <c r="CM311" i="1"/>
  <c r="CN311" i="1" s="1"/>
  <c r="CD311" i="1"/>
  <c r="CE311" i="1" s="1"/>
  <c r="CC311" i="1"/>
  <c r="BU311" i="1"/>
  <c r="BV311" i="1" s="1"/>
  <c r="BP311" i="1"/>
  <c r="BQ311" i="1" s="1"/>
  <c r="BR311" i="1" s="1"/>
  <c r="BJ311" i="1"/>
  <c r="BH311" i="1"/>
  <c r="BI311" i="1" s="1"/>
  <c r="BA311" i="1"/>
  <c r="BB311" i="1" s="1"/>
  <c r="BC311" i="1" s="1"/>
  <c r="BD311" i="1" s="1"/>
  <c r="AS311" i="1"/>
  <c r="AT311" i="1" s="1"/>
  <c r="AU311" i="1" s="1"/>
  <c r="AV311" i="1" s="1"/>
  <c r="AW311" i="1" s="1"/>
  <c r="AX311" i="1" s="1"/>
  <c r="AN311" i="1"/>
  <c r="AO311" i="1" s="1"/>
  <c r="AP311" i="1" s="1"/>
  <c r="AQ311" i="1" s="1"/>
  <c r="AF311" i="1"/>
  <c r="W311" i="1"/>
  <c r="AG311" i="1" s="1"/>
  <c r="CP277" i="1"/>
  <c r="CQ277" i="1" s="1"/>
  <c r="CR277" i="1" s="1"/>
  <c r="CM277" i="1"/>
  <c r="CN277" i="1" s="1"/>
  <c r="CC277" i="1"/>
  <c r="CD277" i="1" s="1"/>
  <c r="CE277" i="1" s="1"/>
  <c r="BU277" i="1"/>
  <c r="BV277" i="1" s="1"/>
  <c r="BO277" i="1"/>
  <c r="BP277" i="1" s="1"/>
  <c r="BQ277" i="1" s="1"/>
  <c r="BR277" i="1" s="1"/>
  <c r="BJ277" i="1"/>
  <c r="BH277" i="1"/>
  <c r="BI277" i="1" s="1"/>
  <c r="BA277" i="1"/>
  <c r="BB277" i="1" s="1"/>
  <c r="BC277" i="1" s="1"/>
  <c r="BD277" i="1" s="1"/>
  <c r="AS277" i="1"/>
  <c r="AT277" i="1" s="1"/>
  <c r="AU277" i="1" s="1"/>
  <c r="AV277" i="1" s="1"/>
  <c r="AW277" i="1" s="1"/>
  <c r="AX277" i="1" s="1"/>
  <c r="AN277" i="1"/>
  <c r="AO277" i="1" s="1"/>
  <c r="AP277" i="1" s="1"/>
  <c r="AQ277" i="1" s="1"/>
  <c r="AA277" i="1"/>
  <c r="Z277" i="1"/>
  <c r="W277" i="1"/>
  <c r="V277" i="1"/>
  <c r="U277" i="1"/>
  <c r="CP222" i="1"/>
  <c r="CQ222" i="1" s="1"/>
  <c r="CR222" i="1" s="1"/>
  <c r="CM222" i="1"/>
  <c r="CN222" i="1" s="1"/>
  <c r="CD222" i="1"/>
  <c r="CE222" i="1" s="1"/>
  <c r="CC222" i="1"/>
  <c r="BU222" i="1"/>
  <c r="BV222" i="1" s="1"/>
  <c r="BP222" i="1"/>
  <c r="BQ222" i="1" s="1"/>
  <c r="BR222" i="1" s="1"/>
  <c r="BJ222" i="1"/>
  <c r="BH222" i="1"/>
  <c r="BI222" i="1" s="1"/>
  <c r="BA222" i="1"/>
  <c r="AZ222" i="1"/>
  <c r="AS222" i="1"/>
  <c r="AT222" i="1" s="1"/>
  <c r="AU222" i="1" s="1"/>
  <c r="AV222" i="1" s="1"/>
  <c r="AW222" i="1" s="1"/>
  <c r="AX222" i="1" s="1"/>
  <c r="AN222" i="1"/>
  <c r="AO222" i="1" s="1"/>
  <c r="AP222" i="1" s="1"/>
  <c r="AQ222" i="1" s="1"/>
  <c r="AA222" i="1"/>
  <c r="Z222" i="1"/>
  <c r="W222" i="1"/>
  <c r="U222" i="1"/>
  <c r="CP92" i="1"/>
  <c r="CQ92" i="1" s="1"/>
  <c r="CR92" i="1" s="1"/>
  <c r="CM92" i="1"/>
  <c r="CN92" i="1" s="1"/>
  <c r="CC92" i="1"/>
  <c r="CD92" i="1" s="1"/>
  <c r="CE92" i="1" s="1"/>
  <c r="BU92" i="1"/>
  <c r="BV92" i="1" s="1"/>
  <c r="BP92" i="1"/>
  <c r="BQ92" i="1" s="1"/>
  <c r="BR92" i="1" s="1"/>
  <c r="BJ92" i="1"/>
  <c r="BH92" i="1"/>
  <c r="BI92" i="1" s="1"/>
  <c r="BA92" i="1"/>
  <c r="BB92" i="1" s="1"/>
  <c r="BC92" i="1" s="1"/>
  <c r="BD92" i="1" s="1"/>
  <c r="AS92" i="1"/>
  <c r="AT92" i="1" s="1"/>
  <c r="AU92" i="1" s="1"/>
  <c r="AV92" i="1" s="1"/>
  <c r="AW92" i="1" s="1"/>
  <c r="AX92" i="1" s="1"/>
  <c r="AN92" i="1"/>
  <c r="AO92" i="1" s="1"/>
  <c r="AP92" i="1" s="1"/>
  <c r="AQ92" i="1" s="1"/>
  <c r="W92" i="1"/>
  <c r="U92" i="1"/>
  <c r="CP152" i="1"/>
  <c r="CQ152" i="1" s="1"/>
  <c r="CR152" i="1" s="1"/>
  <c r="CM152" i="1"/>
  <c r="CN152" i="1" s="1"/>
  <c r="CE152" i="1"/>
  <c r="CC152" i="1"/>
  <c r="CD152" i="1" s="1"/>
  <c r="BU152" i="1"/>
  <c r="BV152" i="1" s="1"/>
  <c r="BP152" i="1"/>
  <c r="BQ152" i="1" s="1"/>
  <c r="BR152" i="1" s="1"/>
  <c r="BJ152" i="1"/>
  <c r="BH152" i="1"/>
  <c r="BI152" i="1" s="1"/>
  <c r="BA152" i="1"/>
  <c r="BB152" i="1" s="1"/>
  <c r="BC152" i="1" s="1"/>
  <c r="BD152" i="1" s="1"/>
  <c r="AS152" i="1"/>
  <c r="AT152" i="1" s="1"/>
  <c r="AU152" i="1" s="1"/>
  <c r="AV152" i="1" s="1"/>
  <c r="AW152" i="1" s="1"/>
  <c r="AX152" i="1" s="1"/>
  <c r="AN152" i="1"/>
  <c r="AO152" i="1" s="1"/>
  <c r="AP152" i="1" s="1"/>
  <c r="AQ152" i="1" s="1"/>
  <c r="AG152" i="1"/>
  <c r="AH152" i="1" s="1"/>
  <c r="AI152" i="1" s="1"/>
  <c r="AJ152" i="1" s="1"/>
  <c r="V152" i="1"/>
  <c r="AF152" i="1" s="1"/>
  <c r="CP68" i="1"/>
  <c r="CQ68" i="1" s="1"/>
  <c r="CR68" i="1" s="1"/>
  <c r="CM68" i="1"/>
  <c r="CN68" i="1" s="1"/>
  <c r="CC68" i="1"/>
  <c r="CD68" i="1" s="1"/>
  <c r="CE68" i="1" s="1"/>
  <c r="BU68" i="1"/>
  <c r="BV68" i="1" s="1"/>
  <c r="BP68" i="1"/>
  <c r="BQ68" i="1" s="1"/>
  <c r="BR68" i="1" s="1"/>
  <c r="BJ68" i="1"/>
  <c r="BH68" i="1"/>
  <c r="BI68" i="1" s="1"/>
  <c r="BA68" i="1"/>
  <c r="AZ68" i="1"/>
  <c r="AS68" i="1"/>
  <c r="AT68" i="1" s="1"/>
  <c r="AU68" i="1" s="1"/>
  <c r="AV68" i="1" s="1"/>
  <c r="AW68" i="1" s="1"/>
  <c r="AX68" i="1" s="1"/>
  <c r="AN68" i="1"/>
  <c r="AO68" i="1" s="1"/>
  <c r="AP68" i="1" s="1"/>
  <c r="AQ68" i="1" s="1"/>
  <c r="AG68" i="1"/>
  <c r="AF68" i="1"/>
  <c r="AB68" i="1"/>
  <c r="AC68" i="1" s="1"/>
  <c r="AD68" i="1" s="1"/>
  <c r="AE68" i="1" s="1"/>
  <c r="CO153" i="1"/>
  <c r="CP153" i="1" s="1"/>
  <c r="CQ153" i="1" s="1"/>
  <c r="CR153" i="1" s="1"/>
  <c r="CM153" i="1"/>
  <c r="CN153" i="1" s="1"/>
  <c r="CC153" i="1"/>
  <c r="CD153" i="1" s="1"/>
  <c r="CE153" i="1" s="1"/>
  <c r="BU153" i="1"/>
  <c r="BV153" i="1" s="1"/>
  <c r="BP153" i="1"/>
  <c r="BQ153" i="1" s="1"/>
  <c r="BR153" i="1" s="1"/>
  <c r="BJ153" i="1"/>
  <c r="BH153" i="1"/>
  <c r="BI153" i="1" s="1"/>
  <c r="BA153" i="1"/>
  <c r="AZ153" i="1"/>
  <c r="BB153" i="1" s="1"/>
  <c r="BC153" i="1" s="1"/>
  <c r="BD153" i="1" s="1"/>
  <c r="AS153" i="1"/>
  <c r="AT153" i="1" s="1"/>
  <c r="AU153" i="1" s="1"/>
  <c r="AV153" i="1" s="1"/>
  <c r="AW153" i="1" s="1"/>
  <c r="AX153" i="1" s="1"/>
  <c r="AN153" i="1"/>
  <c r="AO153" i="1" s="1"/>
  <c r="AP153" i="1" s="1"/>
  <c r="AQ153" i="1" s="1"/>
  <c r="V153" i="1"/>
  <c r="CP104" i="1"/>
  <c r="CQ104" i="1" s="1"/>
  <c r="CR104" i="1" s="1"/>
  <c r="CM104" i="1"/>
  <c r="CN104" i="1" s="1"/>
  <c r="CC104" i="1"/>
  <c r="CD104" i="1" s="1"/>
  <c r="CE104" i="1" s="1"/>
  <c r="BT104" i="1"/>
  <c r="BU104" i="1" s="1"/>
  <c r="BV104" i="1" s="1"/>
  <c r="BP104" i="1"/>
  <c r="BQ104" i="1" s="1"/>
  <c r="BR104" i="1" s="1"/>
  <c r="BJ104" i="1"/>
  <c r="BE104" i="1"/>
  <c r="BH104" i="1" s="1"/>
  <c r="BI104" i="1" s="1"/>
  <c r="BA104" i="1"/>
  <c r="AZ104" i="1"/>
  <c r="AS104" i="1"/>
  <c r="AT104" i="1" s="1"/>
  <c r="AU104" i="1" s="1"/>
  <c r="AV104" i="1" s="1"/>
  <c r="AW104" i="1" s="1"/>
  <c r="AX104" i="1" s="1"/>
  <c r="AN104" i="1"/>
  <c r="AO104" i="1" s="1"/>
  <c r="AP104" i="1" s="1"/>
  <c r="AQ104" i="1" s="1"/>
  <c r="W104" i="1"/>
  <c r="V104" i="1"/>
  <c r="AF104" i="1" s="1"/>
  <c r="U104" i="1"/>
  <c r="CP200" i="1"/>
  <c r="CQ200" i="1" s="1"/>
  <c r="CR200" i="1" s="1"/>
  <c r="CM200" i="1"/>
  <c r="CN200" i="1" s="1"/>
  <c r="CC200" i="1"/>
  <c r="CD200" i="1" s="1"/>
  <c r="CE200" i="1" s="1"/>
  <c r="BU200" i="1"/>
  <c r="BV200" i="1" s="1"/>
  <c r="BP200" i="1"/>
  <c r="BQ200" i="1" s="1"/>
  <c r="BR200" i="1" s="1"/>
  <c r="BJ200" i="1"/>
  <c r="BH200" i="1"/>
  <c r="BI200" i="1" s="1"/>
  <c r="BA200" i="1"/>
  <c r="AZ200" i="1"/>
  <c r="AS200" i="1"/>
  <c r="AT200" i="1" s="1"/>
  <c r="AU200" i="1" s="1"/>
  <c r="AV200" i="1" s="1"/>
  <c r="AW200" i="1" s="1"/>
  <c r="AX200" i="1" s="1"/>
  <c r="AN200" i="1"/>
  <c r="AO200" i="1" s="1"/>
  <c r="AP200" i="1" s="1"/>
  <c r="AQ200" i="1" s="1"/>
  <c r="W200" i="1"/>
  <c r="V200" i="1"/>
  <c r="U200" i="1"/>
  <c r="CP160" i="1"/>
  <c r="CQ160" i="1" s="1"/>
  <c r="CR160" i="1" s="1"/>
  <c r="CM160" i="1"/>
  <c r="CN160" i="1" s="1"/>
  <c r="CC160" i="1"/>
  <c r="CD160" i="1" s="1"/>
  <c r="CE160" i="1" s="1"/>
  <c r="BU160" i="1"/>
  <c r="BV160" i="1" s="1"/>
  <c r="BP160" i="1"/>
  <c r="BQ160" i="1" s="1"/>
  <c r="BR160" i="1" s="1"/>
  <c r="BJ160" i="1"/>
  <c r="BH160" i="1"/>
  <c r="BI160" i="1" s="1"/>
  <c r="BA160" i="1"/>
  <c r="BB160" i="1" s="1"/>
  <c r="BC160" i="1" s="1"/>
  <c r="BD160" i="1" s="1"/>
  <c r="AS160" i="1"/>
  <c r="AT160" i="1" s="1"/>
  <c r="AU160" i="1" s="1"/>
  <c r="AV160" i="1" s="1"/>
  <c r="AW160" i="1" s="1"/>
  <c r="AX160" i="1" s="1"/>
  <c r="AO160" i="1"/>
  <c r="AP160" i="1" s="1"/>
  <c r="AQ160" i="1" s="1"/>
  <c r="AN160" i="1"/>
  <c r="W160" i="1"/>
  <c r="U160" i="1"/>
  <c r="CP3" i="1"/>
  <c r="CQ3" i="1" s="1"/>
  <c r="CR3" i="1" s="1"/>
  <c r="CM3" i="1"/>
  <c r="CN3" i="1" s="1"/>
  <c r="CI3" i="1"/>
  <c r="CJ3" i="1" s="1"/>
  <c r="BU3" i="1"/>
  <c r="BV3" i="1" s="1"/>
  <c r="BP3" i="1"/>
  <c r="BQ3" i="1" s="1"/>
  <c r="BR3" i="1" s="1"/>
  <c r="BJ3" i="1"/>
  <c r="BF3" i="1"/>
  <c r="BE3" i="1"/>
  <c r="BA3" i="1"/>
  <c r="AZ3" i="1"/>
  <c r="AS3" i="1"/>
  <c r="AT3" i="1" s="1"/>
  <c r="AU3" i="1" s="1"/>
  <c r="AV3" i="1" s="1"/>
  <c r="AW3" i="1" s="1"/>
  <c r="AX3" i="1" s="1"/>
  <c r="AN3" i="1"/>
  <c r="AO3" i="1" s="1"/>
  <c r="AP3" i="1" s="1"/>
  <c r="AQ3" i="1" s="1"/>
  <c r="X3" i="1"/>
  <c r="W3" i="1"/>
  <c r="U3" i="1"/>
  <c r="CR6" i="1"/>
  <c r="CP6" i="1"/>
  <c r="CQ6" i="1" s="1"/>
  <c r="CM6" i="1"/>
  <c r="CN6" i="1" s="1"/>
  <c r="CI6" i="1"/>
  <c r="CJ6" i="1" s="1"/>
  <c r="BU6" i="1"/>
  <c r="BV6" i="1" s="1"/>
  <c r="BP6" i="1"/>
  <c r="BQ6" i="1" s="1"/>
  <c r="BR6" i="1" s="1"/>
  <c r="BJ6" i="1"/>
  <c r="BH6" i="1"/>
  <c r="BI6" i="1" s="1"/>
  <c r="BA6" i="1"/>
  <c r="AZ6" i="1"/>
  <c r="AS6" i="1"/>
  <c r="AT6" i="1" s="1"/>
  <c r="AU6" i="1" s="1"/>
  <c r="AV6" i="1" s="1"/>
  <c r="AW6" i="1" s="1"/>
  <c r="AX6" i="1" s="1"/>
  <c r="AN6" i="1"/>
  <c r="AO6" i="1" s="1"/>
  <c r="AP6" i="1" s="1"/>
  <c r="AQ6" i="1" s="1"/>
  <c r="AF6" i="1"/>
  <c r="W6" i="1"/>
  <c r="CP4" i="1"/>
  <c r="CQ4" i="1" s="1"/>
  <c r="CR4" i="1" s="1"/>
  <c r="CM4" i="1"/>
  <c r="CN4" i="1" s="1"/>
  <c r="CI4" i="1"/>
  <c r="CJ4" i="1" s="1"/>
  <c r="BU4" i="1"/>
  <c r="BV4" i="1" s="1"/>
  <c r="BP4" i="1"/>
  <c r="BQ4" i="1" s="1"/>
  <c r="BR4" i="1" s="1"/>
  <c r="BJ4" i="1"/>
  <c r="BF4" i="1"/>
  <c r="BH4" i="1" s="1"/>
  <c r="BI4" i="1" s="1"/>
  <c r="BA4" i="1"/>
  <c r="AZ4" i="1"/>
  <c r="AS4" i="1"/>
  <c r="AT4" i="1" s="1"/>
  <c r="AU4" i="1" s="1"/>
  <c r="AV4" i="1" s="1"/>
  <c r="AW4" i="1" s="1"/>
  <c r="AX4" i="1" s="1"/>
  <c r="AQ4" i="1"/>
  <c r="AN4" i="1"/>
  <c r="AO4" i="1" s="1"/>
  <c r="AP4" i="1" s="1"/>
  <c r="W4" i="1"/>
  <c r="U4" i="1"/>
  <c r="AF4" i="1" s="1"/>
  <c r="CP31" i="1"/>
  <c r="CQ31" i="1" s="1"/>
  <c r="CR31" i="1" s="1"/>
  <c r="CM31" i="1"/>
  <c r="CN31" i="1" s="1"/>
  <c r="CC31" i="1"/>
  <c r="CD31" i="1" s="1"/>
  <c r="CE31" i="1" s="1"/>
  <c r="BV31" i="1"/>
  <c r="BU31" i="1"/>
  <c r="BP31" i="1"/>
  <c r="BQ31" i="1" s="1"/>
  <c r="BR31" i="1" s="1"/>
  <c r="BJ31" i="1"/>
  <c r="BH31" i="1"/>
  <c r="BI31" i="1" s="1"/>
  <c r="BA31" i="1"/>
  <c r="AZ31" i="1"/>
  <c r="AS31" i="1"/>
  <c r="AT31" i="1" s="1"/>
  <c r="AU31" i="1" s="1"/>
  <c r="AV31" i="1" s="1"/>
  <c r="AW31" i="1" s="1"/>
  <c r="AX31" i="1" s="1"/>
  <c r="AN31" i="1"/>
  <c r="AO31" i="1" s="1"/>
  <c r="AP31" i="1" s="1"/>
  <c r="AQ31" i="1" s="1"/>
  <c r="Z31" i="1"/>
  <c r="X31" i="1"/>
  <c r="W31" i="1"/>
  <c r="V31" i="1"/>
  <c r="U31" i="1"/>
  <c r="AB31" i="1" s="1"/>
  <c r="AC31" i="1" s="1"/>
  <c r="AD31" i="1" s="1"/>
  <c r="CP58" i="1"/>
  <c r="CQ58" i="1" s="1"/>
  <c r="CR58" i="1" s="1"/>
  <c r="CM58" i="1"/>
  <c r="CN58" i="1" s="1"/>
  <c r="CC58" i="1"/>
  <c r="CD58" i="1" s="1"/>
  <c r="CE58" i="1" s="1"/>
  <c r="BU58" i="1"/>
  <c r="BV58" i="1" s="1"/>
  <c r="BP58" i="1"/>
  <c r="BQ58" i="1" s="1"/>
  <c r="BR58" i="1" s="1"/>
  <c r="BJ58" i="1"/>
  <c r="BH58" i="1"/>
  <c r="BI58" i="1" s="1"/>
  <c r="BB58" i="1"/>
  <c r="BC58" i="1" s="1"/>
  <c r="BD58" i="1" s="1"/>
  <c r="BA58" i="1"/>
  <c r="AS58" i="1"/>
  <c r="AT58" i="1" s="1"/>
  <c r="AU58" i="1" s="1"/>
  <c r="AV58" i="1" s="1"/>
  <c r="AW58" i="1" s="1"/>
  <c r="AX58" i="1" s="1"/>
  <c r="AN58" i="1"/>
  <c r="AO58" i="1" s="1"/>
  <c r="AP58" i="1" s="1"/>
  <c r="AQ58" i="1" s="1"/>
  <c r="AF58" i="1"/>
  <c r="Z58" i="1"/>
  <c r="AG58" i="1" s="1"/>
  <c r="W58" i="1"/>
  <c r="CP188" i="1"/>
  <c r="CQ188" i="1" s="1"/>
  <c r="CR188" i="1" s="1"/>
  <c r="CM188" i="1"/>
  <c r="CN188" i="1" s="1"/>
  <c r="CC188" i="1"/>
  <c r="CD188" i="1" s="1"/>
  <c r="CE188" i="1" s="1"/>
  <c r="BU188" i="1"/>
  <c r="BV188" i="1" s="1"/>
  <c r="BP188" i="1"/>
  <c r="BQ188" i="1" s="1"/>
  <c r="BR188" i="1" s="1"/>
  <c r="BJ188" i="1"/>
  <c r="BH188" i="1"/>
  <c r="BI188" i="1" s="1"/>
  <c r="BA188" i="1"/>
  <c r="BB188" i="1" s="1"/>
  <c r="BC188" i="1" s="1"/>
  <c r="BD188" i="1" s="1"/>
  <c r="AS188" i="1"/>
  <c r="AT188" i="1" s="1"/>
  <c r="AU188" i="1" s="1"/>
  <c r="AV188" i="1" s="1"/>
  <c r="AW188" i="1" s="1"/>
  <c r="AX188" i="1" s="1"/>
  <c r="AN188" i="1"/>
  <c r="AO188" i="1" s="1"/>
  <c r="AP188" i="1" s="1"/>
  <c r="AQ188" i="1" s="1"/>
  <c r="Z188" i="1"/>
  <c r="W188" i="1"/>
  <c r="U188" i="1"/>
  <c r="AF188" i="1" s="1"/>
  <c r="CP52" i="1"/>
  <c r="CQ52" i="1" s="1"/>
  <c r="CR52" i="1" s="1"/>
  <c r="CM52" i="1"/>
  <c r="CN52" i="1" s="1"/>
  <c r="CC52" i="1"/>
  <c r="CD52" i="1" s="1"/>
  <c r="CE52" i="1" s="1"/>
  <c r="BU52" i="1"/>
  <c r="BV52" i="1" s="1"/>
  <c r="BP52" i="1"/>
  <c r="BQ52" i="1" s="1"/>
  <c r="BR52" i="1" s="1"/>
  <c r="BJ52" i="1"/>
  <c r="BH52" i="1"/>
  <c r="BI52" i="1" s="1"/>
  <c r="BA52" i="1"/>
  <c r="BB52" i="1" s="1"/>
  <c r="BC52" i="1" s="1"/>
  <c r="BD52" i="1" s="1"/>
  <c r="AS52" i="1"/>
  <c r="AT52" i="1" s="1"/>
  <c r="AU52" i="1" s="1"/>
  <c r="AV52" i="1" s="1"/>
  <c r="AW52" i="1" s="1"/>
  <c r="AX52" i="1" s="1"/>
  <c r="AN52" i="1"/>
  <c r="AO52" i="1" s="1"/>
  <c r="AP52" i="1" s="1"/>
  <c r="AQ52" i="1" s="1"/>
  <c r="Z52" i="1"/>
  <c r="W52" i="1"/>
  <c r="V52" i="1"/>
  <c r="U52" i="1"/>
  <c r="AF52" i="1" s="1"/>
  <c r="CR12" i="1"/>
  <c r="CP12" i="1"/>
  <c r="CQ12" i="1" s="1"/>
  <c r="CM12" i="1"/>
  <c r="CN12" i="1" s="1"/>
  <c r="CI12" i="1"/>
  <c r="CJ12" i="1" s="1"/>
  <c r="BU12" i="1"/>
  <c r="BV12" i="1" s="1"/>
  <c r="BP12" i="1"/>
  <c r="BQ12" i="1" s="1"/>
  <c r="BR12" i="1" s="1"/>
  <c r="BJ12" i="1"/>
  <c r="BH12" i="1"/>
  <c r="BI12" i="1" s="1"/>
  <c r="BA12" i="1"/>
  <c r="AZ12" i="1"/>
  <c r="AS12" i="1"/>
  <c r="AT12" i="1" s="1"/>
  <c r="AU12" i="1" s="1"/>
  <c r="AV12" i="1" s="1"/>
  <c r="AW12" i="1" s="1"/>
  <c r="AX12" i="1" s="1"/>
  <c r="AN12" i="1"/>
  <c r="AO12" i="1" s="1"/>
  <c r="AP12" i="1" s="1"/>
  <c r="AQ12" i="1" s="1"/>
  <c r="X12" i="1"/>
  <c r="W12" i="1"/>
  <c r="V12" i="1"/>
  <c r="U12" i="1"/>
  <c r="CP88" i="1"/>
  <c r="CQ88" i="1" s="1"/>
  <c r="CR88" i="1" s="1"/>
  <c r="CM88" i="1"/>
  <c r="CN88" i="1" s="1"/>
  <c r="CC88" i="1"/>
  <c r="CD88" i="1" s="1"/>
  <c r="CE88" i="1" s="1"/>
  <c r="BU88" i="1"/>
  <c r="BV88" i="1" s="1"/>
  <c r="BP88" i="1"/>
  <c r="BQ88" i="1" s="1"/>
  <c r="BR88" i="1" s="1"/>
  <c r="BJ88" i="1"/>
  <c r="BH88" i="1"/>
  <c r="BI88" i="1" s="1"/>
  <c r="BA88" i="1"/>
  <c r="AZ88" i="1"/>
  <c r="AS88" i="1"/>
  <c r="AT88" i="1" s="1"/>
  <c r="AU88" i="1" s="1"/>
  <c r="AV88" i="1" s="1"/>
  <c r="AW88" i="1" s="1"/>
  <c r="AX88" i="1" s="1"/>
  <c r="AN88" i="1"/>
  <c r="AO88" i="1" s="1"/>
  <c r="AP88" i="1" s="1"/>
  <c r="AQ88" i="1" s="1"/>
  <c r="AF88" i="1"/>
  <c r="Z88" i="1"/>
  <c r="X88" i="1"/>
  <c r="W88" i="1"/>
  <c r="V88" i="1"/>
  <c r="CP67" i="1"/>
  <c r="CQ67" i="1" s="1"/>
  <c r="CR67" i="1" s="1"/>
  <c r="CM67" i="1"/>
  <c r="CN67" i="1" s="1"/>
  <c r="CD67" i="1"/>
  <c r="CE67" i="1" s="1"/>
  <c r="CC67" i="1"/>
  <c r="BV67" i="1"/>
  <c r="BU67" i="1"/>
  <c r="BP67" i="1"/>
  <c r="BQ67" i="1" s="1"/>
  <c r="BR67" i="1" s="1"/>
  <c r="BJ67" i="1"/>
  <c r="BH67" i="1"/>
  <c r="BI67" i="1" s="1"/>
  <c r="BB67" i="1"/>
  <c r="BC67" i="1" s="1"/>
  <c r="BD67" i="1" s="1"/>
  <c r="BA67" i="1"/>
  <c r="AT67" i="1"/>
  <c r="AU67" i="1" s="1"/>
  <c r="AV67" i="1" s="1"/>
  <c r="AW67" i="1" s="1"/>
  <c r="AX67" i="1" s="1"/>
  <c r="AS67" i="1"/>
  <c r="AN67" i="1"/>
  <c r="AO67" i="1" s="1"/>
  <c r="AP67" i="1" s="1"/>
  <c r="AQ67" i="1" s="1"/>
  <c r="AF67" i="1"/>
  <c r="X67" i="1"/>
  <c r="W67" i="1"/>
  <c r="CP295" i="1"/>
  <c r="CQ295" i="1" s="1"/>
  <c r="CR295" i="1" s="1"/>
  <c r="CO295" i="1"/>
  <c r="CM295" i="1"/>
  <c r="CN295" i="1" s="1"/>
  <c r="CC295" i="1"/>
  <c r="CD295" i="1" s="1"/>
  <c r="CE295" i="1" s="1"/>
  <c r="BU295" i="1"/>
  <c r="BV295" i="1" s="1"/>
  <c r="BP295" i="1"/>
  <c r="BQ295" i="1" s="1"/>
  <c r="BR295" i="1" s="1"/>
  <c r="BJ295" i="1"/>
  <c r="BH295" i="1"/>
  <c r="BI295" i="1" s="1"/>
  <c r="BA295" i="1"/>
  <c r="AZ295" i="1"/>
  <c r="AS295" i="1"/>
  <c r="AT295" i="1" s="1"/>
  <c r="AU295" i="1" s="1"/>
  <c r="AV295" i="1" s="1"/>
  <c r="AW295" i="1" s="1"/>
  <c r="AX295" i="1" s="1"/>
  <c r="AN295" i="1"/>
  <c r="AO295" i="1" s="1"/>
  <c r="AP295" i="1" s="1"/>
  <c r="AQ295" i="1" s="1"/>
  <c r="AF295" i="1"/>
  <c r="AB295" i="1"/>
  <c r="AC295" i="1" s="1"/>
  <c r="AD295" i="1" s="1"/>
  <c r="AE295" i="1" s="1"/>
  <c r="Z295" i="1"/>
  <c r="AG295" i="1" s="1"/>
  <c r="CO314" i="1"/>
  <c r="CP314" i="1" s="1"/>
  <c r="CQ314" i="1" s="1"/>
  <c r="CR314" i="1" s="1"/>
  <c r="CM314" i="1"/>
  <c r="CN314" i="1" s="1"/>
  <c r="CC314" i="1"/>
  <c r="CD314" i="1" s="1"/>
  <c r="CE314" i="1" s="1"/>
  <c r="BU314" i="1"/>
  <c r="BV314" i="1" s="1"/>
  <c r="BP314" i="1"/>
  <c r="BQ314" i="1" s="1"/>
  <c r="BR314" i="1" s="1"/>
  <c r="BJ314" i="1"/>
  <c r="BI314" i="1"/>
  <c r="BH314" i="1"/>
  <c r="BA314" i="1"/>
  <c r="BB314" i="1" s="1"/>
  <c r="BC314" i="1" s="1"/>
  <c r="BD314" i="1" s="1"/>
  <c r="AZ314" i="1"/>
  <c r="AS314" i="1"/>
  <c r="AT314" i="1" s="1"/>
  <c r="AU314" i="1" s="1"/>
  <c r="AV314" i="1" s="1"/>
  <c r="AW314" i="1" s="1"/>
  <c r="AX314" i="1" s="1"/>
  <c r="AN314" i="1"/>
  <c r="AO314" i="1" s="1"/>
  <c r="AP314" i="1" s="1"/>
  <c r="AQ314" i="1" s="1"/>
  <c r="AF314" i="1"/>
  <c r="Z314" i="1"/>
  <c r="CP262" i="1"/>
  <c r="CQ262" i="1" s="1"/>
  <c r="CR262" i="1" s="1"/>
  <c r="CN262" i="1"/>
  <c r="CM262" i="1"/>
  <c r="CC262" i="1"/>
  <c r="CD262" i="1" s="1"/>
  <c r="CE262" i="1" s="1"/>
  <c r="BU262" i="1"/>
  <c r="BV262" i="1" s="1"/>
  <c r="BP262" i="1"/>
  <c r="BQ262" i="1" s="1"/>
  <c r="BR262" i="1" s="1"/>
  <c r="BJ262" i="1"/>
  <c r="BH262" i="1"/>
  <c r="BI262" i="1" s="1"/>
  <c r="BA262" i="1"/>
  <c r="BB262" i="1" s="1"/>
  <c r="BC262" i="1" s="1"/>
  <c r="BD262" i="1" s="1"/>
  <c r="AS262" i="1"/>
  <c r="AT262" i="1" s="1"/>
  <c r="AU262" i="1" s="1"/>
  <c r="AV262" i="1" s="1"/>
  <c r="AW262" i="1" s="1"/>
  <c r="AX262" i="1" s="1"/>
  <c r="AN262" i="1"/>
  <c r="AO262" i="1" s="1"/>
  <c r="AP262" i="1" s="1"/>
  <c r="AQ262" i="1" s="1"/>
  <c r="AF262" i="1"/>
  <c r="V262" i="1"/>
  <c r="S262" i="1"/>
  <c r="CP8" i="1"/>
  <c r="CQ8" i="1" s="1"/>
  <c r="CR8" i="1" s="1"/>
  <c r="CM8" i="1"/>
  <c r="CN8" i="1" s="1"/>
  <c r="CI8" i="1"/>
  <c r="CJ8" i="1" s="1"/>
  <c r="BU8" i="1"/>
  <c r="BV8" i="1" s="1"/>
  <c r="BP8" i="1"/>
  <c r="BQ8" i="1" s="1"/>
  <c r="BR8" i="1" s="1"/>
  <c r="BJ8" i="1"/>
  <c r="BH8" i="1"/>
  <c r="BI8" i="1" s="1"/>
  <c r="BA8" i="1"/>
  <c r="AZ8" i="1"/>
  <c r="BB8" i="1" s="1"/>
  <c r="BC8" i="1" s="1"/>
  <c r="BD8" i="1" s="1"/>
  <c r="AV8" i="1"/>
  <c r="AW8" i="1" s="1"/>
  <c r="AX8" i="1" s="1"/>
  <c r="AS8" i="1"/>
  <c r="AT8" i="1" s="1"/>
  <c r="AU8" i="1" s="1"/>
  <c r="AN8" i="1"/>
  <c r="AO8" i="1" s="1"/>
  <c r="AP8" i="1" s="1"/>
  <c r="AQ8" i="1" s="1"/>
  <c r="V8" i="1"/>
  <c r="CP130" i="1"/>
  <c r="CQ130" i="1" s="1"/>
  <c r="CR130" i="1" s="1"/>
  <c r="CM130" i="1"/>
  <c r="CN130" i="1" s="1"/>
  <c r="CC130" i="1"/>
  <c r="CD130" i="1" s="1"/>
  <c r="CE130" i="1" s="1"/>
  <c r="BU130" i="1"/>
  <c r="BV130" i="1" s="1"/>
  <c r="BP130" i="1"/>
  <c r="BQ130" i="1" s="1"/>
  <c r="BR130" i="1" s="1"/>
  <c r="BJ130" i="1"/>
  <c r="BH130" i="1"/>
  <c r="BI130" i="1" s="1"/>
  <c r="BA130" i="1"/>
  <c r="BB130" i="1" s="1"/>
  <c r="BC130" i="1" s="1"/>
  <c r="BD130" i="1" s="1"/>
  <c r="AS130" i="1"/>
  <c r="AT130" i="1" s="1"/>
  <c r="AU130" i="1" s="1"/>
  <c r="AV130" i="1" s="1"/>
  <c r="AW130" i="1" s="1"/>
  <c r="AX130" i="1" s="1"/>
  <c r="AN130" i="1"/>
  <c r="AO130" i="1" s="1"/>
  <c r="AP130" i="1" s="1"/>
  <c r="AQ130" i="1" s="1"/>
  <c r="W130" i="1"/>
  <c r="V130" i="1"/>
  <c r="AF130" i="1" s="1"/>
  <c r="CQ256" i="1"/>
  <c r="CR256" i="1" s="1"/>
  <c r="CP256" i="1"/>
  <c r="CM256" i="1"/>
  <c r="CN256" i="1" s="1"/>
  <c r="CC256" i="1"/>
  <c r="CD256" i="1" s="1"/>
  <c r="CE256" i="1" s="1"/>
  <c r="BU256" i="1"/>
  <c r="BV256" i="1" s="1"/>
  <c r="BP256" i="1"/>
  <c r="BQ256" i="1" s="1"/>
  <c r="BR256" i="1" s="1"/>
  <c r="BJ256" i="1"/>
  <c r="BH256" i="1"/>
  <c r="BI256" i="1" s="1"/>
  <c r="BA256" i="1"/>
  <c r="BB256" i="1" s="1"/>
  <c r="BC256" i="1" s="1"/>
  <c r="BD256" i="1" s="1"/>
  <c r="AT256" i="1"/>
  <c r="AU256" i="1" s="1"/>
  <c r="AV256" i="1" s="1"/>
  <c r="AW256" i="1" s="1"/>
  <c r="AX256" i="1" s="1"/>
  <c r="AS256" i="1"/>
  <c r="AN256" i="1"/>
  <c r="AO256" i="1" s="1"/>
  <c r="AP256" i="1" s="1"/>
  <c r="AQ256" i="1" s="1"/>
  <c r="Z256" i="1"/>
  <c r="W256" i="1"/>
  <c r="V256" i="1"/>
  <c r="CO243" i="1"/>
  <c r="CP243" i="1" s="1"/>
  <c r="CQ243" i="1" s="1"/>
  <c r="CR243" i="1" s="1"/>
  <c r="CM243" i="1"/>
  <c r="CN243" i="1" s="1"/>
  <c r="CC243" i="1"/>
  <c r="CD243" i="1" s="1"/>
  <c r="CE243" i="1" s="1"/>
  <c r="BU243" i="1"/>
  <c r="BV243" i="1" s="1"/>
  <c r="BP243" i="1"/>
  <c r="BQ243" i="1" s="1"/>
  <c r="BR243" i="1" s="1"/>
  <c r="BJ243" i="1"/>
  <c r="BH243" i="1"/>
  <c r="BI243" i="1" s="1"/>
  <c r="BA243" i="1"/>
  <c r="BB243" i="1" s="1"/>
  <c r="BC243" i="1" s="1"/>
  <c r="BD243" i="1" s="1"/>
  <c r="AS243" i="1"/>
  <c r="AT243" i="1" s="1"/>
  <c r="AU243" i="1" s="1"/>
  <c r="AV243" i="1" s="1"/>
  <c r="AW243" i="1" s="1"/>
  <c r="AX243" i="1" s="1"/>
  <c r="AN243" i="1"/>
  <c r="AO243" i="1" s="1"/>
  <c r="AP243" i="1" s="1"/>
  <c r="AQ243" i="1" s="1"/>
  <c r="W243" i="1"/>
  <c r="V243" i="1"/>
  <c r="CP101" i="1"/>
  <c r="CQ101" i="1" s="1"/>
  <c r="CR101" i="1" s="1"/>
  <c r="CM101" i="1"/>
  <c r="CN101" i="1" s="1"/>
  <c r="CC101" i="1"/>
  <c r="CD101" i="1" s="1"/>
  <c r="CE101" i="1" s="1"/>
  <c r="BU101" i="1"/>
  <c r="BV101" i="1" s="1"/>
  <c r="BP101" i="1"/>
  <c r="BQ101" i="1" s="1"/>
  <c r="BR101" i="1" s="1"/>
  <c r="BJ101" i="1"/>
  <c r="BH101" i="1"/>
  <c r="BI101" i="1" s="1"/>
  <c r="BA101" i="1"/>
  <c r="AZ101" i="1"/>
  <c r="AV101" i="1"/>
  <c r="AW101" i="1" s="1"/>
  <c r="AX101" i="1" s="1"/>
  <c r="AS101" i="1"/>
  <c r="AT101" i="1" s="1"/>
  <c r="AU101" i="1" s="1"/>
  <c r="AN101" i="1"/>
  <c r="AO101" i="1" s="1"/>
  <c r="AP101" i="1" s="1"/>
  <c r="AQ101" i="1" s="1"/>
  <c r="V101" i="1"/>
  <c r="CP210" i="1"/>
  <c r="CQ210" i="1" s="1"/>
  <c r="CR210" i="1" s="1"/>
  <c r="CM210" i="1"/>
  <c r="CN210" i="1" s="1"/>
  <c r="CC210" i="1"/>
  <c r="CD210" i="1" s="1"/>
  <c r="CE210" i="1" s="1"/>
  <c r="BU210" i="1"/>
  <c r="BV210" i="1" s="1"/>
  <c r="BP210" i="1"/>
  <c r="BQ210" i="1" s="1"/>
  <c r="BR210" i="1" s="1"/>
  <c r="BJ210" i="1"/>
  <c r="BH210" i="1"/>
  <c r="BI210" i="1" s="1"/>
  <c r="BA210" i="1"/>
  <c r="BB210" i="1" s="1"/>
  <c r="BC210" i="1" s="1"/>
  <c r="BD210" i="1" s="1"/>
  <c r="AS210" i="1"/>
  <c r="AT210" i="1" s="1"/>
  <c r="AU210" i="1" s="1"/>
  <c r="AV210" i="1" s="1"/>
  <c r="AW210" i="1" s="1"/>
  <c r="AX210" i="1" s="1"/>
  <c r="AN210" i="1"/>
  <c r="AO210" i="1" s="1"/>
  <c r="AP210" i="1" s="1"/>
  <c r="AQ210" i="1" s="1"/>
  <c r="Z210" i="1"/>
  <c r="W210" i="1"/>
  <c r="V210" i="1"/>
  <c r="AF210" i="1" s="1"/>
  <c r="CQ190" i="1"/>
  <c r="CR190" i="1" s="1"/>
  <c r="CP190" i="1"/>
  <c r="CM190" i="1"/>
  <c r="CN190" i="1" s="1"/>
  <c r="CC190" i="1"/>
  <c r="CD190" i="1" s="1"/>
  <c r="CE190" i="1" s="1"/>
  <c r="BU190" i="1"/>
  <c r="BV190" i="1" s="1"/>
  <c r="BP190" i="1"/>
  <c r="BQ190" i="1" s="1"/>
  <c r="BR190" i="1" s="1"/>
  <c r="BJ190" i="1"/>
  <c r="BH190" i="1"/>
  <c r="BI190" i="1" s="1"/>
  <c r="BA190" i="1"/>
  <c r="BB190" i="1" s="1"/>
  <c r="BC190" i="1" s="1"/>
  <c r="BD190" i="1" s="1"/>
  <c r="AZ190" i="1"/>
  <c r="AS190" i="1"/>
  <c r="AT190" i="1" s="1"/>
  <c r="AU190" i="1" s="1"/>
  <c r="AV190" i="1" s="1"/>
  <c r="AW190" i="1" s="1"/>
  <c r="AX190" i="1" s="1"/>
  <c r="AP190" i="1"/>
  <c r="AQ190" i="1" s="1"/>
  <c r="AN190" i="1"/>
  <c r="AO190" i="1" s="1"/>
  <c r="W190" i="1"/>
  <c r="V190" i="1"/>
  <c r="U190" i="1"/>
  <c r="AB190" i="1" s="1"/>
  <c r="AC190" i="1" s="1"/>
  <c r="AD190" i="1" s="1"/>
  <c r="AE190" i="1" s="1"/>
  <c r="CO158" i="1"/>
  <c r="CP158" i="1" s="1"/>
  <c r="CQ158" i="1" s="1"/>
  <c r="CR158" i="1" s="1"/>
  <c r="CM158" i="1"/>
  <c r="CN158" i="1" s="1"/>
  <c r="CC158" i="1"/>
  <c r="CD158" i="1" s="1"/>
  <c r="CE158" i="1" s="1"/>
  <c r="BU158" i="1"/>
  <c r="BV158" i="1" s="1"/>
  <c r="BP158" i="1"/>
  <c r="BQ158" i="1" s="1"/>
  <c r="BR158" i="1" s="1"/>
  <c r="BJ158" i="1"/>
  <c r="BH158" i="1"/>
  <c r="BI158" i="1" s="1"/>
  <c r="BA158" i="1"/>
  <c r="AZ158" i="1"/>
  <c r="AS158" i="1"/>
  <c r="AT158" i="1" s="1"/>
  <c r="AU158" i="1" s="1"/>
  <c r="AV158" i="1" s="1"/>
  <c r="AW158" i="1" s="1"/>
  <c r="AX158" i="1" s="1"/>
  <c r="AN158" i="1"/>
  <c r="AO158" i="1" s="1"/>
  <c r="AP158" i="1" s="1"/>
  <c r="AQ158" i="1" s="1"/>
  <c r="AF158" i="1"/>
  <c r="Z158" i="1"/>
  <c r="W158" i="1"/>
  <c r="V158" i="1"/>
  <c r="CO20" i="1"/>
  <c r="CP20" i="1" s="1"/>
  <c r="CQ20" i="1" s="1"/>
  <c r="CR20" i="1" s="1"/>
  <c r="CN20" i="1"/>
  <c r="CM20" i="1"/>
  <c r="CI20" i="1"/>
  <c r="CJ20" i="1" s="1"/>
  <c r="BU20" i="1"/>
  <c r="BV20" i="1" s="1"/>
  <c r="BQ20" i="1"/>
  <c r="BR20" i="1" s="1"/>
  <c r="BP20" i="1"/>
  <c r="BJ20" i="1"/>
  <c r="BF20" i="1"/>
  <c r="BH20" i="1" s="1"/>
  <c r="BI20" i="1" s="1"/>
  <c r="BA20" i="1"/>
  <c r="AZ20" i="1"/>
  <c r="AS20" i="1"/>
  <c r="AT20" i="1" s="1"/>
  <c r="AU20" i="1" s="1"/>
  <c r="AV20" i="1" s="1"/>
  <c r="AW20" i="1" s="1"/>
  <c r="AX20" i="1" s="1"/>
  <c r="AN20" i="1"/>
  <c r="AO20" i="1" s="1"/>
  <c r="AP20" i="1" s="1"/>
  <c r="AQ20" i="1" s="1"/>
  <c r="W20" i="1"/>
  <c r="V20" i="1"/>
  <c r="T20" i="1"/>
  <c r="CP14" i="1"/>
  <c r="CQ14" i="1" s="1"/>
  <c r="CR14" i="1" s="1"/>
  <c r="CM14" i="1"/>
  <c r="CN14" i="1" s="1"/>
  <c r="CI14" i="1"/>
  <c r="CJ14" i="1" s="1"/>
  <c r="BV14" i="1"/>
  <c r="BU14" i="1"/>
  <c r="BP14" i="1"/>
  <c r="BQ14" i="1" s="1"/>
  <c r="BR14" i="1" s="1"/>
  <c r="BJ14" i="1"/>
  <c r="BE14" i="1"/>
  <c r="BH14" i="1" s="1"/>
  <c r="BI14" i="1" s="1"/>
  <c r="BA14" i="1"/>
  <c r="BB14" i="1" s="1"/>
  <c r="BC14" i="1" s="1"/>
  <c r="BD14" i="1" s="1"/>
  <c r="AS14" i="1"/>
  <c r="AT14" i="1" s="1"/>
  <c r="AU14" i="1" s="1"/>
  <c r="AV14" i="1" s="1"/>
  <c r="AW14" i="1" s="1"/>
  <c r="AX14" i="1" s="1"/>
  <c r="AN14" i="1"/>
  <c r="AO14" i="1" s="1"/>
  <c r="AP14" i="1" s="1"/>
  <c r="AQ14" i="1" s="1"/>
  <c r="Z14" i="1"/>
  <c r="W14" i="1"/>
  <c r="V14" i="1"/>
  <c r="AF14" i="1" s="1"/>
  <c r="CP285" i="1"/>
  <c r="CQ285" i="1" s="1"/>
  <c r="CR285" i="1" s="1"/>
  <c r="CM285" i="1"/>
  <c r="CN285" i="1" s="1"/>
  <c r="CC285" i="1"/>
  <c r="CD285" i="1" s="1"/>
  <c r="CE285" i="1" s="1"/>
  <c r="BU285" i="1"/>
  <c r="BV285" i="1" s="1"/>
  <c r="BP285" i="1"/>
  <c r="BQ285" i="1" s="1"/>
  <c r="BR285" i="1" s="1"/>
  <c r="BJ285" i="1"/>
  <c r="BH285" i="1"/>
  <c r="BI285" i="1" s="1"/>
  <c r="BA285" i="1"/>
  <c r="BB285" i="1" s="1"/>
  <c r="BC285" i="1" s="1"/>
  <c r="BD285" i="1" s="1"/>
  <c r="AS285" i="1"/>
  <c r="AT285" i="1" s="1"/>
  <c r="AU285" i="1" s="1"/>
  <c r="AV285" i="1" s="1"/>
  <c r="AW285" i="1" s="1"/>
  <c r="AX285" i="1" s="1"/>
  <c r="AN285" i="1"/>
  <c r="AO285" i="1" s="1"/>
  <c r="AP285" i="1" s="1"/>
  <c r="AQ285" i="1" s="1"/>
  <c r="V285" i="1"/>
  <c r="CP57" i="1"/>
  <c r="CQ57" i="1" s="1"/>
  <c r="CR57" i="1" s="1"/>
  <c r="CM57" i="1"/>
  <c r="CN57" i="1" s="1"/>
  <c r="CC57" i="1"/>
  <c r="CD57" i="1" s="1"/>
  <c r="CE57" i="1" s="1"/>
  <c r="BU57" i="1"/>
  <c r="BV57" i="1" s="1"/>
  <c r="BP57" i="1"/>
  <c r="BQ57" i="1" s="1"/>
  <c r="BR57" i="1" s="1"/>
  <c r="BJ57" i="1"/>
  <c r="BH57" i="1"/>
  <c r="BI57" i="1" s="1"/>
  <c r="BB57" i="1"/>
  <c r="BC57" i="1" s="1"/>
  <c r="BD57" i="1" s="1"/>
  <c r="BA57" i="1"/>
  <c r="AZ57" i="1"/>
  <c r="AS57" i="1"/>
  <c r="AT57" i="1" s="1"/>
  <c r="AU57" i="1" s="1"/>
  <c r="AV57" i="1" s="1"/>
  <c r="AW57" i="1" s="1"/>
  <c r="AX57" i="1" s="1"/>
  <c r="AN57" i="1"/>
  <c r="AO57" i="1" s="1"/>
  <c r="AP57" i="1" s="1"/>
  <c r="AQ57" i="1" s="1"/>
  <c r="AF57" i="1"/>
  <c r="W57" i="1"/>
  <c r="V57" i="1"/>
  <c r="CP149" i="1"/>
  <c r="CQ149" i="1" s="1"/>
  <c r="CR149" i="1" s="1"/>
  <c r="CM149" i="1"/>
  <c r="CN149" i="1" s="1"/>
  <c r="CC149" i="1"/>
  <c r="CD149" i="1" s="1"/>
  <c r="CE149" i="1" s="1"/>
  <c r="BU149" i="1"/>
  <c r="BV149" i="1" s="1"/>
  <c r="BP149" i="1"/>
  <c r="BQ149" i="1" s="1"/>
  <c r="BR149" i="1" s="1"/>
  <c r="BJ149" i="1"/>
  <c r="BH149" i="1"/>
  <c r="BI149" i="1" s="1"/>
  <c r="BA149" i="1"/>
  <c r="BB149" i="1" s="1"/>
  <c r="BC149" i="1" s="1"/>
  <c r="BD149" i="1" s="1"/>
  <c r="AS149" i="1"/>
  <c r="AT149" i="1" s="1"/>
  <c r="AU149" i="1" s="1"/>
  <c r="AV149" i="1" s="1"/>
  <c r="AW149" i="1" s="1"/>
  <c r="AX149" i="1" s="1"/>
  <c r="AN149" i="1"/>
  <c r="AO149" i="1" s="1"/>
  <c r="AP149" i="1" s="1"/>
  <c r="AQ149" i="1" s="1"/>
  <c r="V149" i="1"/>
  <c r="CP115" i="1"/>
  <c r="CQ115" i="1" s="1"/>
  <c r="CR115" i="1" s="1"/>
  <c r="CM115" i="1"/>
  <c r="CN115" i="1" s="1"/>
  <c r="CC115" i="1"/>
  <c r="CD115" i="1" s="1"/>
  <c r="CE115" i="1" s="1"/>
  <c r="BU115" i="1"/>
  <c r="BV115" i="1" s="1"/>
  <c r="BP115" i="1"/>
  <c r="BQ115" i="1" s="1"/>
  <c r="BR115" i="1" s="1"/>
  <c r="BJ115" i="1"/>
  <c r="BH115" i="1"/>
  <c r="BI115" i="1" s="1"/>
  <c r="BA115" i="1"/>
  <c r="AZ115" i="1"/>
  <c r="AS115" i="1"/>
  <c r="AT115" i="1" s="1"/>
  <c r="AU115" i="1" s="1"/>
  <c r="AV115" i="1" s="1"/>
  <c r="AW115" i="1" s="1"/>
  <c r="AX115" i="1" s="1"/>
  <c r="AO115" i="1"/>
  <c r="AP115" i="1" s="1"/>
  <c r="AQ115" i="1" s="1"/>
  <c r="AN115" i="1"/>
  <c r="AF115" i="1"/>
  <c r="W115" i="1"/>
  <c r="AG115" i="1" s="1"/>
  <c r="CP276" i="1"/>
  <c r="CQ276" i="1" s="1"/>
  <c r="CR276" i="1" s="1"/>
  <c r="CM276" i="1"/>
  <c r="CN276" i="1" s="1"/>
  <c r="CC276" i="1"/>
  <c r="CD276" i="1" s="1"/>
  <c r="CE276" i="1" s="1"/>
  <c r="BU276" i="1"/>
  <c r="BV276" i="1" s="1"/>
  <c r="BP276" i="1"/>
  <c r="BQ276" i="1" s="1"/>
  <c r="BR276" i="1" s="1"/>
  <c r="BJ276" i="1"/>
  <c r="BH276" i="1"/>
  <c r="BI276" i="1" s="1"/>
  <c r="BA276" i="1"/>
  <c r="BB276" i="1" s="1"/>
  <c r="BC276" i="1" s="1"/>
  <c r="BD276" i="1" s="1"/>
  <c r="AZ276" i="1"/>
  <c r="AS276" i="1"/>
  <c r="AT276" i="1" s="1"/>
  <c r="AU276" i="1" s="1"/>
  <c r="AV276" i="1" s="1"/>
  <c r="AW276" i="1" s="1"/>
  <c r="AX276" i="1" s="1"/>
  <c r="AN276" i="1"/>
  <c r="AO276" i="1" s="1"/>
  <c r="AP276" i="1" s="1"/>
  <c r="AQ276" i="1" s="1"/>
  <c r="Z276" i="1"/>
  <c r="W276" i="1"/>
  <c r="V276" i="1"/>
  <c r="U276" i="1"/>
  <c r="CP146" i="1"/>
  <c r="CQ146" i="1" s="1"/>
  <c r="CR146" i="1" s="1"/>
  <c r="CM146" i="1"/>
  <c r="CN146" i="1" s="1"/>
  <c r="CC146" i="1"/>
  <c r="CD146" i="1" s="1"/>
  <c r="CE146" i="1" s="1"/>
  <c r="BU146" i="1"/>
  <c r="BV146" i="1" s="1"/>
  <c r="BP146" i="1"/>
  <c r="BQ146" i="1" s="1"/>
  <c r="BR146" i="1" s="1"/>
  <c r="BJ146" i="1"/>
  <c r="BH146" i="1"/>
  <c r="BI146" i="1" s="1"/>
  <c r="BA146" i="1"/>
  <c r="AZ146" i="1"/>
  <c r="AS146" i="1"/>
  <c r="AT146" i="1" s="1"/>
  <c r="AU146" i="1" s="1"/>
  <c r="AV146" i="1" s="1"/>
  <c r="AW146" i="1" s="1"/>
  <c r="AX146" i="1" s="1"/>
  <c r="AN146" i="1"/>
  <c r="AO146" i="1" s="1"/>
  <c r="AP146" i="1" s="1"/>
  <c r="AQ146" i="1" s="1"/>
  <c r="AE146" i="1"/>
  <c r="W146" i="1"/>
  <c r="AB146" i="1" s="1"/>
  <c r="AC146" i="1" s="1"/>
  <c r="AD146" i="1" s="1"/>
  <c r="V146" i="1"/>
  <c r="CP301" i="1"/>
  <c r="CQ301" i="1" s="1"/>
  <c r="CR301" i="1" s="1"/>
  <c r="CM301" i="1"/>
  <c r="CN301" i="1" s="1"/>
  <c r="CC301" i="1"/>
  <c r="CD301" i="1" s="1"/>
  <c r="CE301" i="1" s="1"/>
  <c r="BS301" i="1"/>
  <c r="BU301" i="1" s="1"/>
  <c r="BV301" i="1" s="1"/>
  <c r="BP301" i="1"/>
  <c r="BQ301" i="1" s="1"/>
  <c r="BR301" i="1" s="1"/>
  <c r="BJ301" i="1"/>
  <c r="BH301" i="1"/>
  <c r="BI301" i="1" s="1"/>
  <c r="BA301" i="1"/>
  <c r="AZ301" i="1"/>
  <c r="AS301" i="1"/>
  <c r="AT301" i="1" s="1"/>
  <c r="AU301" i="1" s="1"/>
  <c r="AV301" i="1" s="1"/>
  <c r="AW301" i="1" s="1"/>
  <c r="AX301" i="1" s="1"/>
  <c r="AN301" i="1"/>
  <c r="AO301" i="1" s="1"/>
  <c r="AP301" i="1" s="1"/>
  <c r="AQ301" i="1" s="1"/>
  <c r="AF301" i="1"/>
  <c r="W301" i="1"/>
  <c r="AB301" i="1" s="1"/>
  <c r="AC301" i="1" s="1"/>
  <c r="AD301" i="1" s="1"/>
  <c r="AE301" i="1" s="1"/>
  <c r="CP174" i="1"/>
  <c r="CQ174" i="1" s="1"/>
  <c r="CR174" i="1" s="1"/>
  <c r="CM174" i="1"/>
  <c r="CN174" i="1" s="1"/>
  <c r="CC174" i="1"/>
  <c r="CD174" i="1" s="1"/>
  <c r="CE174" i="1" s="1"/>
  <c r="BU174" i="1"/>
  <c r="BV174" i="1" s="1"/>
  <c r="BO174" i="1"/>
  <c r="BP174" i="1" s="1"/>
  <c r="BQ174" i="1" s="1"/>
  <c r="BR174" i="1" s="1"/>
  <c r="BJ174" i="1"/>
  <c r="BH174" i="1"/>
  <c r="BI174" i="1" s="1"/>
  <c r="BA174" i="1"/>
  <c r="BB174" i="1" s="1"/>
  <c r="BC174" i="1" s="1"/>
  <c r="BD174" i="1" s="1"/>
  <c r="AT174" i="1"/>
  <c r="AU174" i="1" s="1"/>
  <c r="AV174" i="1" s="1"/>
  <c r="AW174" i="1" s="1"/>
  <c r="AX174" i="1" s="1"/>
  <c r="AS174" i="1"/>
  <c r="AN174" i="1"/>
  <c r="AO174" i="1" s="1"/>
  <c r="AP174" i="1" s="1"/>
  <c r="AQ174" i="1" s="1"/>
  <c r="W174" i="1"/>
  <c r="U174" i="1"/>
  <c r="CP220" i="1"/>
  <c r="CQ220" i="1" s="1"/>
  <c r="CR220" i="1" s="1"/>
  <c r="CM220" i="1"/>
  <c r="CN220" i="1" s="1"/>
  <c r="CC220" i="1"/>
  <c r="CD220" i="1" s="1"/>
  <c r="CE220" i="1" s="1"/>
  <c r="BU220" i="1"/>
  <c r="BV220" i="1" s="1"/>
  <c r="BP220" i="1"/>
  <c r="BQ220" i="1" s="1"/>
  <c r="BR220" i="1" s="1"/>
  <c r="BJ220" i="1"/>
  <c r="BH220" i="1"/>
  <c r="BI220" i="1" s="1"/>
  <c r="BA220" i="1"/>
  <c r="AZ220" i="1"/>
  <c r="AS220" i="1"/>
  <c r="AT220" i="1" s="1"/>
  <c r="AU220" i="1" s="1"/>
  <c r="AV220" i="1" s="1"/>
  <c r="AW220" i="1" s="1"/>
  <c r="AX220" i="1" s="1"/>
  <c r="AN220" i="1"/>
  <c r="AO220" i="1" s="1"/>
  <c r="AP220" i="1" s="1"/>
  <c r="AQ220" i="1" s="1"/>
  <c r="AG220" i="1"/>
  <c r="AF220" i="1"/>
  <c r="AB220" i="1"/>
  <c r="AC220" i="1" s="1"/>
  <c r="AD220" i="1" s="1"/>
  <c r="AE220" i="1" s="1"/>
  <c r="CP237" i="1"/>
  <c r="CQ237" i="1" s="1"/>
  <c r="CR237" i="1" s="1"/>
  <c r="CM237" i="1"/>
  <c r="CN237" i="1" s="1"/>
  <c r="CD237" i="1"/>
  <c r="CE237" i="1" s="1"/>
  <c r="CC237" i="1"/>
  <c r="BU237" i="1"/>
  <c r="BV237" i="1" s="1"/>
  <c r="BP237" i="1"/>
  <c r="BQ237" i="1" s="1"/>
  <c r="BR237" i="1" s="1"/>
  <c r="BJ237" i="1"/>
  <c r="BH237" i="1"/>
  <c r="BI237" i="1" s="1"/>
  <c r="BA237" i="1"/>
  <c r="BB237" i="1" s="1"/>
  <c r="BC237" i="1" s="1"/>
  <c r="BD237" i="1" s="1"/>
  <c r="AS237" i="1"/>
  <c r="AT237" i="1" s="1"/>
  <c r="AU237" i="1" s="1"/>
  <c r="AV237" i="1" s="1"/>
  <c r="AW237" i="1" s="1"/>
  <c r="AX237" i="1" s="1"/>
  <c r="AN237" i="1"/>
  <c r="AO237" i="1" s="1"/>
  <c r="AP237" i="1" s="1"/>
  <c r="AQ237" i="1" s="1"/>
  <c r="W237" i="1"/>
  <c r="V237" i="1"/>
  <c r="AF237" i="1" s="1"/>
  <c r="CO305" i="1"/>
  <c r="CP305" i="1" s="1"/>
  <c r="CQ305" i="1" s="1"/>
  <c r="CR305" i="1" s="1"/>
  <c r="CM305" i="1"/>
  <c r="CN305" i="1" s="1"/>
  <c r="CC305" i="1"/>
  <c r="CD305" i="1" s="1"/>
  <c r="CE305" i="1" s="1"/>
  <c r="BU305" i="1"/>
  <c r="BV305" i="1" s="1"/>
  <c r="BP305" i="1"/>
  <c r="BQ305" i="1" s="1"/>
  <c r="BR305" i="1" s="1"/>
  <c r="BJ305" i="1"/>
  <c r="BH305" i="1"/>
  <c r="BI305" i="1" s="1"/>
  <c r="BA305" i="1"/>
  <c r="BB305" i="1" s="1"/>
  <c r="BC305" i="1" s="1"/>
  <c r="BD305" i="1" s="1"/>
  <c r="AS305" i="1"/>
  <c r="AT305" i="1" s="1"/>
  <c r="AU305" i="1" s="1"/>
  <c r="AV305" i="1" s="1"/>
  <c r="AW305" i="1" s="1"/>
  <c r="AX305" i="1" s="1"/>
  <c r="AN305" i="1"/>
  <c r="AO305" i="1" s="1"/>
  <c r="AP305" i="1" s="1"/>
  <c r="AQ305" i="1" s="1"/>
  <c r="V305" i="1"/>
  <c r="U305" i="1"/>
  <c r="CP30" i="1"/>
  <c r="CQ30" i="1" s="1"/>
  <c r="CR30" i="1" s="1"/>
  <c r="CM30" i="1"/>
  <c r="CN30" i="1" s="1"/>
  <c r="CC30" i="1"/>
  <c r="CD30" i="1" s="1"/>
  <c r="CE30" i="1" s="1"/>
  <c r="BU30" i="1"/>
  <c r="BV30" i="1" s="1"/>
  <c r="BP30" i="1"/>
  <c r="BQ30" i="1" s="1"/>
  <c r="BR30" i="1" s="1"/>
  <c r="BJ30" i="1"/>
  <c r="BH30" i="1"/>
  <c r="BI30" i="1" s="1"/>
  <c r="BA30" i="1"/>
  <c r="BB30" i="1" s="1"/>
  <c r="BC30" i="1" s="1"/>
  <c r="BD30" i="1" s="1"/>
  <c r="AS30" i="1"/>
  <c r="AT30" i="1" s="1"/>
  <c r="AU30" i="1" s="1"/>
  <c r="AV30" i="1" s="1"/>
  <c r="AW30" i="1" s="1"/>
  <c r="AX30" i="1" s="1"/>
  <c r="AN30" i="1"/>
  <c r="AO30" i="1" s="1"/>
  <c r="AP30" i="1" s="1"/>
  <c r="AQ30" i="1" s="1"/>
  <c r="AB30" i="1"/>
  <c r="AC30" i="1" s="1"/>
  <c r="AD30" i="1" s="1"/>
  <c r="AE30" i="1" s="1"/>
  <c r="W30" i="1"/>
  <c r="V30" i="1"/>
  <c r="U30" i="1"/>
  <c r="CO39" i="1"/>
  <c r="CP39" i="1" s="1"/>
  <c r="CQ39" i="1" s="1"/>
  <c r="CR39" i="1" s="1"/>
  <c r="CM39" i="1"/>
  <c r="CN39" i="1" s="1"/>
  <c r="CC39" i="1"/>
  <c r="CD39" i="1" s="1"/>
  <c r="CE39" i="1" s="1"/>
  <c r="BU39" i="1"/>
  <c r="BV39" i="1" s="1"/>
  <c r="BP39" i="1"/>
  <c r="BQ39" i="1" s="1"/>
  <c r="BR39" i="1" s="1"/>
  <c r="BJ39" i="1"/>
  <c r="BH39" i="1"/>
  <c r="BI39" i="1" s="1"/>
  <c r="BA39" i="1"/>
  <c r="BB39" i="1" s="1"/>
  <c r="BC39" i="1" s="1"/>
  <c r="BD39" i="1" s="1"/>
  <c r="AS39" i="1"/>
  <c r="AT39" i="1" s="1"/>
  <c r="AU39" i="1" s="1"/>
  <c r="AV39" i="1" s="1"/>
  <c r="AW39" i="1" s="1"/>
  <c r="AX39" i="1" s="1"/>
  <c r="AN39" i="1"/>
  <c r="AO39" i="1" s="1"/>
  <c r="AP39" i="1" s="1"/>
  <c r="AQ39" i="1" s="1"/>
  <c r="Z39" i="1"/>
  <c r="V39" i="1"/>
  <c r="AF39" i="1" s="1"/>
  <c r="CP175" i="1"/>
  <c r="CQ175" i="1" s="1"/>
  <c r="CR175" i="1" s="1"/>
  <c r="CM175" i="1"/>
  <c r="CN175" i="1" s="1"/>
  <c r="CC175" i="1"/>
  <c r="CD175" i="1" s="1"/>
  <c r="CE175" i="1" s="1"/>
  <c r="BU175" i="1"/>
  <c r="BV175" i="1" s="1"/>
  <c r="BP175" i="1"/>
  <c r="BQ175" i="1" s="1"/>
  <c r="BR175" i="1" s="1"/>
  <c r="BJ175" i="1"/>
  <c r="BE175" i="1"/>
  <c r="BH175" i="1" s="1"/>
  <c r="BI175" i="1" s="1"/>
  <c r="BA175" i="1"/>
  <c r="BB175" i="1" s="1"/>
  <c r="BC175" i="1" s="1"/>
  <c r="BD175" i="1" s="1"/>
  <c r="AT175" i="1"/>
  <c r="AU175" i="1" s="1"/>
  <c r="AV175" i="1" s="1"/>
  <c r="AW175" i="1" s="1"/>
  <c r="AX175" i="1" s="1"/>
  <c r="AS175" i="1"/>
  <c r="AN175" i="1"/>
  <c r="AO175" i="1" s="1"/>
  <c r="AP175" i="1" s="1"/>
  <c r="AQ175" i="1" s="1"/>
  <c r="W175" i="1"/>
  <c r="V175" i="1"/>
  <c r="CP179" i="1"/>
  <c r="CQ179" i="1" s="1"/>
  <c r="CR179" i="1" s="1"/>
  <c r="CM179" i="1"/>
  <c r="CN179" i="1" s="1"/>
  <c r="CC179" i="1"/>
  <c r="CD179" i="1" s="1"/>
  <c r="CE179" i="1" s="1"/>
  <c r="BU179" i="1"/>
  <c r="BV179" i="1" s="1"/>
  <c r="BP179" i="1"/>
  <c r="BQ179" i="1" s="1"/>
  <c r="BR179" i="1" s="1"/>
  <c r="BJ179" i="1"/>
  <c r="BH179" i="1"/>
  <c r="BI179" i="1" s="1"/>
  <c r="BB179" i="1"/>
  <c r="BC179" i="1" s="1"/>
  <c r="BD179" i="1" s="1"/>
  <c r="BA179" i="1"/>
  <c r="AS179" i="1"/>
  <c r="AT179" i="1" s="1"/>
  <c r="AU179" i="1" s="1"/>
  <c r="AV179" i="1" s="1"/>
  <c r="AW179" i="1" s="1"/>
  <c r="AX179" i="1" s="1"/>
  <c r="AN179" i="1"/>
  <c r="AO179" i="1" s="1"/>
  <c r="AP179" i="1" s="1"/>
  <c r="AQ179" i="1" s="1"/>
  <c r="Z179" i="1"/>
  <c r="W179" i="1"/>
  <c r="V179" i="1"/>
  <c r="CP270" i="1"/>
  <c r="CQ270" i="1" s="1"/>
  <c r="CR270" i="1" s="1"/>
  <c r="CM270" i="1"/>
  <c r="CN270" i="1" s="1"/>
  <c r="CD270" i="1"/>
  <c r="CE270" i="1" s="1"/>
  <c r="CC270" i="1"/>
  <c r="BU270" i="1"/>
  <c r="BV270" i="1" s="1"/>
  <c r="BP270" i="1"/>
  <c r="BQ270" i="1" s="1"/>
  <c r="BR270" i="1" s="1"/>
  <c r="BJ270" i="1"/>
  <c r="BH270" i="1"/>
  <c r="BI270" i="1" s="1"/>
  <c r="BA270" i="1"/>
  <c r="BB270" i="1" s="1"/>
  <c r="BC270" i="1" s="1"/>
  <c r="BD270" i="1" s="1"/>
  <c r="AS270" i="1"/>
  <c r="AT270" i="1" s="1"/>
  <c r="AU270" i="1" s="1"/>
  <c r="AV270" i="1" s="1"/>
  <c r="AW270" i="1" s="1"/>
  <c r="AX270" i="1" s="1"/>
  <c r="AN270" i="1"/>
  <c r="AO270" i="1" s="1"/>
  <c r="AP270" i="1" s="1"/>
  <c r="AQ270" i="1" s="1"/>
  <c r="W270" i="1"/>
  <c r="V270" i="1"/>
  <c r="U270" i="1"/>
  <c r="CP278" i="1"/>
  <c r="CQ278" i="1" s="1"/>
  <c r="CR278" i="1" s="1"/>
  <c r="CM278" i="1"/>
  <c r="CN278" i="1" s="1"/>
  <c r="CC278" i="1"/>
  <c r="CD278" i="1" s="1"/>
  <c r="CE278" i="1" s="1"/>
  <c r="BU278" i="1"/>
  <c r="BV278" i="1" s="1"/>
  <c r="BP278" i="1"/>
  <c r="BQ278" i="1" s="1"/>
  <c r="BR278" i="1" s="1"/>
  <c r="BJ278" i="1"/>
  <c r="BH278" i="1"/>
  <c r="BI278" i="1" s="1"/>
  <c r="BA278" i="1"/>
  <c r="BB278" i="1" s="1"/>
  <c r="BC278" i="1" s="1"/>
  <c r="BD278" i="1" s="1"/>
  <c r="AS278" i="1"/>
  <c r="AT278" i="1" s="1"/>
  <c r="AU278" i="1" s="1"/>
  <c r="AV278" i="1" s="1"/>
  <c r="AW278" i="1" s="1"/>
  <c r="AX278" i="1" s="1"/>
  <c r="AN278" i="1"/>
  <c r="AO278" i="1" s="1"/>
  <c r="AP278" i="1" s="1"/>
  <c r="AQ278" i="1" s="1"/>
  <c r="Z278" i="1"/>
  <c r="W278" i="1"/>
  <c r="V278" i="1"/>
  <c r="AF278" i="1" s="1"/>
  <c r="CO274" i="1"/>
  <c r="CP274" i="1" s="1"/>
  <c r="CQ274" i="1" s="1"/>
  <c r="CR274" i="1" s="1"/>
  <c r="CM274" i="1"/>
  <c r="CN274" i="1" s="1"/>
  <c r="CC274" i="1"/>
  <c r="CD274" i="1" s="1"/>
  <c r="CE274" i="1" s="1"/>
  <c r="BU274" i="1"/>
  <c r="BV274" i="1" s="1"/>
  <c r="BP274" i="1"/>
  <c r="BQ274" i="1" s="1"/>
  <c r="BR274" i="1" s="1"/>
  <c r="BJ274" i="1"/>
  <c r="BH274" i="1"/>
  <c r="BI274" i="1" s="1"/>
  <c r="BA274" i="1"/>
  <c r="BB274" i="1" s="1"/>
  <c r="BC274" i="1" s="1"/>
  <c r="BD274" i="1" s="1"/>
  <c r="AS274" i="1"/>
  <c r="AT274" i="1" s="1"/>
  <c r="AU274" i="1" s="1"/>
  <c r="AV274" i="1" s="1"/>
  <c r="AW274" i="1" s="1"/>
  <c r="AX274" i="1" s="1"/>
  <c r="AN274" i="1"/>
  <c r="AO274" i="1" s="1"/>
  <c r="AP274" i="1" s="1"/>
  <c r="AQ274" i="1" s="1"/>
  <c r="V274" i="1"/>
  <c r="CP9" i="1"/>
  <c r="CQ9" i="1" s="1"/>
  <c r="CR9" i="1" s="1"/>
  <c r="CM9" i="1"/>
  <c r="CN9" i="1" s="1"/>
  <c r="CI9" i="1"/>
  <c r="CJ9" i="1" s="1"/>
  <c r="BU9" i="1"/>
  <c r="BV9" i="1" s="1"/>
  <c r="BP9" i="1"/>
  <c r="BQ9" i="1" s="1"/>
  <c r="BR9" i="1" s="1"/>
  <c r="BJ9" i="1"/>
  <c r="BH9" i="1"/>
  <c r="BI9" i="1" s="1"/>
  <c r="BA9" i="1"/>
  <c r="AZ9" i="1"/>
  <c r="AS9" i="1"/>
  <c r="AT9" i="1" s="1"/>
  <c r="AU9" i="1" s="1"/>
  <c r="AV9" i="1" s="1"/>
  <c r="AW9" i="1" s="1"/>
  <c r="AX9" i="1" s="1"/>
  <c r="AP9" i="1"/>
  <c r="AQ9" i="1" s="1"/>
  <c r="AN9" i="1"/>
  <c r="AO9" i="1" s="1"/>
  <c r="W9" i="1"/>
  <c r="U9" i="1"/>
  <c r="CO272" i="1"/>
  <c r="CP272" i="1" s="1"/>
  <c r="CQ272" i="1" s="1"/>
  <c r="CR272" i="1" s="1"/>
  <c r="CM272" i="1"/>
  <c r="CN272" i="1" s="1"/>
  <c r="CC272" i="1"/>
  <c r="CD272" i="1" s="1"/>
  <c r="CE272" i="1" s="1"/>
  <c r="BU272" i="1"/>
  <c r="BV272" i="1" s="1"/>
  <c r="BP272" i="1"/>
  <c r="BQ272" i="1" s="1"/>
  <c r="BR272" i="1" s="1"/>
  <c r="BJ272" i="1"/>
  <c r="BH272" i="1"/>
  <c r="BI272" i="1" s="1"/>
  <c r="BA272" i="1"/>
  <c r="BB272" i="1" s="1"/>
  <c r="BC272" i="1" s="1"/>
  <c r="BD272" i="1" s="1"/>
  <c r="AZ272" i="1"/>
  <c r="AS272" i="1"/>
  <c r="AT272" i="1" s="1"/>
  <c r="AU272" i="1" s="1"/>
  <c r="AV272" i="1" s="1"/>
  <c r="AW272" i="1" s="1"/>
  <c r="AX272" i="1" s="1"/>
  <c r="AN272" i="1"/>
  <c r="AO272" i="1" s="1"/>
  <c r="AP272" i="1" s="1"/>
  <c r="AQ272" i="1" s="1"/>
  <c r="W272" i="1"/>
  <c r="V272" i="1"/>
  <c r="AF272" i="1" s="1"/>
  <c r="CP35" i="1"/>
  <c r="CQ35" i="1" s="1"/>
  <c r="CR35" i="1" s="1"/>
  <c r="CM35" i="1"/>
  <c r="CN35" i="1" s="1"/>
  <c r="CC35" i="1"/>
  <c r="CD35" i="1" s="1"/>
  <c r="CE35" i="1" s="1"/>
  <c r="BU35" i="1"/>
  <c r="BV35" i="1" s="1"/>
  <c r="BP35" i="1"/>
  <c r="BQ35" i="1" s="1"/>
  <c r="BR35" i="1" s="1"/>
  <c r="BJ35" i="1"/>
  <c r="BH35" i="1"/>
  <c r="BI35" i="1" s="1"/>
  <c r="BA35" i="1"/>
  <c r="AZ35" i="1"/>
  <c r="AS35" i="1"/>
  <c r="AT35" i="1" s="1"/>
  <c r="AU35" i="1" s="1"/>
  <c r="AV35" i="1" s="1"/>
  <c r="AW35" i="1" s="1"/>
  <c r="AX35" i="1" s="1"/>
  <c r="AN35" i="1"/>
  <c r="AO35" i="1" s="1"/>
  <c r="AP35" i="1" s="1"/>
  <c r="AQ35" i="1" s="1"/>
  <c r="AF35" i="1"/>
  <c r="X35" i="1"/>
  <c r="W35" i="1"/>
  <c r="CP232" i="1"/>
  <c r="CQ232" i="1" s="1"/>
  <c r="CR232" i="1" s="1"/>
  <c r="CM232" i="1"/>
  <c r="CN232" i="1" s="1"/>
  <c r="CC232" i="1"/>
  <c r="CD232" i="1" s="1"/>
  <c r="CE232" i="1" s="1"/>
  <c r="BU232" i="1"/>
  <c r="BV232" i="1" s="1"/>
  <c r="BP232" i="1"/>
  <c r="BQ232" i="1" s="1"/>
  <c r="BR232" i="1" s="1"/>
  <c r="BJ232" i="1"/>
  <c r="BE232" i="1"/>
  <c r="BH232" i="1" s="1"/>
  <c r="BI232" i="1" s="1"/>
  <c r="BA232" i="1"/>
  <c r="BB232" i="1" s="1"/>
  <c r="BC232" i="1" s="1"/>
  <c r="BD232" i="1" s="1"/>
  <c r="AS232" i="1"/>
  <c r="AT232" i="1" s="1"/>
  <c r="AU232" i="1" s="1"/>
  <c r="AV232" i="1" s="1"/>
  <c r="AW232" i="1" s="1"/>
  <c r="AX232" i="1" s="1"/>
  <c r="AN232" i="1"/>
  <c r="AO232" i="1" s="1"/>
  <c r="AP232" i="1" s="1"/>
  <c r="AQ232" i="1" s="1"/>
  <c r="W232" i="1"/>
  <c r="V232" i="1"/>
  <c r="CQ300" i="1"/>
  <c r="CR300" i="1" s="1"/>
  <c r="CP300" i="1"/>
  <c r="CN300" i="1"/>
  <c r="CM300" i="1"/>
  <c r="CC300" i="1"/>
  <c r="CD300" i="1" s="1"/>
  <c r="CE300" i="1" s="1"/>
  <c r="BU300" i="1"/>
  <c r="BV300" i="1" s="1"/>
  <c r="BP300" i="1"/>
  <c r="BQ300" i="1" s="1"/>
  <c r="BR300" i="1" s="1"/>
  <c r="BJ300" i="1"/>
  <c r="BH300" i="1"/>
  <c r="BI300" i="1" s="1"/>
  <c r="BA300" i="1"/>
  <c r="AZ300" i="1"/>
  <c r="AS300" i="1"/>
  <c r="AT300" i="1" s="1"/>
  <c r="AU300" i="1" s="1"/>
  <c r="AV300" i="1" s="1"/>
  <c r="AW300" i="1" s="1"/>
  <c r="AX300" i="1" s="1"/>
  <c r="AN300" i="1"/>
  <c r="AO300" i="1" s="1"/>
  <c r="AP300" i="1" s="1"/>
  <c r="AQ300" i="1" s="1"/>
  <c r="AF300" i="1"/>
  <c r="W300" i="1"/>
  <c r="AG300" i="1" s="1"/>
  <c r="CP108" i="1"/>
  <c r="CQ108" i="1" s="1"/>
  <c r="CR108" i="1" s="1"/>
  <c r="CM108" i="1"/>
  <c r="CN108" i="1" s="1"/>
  <c r="CC108" i="1"/>
  <c r="CD108" i="1" s="1"/>
  <c r="CE108" i="1" s="1"/>
  <c r="BU108" i="1"/>
  <c r="BV108" i="1" s="1"/>
  <c r="BO108" i="1"/>
  <c r="BP108" i="1" s="1"/>
  <c r="BQ108" i="1" s="1"/>
  <c r="BR108" i="1" s="1"/>
  <c r="BJ108" i="1"/>
  <c r="BH108" i="1"/>
  <c r="BI108" i="1" s="1"/>
  <c r="BA108" i="1"/>
  <c r="BB108" i="1" s="1"/>
  <c r="BC108" i="1" s="1"/>
  <c r="BD108" i="1" s="1"/>
  <c r="AS108" i="1"/>
  <c r="AT108" i="1" s="1"/>
  <c r="AU108" i="1" s="1"/>
  <c r="AV108" i="1" s="1"/>
  <c r="AW108" i="1" s="1"/>
  <c r="AX108" i="1" s="1"/>
  <c r="AN108" i="1"/>
  <c r="AO108" i="1" s="1"/>
  <c r="AP108" i="1" s="1"/>
  <c r="AQ108" i="1" s="1"/>
  <c r="W108" i="1"/>
  <c r="V108" i="1"/>
  <c r="CP225" i="1"/>
  <c r="CQ225" i="1" s="1"/>
  <c r="CR225" i="1" s="1"/>
  <c r="CM225" i="1"/>
  <c r="CN225" i="1" s="1"/>
  <c r="CC225" i="1"/>
  <c r="CD225" i="1" s="1"/>
  <c r="CE225" i="1" s="1"/>
  <c r="BU225" i="1"/>
  <c r="BV225" i="1" s="1"/>
  <c r="BP225" i="1"/>
  <c r="BQ225" i="1" s="1"/>
  <c r="BR225" i="1" s="1"/>
  <c r="BJ225" i="1"/>
  <c r="BF225" i="1"/>
  <c r="BH225" i="1" s="1"/>
  <c r="BI225" i="1" s="1"/>
  <c r="BA225" i="1"/>
  <c r="AZ225" i="1"/>
  <c r="AT225" i="1"/>
  <c r="AU225" i="1" s="1"/>
  <c r="AV225" i="1" s="1"/>
  <c r="AW225" i="1" s="1"/>
  <c r="AX225" i="1" s="1"/>
  <c r="AS225" i="1"/>
  <c r="AN225" i="1"/>
  <c r="AO225" i="1" s="1"/>
  <c r="AP225" i="1" s="1"/>
  <c r="AQ225" i="1" s="1"/>
  <c r="W225" i="1"/>
  <c r="U225" i="1"/>
  <c r="AB225" i="1" s="1"/>
  <c r="AC225" i="1" s="1"/>
  <c r="AD225" i="1" s="1"/>
  <c r="AE225" i="1" s="1"/>
  <c r="CO235" i="1"/>
  <c r="CP235" i="1" s="1"/>
  <c r="CQ235" i="1" s="1"/>
  <c r="CR235" i="1" s="1"/>
  <c r="CM235" i="1"/>
  <c r="CN235" i="1" s="1"/>
  <c r="CC235" i="1"/>
  <c r="CD235" i="1" s="1"/>
  <c r="CE235" i="1" s="1"/>
  <c r="BU235" i="1"/>
  <c r="BV235" i="1" s="1"/>
  <c r="BP235" i="1"/>
  <c r="BQ235" i="1" s="1"/>
  <c r="BR235" i="1" s="1"/>
  <c r="BJ235" i="1"/>
  <c r="BH235" i="1"/>
  <c r="BI235" i="1" s="1"/>
  <c r="BA235" i="1"/>
  <c r="BB235" i="1" s="1"/>
  <c r="BC235" i="1" s="1"/>
  <c r="BD235" i="1" s="1"/>
  <c r="AZ235" i="1"/>
  <c r="AS235" i="1"/>
  <c r="AT235" i="1" s="1"/>
  <c r="AU235" i="1" s="1"/>
  <c r="AV235" i="1" s="1"/>
  <c r="AW235" i="1" s="1"/>
  <c r="AX235" i="1" s="1"/>
  <c r="AN235" i="1"/>
  <c r="AO235" i="1" s="1"/>
  <c r="AP235" i="1" s="1"/>
  <c r="AQ235" i="1" s="1"/>
  <c r="AF235" i="1"/>
  <c r="AB235" i="1"/>
  <c r="AC235" i="1" s="1"/>
  <c r="AD235" i="1" s="1"/>
  <c r="AE235" i="1" s="1"/>
  <c r="Z235" i="1"/>
  <c r="W235" i="1"/>
  <c r="V235" i="1"/>
  <c r="CP105" i="1"/>
  <c r="CQ105" i="1" s="1"/>
  <c r="CR105" i="1" s="1"/>
  <c r="CM105" i="1"/>
  <c r="CN105" i="1" s="1"/>
  <c r="CC105" i="1"/>
  <c r="CD105" i="1" s="1"/>
  <c r="CE105" i="1" s="1"/>
  <c r="BU105" i="1"/>
  <c r="BV105" i="1" s="1"/>
  <c r="BP105" i="1"/>
  <c r="BQ105" i="1" s="1"/>
  <c r="BR105" i="1" s="1"/>
  <c r="BJ105" i="1"/>
  <c r="BH105" i="1"/>
  <c r="BI105" i="1" s="1"/>
  <c r="BA105" i="1"/>
  <c r="AZ105" i="1"/>
  <c r="AS105" i="1"/>
  <c r="AT105" i="1" s="1"/>
  <c r="AU105" i="1" s="1"/>
  <c r="AV105" i="1" s="1"/>
  <c r="AW105" i="1" s="1"/>
  <c r="AX105" i="1" s="1"/>
  <c r="AN105" i="1"/>
  <c r="AO105" i="1" s="1"/>
  <c r="AP105" i="1" s="1"/>
  <c r="AQ105" i="1" s="1"/>
  <c r="AB105" i="1"/>
  <c r="AC105" i="1" s="1"/>
  <c r="AD105" i="1" s="1"/>
  <c r="AE105" i="1" s="1"/>
  <c r="V105" i="1"/>
  <c r="CO183" i="1"/>
  <c r="CP183" i="1" s="1"/>
  <c r="CQ183" i="1" s="1"/>
  <c r="CR183" i="1" s="1"/>
  <c r="CM183" i="1"/>
  <c r="CN183" i="1" s="1"/>
  <c r="CC183" i="1"/>
  <c r="CD183" i="1" s="1"/>
  <c r="CE183" i="1" s="1"/>
  <c r="BU183" i="1"/>
  <c r="BV183" i="1" s="1"/>
  <c r="BP183" i="1"/>
  <c r="BQ183" i="1" s="1"/>
  <c r="BR183" i="1" s="1"/>
  <c r="BJ183" i="1"/>
  <c r="BI183" i="1"/>
  <c r="BH183" i="1"/>
  <c r="BA183" i="1"/>
  <c r="BB183" i="1" s="1"/>
  <c r="BC183" i="1" s="1"/>
  <c r="BD183" i="1" s="1"/>
  <c r="AS183" i="1"/>
  <c r="AT183" i="1" s="1"/>
  <c r="AU183" i="1" s="1"/>
  <c r="AV183" i="1" s="1"/>
  <c r="AW183" i="1" s="1"/>
  <c r="AX183" i="1" s="1"/>
  <c r="AN183" i="1"/>
  <c r="AO183" i="1" s="1"/>
  <c r="AP183" i="1" s="1"/>
  <c r="AQ183" i="1" s="1"/>
  <c r="V183" i="1"/>
  <c r="AG183" i="1" s="1"/>
  <c r="CP61" i="1"/>
  <c r="CQ61" i="1" s="1"/>
  <c r="CR61" i="1" s="1"/>
  <c r="CM61" i="1"/>
  <c r="CN61" i="1" s="1"/>
  <c r="CC61" i="1"/>
  <c r="CD61" i="1" s="1"/>
  <c r="CE61" i="1" s="1"/>
  <c r="BU61" i="1"/>
  <c r="BV61" i="1" s="1"/>
  <c r="BP61" i="1"/>
  <c r="BQ61" i="1" s="1"/>
  <c r="BR61" i="1" s="1"/>
  <c r="BJ61" i="1"/>
  <c r="BI61" i="1"/>
  <c r="BH61" i="1"/>
  <c r="BA61" i="1"/>
  <c r="AZ61" i="1"/>
  <c r="AS61" i="1"/>
  <c r="AT61" i="1" s="1"/>
  <c r="AU61" i="1" s="1"/>
  <c r="AV61" i="1" s="1"/>
  <c r="AW61" i="1" s="1"/>
  <c r="AX61" i="1" s="1"/>
  <c r="AN61" i="1"/>
  <c r="AO61" i="1" s="1"/>
  <c r="AP61" i="1" s="1"/>
  <c r="AQ61" i="1" s="1"/>
  <c r="W61" i="1"/>
  <c r="AB61" i="1" s="1"/>
  <c r="AC61" i="1" s="1"/>
  <c r="AD61" i="1" s="1"/>
  <c r="AE61" i="1" s="1"/>
  <c r="U61" i="1"/>
  <c r="CP137" i="1"/>
  <c r="CQ137" i="1" s="1"/>
  <c r="CR137" i="1" s="1"/>
  <c r="CM137" i="1"/>
  <c r="CN137" i="1" s="1"/>
  <c r="CC137" i="1"/>
  <c r="CD137" i="1" s="1"/>
  <c r="CE137" i="1" s="1"/>
  <c r="BU137" i="1"/>
  <c r="BV137" i="1" s="1"/>
  <c r="BP137" i="1"/>
  <c r="BQ137" i="1" s="1"/>
  <c r="BR137" i="1" s="1"/>
  <c r="BJ137" i="1"/>
  <c r="BF137" i="1"/>
  <c r="BE137" i="1"/>
  <c r="BA137" i="1"/>
  <c r="BB137" i="1" s="1"/>
  <c r="BC137" i="1" s="1"/>
  <c r="BD137" i="1" s="1"/>
  <c r="AS137" i="1"/>
  <c r="AT137" i="1" s="1"/>
  <c r="AU137" i="1" s="1"/>
  <c r="AV137" i="1" s="1"/>
  <c r="AW137" i="1" s="1"/>
  <c r="AX137" i="1" s="1"/>
  <c r="AN137" i="1"/>
  <c r="AO137" i="1" s="1"/>
  <c r="AP137" i="1" s="1"/>
  <c r="AQ137" i="1" s="1"/>
  <c r="V137" i="1"/>
  <c r="CP317" i="1"/>
  <c r="CQ317" i="1" s="1"/>
  <c r="CR317" i="1" s="1"/>
  <c r="CO317" i="1"/>
  <c r="CM317" i="1"/>
  <c r="CN317" i="1" s="1"/>
  <c r="CC317" i="1"/>
  <c r="CD317" i="1" s="1"/>
  <c r="CE317" i="1" s="1"/>
  <c r="BU317" i="1"/>
  <c r="BV317" i="1" s="1"/>
  <c r="BP317" i="1"/>
  <c r="BQ317" i="1" s="1"/>
  <c r="BR317" i="1" s="1"/>
  <c r="BJ317" i="1"/>
  <c r="BH317" i="1"/>
  <c r="BI317" i="1" s="1"/>
  <c r="BA317" i="1"/>
  <c r="BB317" i="1" s="1"/>
  <c r="BC317" i="1" s="1"/>
  <c r="BD317" i="1" s="1"/>
  <c r="AS317" i="1"/>
  <c r="AT317" i="1" s="1"/>
  <c r="AU317" i="1" s="1"/>
  <c r="AV317" i="1" s="1"/>
  <c r="AW317" i="1" s="1"/>
  <c r="AX317" i="1" s="1"/>
  <c r="AN317" i="1"/>
  <c r="AO317" i="1" s="1"/>
  <c r="AP317" i="1" s="1"/>
  <c r="AQ317" i="1" s="1"/>
  <c r="AG317" i="1"/>
  <c r="AF317" i="1"/>
  <c r="AH317" i="1" s="1"/>
  <c r="AI317" i="1" s="1"/>
  <c r="AJ317" i="1" s="1"/>
  <c r="AB317" i="1"/>
  <c r="AC317" i="1" s="1"/>
  <c r="AD317" i="1" s="1"/>
  <c r="AE317" i="1" s="1"/>
  <c r="CP280" i="1"/>
  <c r="CQ280" i="1" s="1"/>
  <c r="CR280" i="1" s="1"/>
  <c r="CM280" i="1"/>
  <c r="CN280" i="1" s="1"/>
  <c r="CC280" i="1"/>
  <c r="CD280" i="1" s="1"/>
  <c r="CE280" i="1" s="1"/>
  <c r="BU280" i="1"/>
  <c r="BV280" i="1" s="1"/>
  <c r="BP280" i="1"/>
  <c r="BQ280" i="1" s="1"/>
  <c r="BR280" i="1" s="1"/>
  <c r="BJ280" i="1"/>
  <c r="BH280" i="1"/>
  <c r="BI280" i="1" s="1"/>
  <c r="BA280" i="1"/>
  <c r="BB280" i="1" s="1"/>
  <c r="BC280" i="1" s="1"/>
  <c r="BD280" i="1" s="1"/>
  <c r="AS280" i="1"/>
  <c r="AT280" i="1" s="1"/>
  <c r="AU280" i="1" s="1"/>
  <c r="AV280" i="1" s="1"/>
  <c r="AW280" i="1" s="1"/>
  <c r="AX280" i="1" s="1"/>
  <c r="AN280" i="1"/>
  <c r="AO280" i="1" s="1"/>
  <c r="AP280" i="1" s="1"/>
  <c r="AQ280" i="1" s="1"/>
  <c r="W280" i="1"/>
  <c r="V280" i="1"/>
  <c r="U280" i="1"/>
  <c r="CP246" i="1"/>
  <c r="CQ246" i="1" s="1"/>
  <c r="CR246" i="1" s="1"/>
  <c r="CM246" i="1"/>
  <c r="CN246" i="1" s="1"/>
  <c r="CC246" i="1"/>
  <c r="CD246" i="1" s="1"/>
  <c r="CE246" i="1" s="1"/>
  <c r="BU246" i="1"/>
  <c r="BV246" i="1" s="1"/>
  <c r="BP246" i="1"/>
  <c r="BQ246" i="1" s="1"/>
  <c r="BR246" i="1" s="1"/>
  <c r="BJ246" i="1"/>
  <c r="BH246" i="1"/>
  <c r="BI246" i="1" s="1"/>
  <c r="BA246" i="1"/>
  <c r="BB246" i="1" s="1"/>
  <c r="BC246" i="1" s="1"/>
  <c r="BD246" i="1" s="1"/>
  <c r="AS246" i="1"/>
  <c r="AT246" i="1" s="1"/>
  <c r="AU246" i="1" s="1"/>
  <c r="AV246" i="1" s="1"/>
  <c r="AW246" i="1" s="1"/>
  <c r="AX246" i="1" s="1"/>
  <c r="AN246" i="1"/>
  <c r="AO246" i="1" s="1"/>
  <c r="AP246" i="1" s="1"/>
  <c r="AQ246" i="1" s="1"/>
  <c r="V246" i="1"/>
  <c r="AB246" i="1" s="1"/>
  <c r="AC246" i="1" s="1"/>
  <c r="AD246" i="1" s="1"/>
  <c r="AE246" i="1" s="1"/>
  <c r="CO89" i="1"/>
  <c r="CP89" i="1" s="1"/>
  <c r="CQ89" i="1" s="1"/>
  <c r="CR89" i="1" s="1"/>
  <c r="CM89" i="1"/>
  <c r="CN89" i="1" s="1"/>
  <c r="CC89" i="1"/>
  <c r="CD89" i="1" s="1"/>
  <c r="CE89" i="1" s="1"/>
  <c r="BU89" i="1"/>
  <c r="BV89" i="1" s="1"/>
  <c r="BO89" i="1"/>
  <c r="BP89" i="1" s="1"/>
  <c r="BQ89" i="1" s="1"/>
  <c r="BR89" i="1" s="1"/>
  <c r="BJ89" i="1"/>
  <c r="BH89" i="1"/>
  <c r="BI89" i="1" s="1"/>
  <c r="BA89" i="1"/>
  <c r="BB89" i="1" s="1"/>
  <c r="BC89" i="1" s="1"/>
  <c r="BD89" i="1" s="1"/>
  <c r="AS89" i="1"/>
  <c r="AT89" i="1" s="1"/>
  <c r="AU89" i="1" s="1"/>
  <c r="AV89" i="1" s="1"/>
  <c r="AW89" i="1" s="1"/>
  <c r="AX89" i="1" s="1"/>
  <c r="AN89" i="1"/>
  <c r="AO89" i="1" s="1"/>
  <c r="AP89" i="1" s="1"/>
  <c r="AQ89" i="1" s="1"/>
  <c r="W89" i="1"/>
  <c r="U89" i="1"/>
  <c r="CP290" i="1"/>
  <c r="CQ290" i="1" s="1"/>
  <c r="CR290" i="1" s="1"/>
  <c r="CM290" i="1"/>
  <c r="CN290" i="1" s="1"/>
  <c r="CC290" i="1"/>
  <c r="CD290" i="1" s="1"/>
  <c r="CE290" i="1" s="1"/>
  <c r="BU290" i="1"/>
  <c r="BV290" i="1" s="1"/>
  <c r="BP290" i="1"/>
  <c r="BQ290" i="1" s="1"/>
  <c r="BR290" i="1" s="1"/>
  <c r="BJ290" i="1"/>
  <c r="BH290" i="1"/>
  <c r="BI290" i="1" s="1"/>
  <c r="BA290" i="1"/>
  <c r="AZ290" i="1"/>
  <c r="AS290" i="1"/>
  <c r="AT290" i="1" s="1"/>
  <c r="AU290" i="1" s="1"/>
  <c r="AV290" i="1" s="1"/>
  <c r="AW290" i="1" s="1"/>
  <c r="AX290" i="1" s="1"/>
  <c r="AN290" i="1"/>
  <c r="AO290" i="1" s="1"/>
  <c r="AP290" i="1" s="1"/>
  <c r="AQ290" i="1" s="1"/>
  <c r="Z290" i="1"/>
  <c r="V290" i="1"/>
  <c r="CO50" i="1"/>
  <c r="CP50" i="1" s="1"/>
  <c r="CQ50" i="1" s="1"/>
  <c r="CR50" i="1" s="1"/>
  <c r="CN50" i="1"/>
  <c r="CM50" i="1"/>
  <c r="CC50" i="1"/>
  <c r="CD50" i="1" s="1"/>
  <c r="CE50" i="1" s="1"/>
  <c r="BU50" i="1"/>
  <c r="BV50" i="1" s="1"/>
  <c r="BP50" i="1"/>
  <c r="BQ50" i="1" s="1"/>
  <c r="BR50" i="1" s="1"/>
  <c r="BJ50" i="1"/>
  <c r="BH50" i="1"/>
  <c r="BI50" i="1" s="1"/>
  <c r="BA50" i="1"/>
  <c r="BB50" i="1" s="1"/>
  <c r="BC50" i="1" s="1"/>
  <c r="BD50" i="1" s="1"/>
  <c r="AZ50" i="1"/>
  <c r="AS50" i="1"/>
  <c r="AT50" i="1" s="1"/>
  <c r="AU50" i="1" s="1"/>
  <c r="AV50" i="1" s="1"/>
  <c r="AW50" i="1" s="1"/>
  <c r="AX50" i="1" s="1"/>
  <c r="AN50" i="1"/>
  <c r="AO50" i="1" s="1"/>
  <c r="AP50" i="1" s="1"/>
  <c r="AQ50" i="1" s="1"/>
  <c r="W50" i="1"/>
  <c r="V50" i="1"/>
  <c r="AF50" i="1" s="1"/>
  <c r="CO261" i="1"/>
  <c r="CP261" i="1" s="1"/>
  <c r="CQ261" i="1" s="1"/>
  <c r="CR261" i="1" s="1"/>
  <c r="CM261" i="1"/>
  <c r="CN261" i="1" s="1"/>
  <c r="CC261" i="1"/>
  <c r="CD261" i="1" s="1"/>
  <c r="CE261" i="1" s="1"/>
  <c r="BU261" i="1"/>
  <c r="BV261" i="1" s="1"/>
  <c r="BP261" i="1"/>
  <c r="BQ261" i="1" s="1"/>
  <c r="BR261" i="1" s="1"/>
  <c r="BJ261" i="1"/>
  <c r="BH261" i="1"/>
  <c r="BI261" i="1" s="1"/>
  <c r="BB261" i="1"/>
  <c r="BC261" i="1" s="1"/>
  <c r="BD261" i="1" s="1"/>
  <c r="BA261" i="1"/>
  <c r="AS261" i="1"/>
  <c r="AT261" i="1" s="1"/>
  <c r="AU261" i="1" s="1"/>
  <c r="AV261" i="1" s="1"/>
  <c r="AW261" i="1" s="1"/>
  <c r="AX261" i="1" s="1"/>
  <c r="AN261" i="1"/>
  <c r="AO261" i="1" s="1"/>
  <c r="AP261" i="1" s="1"/>
  <c r="AQ261" i="1" s="1"/>
  <c r="AB261" i="1"/>
  <c r="AC261" i="1" s="1"/>
  <c r="AD261" i="1" s="1"/>
  <c r="AE261" i="1" s="1"/>
  <c r="AA261" i="1"/>
  <c r="Z261" i="1"/>
  <c r="W261" i="1"/>
  <c r="V261" i="1"/>
  <c r="CP120" i="1"/>
  <c r="CQ120" i="1" s="1"/>
  <c r="CR120" i="1" s="1"/>
  <c r="CM120" i="1"/>
  <c r="CN120" i="1" s="1"/>
  <c r="CC120" i="1"/>
  <c r="CD120" i="1" s="1"/>
  <c r="CE120" i="1" s="1"/>
  <c r="BU120" i="1"/>
  <c r="BV120" i="1" s="1"/>
  <c r="BP120" i="1"/>
  <c r="BQ120" i="1" s="1"/>
  <c r="BR120" i="1" s="1"/>
  <c r="BJ120" i="1"/>
  <c r="BH120" i="1"/>
  <c r="BI120" i="1" s="1"/>
  <c r="BA120" i="1"/>
  <c r="AZ120" i="1"/>
  <c r="AS120" i="1"/>
  <c r="AT120" i="1" s="1"/>
  <c r="AU120" i="1" s="1"/>
  <c r="AV120" i="1" s="1"/>
  <c r="AW120" i="1" s="1"/>
  <c r="AX120" i="1" s="1"/>
  <c r="AN120" i="1"/>
  <c r="AO120" i="1" s="1"/>
  <c r="AP120" i="1" s="1"/>
  <c r="AQ120" i="1" s="1"/>
  <c r="W120" i="1"/>
  <c r="V120" i="1"/>
  <c r="CQ236" i="1"/>
  <c r="CR236" i="1" s="1"/>
  <c r="CP236" i="1"/>
  <c r="CM236" i="1"/>
  <c r="CN236" i="1" s="1"/>
  <c r="CC236" i="1"/>
  <c r="CD236" i="1" s="1"/>
  <c r="CE236" i="1" s="1"/>
  <c r="BU236" i="1"/>
  <c r="BV236" i="1" s="1"/>
  <c r="BP236" i="1"/>
  <c r="BQ236" i="1" s="1"/>
  <c r="BR236" i="1" s="1"/>
  <c r="BJ236" i="1"/>
  <c r="BH236" i="1"/>
  <c r="BI236" i="1" s="1"/>
  <c r="BA236" i="1"/>
  <c r="BB236" i="1" s="1"/>
  <c r="BC236" i="1" s="1"/>
  <c r="BD236" i="1" s="1"/>
  <c r="AS236" i="1"/>
  <c r="AT236" i="1" s="1"/>
  <c r="AU236" i="1" s="1"/>
  <c r="AV236" i="1" s="1"/>
  <c r="AW236" i="1" s="1"/>
  <c r="AX236" i="1" s="1"/>
  <c r="AN236" i="1"/>
  <c r="AO236" i="1" s="1"/>
  <c r="AP236" i="1" s="1"/>
  <c r="AQ236" i="1" s="1"/>
  <c r="W236" i="1"/>
  <c r="V236" i="1"/>
  <c r="CQ238" i="1"/>
  <c r="CR238" i="1" s="1"/>
  <c r="CP238" i="1"/>
  <c r="CM238" i="1"/>
  <c r="CN238" i="1" s="1"/>
  <c r="CC238" i="1"/>
  <c r="CD238" i="1" s="1"/>
  <c r="CE238" i="1" s="1"/>
  <c r="BU238" i="1"/>
  <c r="BV238" i="1" s="1"/>
  <c r="BP238" i="1"/>
  <c r="BQ238" i="1" s="1"/>
  <c r="BR238" i="1" s="1"/>
  <c r="BJ238" i="1"/>
  <c r="BH238" i="1"/>
  <c r="BI238" i="1" s="1"/>
  <c r="BA238" i="1"/>
  <c r="AZ238" i="1"/>
  <c r="AS238" i="1"/>
  <c r="AT238" i="1" s="1"/>
  <c r="AU238" i="1" s="1"/>
  <c r="AV238" i="1" s="1"/>
  <c r="AW238" i="1" s="1"/>
  <c r="AX238" i="1" s="1"/>
  <c r="AN238" i="1"/>
  <c r="AO238" i="1" s="1"/>
  <c r="AP238" i="1" s="1"/>
  <c r="AQ238" i="1" s="1"/>
  <c r="W238" i="1"/>
  <c r="U238" i="1"/>
  <c r="CP161" i="1"/>
  <c r="CQ161" i="1" s="1"/>
  <c r="CR161" i="1" s="1"/>
  <c r="CM161" i="1"/>
  <c r="CN161" i="1" s="1"/>
  <c r="CC161" i="1"/>
  <c r="CD161" i="1" s="1"/>
  <c r="CE161" i="1" s="1"/>
  <c r="BU161" i="1"/>
  <c r="BV161" i="1" s="1"/>
  <c r="BP161" i="1"/>
  <c r="BQ161" i="1" s="1"/>
  <c r="BR161" i="1" s="1"/>
  <c r="BJ161" i="1"/>
  <c r="BH161" i="1"/>
  <c r="BI161" i="1" s="1"/>
  <c r="BA161" i="1"/>
  <c r="BB161" i="1" s="1"/>
  <c r="BC161" i="1" s="1"/>
  <c r="BD161" i="1" s="1"/>
  <c r="AZ161" i="1"/>
  <c r="AS161" i="1"/>
  <c r="AT161" i="1" s="1"/>
  <c r="AU161" i="1" s="1"/>
  <c r="AV161" i="1" s="1"/>
  <c r="AW161" i="1" s="1"/>
  <c r="AX161" i="1" s="1"/>
  <c r="AN161" i="1"/>
  <c r="AO161" i="1" s="1"/>
  <c r="AP161" i="1" s="1"/>
  <c r="AQ161" i="1" s="1"/>
  <c r="AG161" i="1"/>
  <c r="AF161" i="1"/>
  <c r="AB161" i="1"/>
  <c r="AC161" i="1" s="1"/>
  <c r="AD161" i="1" s="1"/>
  <c r="AE161" i="1" s="1"/>
  <c r="CP124" i="1"/>
  <c r="CQ124" i="1" s="1"/>
  <c r="CR124" i="1" s="1"/>
  <c r="CM124" i="1"/>
  <c r="CN124" i="1" s="1"/>
  <c r="CC124" i="1"/>
  <c r="CD124" i="1" s="1"/>
  <c r="CE124" i="1" s="1"/>
  <c r="BU124" i="1"/>
  <c r="BV124" i="1" s="1"/>
  <c r="BP124" i="1"/>
  <c r="BQ124" i="1" s="1"/>
  <c r="BR124" i="1" s="1"/>
  <c r="BJ124" i="1"/>
  <c r="BH124" i="1"/>
  <c r="BI124" i="1" s="1"/>
  <c r="BB124" i="1"/>
  <c r="BC124" i="1" s="1"/>
  <c r="BD124" i="1" s="1"/>
  <c r="BA124" i="1"/>
  <c r="AS124" i="1"/>
  <c r="AT124" i="1" s="1"/>
  <c r="AU124" i="1" s="1"/>
  <c r="AV124" i="1" s="1"/>
  <c r="AW124" i="1" s="1"/>
  <c r="AX124" i="1" s="1"/>
  <c r="AN124" i="1"/>
  <c r="AO124" i="1" s="1"/>
  <c r="AP124" i="1" s="1"/>
  <c r="AQ124" i="1" s="1"/>
  <c r="Z124" i="1"/>
  <c r="W124" i="1"/>
  <c r="V124" i="1"/>
  <c r="CP203" i="1"/>
  <c r="CQ203" i="1" s="1"/>
  <c r="CR203" i="1" s="1"/>
  <c r="CM203" i="1"/>
  <c r="CN203" i="1" s="1"/>
  <c r="CC203" i="1"/>
  <c r="CD203" i="1" s="1"/>
  <c r="CE203" i="1" s="1"/>
  <c r="BU203" i="1"/>
  <c r="BV203" i="1" s="1"/>
  <c r="BP203" i="1"/>
  <c r="BQ203" i="1" s="1"/>
  <c r="BR203" i="1" s="1"/>
  <c r="BJ203" i="1"/>
  <c r="BH203" i="1"/>
  <c r="BI203" i="1" s="1"/>
  <c r="BA203" i="1"/>
  <c r="BB203" i="1" s="1"/>
  <c r="BC203" i="1" s="1"/>
  <c r="BD203" i="1" s="1"/>
  <c r="AS203" i="1"/>
  <c r="AT203" i="1" s="1"/>
  <c r="AU203" i="1" s="1"/>
  <c r="AV203" i="1" s="1"/>
  <c r="AW203" i="1" s="1"/>
  <c r="AX203" i="1" s="1"/>
  <c r="AN203" i="1"/>
  <c r="AO203" i="1" s="1"/>
  <c r="AP203" i="1" s="1"/>
  <c r="AQ203" i="1" s="1"/>
  <c r="W203" i="1"/>
  <c r="U203" i="1"/>
  <c r="CP96" i="1"/>
  <c r="CQ96" i="1" s="1"/>
  <c r="CR96" i="1" s="1"/>
  <c r="CM96" i="1"/>
  <c r="CN96" i="1" s="1"/>
  <c r="CC96" i="1"/>
  <c r="CD96" i="1" s="1"/>
  <c r="CE96" i="1" s="1"/>
  <c r="BV96" i="1"/>
  <c r="BU96" i="1"/>
  <c r="BO96" i="1"/>
  <c r="BP96" i="1" s="1"/>
  <c r="BQ96" i="1" s="1"/>
  <c r="BR96" i="1" s="1"/>
  <c r="BJ96" i="1"/>
  <c r="BE96" i="1"/>
  <c r="BH96" i="1" s="1"/>
  <c r="BI96" i="1" s="1"/>
  <c r="BA96" i="1"/>
  <c r="AZ96" i="1"/>
  <c r="AS96" i="1"/>
  <c r="AT96" i="1" s="1"/>
  <c r="AU96" i="1" s="1"/>
  <c r="AV96" i="1" s="1"/>
  <c r="AW96" i="1" s="1"/>
  <c r="AX96" i="1" s="1"/>
  <c r="AN96" i="1"/>
  <c r="AO96" i="1" s="1"/>
  <c r="AP96" i="1" s="1"/>
  <c r="AQ96" i="1" s="1"/>
  <c r="V96" i="1"/>
  <c r="AG96" i="1" s="1"/>
  <c r="CP28" i="1"/>
  <c r="CQ28" i="1" s="1"/>
  <c r="CR28" i="1" s="1"/>
  <c r="CM28" i="1"/>
  <c r="CN28" i="1" s="1"/>
  <c r="CI28" i="1"/>
  <c r="CJ28" i="1" s="1"/>
  <c r="BU28" i="1"/>
  <c r="BV28" i="1" s="1"/>
  <c r="BP28" i="1"/>
  <c r="BQ28" i="1" s="1"/>
  <c r="BR28" i="1" s="1"/>
  <c r="BJ28" i="1"/>
  <c r="BH28" i="1"/>
  <c r="BI28" i="1" s="1"/>
  <c r="BA28" i="1"/>
  <c r="AZ28" i="1"/>
  <c r="AS28" i="1"/>
  <c r="AT28" i="1" s="1"/>
  <c r="AU28" i="1" s="1"/>
  <c r="AV28" i="1" s="1"/>
  <c r="AW28" i="1" s="1"/>
  <c r="AX28" i="1" s="1"/>
  <c r="AN28" i="1"/>
  <c r="AO28" i="1" s="1"/>
  <c r="AP28" i="1" s="1"/>
  <c r="AQ28" i="1" s="1"/>
  <c r="AF28" i="1"/>
  <c r="W28" i="1"/>
  <c r="AB28" i="1" s="1"/>
  <c r="AC28" i="1" s="1"/>
  <c r="AD28" i="1" s="1"/>
  <c r="AE28" i="1" s="1"/>
  <c r="CP60" i="1"/>
  <c r="CQ60" i="1" s="1"/>
  <c r="CR60" i="1" s="1"/>
  <c r="CM60" i="1"/>
  <c r="CN60" i="1" s="1"/>
  <c r="CC60" i="1"/>
  <c r="CD60" i="1" s="1"/>
  <c r="CE60" i="1" s="1"/>
  <c r="BU60" i="1"/>
  <c r="BV60" i="1" s="1"/>
  <c r="BO60" i="1"/>
  <c r="BP60" i="1" s="1"/>
  <c r="BQ60" i="1" s="1"/>
  <c r="BR60" i="1" s="1"/>
  <c r="BJ60" i="1"/>
  <c r="BH60" i="1"/>
  <c r="BI60" i="1" s="1"/>
  <c r="BA60" i="1"/>
  <c r="BB60" i="1" s="1"/>
  <c r="BC60" i="1" s="1"/>
  <c r="BD60" i="1" s="1"/>
  <c r="AS60" i="1"/>
  <c r="AT60" i="1" s="1"/>
  <c r="AU60" i="1" s="1"/>
  <c r="AV60" i="1" s="1"/>
  <c r="AW60" i="1" s="1"/>
  <c r="AX60" i="1" s="1"/>
  <c r="AN60" i="1"/>
  <c r="AO60" i="1" s="1"/>
  <c r="AP60" i="1" s="1"/>
  <c r="AQ60" i="1" s="1"/>
  <c r="AB60" i="1"/>
  <c r="AC60" i="1" s="1"/>
  <c r="AD60" i="1" s="1"/>
  <c r="AE60" i="1" s="1"/>
  <c r="W60" i="1"/>
  <c r="V60" i="1"/>
  <c r="U60" i="1"/>
  <c r="CP134" i="1"/>
  <c r="CQ134" i="1" s="1"/>
  <c r="CR134" i="1" s="1"/>
  <c r="CM134" i="1"/>
  <c r="CN134" i="1" s="1"/>
  <c r="CC134" i="1"/>
  <c r="CD134" i="1" s="1"/>
  <c r="CE134" i="1" s="1"/>
  <c r="BU134" i="1"/>
  <c r="BV134" i="1" s="1"/>
  <c r="BO134" i="1"/>
  <c r="BP134" i="1" s="1"/>
  <c r="BQ134" i="1" s="1"/>
  <c r="BR134" i="1" s="1"/>
  <c r="BJ134" i="1"/>
  <c r="BH134" i="1"/>
  <c r="BI134" i="1" s="1"/>
  <c r="BA134" i="1"/>
  <c r="AZ134" i="1"/>
  <c r="AS134" i="1"/>
  <c r="AT134" i="1" s="1"/>
  <c r="AU134" i="1" s="1"/>
  <c r="AV134" i="1" s="1"/>
  <c r="AW134" i="1" s="1"/>
  <c r="AX134" i="1" s="1"/>
  <c r="AN134" i="1"/>
  <c r="AO134" i="1" s="1"/>
  <c r="AP134" i="1" s="1"/>
  <c r="AQ134" i="1" s="1"/>
  <c r="V134" i="1"/>
  <c r="U134" i="1"/>
  <c r="CO167" i="1"/>
  <c r="CP167" i="1" s="1"/>
  <c r="CQ167" i="1" s="1"/>
  <c r="CR167" i="1" s="1"/>
  <c r="CM167" i="1"/>
  <c r="CN167" i="1" s="1"/>
  <c r="CC167" i="1"/>
  <c r="CD167" i="1" s="1"/>
  <c r="CE167" i="1" s="1"/>
  <c r="BU167" i="1"/>
  <c r="BV167" i="1" s="1"/>
  <c r="BO167" i="1"/>
  <c r="BP167" i="1" s="1"/>
  <c r="BQ167" i="1" s="1"/>
  <c r="BR167" i="1" s="1"/>
  <c r="BJ167" i="1"/>
  <c r="BH167" i="1"/>
  <c r="BI167" i="1" s="1"/>
  <c r="BA167" i="1"/>
  <c r="BB167" i="1" s="1"/>
  <c r="BC167" i="1" s="1"/>
  <c r="BD167" i="1" s="1"/>
  <c r="AS167" i="1"/>
  <c r="AT167" i="1" s="1"/>
  <c r="AU167" i="1" s="1"/>
  <c r="AV167" i="1" s="1"/>
  <c r="AW167" i="1" s="1"/>
  <c r="AX167" i="1" s="1"/>
  <c r="AN167" i="1"/>
  <c r="AO167" i="1" s="1"/>
  <c r="AP167" i="1" s="1"/>
  <c r="AQ167" i="1" s="1"/>
  <c r="V167" i="1"/>
  <c r="U167" i="1"/>
  <c r="CP123" i="1"/>
  <c r="CQ123" i="1" s="1"/>
  <c r="CR123" i="1" s="1"/>
  <c r="CM123" i="1"/>
  <c r="CN123" i="1" s="1"/>
  <c r="CC123" i="1"/>
  <c r="CD123" i="1" s="1"/>
  <c r="CE123" i="1" s="1"/>
  <c r="BU123" i="1"/>
  <c r="BV123" i="1" s="1"/>
  <c r="BP123" i="1"/>
  <c r="BQ123" i="1" s="1"/>
  <c r="BR123" i="1" s="1"/>
  <c r="BJ123" i="1"/>
  <c r="BH123" i="1"/>
  <c r="BI123" i="1" s="1"/>
  <c r="BA123" i="1"/>
  <c r="AZ123" i="1"/>
  <c r="AS123" i="1"/>
  <c r="AT123" i="1" s="1"/>
  <c r="AU123" i="1" s="1"/>
  <c r="AV123" i="1" s="1"/>
  <c r="AW123" i="1" s="1"/>
  <c r="AX123" i="1" s="1"/>
  <c r="AN123" i="1"/>
  <c r="AO123" i="1" s="1"/>
  <c r="AP123" i="1" s="1"/>
  <c r="AQ123" i="1" s="1"/>
  <c r="AG123" i="1"/>
  <c r="AH123" i="1" s="1"/>
  <c r="AI123" i="1" s="1"/>
  <c r="AJ123" i="1" s="1"/>
  <c r="AF123" i="1"/>
  <c r="AB123" i="1"/>
  <c r="AC123" i="1" s="1"/>
  <c r="AD123" i="1" s="1"/>
  <c r="AE123" i="1" s="1"/>
  <c r="CP293" i="1"/>
  <c r="CQ293" i="1" s="1"/>
  <c r="CR293" i="1" s="1"/>
  <c r="CM293" i="1"/>
  <c r="CN293" i="1" s="1"/>
  <c r="CC293" i="1"/>
  <c r="CD293" i="1" s="1"/>
  <c r="CE293" i="1" s="1"/>
  <c r="BU293" i="1"/>
  <c r="BV293" i="1" s="1"/>
  <c r="BP293" i="1"/>
  <c r="BQ293" i="1" s="1"/>
  <c r="BR293" i="1" s="1"/>
  <c r="BJ293" i="1"/>
  <c r="BH293" i="1"/>
  <c r="BI293" i="1" s="1"/>
  <c r="BA293" i="1"/>
  <c r="BB293" i="1" s="1"/>
  <c r="BC293" i="1" s="1"/>
  <c r="BD293" i="1" s="1"/>
  <c r="AS293" i="1"/>
  <c r="AT293" i="1" s="1"/>
  <c r="AU293" i="1" s="1"/>
  <c r="AV293" i="1" s="1"/>
  <c r="AW293" i="1" s="1"/>
  <c r="AX293" i="1" s="1"/>
  <c r="AN293" i="1"/>
  <c r="AO293" i="1" s="1"/>
  <c r="AP293" i="1" s="1"/>
  <c r="AQ293" i="1" s="1"/>
  <c r="Z293" i="1"/>
  <c r="U293" i="1"/>
  <c r="AB293" i="1" s="1"/>
  <c r="AC293" i="1" s="1"/>
  <c r="AD293" i="1" s="1"/>
  <c r="AE293" i="1" s="1"/>
  <c r="CP43" i="1"/>
  <c r="CQ43" i="1" s="1"/>
  <c r="CR43" i="1" s="1"/>
  <c r="CM43" i="1"/>
  <c r="CN43" i="1" s="1"/>
  <c r="CC43" i="1"/>
  <c r="CD43" i="1" s="1"/>
  <c r="CE43" i="1" s="1"/>
  <c r="BU43" i="1"/>
  <c r="BV43" i="1" s="1"/>
  <c r="BP43" i="1"/>
  <c r="BQ43" i="1" s="1"/>
  <c r="BR43" i="1" s="1"/>
  <c r="BJ43" i="1"/>
  <c r="BE43" i="1"/>
  <c r="BH43" i="1" s="1"/>
  <c r="BI43" i="1" s="1"/>
  <c r="BA43" i="1"/>
  <c r="BB43" i="1" s="1"/>
  <c r="BC43" i="1" s="1"/>
  <c r="BD43" i="1" s="1"/>
  <c r="AZ43" i="1"/>
  <c r="AS43" i="1"/>
  <c r="AT43" i="1" s="1"/>
  <c r="AU43" i="1" s="1"/>
  <c r="AV43" i="1" s="1"/>
  <c r="AW43" i="1" s="1"/>
  <c r="AX43" i="1" s="1"/>
  <c r="AN43" i="1"/>
  <c r="AO43" i="1" s="1"/>
  <c r="AP43" i="1" s="1"/>
  <c r="AQ43" i="1" s="1"/>
  <c r="W43" i="1"/>
  <c r="AG43" i="1" s="1"/>
  <c r="AH43" i="1" s="1"/>
  <c r="AI43" i="1" s="1"/>
  <c r="AJ43" i="1" s="1"/>
  <c r="U43" i="1"/>
  <c r="AF43" i="1" s="1"/>
  <c r="CO292" i="1"/>
  <c r="CP292" i="1" s="1"/>
  <c r="CQ292" i="1" s="1"/>
  <c r="CR292" i="1" s="1"/>
  <c r="CM292" i="1"/>
  <c r="CN292" i="1" s="1"/>
  <c r="CC292" i="1"/>
  <c r="CD292" i="1" s="1"/>
  <c r="CE292" i="1" s="1"/>
  <c r="BU292" i="1"/>
  <c r="BV292" i="1" s="1"/>
  <c r="BP292" i="1"/>
  <c r="BQ292" i="1" s="1"/>
  <c r="BR292" i="1" s="1"/>
  <c r="BJ292" i="1"/>
  <c r="BH292" i="1"/>
  <c r="BI292" i="1" s="1"/>
  <c r="BA292" i="1"/>
  <c r="BB292" i="1" s="1"/>
  <c r="BC292" i="1" s="1"/>
  <c r="BD292" i="1" s="1"/>
  <c r="AS292" i="1"/>
  <c r="AT292" i="1" s="1"/>
  <c r="AU292" i="1" s="1"/>
  <c r="AV292" i="1" s="1"/>
  <c r="AW292" i="1" s="1"/>
  <c r="AX292" i="1" s="1"/>
  <c r="AN292" i="1"/>
  <c r="AO292" i="1" s="1"/>
  <c r="AP292" i="1" s="1"/>
  <c r="AQ292" i="1" s="1"/>
  <c r="Z292" i="1"/>
  <c r="W292" i="1"/>
  <c r="V292" i="1"/>
  <c r="U292" i="1"/>
  <c r="CO65" i="1"/>
  <c r="CP65" i="1" s="1"/>
  <c r="CQ65" i="1" s="1"/>
  <c r="CR65" i="1" s="1"/>
  <c r="CM65" i="1"/>
  <c r="CN65" i="1" s="1"/>
  <c r="CC65" i="1"/>
  <c r="CD65" i="1" s="1"/>
  <c r="CE65" i="1" s="1"/>
  <c r="BU65" i="1"/>
  <c r="BV65" i="1" s="1"/>
  <c r="BO65" i="1"/>
  <c r="BP65" i="1" s="1"/>
  <c r="BQ65" i="1" s="1"/>
  <c r="BR65" i="1" s="1"/>
  <c r="BJ65" i="1"/>
  <c r="BH65" i="1"/>
  <c r="BI65" i="1" s="1"/>
  <c r="BA65" i="1"/>
  <c r="BB65" i="1" s="1"/>
  <c r="BC65" i="1" s="1"/>
  <c r="BD65" i="1" s="1"/>
  <c r="AS65" i="1"/>
  <c r="AT65" i="1" s="1"/>
  <c r="AU65" i="1" s="1"/>
  <c r="AV65" i="1" s="1"/>
  <c r="AW65" i="1" s="1"/>
  <c r="AX65" i="1" s="1"/>
  <c r="AN65" i="1"/>
  <c r="AO65" i="1" s="1"/>
  <c r="AP65" i="1" s="1"/>
  <c r="AQ65" i="1" s="1"/>
  <c r="W65" i="1"/>
  <c r="V65" i="1"/>
  <c r="CO181" i="1"/>
  <c r="CP181" i="1" s="1"/>
  <c r="CQ181" i="1" s="1"/>
  <c r="CR181" i="1" s="1"/>
  <c r="CM181" i="1"/>
  <c r="CN181" i="1" s="1"/>
  <c r="CC181" i="1"/>
  <c r="CD181" i="1" s="1"/>
  <c r="CE181" i="1" s="1"/>
  <c r="BU181" i="1"/>
  <c r="BV181" i="1" s="1"/>
  <c r="BP181" i="1"/>
  <c r="BQ181" i="1" s="1"/>
  <c r="BR181" i="1" s="1"/>
  <c r="BJ181" i="1"/>
  <c r="BH181" i="1"/>
  <c r="BI181" i="1" s="1"/>
  <c r="BA181" i="1"/>
  <c r="BB181" i="1" s="1"/>
  <c r="BC181" i="1" s="1"/>
  <c r="BD181" i="1" s="1"/>
  <c r="AS181" i="1"/>
  <c r="AT181" i="1" s="1"/>
  <c r="AU181" i="1" s="1"/>
  <c r="AV181" i="1" s="1"/>
  <c r="AW181" i="1" s="1"/>
  <c r="AX181" i="1" s="1"/>
  <c r="AN181" i="1"/>
  <c r="AO181" i="1" s="1"/>
  <c r="AP181" i="1" s="1"/>
  <c r="AQ181" i="1" s="1"/>
  <c r="W181" i="1"/>
  <c r="V181" i="1"/>
  <c r="U181" i="1"/>
  <c r="CO259" i="1"/>
  <c r="CP259" i="1" s="1"/>
  <c r="CQ259" i="1" s="1"/>
  <c r="CR259" i="1" s="1"/>
  <c r="CM259" i="1"/>
  <c r="CN259" i="1" s="1"/>
  <c r="CC259" i="1"/>
  <c r="CD259" i="1" s="1"/>
  <c r="CE259" i="1" s="1"/>
  <c r="BU259" i="1"/>
  <c r="BV259" i="1" s="1"/>
  <c r="BQ259" i="1"/>
  <c r="BR259" i="1" s="1"/>
  <c r="BP259" i="1"/>
  <c r="BJ259" i="1"/>
  <c r="BH259" i="1"/>
  <c r="BI259" i="1" s="1"/>
  <c r="BA259" i="1"/>
  <c r="BB259" i="1" s="1"/>
  <c r="BC259" i="1" s="1"/>
  <c r="BD259" i="1" s="1"/>
  <c r="AS259" i="1"/>
  <c r="AT259" i="1" s="1"/>
  <c r="AU259" i="1" s="1"/>
  <c r="AV259" i="1" s="1"/>
  <c r="AW259" i="1" s="1"/>
  <c r="AX259" i="1" s="1"/>
  <c r="AN259" i="1"/>
  <c r="AO259" i="1" s="1"/>
  <c r="AP259" i="1" s="1"/>
  <c r="AQ259" i="1" s="1"/>
  <c r="Z259" i="1"/>
  <c r="AB259" i="1" s="1"/>
  <c r="AC259" i="1" s="1"/>
  <c r="AD259" i="1" s="1"/>
  <c r="AE259" i="1" s="1"/>
  <c r="V259" i="1"/>
  <c r="CP195" i="1"/>
  <c r="CQ195" i="1" s="1"/>
  <c r="CR195" i="1" s="1"/>
  <c r="CM195" i="1"/>
  <c r="CN195" i="1" s="1"/>
  <c r="CC195" i="1"/>
  <c r="CD195" i="1" s="1"/>
  <c r="CE195" i="1" s="1"/>
  <c r="BU195" i="1"/>
  <c r="BV195" i="1" s="1"/>
  <c r="BP195" i="1"/>
  <c r="BQ195" i="1" s="1"/>
  <c r="BR195" i="1" s="1"/>
  <c r="BJ195" i="1"/>
  <c r="BH195" i="1"/>
  <c r="BI195" i="1" s="1"/>
  <c r="BA195" i="1"/>
  <c r="BB195" i="1" s="1"/>
  <c r="BC195" i="1" s="1"/>
  <c r="BD195" i="1" s="1"/>
  <c r="AS195" i="1"/>
  <c r="AT195" i="1" s="1"/>
  <c r="AU195" i="1" s="1"/>
  <c r="AV195" i="1" s="1"/>
  <c r="AW195" i="1" s="1"/>
  <c r="AX195" i="1" s="1"/>
  <c r="AN195" i="1"/>
  <c r="AO195" i="1" s="1"/>
  <c r="AP195" i="1" s="1"/>
  <c r="AQ195" i="1" s="1"/>
  <c r="U195" i="1"/>
  <c r="CO257" i="1"/>
  <c r="CP257" i="1" s="1"/>
  <c r="CQ257" i="1" s="1"/>
  <c r="CR257" i="1" s="1"/>
  <c r="CM257" i="1"/>
  <c r="CN257" i="1" s="1"/>
  <c r="CC257" i="1"/>
  <c r="CD257" i="1" s="1"/>
  <c r="CE257" i="1" s="1"/>
  <c r="BU257" i="1"/>
  <c r="BV257" i="1" s="1"/>
  <c r="BP257" i="1"/>
  <c r="BQ257" i="1" s="1"/>
  <c r="BR257" i="1" s="1"/>
  <c r="BJ257" i="1"/>
  <c r="BH257" i="1"/>
  <c r="BI257" i="1" s="1"/>
  <c r="BA257" i="1"/>
  <c r="BB257" i="1" s="1"/>
  <c r="BC257" i="1" s="1"/>
  <c r="BD257" i="1" s="1"/>
  <c r="AS257" i="1"/>
  <c r="AT257" i="1" s="1"/>
  <c r="AU257" i="1" s="1"/>
  <c r="AV257" i="1" s="1"/>
  <c r="AW257" i="1" s="1"/>
  <c r="AX257" i="1" s="1"/>
  <c r="AN257" i="1"/>
  <c r="AO257" i="1" s="1"/>
  <c r="AP257" i="1" s="1"/>
  <c r="AQ257" i="1" s="1"/>
  <c r="W257" i="1"/>
  <c r="V257" i="1"/>
  <c r="CP25" i="1"/>
  <c r="CQ25" i="1" s="1"/>
  <c r="CR25" i="1" s="1"/>
  <c r="CM25" i="1"/>
  <c r="CN25" i="1" s="1"/>
  <c r="CI25" i="1"/>
  <c r="CJ25" i="1" s="1"/>
  <c r="BU25" i="1"/>
  <c r="BV25" i="1" s="1"/>
  <c r="BP25" i="1"/>
  <c r="BQ25" i="1" s="1"/>
  <c r="BR25" i="1" s="1"/>
  <c r="BJ25" i="1"/>
  <c r="BF25" i="1"/>
  <c r="BH25" i="1" s="1"/>
  <c r="BI25" i="1" s="1"/>
  <c r="BA25" i="1"/>
  <c r="AZ25" i="1"/>
  <c r="AS25" i="1"/>
  <c r="AT25" i="1" s="1"/>
  <c r="AU25" i="1" s="1"/>
  <c r="AV25" i="1" s="1"/>
  <c r="AW25" i="1" s="1"/>
  <c r="AX25" i="1" s="1"/>
  <c r="AN25" i="1"/>
  <c r="AO25" i="1" s="1"/>
  <c r="AP25" i="1" s="1"/>
  <c r="AQ25" i="1" s="1"/>
  <c r="AF25" i="1"/>
  <c r="W25" i="1"/>
  <c r="AG25" i="1" s="1"/>
  <c r="CP41" i="1"/>
  <c r="CQ41" i="1" s="1"/>
  <c r="CR41" i="1" s="1"/>
  <c r="CM41" i="1"/>
  <c r="CN41" i="1" s="1"/>
  <c r="CC41" i="1"/>
  <c r="CD41" i="1" s="1"/>
  <c r="CE41" i="1" s="1"/>
  <c r="BU41" i="1"/>
  <c r="BV41" i="1" s="1"/>
  <c r="BP41" i="1"/>
  <c r="BQ41" i="1" s="1"/>
  <c r="BR41" i="1" s="1"/>
  <c r="BJ41" i="1"/>
  <c r="BH41" i="1"/>
  <c r="BI41" i="1" s="1"/>
  <c r="BA41" i="1"/>
  <c r="BB41" i="1" s="1"/>
  <c r="BC41" i="1" s="1"/>
  <c r="BD41" i="1" s="1"/>
  <c r="AS41" i="1"/>
  <c r="AT41" i="1" s="1"/>
  <c r="AU41" i="1" s="1"/>
  <c r="AV41" i="1" s="1"/>
  <c r="AW41" i="1" s="1"/>
  <c r="AX41" i="1" s="1"/>
  <c r="AN41" i="1"/>
  <c r="AO41" i="1" s="1"/>
  <c r="AP41" i="1" s="1"/>
  <c r="AQ41" i="1" s="1"/>
  <c r="AG41" i="1"/>
  <c r="AF41" i="1"/>
  <c r="AB41" i="1"/>
  <c r="AC41" i="1" s="1"/>
  <c r="AD41" i="1" s="1"/>
  <c r="AE41" i="1" s="1"/>
  <c r="CP218" i="1"/>
  <c r="CQ218" i="1" s="1"/>
  <c r="CR218" i="1" s="1"/>
  <c r="CM218" i="1"/>
  <c r="CN218" i="1" s="1"/>
  <c r="CC218" i="1"/>
  <c r="CD218" i="1" s="1"/>
  <c r="CE218" i="1" s="1"/>
  <c r="BU218" i="1"/>
  <c r="BV218" i="1" s="1"/>
  <c r="BP218" i="1"/>
  <c r="BQ218" i="1" s="1"/>
  <c r="BR218" i="1" s="1"/>
  <c r="BJ218" i="1"/>
  <c r="BH218" i="1"/>
  <c r="BI218" i="1" s="1"/>
  <c r="BA218" i="1"/>
  <c r="BB218" i="1" s="1"/>
  <c r="BC218" i="1" s="1"/>
  <c r="BD218" i="1" s="1"/>
  <c r="AS218" i="1"/>
  <c r="AT218" i="1" s="1"/>
  <c r="AU218" i="1" s="1"/>
  <c r="AV218" i="1" s="1"/>
  <c r="AW218" i="1" s="1"/>
  <c r="AX218" i="1" s="1"/>
  <c r="AN218" i="1"/>
  <c r="AO218" i="1" s="1"/>
  <c r="AP218" i="1" s="1"/>
  <c r="AQ218" i="1" s="1"/>
  <c r="U218" i="1"/>
  <c r="AB218" i="1" s="1"/>
  <c r="AC218" i="1" s="1"/>
  <c r="AD218" i="1" s="1"/>
  <c r="AE218" i="1" s="1"/>
  <c r="CP127" i="1"/>
  <c r="CQ127" i="1" s="1"/>
  <c r="CR127" i="1" s="1"/>
  <c r="CM127" i="1"/>
  <c r="CN127" i="1" s="1"/>
  <c r="CC127" i="1"/>
  <c r="CD127" i="1" s="1"/>
  <c r="CE127" i="1" s="1"/>
  <c r="BU127" i="1"/>
  <c r="BV127" i="1" s="1"/>
  <c r="BP127" i="1"/>
  <c r="BQ127" i="1" s="1"/>
  <c r="BR127" i="1" s="1"/>
  <c r="BJ127" i="1"/>
  <c r="BH127" i="1"/>
  <c r="BI127" i="1" s="1"/>
  <c r="BA127" i="1"/>
  <c r="BB127" i="1" s="1"/>
  <c r="BC127" i="1" s="1"/>
  <c r="BD127" i="1" s="1"/>
  <c r="AS127" i="1"/>
  <c r="AT127" i="1" s="1"/>
  <c r="AU127" i="1" s="1"/>
  <c r="AV127" i="1" s="1"/>
  <c r="AW127" i="1" s="1"/>
  <c r="AX127" i="1" s="1"/>
  <c r="AN127" i="1"/>
  <c r="AO127" i="1" s="1"/>
  <c r="AP127" i="1" s="1"/>
  <c r="AQ127" i="1" s="1"/>
  <c r="AA127" i="1"/>
  <c r="W127" i="1"/>
  <c r="AB127" i="1" s="1"/>
  <c r="AC127" i="1" s="1"/>
  <c r="AD127" i="1" s="1"/>
  <c r="AE127" i="1" s="1"/>
  <c r="V127" i="1"/>
  <c r="CP319" i="1"/>
  <c r="CQ319" i="1" s="1"/>
  <c r="CR319" i="1" s="1"/>
  <c r="CM319" i="1"/>
  <c r="CN319" i="1" s="1"/>
  <c r="CC319" i="1"/>
  <c r="CD319" i="1" s="1"/>
  <c r="CE319" i="1" s="1"/>
  <c r="BU319" i="1"/>
  <c r="BV319" i="1" s="1"/>
  <c r="BP319" i="1"/>
  <c r="BQ319" i="1" s="1"/>
  <c r="BR319" i="1" s="1"/>
  <c r="BJ319" i="1"/>
  <c r="BH319" i="1"/>
  <c r="BI319" i="1" s="1"/>
  <c r="BA319" i="1"/>
  <c r="AZ319" i="1"/>
  <c r="BB319" i="1" s="1"/>
  <c r="BC319" i="1" s="1"/>
  <c r="BD319" i="1" s="1"/>
  <c r="AS319" i="1"/>
  <c r="AT319" i="1" s="1"/>
  <c r="AU319" i="1" s="1"/>
  <c r="AV319" i="1" s="1"/>
  <c r="AW319" i="1" s="1"/>
  <c r="AX319" i="1" s="1"/>
  <c r="AN319" i="1"/>
  <c r="AO319" i="1" s="1"/>
  <c r="AP319" i="1" s="1"/>
  <c r="AQ319" i="1" s="1"/>
  <c r="Z319" i="1"/>
  <c r="W319" i="1"/>
  <c r="V319" i="1"/>
  <c r="U319" i="1"/>
  <c r="AF319" i="1" s="1"/>
  <c r="CO198" i="1"/>
  <c r="CP198" i="1" s="1"/>
  <c r="CQ198" i="1" s="1"/>
  <c r="CR198" i="1" s="1"/>
  <c r="CM198" i="1"/>
  <c r="CN198" i="1" s="1"/>
  <c r="CC198" i="1"/>
  <c r="CD198" i="1" s="1"/>
  <c r="CE198" i="1" s="1"/>
  <c r="BU198" i="1"/>
  <c r="BV198" i="1" s="1"/>
  <c r="BQ198" i="1"/>
  <c r="BR198" i="1" s="1"/>
  <c r="BP198" i="1"/>
  <c r="BJ198" i="1"/>
  <c r="BH198" i="1"/>
  <c r="BI198" i="1" s="1"/>
  <c r="BA198" i="1"/>
  <c r="AZ198" i="1"/>
  <c r="AS198" i="1"/>
  <c r="AT198" i="1" s="1"/>
  <c r="AU198" i="1" s="1"/>
  <c r="AV198" i="1" s="1"/>
  <c r="AW198" i="1" s="1"/>
  <c r="AX198" i="1" s="1"/>
  <c r="AN198" i="1"/>
  <c r="AO198" i="1" s="1"/>
  <c r="AP198" i="1" s="1"/>
  <c r="AQ198" i="1" s="1"/>
  <c r="Z198" i="1"/>
  <c r="X198" i="1"/>
  <c r="W198" i="1"/>
  <c r="V198" i="1"/>
  <c r="AF198" i="1" s="1"/>
  <c r="CO251" i="1"/>
  <c r="CP251" i="1" s="1"/>
  <c r="CQ251" i="1" s="1"/>
  <c r="CR251" i="1" s="1"/>
  <c r="CM251" i="1"/>
  <c r="CN251" i="1" s="1"/>
  <c r="CC251" i="1"/>
  <c r="CD251" i="1" s="1"/>
  <c r="CE251" i="1" s="1"/>
  <c r="BU251" i="1"/>
  <c r="BV251" i="1" s="1"/>
  <c r="BP251" i="1"/>
  <c r="BQ251" i="1" s="1"/>
  <c r="BR251" i="1" s="1"/>
  <c r="BJ251" i="1"/>
  <c r="BH251" i="1"/>
  <c r="BI251" i="1" s="1"/>
  <c r="BA251" i="1"/>
  <c r="AZ251" i="1"/>
  <c r="AT251" i="1"/>
  <c r="AU251" i="1" s="1"/>
  <c r="AV251" i="1" s="1"/>
  <c r="AW251" i="1" s="1"/>
  <c r="AX251" i="1" s="1"/>
  <c r="AS251" i="1"/>
  <c r="AN251" i="1"/>
  <c r="AO251" i="1" s="1"/>
  <c r="AP251" i="1" s="1"/>
  <c r="AQ251" i="1" s="1"/>
  <c r="AG251" i="1"/>
  <c r="AF251" i="1"/>
  <c r="AB251" i="1"/>
  <c r="AC251" i="1" s="1"/>
  <c r="AD251" i="1" s="1"/>
  <c r="AE251" i="1" s="1"/>
  <c r="CO310" i="1"/>
  <c r="CP310" i="1" s="1"/>
  <c r="CQ310" i="1" s="1"/>
  <c r="CR310" i="1" s="1"/>
  <c r="CM310" i="1"/>
  <c r="CN310" i="1" s="1"/>
  <c r="CC310" i="1"/>
  <c r="CD310" i="1" s="1"/>
  <c r="CE310" i="1" s="1"/>
  <c r="BU310" i="1"/>
  <c r="BV310" i="1" s="1"/>
  <c r="BP310" i="1"/>
  <c r="BQ310" i="1" s="1"/>
  <c r="BR310" i="1" s="1"/>
  <c r="BJ310" i="1"/>
  <c r="BH310" i="1"/>
  <c r="BI310" i="1" s="1"/>
  <c r="BA310" i="1"/>
  <c r="AZ310" i="1"/>
  <c r="AS310" i="1"/>
  <c r="AT310" i="1" s="1"/>
  <c r="AU310" i="1" s="1"/>
  <c r="AV310" i="1" s="1"/>
  <c r="AW310" i="1" s="1"/>
  <c r="AX310" i="1" s="1"/>
  <c r="AN310" i="1"/>
  <c r="AO310" i="1" s="1"/>
  <c r="AP310" i="1" s="1"/>
  <c r="AQ310" i="1" s="1"/>
  <c r="V310" i="1"/>
  <c r="AB310" i="1" s="1"/>
  <c r="AC310" i="1" s="1"/>
  <c r="AD310" i="1" s="1"/>
  <c r="AE310" i="1" s="1"/>
  <c r="CO241" i="1"/>
  <c r="CP241" i="1" s="1"/>
  <c r="CQ241" i="1" s="1"/>
  <c r="CR241" i="1" s="1"/>
  <c r="CM241" i="1"/>
  <c r="CN241" i="1" s="1"/>
  <c r="CC241" i="1"/>
  <c r="CD241" i="1" s="1"/>
  <c r="CE241" i="1" s="1"/>
  <c r="BU241" i="1"/>
  <c r="BV241" i="1" s="1"/>
  <c r="BP241" i="1"/>
  <c r="BQ241" i="1" s="1"/>
  <c r="BR241" i="1" s="1"/>
  <c r="BJ241" i="1"/>
  <c r="BH241" i="1"/>
  <c r="BI241" i="1" s="1"/>
  <c r="BA241" i="1"/>
  <c r="BB241" i="1" s="1"/>
  <c r="BC241" i="1" s="1"/>
  <c r="BD241" i="1" s="1"/>
  <c r="AS241" i="1"/>
  <c r="AT241" i="1" s="1"/>
  <c r="AU241" i="1" s="1"/>
  <c r="AV241" i="1" s="1"/>
  <c r="AW241" i="1" s="1"/>
  <c r="AX241" i="1" s="1"/>
  <c r="AN241" i="1"/>
  <c r="AO241" i="1" s="1"/>
  <c r="AP241" i="1" s="1"/>
  <c r="AQ241" i="1" s="1"/>
  <c r="Z241" i="1"/>
  <c r="V241" i="1"/>
  <c r="U241" i="1"/>
  <c r="CO125" i="1"/>
  <c r="CP125" i="1" s="1"/>
  <c r="CQ125" i="1" s="1"/>
  <c r="CR125" i="1" s="1"/>
  <c r="CM125" i="1"/>
  <c r="CN125" i="1" s="1"/>
  <c r="CC125" i="1"/>
  <c r="CD125" i="1" s="1"/>
  <c r="CE125" i="1" s="1"/>
  <c r="BU125" i="1"/>
  <c r="BV125" i="1" s="1"/>
  <c r="BO125" i="1"/>
  <c r="BP125" i="1" s="1"/>
  <c r="BQ125" i="1" s="1"/>
  <c r="BR125" i="1" s="1"/>
  <c r="BJ125" i="1"/>
  <c r="BH125" i="1"/>
  <c r="BI125" i="1" s="1"/>
  <c r="BA125" i="1"/>
  <c r="BB125" i="1" s="1"/>
  <c r="BC125" i="1" s="1"/>
  <c r="BD125" i="1" s="1"/>
  <c r="AS125" i="1"/>
  <c r="AT125" i="1" s="1"/>
  <c r="AU125" i="1" s="1"/>
  <c r="AV125" i="1" s="1"/>
  <c r="AW125" i="1" s="1"/>
  <c r="AX125" i="1" s="1"/>
  <c r="AN125" i="1"/>
  <c r="AO125" i="1" s="1"/>
  <c r="AP125" i="1" s="1"/>
  <c r="AQ125" i="1" s="1"/>
  <c r="V125" i="1"/>
  <c r="U125" i="1"/>
  <c r="CP258" i="1"/>
  <c r="CQ258" i="1" s="1"/>
  <c r="CR258" i="1" s="1"/>
  <c r="CM258" i="1"/>
  <c r="CN258" i="1" s="1"/>
  <c r="CC258" i="1"/>
  <c r="CD258" i="1" s="1"/>
  <c r="CE258" i="1" s="1"/>
  <c r="BU258" i="1"/>
  <c r="BV258" i="1" s="1"/>
  <c r="BP258" i="1"/>
  <c r="BQ258" i="1" s="1"/>
  <c r="BR258" i="1" s="1"/>
  <c r="BJ258" i="1"/>
  <c r="BI258" i="1"/>
  <c r="BH258" i="1"/>
  <c r="BA258" i="1"/>
  <c r="BB258" i="1" s="1"/>
  <c r="BC258" i="1" s="1"/>
  <c r="BD258" i="1" s="1"/>
  <c r="AS258" i="1"/>
  <c r="AT258" i="1" s="1"/>
  <c r="AU258" i="1" s="1"/>
  <c r="AV258" i="1" s="1"/>
  <c r="AW258" i="1" s="1"/>
  <c r="AX258" i="1" s="1"/>
  <c r="AN258" i="1"/>
  <c r="AO258" i="1" s="1"/>
  <c r="AP258" i="1" s="1"/>
  <c r="AQ258" i="1" s="1"/>
  <c r="U258" i="1"/>
  <c r="AG258" i="1" s="1"/>
  <c r="CO191" i="1"/>
  <c r="CP191" i="1" s="1"/>
  <c r="CQ191" i="1" s="1"/>
  <c r="CR191" i="1" s="1"/>
  <c r="CM191" i="1"/>
  <c r="CN191" i="1" s="1"/>
  <c r="CC191" i="1"/>
  <c r="CD191" i="1" s="1"/>
  <c r="CE191" i="1" s="1"/>
  <c r="BU191" i="1"/>
  <c r="BV191" i="1" s="1"/>
  <c r="BP191" i="1"/>
  <c r="BQ191" i="1" s="1"/>
  <c r="BR191" i="1" s="1"/>
  <c r="BJ191" i="1"/>
  <c r="BH191" i="1"/>
  <c r="BI191" i="1" s="1"/>
  <c r="BA191" i="1"/>
  <c r="AZ191" i="1"/>
  <c r="AS191" i="1"/>
  <c r="AT191" i="1" s="1"/>
  <c r="AU191" i="1" s="1"/>
  <c r="AV191" i="1" s="1"/>
  <c r="AW191" i="1" s="1"/>
  <c r="AX191" i="1" s="1"/>
  <c r="AN191" i="1"/>
  <c r="AO191" i="1" s="1"/>
  <c r="AP191" i="1" s="1"/>
  <c r="AQ191" i="1" s="1"/>
  <c r="AG191" i="1"/>
  <c r="AF191" i="1"/>
  <c r="AB191" i="1"/>
  <c r="AC191" i="1" s="1"/>
  <c r="AD191" i="1" s="1"/>
  <c r="AE191" i="1" s="1"/>
  <c r="CO187" i="1"/>
  <c r="CP187" i="1" s="1"/>
  <c r="CQ187" i="1" s="1"/>
  <c r="CR187" i="1" s="1"/>
  <c r="CM187" i="1"/>
  <c r="CN187" i="1" s="1"/>
  <c r="CC187" i="1"/>
  <c r="CD187" i="1" s="1"/>
  <c r="CE187" i="1" s="1"/>
  <c r="BU187" i="1"/>
  <c r="BV187" i="1" s="1"/>
  <c r="BO187" i="1"/>
  <c r="BP187" i="1" s="1"/>
  <c r="BQ187" i="1" s="1"/>
  <c r="BR187" i="1" s="1"/>
  <c r="BJ187" i="1"/>
  <c r="BH187" i="1"/>
  <c r="BI187" i="1" s="1"/>
  <c r="BA187" i="1"/>
  <c r="BB187" i="1" s="1"/>
  <c r="BC187" i="1" s="1"/>
  <c r="BD187" i="1" s="1"/>
  <c r="AT187" i="1"/>
  <c r="AU187" i="1" s="1"/>
  <c r="AV187" i="1" s="1"/>
  <c r="AW187" i="1" s="1"/>
  <c r="AX187" i="1" s="1"/>
  <c r="AS187" i="1"/>
  <c r="AN187" i="1"/>
  <c r="AO187" i="1" s="1"/>
  <c r="AP187" i="1" s="1"/>
  <c r="AQ187" i="1" s="1"/>
  <c r="AG187" i="1"/>
  <c r="AF187" i="1"/>
  <c r="AB187" i="1"/>
  <c r="AC187" i="1" s="1"/>
  <c r="AD187" i="1" s="1"/>
  <c r="AE187" i="1" s="1"/>
  <c r="CO229" i="1"/>
  <c r="CP229" i="1" s="1"/>
  <c r="CQ229" i="1" s="1"/>
  <c r="CR229" i="1" s="1"/>
  <c r="CM229" i="1"/>
  <c r="CN229" i="1" s="1"/>
  <c r="CC229" i="1"/>
  <c r="CD229" i="1" s="1"/>
  <c r="CE229" i="1" s="1"/>
  <c r="BT229" i="1"/>
  <c r="BS229" i="1"/>
  <c r="BU229" i="1" s="1"/>
  <c r="BV229" i="1" s="1"/>
  <c r="BO229" i="1"/>
  <c r="BP229" i="1" s="1"/>
  <c r="BQ229" i="1" s="1"/>
  <c r="BR229" i="1" s="1"/>
  <c r="BJ229" i="1"/>
  <c r="BH229" i="1"/>
  <c r="BI229" i="1" s="1"/>
  <c r="BA229" i="1"/>
  <c r="BB229" i="1" s="1"/>
  <c r="BC229" i="1" s="1"/>
  <c r="BD229" i="1" s="1"/>
  <c r="AS229" i="1"/>
  <c r="AT229" i="1" s="1"/>
  <c r="AU229" i="1" s="1"/>
  <c r="AV229" i="1" s="1"/>
  <c r="AW229" i="1" s="1"/>
  <c r="AX229" i="1" s="1"/>
  <c r="AN229" i="1"/>
  <c r="AO229" i="1" s="1"/>
  <c r="AP229" i="1" s="1"/>
  <c r="AQ229" i="1" s="1"/>
  <c r="AG229" i="1"/>
  <c r="AF229" i="1"/>
  <c r="AB229" i="1"/>
  <c r="AC229" i="1" s="1"/>
  <c r="AD229" i="1" s="1"/>
  <c r="AE229" i="1" s="1"/>
  <c r="CP32" i="1"/>
  <c r="CQ32" i="1" s="1"/>
  <c r="CR32" i="1" s="1"/>
  <c r="CM32" i="1"/>
  <c r="CN32" i="1" s="1"/>
  <c r="CC32" i="1"/>
  <c r="CD32" i="1" s="1"/>
  <c r="CE32" i="1" s="1"/>
  <c r="BU32" i="1"/>
  <c r="BV32" i="1" s="1"/>
  <c r="BP32" i="1"/>
  <c r="BQ32" i="1" s="1"/>
  <c r="BR32" i="1" s="1"/>
  <c r="BJ32" i="1"/>
  <c r="BH32" i="1"/>
  <c r="BI32" i="1" s="1"/>
  <c r="BA32" i="1"/>
  <c r="BB32" i="1" s="1"/>
  <c r="BC32" i="1" s="1"/>
  <c r="BD32" i="1" s="1"/>
  <c r="AT32" i="1"/>
  <c r="AU32" i="1" s="1"/>
  <c r="AV32" i="1" s="1"/>
  <c r="AW32" i="1" s="1"/>
  <c r="AX32" i="1" s="1"/>
  <c r="AS32" i="1"/>
  <c r="AN32" i="1"/>
  <c r="AO32" i="1" s="1"/>
  <c r="AP32" i="1" s="1"/>
  <c r="AQ32" i="1" s="1"/>
  <c r="AF32" i="1"/>
  <c r="W32" i="1"/>
  <c r="CP63" i="1"/>
  <c r="CQ63" i="1" s="1"/>
  <c r="CR63" i="1" s="1"/>
  <c r="CM63" i="1"/>
  <c r="CN63" i="1" s="1"/>
  <c r="CC63" i="1"/>
  <c r="CD63" i="1" s="1"/>
  <c r="CE63" i="1" s="1"/>
  <c r="BU63" i="1"/>
  <c r="BV63" i="1" s="1"/>
  <c r="BP63" i="1"/>
  <c r="BQ63" i="1" s="1"/>
  <c r="BR63" i="1" s="1"/>
  <c r="BJ63" i="1"/>
  <c r="BH63" i="1"/>
  <c r="BI63" i="1" s="1"/>
  <c r="BA63" i="1"/>
  <c r="AZ63" i="1"/>
  <c r="AS63" i="1"/>
  <c r="AT63" i="1" s="1"/>
  <c r="AU63" i="1" s="1"/>
  <c r="AV63" i="1" s="1"/>
  <c r="AW63" i="1" s="1"/>
  <c r="AX63" i="1" s="1"/>
  <c r="AN63" i="1"/>
  <c r="AO63" i="1" s="1"/>
  <c r="AP63" i="1" s="1"/>
  <c r="AQ63" i="1" s="1"/>
  <c r="W63" i="1"/>
  <c r="U63" i="1"/>
  <c r="AF63" i="1" s="1"/>
  <c r="CO73" i="1"/>
  <c r="CP73" i="1" s="1"/>
  <c r="CQ73" i="1" s="1"/>
  <c r="CR73" i="1" s="1"/>
  <c r="CM73" i="1"/>
  <c r="CN73" i="1" s="1"/>
  <c r="CC73" i="1"/>
  <c r="CD73" i="1" s="1"/>
  <c r="CE73" i="1" s="1"/>
  <c r="BU73" i="1"/>
  <c r="BV73" i="1" s="1"/>
  <c r="BP73" i="1"/>
  <c r="BQ73" i="1" s="1"/>
  <c r="BR73" i="1" s="1"/>
  <c r="BJ73" i="1"/>
  <c r="BH73" i="1"/>
  <c r="BI73" i="1" s="1"/>
  <c r="BB73" i="1"/>
  <c r="BC73" i="1" s="1"/>
  <c r="BD73" i="1" s="1"/>
  <c r="BA73" i="1"/>
  <c r="AZ73" i="1"/>
  <c r="AS73" i="1"/>
  <c r="AT73" i="1" s="1"/>
  <c r="AU73" i="1" s="1"/>
  <c r="AV73" i="1" s="1"/>
  <c r="AW73" i="1" s="1"/>
  <c r="AX73" i="1" s="1"/>
  <c r="AN73" i="1"/>
  <c r="AO73" i="1" s="1"/>
  <c r="AP73" i="1" s="1"/>
  <c r="AQ73" i="1" s="1"/>
  <c r="W73" i="1"/>
  <c r="V73" i="1"/>
  <c r="CP27" i="1"/>
  <c r="CQ27" i="1" s="1"/>
  <c r="CR27" i="1" s="1"/>
  <c r="CM27" i="1"/>
  <c r="CN27" i="1" s="1"/>
  <c r="CI27" i="1"/>
  <c r="CJ27" i="1" s="1"/>
  <c r="BU27" i="1"/>
  <c r="BV27" i="1" s="1"/>
  <c r="BP27" i="1"/>
  <c r="BQ27" i="1" s="1"/>
  <c r="BR27" i="1" s="1"/>
  <c r="BJ27" i="1"/>
  <c r="BH27" i="1"/>
  <c r="BI27" i="1" s="1"/>
  <c r="BA27" i="1"/>
  <c r="BB27" i="1" s="1"/>
  <c r="BC27" i="1" s="1"/>
  <c r="BD27" i="1" s="1"/>
  <c r="AS27" i="1"/>
  <c r="AT27" i="1" s="1"/>
  <c r="AU27" i="1" s="1"/>
  <c r="AV27" i="1" s="1"/>
  <c r="AW27" i="1" s="1"/>
  <c r="AX27" i="1" s="1"/>
  <c r="AN27" i="1"/>
  <c r="AO27" i="1" s="1"/>
  <c r="AP27" i="1" s="1"/>
  <c r="AQ27" i="1" s="1"/>
  <c r="AF27" i="1"/>
  <c r="W27" i="1"/>
  <c r="CP135" i="1"/>
  <c r="CQ135" i="1" s="1"/>
  <c r="CR135" i="1" s="1"/>
  <c r="CM135" i="1"/>
  <c r="CN135" i="1" s="1"/>
  <c r="CC135" i="1"/>
  <c r="CD135" i="1" s="1"/>
  <c r="CE135" i="1" s="1"/>
  <c r="BU135" i="1"/>
  <c r="BV135" i="1" s="1"/>
  <c r="BQ135" i="1"/>
  <c r="BR135" i="1" s="1"/>
  <c r="BP135" i="1"/>
  <c r="BJ135" i="1"/>
  <c r="BH135" i="1"/>
  <c r="BI135" i="1" s="1"/>
  <c r="BA135" i="1"/>
  <c r="AZ135" i="1"/>
  <c r="AS135" i="1"/>
  <c r="AT135" i="1" s="1"/>
  <c r="AU135" i="1" s="1"/>
  <c r="AV135" i="1" s="1"/>
  <c r="AW135" i="1" s="1"/>
  <c r="AX135" i="1" s="1"/>
  <c r="AN135" i="1"/>
  <c r="AO135" i="1" s="1"/>
  <c r="AP135" i="1" s="1"/>
  <c r="AQ135" i="1" s="1"/>
  <c r="W135" i="1"/>
  <c r="V135" i="1"/>
  <c r="CP36" i="1"/>
  <c r="CQ36" i="1" s="1"/>
  <c r="CR36" i="1" s="1"/>
  <c r="CM36" i="1"/>
  <c r="CN36" i="1" s="1"/>
  <c r="CC36" i="1"/>
  <c r="CD36" i="1" s="1"/>
  <c r="CE36" i="1" s="1"/>
  <c r="BU36" i="1"/>
  <c r="BV36" i="1" s="1"/>
  <c r="BP36" i="1"/>
  <c r="BQ36" i="1" s="1"/>
  <c r="BR36" i="1" s="1"/>
  <c r="BJ36" i="1"/>
  <c r="BH36" i="1"/>
  <c r="BI36" i="1" s="1"/>
  <c r="BA36" i="1"/>
  <c r="AZ36" i="1"/>
  <c r="AS36" i="1"/>
  <c r="AT36" i="1" s="1"/>
  <c r="AU36" i="1" s="1"/>
  <c r="AV36" i="1" s="1"/>
  <c r="AW36" i="1" s="1"/>
  <c r="AX36" i="1" s="1"/>
  <c r="AN36" i="1"/>
  <c r="AO36" i="1" s="1"/>
  <c r="AP36" i="1" s="1"/>
  <c r="AQ36" i="1" s="1"/>
  <c r="AF36" i="1"/>
  <c r="W36" i="1"/>
  <c r="AG36" i="1" s="1"/>
  <c r="CP182" i="1"/>
  <c r="CQ182" i="1" s="1"/>
  <c r="CR182" i="1" s="1"/>
  <c r="CM182" i="1"/>
  <c r="CN182" i="1" s="1"/>
  <c r="CC182" i="1"/>
  <c r="CD182" i="1" s="1"/>
  <c r="CE182" i="1" s="1"/>
  <c r="BU182" i="1"/>
  <c r="BV182" i="1" s="1"/>
  <c r="BP182" i="1"/>
  <c r="BQ182" i="1" s="1"/>
  <c r="BR182" i="1" s="1"/>
  <c r="BJ182" i="1"/>
  <c r="BH182" i="1"/>
  <c r="BI182" i="1" s="1"/>
  <c r="BA182" i="1"/>
  <c r="AZ182" i="1"/>
  <c r="AS182" i="1"/>
  <c r="AT182" i="1" s="1"/>
  <c r="AU182" i="1" s="1"/>
  <c r="AV182" i="1" s="1"/>
  <c r="AW182" i="1" s="1"/>
  <c r="AX182" i="1" s="1"/>
  <c r="AN182" i="1"/>
  <c r="AO182" i="1" s="1"/>
  <c r="AP182" i="1" s="1"/>
  <c r="AQ182" i="1" s="1"/>
  <c r="AF182" i="1"/>
  <c r="W182" i="1"/>
  <c r="CP307" i="1"/>
  <c r="CQ307" i="1" s="1"/>
  <c r="CR307" i="1" s="1"/>
  <c r="CM307" i="1"/>
  <c r="CN307" i="1" s="1"/>
  <c r="CC307" i="1"/>
  <c r="CD307" i="1" s="1"/>
  <c r="CE307" i="1" s="1"/>
  <c r="BU307" i="1"/>
  <c r="BV307" i="1" s="1"/>
  <c r="BP307" i="1"/>
  <c r="BQ307" i="1" s="1"/>
  <c r="BR307" i="1" s="1"/>
  <c r="BJ307" i="1"/>
  <c r="BH307" i="1"/>
  <c r="BI307" i="1" s="1"/>
  <c r="BA307" i="1"/>
  <c r="AZ307" i="1"/>
  <c r="AS307" i="1"/>
  <c r="AT307" i="1" s="1"/>
  <c r="AU307" i="1" s="1"/>
  <c r="AV307" i="1" s="1"/>
  <c r="AW307" i="1" s="1"/>
  <c r="AX307" i="1" s="1"/>
  <c r="AN307" i="1"/>
  <c r="AO307" i="1" s="1"/>
  <c r="AP307" i="1" s="1"/>
  <c r="AQ307" i="1" s="1"/>
  <c r="AF307" i="1"/>
  <c r="W307" i="1"/>
  <c r="CO271" i="1"/>
  <c r="CP271" i="1" s="1"/>
  <c r="CQ271" i="1" s="1"/>
  <c r="CR271" i="1" s="1"/>
  <c r="CM271" i="1"/>
  <c r="CN271" i="1" s="1"/>
  <c r="CC271" i="1"/>
  <c r="CD271" i="1" s="1"/>
  <c r="CE271" i="1" s="1"/>
  <c r="BU271" i="1"/>
  <c r="BV271" i="1" s="1"/>
  <c r="BP271" i="1"/>
  <c r="BQ271" i="1" s="1"/>
  <c r="BR271" i="1" s="1"/>
  <c r="BJ271" i="1"/>
  <c r="BH271" i="1"/>
  <c r="BI271" i="1" s="1"/>
  <c r="BA271" i="1"/>
  <c r="BB271" i="1" s="1"/>
  <c r="BC271" i="1" s="1"/>
  <c r="BD271" i="1" s="1"/>
  <c r="AS271" i="1"/>
  <c r="AT271" i="1" s="1"/>
  <c r="AU271" i="1" s="1"/>
  <c r="AV271" i="1" s="1"/>
  <c r="AW271" i="1" s="1"/>
  <c r="AX271" i="1" s="1"/>
  <c r="AN271" i="1"/>
  <c r="AO271" i="1" s="1"/>
  <c r="AP271" i="1" s="1"/>
  <c r="AQ271" i="1" s="1"/>
  <c r="W271" i="1"/>
  <c r="V271" i="1"/>
  <c r="CP249" i="1"/>
  <c r="CQ249" i="1" s="1"/>
  <c r="CR249" i="1" s="1"/>
  <c r="CM249" i="1"/>
  <c r="CN249" i="1" s="1"/>
  <c r="CC249" i="1"/>
  <c r="CD249" i="1" s="1"/>
  <c r="CE249" i="1" s="1"/>
  <c r="BU249" i="1"/>
  <c r="BV249" i="1" s="1"/>
  <c r="BP249" i="1"/>
  <c r="BQ249" i="1" s="1"/>
  <c r="BR249" i="1" s="1"/>
  <c r="BJ249" i="1"/>
  <c r="BH249" i="1"/>
  <c r="BI249" i="1" s="1"/>
  <c r="BA249" i="1"/>
  <c r="BB249" i="1" s="1"/>
  <c r="BC249" i="1" s="1"/>
  <c r="BD249" i="1" s="1"/>
  <c r="AS249" i="1"/>
  <c r="AT249" i="1" s="1"/>
  <c r="AU249" i="1" s="1"/>
  <c r="AV249" i="1" s="1"/>
  <c r="AW249" i="1" s="1"/>
  <c r="AX249" i="1" s="1"/>
  <c r="AN249" i="1"/>
  <c r="AO249" i="1" s="1"/>
  <c r="AP249" i="1" s="1"/>
  <c r="AQ249" i="1" s="1"/>
  <c r="V249" i="1"/>
  <c r="AF249" i="1" s="1"/>
  <c r="CP321" i="1"/>
  <c r="CQ321" i="1" s="1"/>
  <c r="CR321" i="1" s="1"/>
  <c r="CM321" i="1"/>
  <c r="CN321" i="1" s="1"/>
  <c r="CC321" i="1"/>
  <c r="CD321" i="1" s="1"/>
  <c r="CE321" i="1" s="1"/>
  <c r="BU321" i="1"/>
  <c r="BV321" i="1" s="1"/>
  <c r="BP321" i="1"/>
  <c r="BQ321" i="1" s="1"/>
  <c r="BR321" i="1" s="1"/>
  <c r="BJ321" i="1"/>
  <c r="BH321" i="1"/>
  <c r="BI321" i="1" s="1"/>
  <c r="BA321" i="1"/>
  <c r="BB321" i="1" s="1"/>
  <c r="BC321" i="1" s="1"/>
  <c r="BD321" i="1" s="1"/>
  <c r="AS321" i="1"/>
  <c r="AT321" i="1" s="1"/>
  <c r="AU321" i="1" s="1"/>
  <c r="AV321" i="1" s="1"/>
  <c r="AW321" i="1" s="1"/>
  <c r="AX321" i="1" s="1"/>
  <c r="AN321" i="1"/>
  <c r="AO321" i="1" s="1"/>
  <c r="AP321" i="1" s="1"/>
  <c r="AQ321" i="1" s="1"/>
  <c r="AF321" i="1"/>
  <c r="Z321" i="1"/>
  <c r="W321" i="1"/>
  <c r="V321" i="1"/>
  <c r="CP44" i="1"/>
  <c r="CQ44" i="1" s="1"/>
  <c r="CR44" i="1" s="1"/>
  <c r="CM44" i="1"/>
  <c r="CN44" i="1" s="1"/>
  <c r="CC44" i="1"/>
  <c r="CD44" i="1" s="1"/>
  <c r="CE44" i="1" s="1"/>
  <c r="BU44" i="1"/>
  <c r="BV44" i="1" s="1"/>
  <c r="BP44" i="1"/>
  <c r="BQ44" i="1" s="1"/>
  <c r="BR44" i="1" s="1"/>
  <c r="BJ44" i="1"/>
  <c r="BH44" i="1"/>
  <c r="BI44" i="1" s="1"/>
  <c r="BA44" i="1"/>
  <c r="BB44" i="1" s="1"/>
  <c r="BC44" i="1" s="1"/>
  <c r="BD44" i="1" s="1"/>
  <c r="AS44" i="1"/>
  <c r="AT44" i="1" s="1"/>
  <c r="AU44" i="1" s="1"/>
  <c r="AV44" i="1" s="1"/>
  <c r="AW44" i="1" s="1"/>
  <c r="AX44" i="1" s="1"/>
  <c r="AN44" i="1"/>
  <c r="AO44" i="1" s="1"/>
  <c r="AP44" i="1" s="1"/>
  <c r="AQ44" i="1" s="1"/>
  <c r="AF44" i="1"/>
  <c r="W44" i="1"/>
  <c r="AG44" i="1" s="1"/>
  <c r="CP170" i="1"/>
  <c r="CQ170" i="1" s="1"/>
  <c r="CR170" i="1" s="1"/>
  <c r="CM170" i="1"/>
  <c r="CN170" i="1" s="1"/>
  <c r="CC170" i="1"/>
  <c r="CD170" i="1" s="1"/>
  <c r="CE170" i="1" s="1"/>
  <c r="BU170" i="1"/>
  <c r="BV170" i="1" s="1"/>
  <c r="BP170" i="1"/>
  <c r="BQ170" i="1" s="1"/>
  <c r="BR170" i="1" s="1"/>
  <c r="BJ170" i="1"/>
  <c r="BH170" i="1"/>
  <c r="BI170" i="1" s="1"/>
  <c r="BA170" i="1"/>
  <c r="BB170" i="1" s="1"/>
  <c r="BC170" i="1" s="1"/>
  <c r="BD170" i="1" s="1"/>
  <c r="AS170" i="1"/>
  <c r="AT170" i="1" s="1"/>
  <c r="AU170" i="1" s="1"/>
  <c r="AV170" i="1" s="1"/>
  <c r="AW170" i="1" s="1"/>
  <c r="AX170" i="1" s="1"/>
  <c r="AN170" i="1"/>
  <c r="AO170" i="1" s="1"/>
  <c r="AP170" i="1" s="1"/>
  <c r="AQ170" i="1" s="1"/>
  <c r="V170" i="1"/>
  <c r="AB170" i="1" s="1"/>
  <c r="AC170" i="1" s="1"/>
  <c r="AD170" i="1" s="1"/>
  <c r="AE170" i="1" s="1"/>
  <c r="CP26" i="1"/>
  <c r="CQ26" i="1" s="1"/>
  <c r="CR26" i="1" s="1"/>
  <c r="CM26" i="1"/>
  <c r="CN26" i="1" s="1"/>
  <c r="CI26" i="1"/>
  <c r="CJ26" i="1" s="1"/>
  <c r="BV26" i="1"/>
  <c r="BU26" i="1"/>
  <c r="BP26" i="1"/>
  <c r="BQ26" i="1" s="1"/>
  <c r="BR26" i="1" s="1"/>
  <c r="BJ26" i="1"/>
  <c r="BH26" i="1"/>
  <c r="BI26" i="1" s="1"/>
  <c r="BA26" i="1"/>
  <c r="AZ26" i="1"/>
  <c r="AS26" i="1"/>
  <c r="AT26" i="1" s="1"/>
  <c r="AU26" i="1" s="1"/>
  <c r="AV26" i="1" s="1"/>
  <c r="AW26" i="1" s="1"/>
  <c r="AX26" i="1" s="1"/>
  <c r="AN26" i="1"/>
  <c r="AO26" i="1" s="1"/>
  <c r="AP26" i="1" s="1"/>
  <c r="AQ26" i="1" s="1"/>
  <c r="AF26" i="1"/>
  <c r="W26" i="1"/>
  <c r="CO266" i="1"/>
  <c r="CP266" i="1" s="1"/>
  <c r="CQ266" i="1" s="1"/>
  <c r="CR266" i="1" s="1"/>
  <c r="CM266" i="1"/>
  <c r="CN266" i="1" s="1"/>
  <c r="CC266" i="1"/>
  <c r="CD266" i="1" s="1"/>
  <c r="CE266" i="1" s="1"/>
  <c r="BU266" i="1"/>
  <c r="BV266" i="1" s="1"/>
  <c r="BP266" i="1"/>
  <c r="BQ266" i="1" s="1"/>
  <c r="BR266" i="1" s="1"/>
  <c r="BJ266" i="1"/>
  <c r="BH266" i="1"/>
  <c r="BI266" i="1" s="1"/>
  <c r="BA266" i="1"/>
  <c r="AZ266" i="1"/>
  <c r="AS266" i="1"/>
  <c r="AT266" i="1" s="1"/>
  <c r="AU266" i="1" s="1"/>
  <c r="AV266" i="1" s="1"/>
  <c r="AW266" i="1" s="1"/>
  <c r="AX266" i="1" s="1"/>
  <c r="AN266" i="1"/>
  <c r="AO266" i="1" s="1"/>
  <c r="AP266" i="1" s="1"/>
  <c r="AQ266" i="1" s="1"/>
  <c r="AG266" i="1"/>
  <c r="AH266" i="1" s="1"/>
  <c r="AI266" i="1" s="1"/>
  <c r="AJ266" i="1" s="1"/>
  <c r="AF266" i="1"/>
  <c r="W266" i="1"/>
  <c r="AB266" i="1" s="1"/>
  <c r="AC266" i="1" s="1"/>
  <c r="AD266" i="1" s="1"/>
  <c r="AE266" i="1" s="1"/>
  <c r="CO54" i="1"/>
  <c r="CP54" i="1" s="1"/>
  <c r="CQ54" i="1" s="1"/>
  <c r="CR54" i="1" s="1"/>
  <c r="CM54" i="1"/>
  <c r="CN54" i="1" s="1"/>
  <c r="CC54" i="1"/>
  <c r="CD54" i="1" s="1"/>
  <c r="CE54" i="1" s="1"/>
  <c r="BU54" i="1"/>
  <c r="BV54" i="1" s="1"/>
  <c r="BO54" i="1"/>
  <c r="BP54" i="1" s="1"/>
  <c r="BQ54" i="1" s="1"/>
  <c r="BR54" i="1" s="1"/>
  <c r="BJ54" i="1"/>
  <c r="BE54" i="1"/>
  <c r="BH54" i="1" s="1"/>
  <c r="BI54" i="1" s="1"/>
  <c r="BA54" i="1"/>
  <c r="BB54" i="1" s="1"/>
  <c r="BC54" i="1" s="1"/>
  <c r="BD54" i="1" s="1"/>
  <c r="AT54" i="1"/>
  <c r="AU54" i="1" s="1"/>
  <c r="AV54" i="1" s="1"/>
  <c r="AW54" i="1" s="1"/>
  <c r="AX54" i="1" s="1"/>
  <c r="AS54" i="1"/>
  <c r="AN54" i="1"/>
  <c r="AO54" i="1" s="1"/>
  <c r="AP54" i="1" s="1"/>
  <c r="AQ54" i="1" s="1"/>
  <c r="W54" i="1"/>
  <c r="V54" i="1"/>
  <c r="AG54" i="1" s="1"/>
  <c r="CO82" i="1"/>
  <c r="CP82" i="1" s="1"/>
  <c r="CQ82" i="1" s="1"/>
  <c r="CR82" i="1" s="1"/>
  <c r="CM82" i="1"/>
  <c r="CN82" i="1" s="1"/>
  <c r="CC82" i="1"/>
  <c r="CD82" i="1" s="1"/>
  <c r="CE82" i="1" s="1"/>
  <c r="BU82" i="1"/>
  <c r="BV82" i="1" s="1"/>
  <c r="BO82" i="1"/>
  <c r="BP82" i="1" s="1"/>
  <c r="BQ82" i="1" s="1"/>
  <c r="BR82" i="1" s="1"/>
  <c r="BJ82" i="1"/>
  <c r="BH82" i="1"/>
  <c r="BI82" i="1" s="1"/>
  <c r="BA82" i="1"/>
  <c r="AZ82" i="1"/>
  <c r="AS82" i="1"/>
  <c r="AT82" i="1" s="1"/>
  <c r="AU82" i="1" s="1"/>
  <c r="AV82" i="1" s="1"/>
  <c r="AW82" i="1" s="1"/>
  <c r="AX82" i="1" s="1"/>
  <c r="AN82" i="1"/>
  <c r="AO82" i="1" s="1"/>
  <c r="AP82" i="1" s="1"/>
  <c r="AQ82" i="1" s="1"/>
  <c r="AF82" i="1"/>
  <c r="W82" i="1"/>
  <c r="AG82" i="1" s="1"/>
  <c r="AH82" i="1" s="1"/>
  <c r="AI82" i="1" s="1"/>
  <c r="AJ82" i="1" s="1"/>
  <c r="CO42" i="1"/>
  <c r="CP42" i="1" s="1"/>
  <c r="CQ42" i="1" s="1"/>
  <c r="CR42" i="1" s="1"/>
  <c r="CM42" i="1"/>
  <c r="CN42" i="1" s="1"/>
  <c r="CC42" i="1"/>
  <c r="CD42" i="1" s="1"/>
  <c r="CE42" i="1" s="1"/>
  <c r="BU42" i="1"/>
  <c r="BV42" i="1" s="1"/>
  <c r="BP42" i="1"/>
  <c r="BQ42" i="1" s="1"/>
  <c r="BR42" i="1" s="1"/>
  <c r="BJ42" i="1"/>
  <c r="BE42" i="1"/>
  <c r="BH42" i="1" s="1"/>
  <c r="BI42" i="1" s="1"/>
  <c r="BA42" i="1"/>
  <c r="AZ42" i="1"/>
  <c r="AV42" i="1"/>
  <c r="AW42" i="1" s="1"/>
  <c r="AX42" i="1" s="1"/>
  <c r="AS42" i="1"/>
  <c r="AT42" i="1" s="1"/>
  <c r="AU42" i="1" s="1"/>
  <c r="AN42" i="1"/>
  <c r="AO42" i="1" s="1"/>
  <c r="AP42" i="1" s="1"/>
  <c r="AQ42" i="1" s="1"/>
  <c r="AF42" i="1"/>
  <c r="W42" i="1"/>
  <c r="CO53" i="1"/>
  <c r="CP53" i="1" s="1"/>
  <c r="CQ53" i="1" s="1"/>
  <c r="CR53" i="1" s="1"/>
  <c r="CM53" i="1"/>
  <c r="CN53" i="1" s="1"/>
  <c r="CC53" i="1"/>
  <c r="CD53" i="1" s="1"/>
  <c r="CE53" i="1" s="1"/>
  <c r="BV53" i="1"/>
  <c r="BU53" i="1"/>
  <c r="BP53" i="1"/>
  <c r="BQ53" i="1" s="1"/>
  <c r="BR53" i="1" s="1"/>
  <c r="BJ53" i="1"/>
  <c r="BH53" i="1"/>
  <c r="BI53" i="1" s="1"/>
  <c r="BA53" i="1"/>
  <c r="AZ53" i="1"/>
  <c r="AS53" i="1"/>
  <c r="AT53" i="1" s="1"/>
  <c r="AU53" i="1" s="1"/>
  <c r="AV53" i="1" s="1"/>
  <c r="AW53" i="1" s="1"/>
  <c r="AX53" i="1" s="1"/>
  <c r="AN53" i="1"/>
  <c r="AO53" i="1" s="1"/>
  <c r="AP53" i="1" s="1"/>
  <c r="AQ53" i="1" s="1"/>
  <c r="AG53" i="1"/>
  <c r="AF53" i="1"/>
  <c r="AB53" i="1"/>
  <c r="AC53" i="1" s="1"/>
  <c r="AD53" i="1" s="1"/>
  <c r="AE53" i="1" s="1"/>
  <c r="CO177" i="1"/>
  <c r="CP177" i="1" s="1"/>
  <c r="CQ177" i="1" s="1"/>
  <c r="CR177" i="1" s="1"/>
  <c r="CM177" i="1"/>
  <c r="CN177" i="1" s="1"/>
  <c r="CC177" i="1"/>
  <c r="CD177" i="1" s="1"/>
  <c r="CE177" i="1" s="1"/>
  <c r="BU177" i="1"/>
  <c r="BV177" i="1" s="1"/>
  <c r="BP177" i="1"/>
  <c r="BQ177" i="1" s="1"/>
  <c r="BR177" i="1" s="1"/>
  <c r="BJ177" i="1"/>
  <c r="BH177" i="1"/>
  <c r="BI177" i="1" s="1"/>
  <c r="BA177" i="1"/>
  <c r="BB177" i="1" s="1"/>
  <c r="BC177" i="1" s="1"/>
  <c r="BD177" i="1" s="1"/>
  <c r="AS177" i="1"/>
  <c r="AT177" i="1" s="1"/>
  <c r="AU177" i="1" s="1"/>
  <c r="AV177" i="1" s="1"/>
  <c r="AW177" i="1" s="1"/>
  <c r="AX177" i="1" s="1"/>
  <c r="AN177" i="1"/>
  <c r="AO177" i="1" s="1"/>
  <c r="AP177" i="1" s="1"/>
  <c r="AQ177" i="1" s="1"/>
  <c r="Z177" i="1"/>
  <c r="W177" i="1"/>
  <c r="V177" i="1"/>
  <c r="CO122" i="1"/>
  <c r="CP122" i="1" s="1"/>
  <c r="CQ122" i="1" s="1"/>
  <c r="CR122" i="1" s="1"/>
  <c r="CM122" i="1"/>
  <c r="CN122" i="1" s="1"/>
  <c r="CC122" i="1"/>
  <c r="CD122" i="1" s="1"/>
  <c r="CE122" i="1" s="1"/>
  <c r="BU122" i="1"/>
  <c r="BV122" i="1" s="1"/>
  <c r="BP122" i="1"/>
  <c r="BQ122" i="1" s="1"/>
  <c r="BR122" i="1" s="1"/>
  <c r="BJ122" i="1"/>
  <c r="BF122" i="1"/>
  <c r="BH122" i="1" s="1"/>
  <c r="BI122" i="1" s="1"/>
  <c r="BA122" i="1"/>
  <c r="AZ122" i="1"/>
  <c r="BB122" i="1" s="1"/>
  <c r="BC122" i="1" s="1"/>
  <c r="BD122" i="1" s="1"/>
  <c r="AS122" i="1"/>
  <c r="AT122" i="1" s="1"/>
  <c r="AU122" i="1" s="1"/>
  <c r="AV122" i="1" s="1"/>
  <c r="AW122" i="1" s="1"/>
  <c r="AX122" i="1" s="1"/>
  <c r="AN122" i="1"/>
  <c r="AO122" i="1" s="1"/>
  <c r="AP122" i="1" s="1"/>
  <c r="AQ122" i="1" s="1"/>
  <c r="AF122" i="1"/>
  <c r="W122" i="1"/>
  <c r="AG122" i="1" s="1"/>
  <c r="CO184" i="1"/>
  <c r="CP184" i="1" s="1"/>
  <c r="CQ184" i="1" s="1"/>
  <c r="CR184" i="1" s="1"/>
  <c r="CM184" i="1"/>
  <c r="CN184" i="1" s="1"/>
  <c r="CC184" i="1"/>
  <c r="CD184" i="1" s="1"/>
  <c r="CE184" i="1" s="1"/>
  <c r="BU184" i="1"/>
  <c r="BV184" i="1" s="1"/>
  <c r="BP184" i="1"/>
  <c r="BQ184" i="1" s="1"/>
  <c r="BR184" i="1" s="1"/>
  <c r="BJ184" i="1"/>
  <c r="BF184" i="1"/>
  <c r="BH184" i="1" s="1"/>
  <c r="BI184" i="1" s="1"/>
  <c r="BA184" i="1"/>
  <c r="BB184" i="1" s="1"/>
  <c r="BC184" i="1" s="1"/>
  <c r="BD184" i="1" s="1"/>
  <c r="AS184" i="1"/>
  <c r="AT184" i="1" s="1"/>
  <c r="AU184" i="1" s="1"/>
  <c r="AV184" i="1" s="1"/>
  <c r="AW184" i="1" s="1"/>
  <c r="AX184" i="1" s="1"/>
  <c r="AN184" i="1"/>
  <c r="AO184" i="1" s="1"/>
  <c r="AP184" i="1" s="1"/>
  <c r="AQ184" i="1" s="1"/>
  <c r="W184" i="1"/>
  <c r="U184" i="1"/>
  <c r="CO74" i="1"/>
  <c r="CP74" i="1" s="1"/>
  <c r="CQ74" i="1" s="1"/>
  <c r="CR74" i="1" s="1"/>
  <c r="CM74" i="1"/>
  <c r="CN74" i="1" s="1"/>
  <c r="CC74" i="1"/>
  <c r="CD74" i="1" s="1"/>
  <c r="CE74" i="1" s="1"/>
  <c r="BU74" i="1"/>
  <c r="BV74" i="1" s="1"/>
  <c r="BP74" i="1"/>
  <c r="BQ74" i="1" s="1"/>
  <c r="BR74" i="1" s="1"/>
  <c r="BJ74" i="1"/>
  <c r="BH74" i="1"/>
  <c r="BI74" i="1" s="1"/>
  <c r="BA74" i="1"/>
  <c r="AZ74" i="1"/>
  <c r="BB74" i="1" s="1"/>
  <c r="BC74" i="1" s="1"/>
  <c r="BD74" i="1" s="1"/>
  <c r="AS74" i="1"/>
  <c r="AT74" i="1" s="1"/>
  <c r="AU74" i="1" s="1"/>
  <c r="AV74" i="1" s="1"/>
  <c r="AW74" i="1" s="1"/>
  <c r="AX74" i="1" s="1"/>
  <c r="AN74" i="1"/>
  <c r="AO74" i="1" s="1"/>
  <c r="AP74" i="1" s="1"/>
  <c r="AQ74" i="1" s="1"/>
  <c r="W74" i="1"/>
  <c r="V74" i="1"/>
  <c r="CO119" i="1"/>
  <c r="CP119" i="1" s="1"/>
  <c r="CQ119" i="1" s="1"/>
  <c r="CR119" i="1" s="1"/>
  <c r="CM119" i="1"/>
  <c r="CN119" i="1" s="1"/>
  <c r="CC119" i="1"/>
  <c r="CD119" i="1" s="1"/>
  <c r="CE119" i="1" s="1"/>
  <c r="BU119" i="1"/>
  <c r="BV119" i="1" s="1"/>
  <c r="BP119" i="1"/>
  <c r="BQ119" i="1" s="1"/>
  <c r="BR119" i="1" s="1"/>
  <c r="BJ119" i="1"/>
  <c r="BH119" i="1"/>
  <c r="BI119" i="1" s="1"/>
  <c r="BA119" i="1"/>
  <c r="BB119" i="1" s="1"/>
  <c r="BC119" i="1" s="1"/>
  <c r="BD119" i="1" s="1"/>
  <c r="AS119" i="1"/>
  <c r="AT119" i="1" s="1"/>
  <c r="AU119" i="1" s="1"/>
  <c r="AV119" i="1" s="1"/>
  <c r="AW119" i="1" s="1"/>
  <c r="AX119" i="1" s="1"/>
  <c r="AN119" i="1"/>
  <c r="AO119" i="1" s="1"/>
  <c r="AP119" i="1" s="1"/>
  <c r="AQ119" i="1" s="1"/>
  <c r="V119" i="1"/>
  <c r="CP173" i="1"/>
  <c r="CQ173" i="1" s="1"/>
  <c r="CR173" i="1" s="1"/>
  <c r="CO173" i="1"/>
  <c r="CM173" i="1"/>
  <c r="CN173" i="1" s="1"/>
  <c r="CC173" i="1"/>
  <c r="CD173" i="1" s="1"/>
  <c r="CE173" i="1" s="1"/>
  <c r="BU173" i="1"/>
  <c r="BV173" i="1" s="1"/>
  <c r="BP173" i="1"/>
  <c r="BQ173" i="1" s="1"/>
  <c r="BR173" i="1" s="1"/>
  <c r="BJ173" i="1"/>
  <c r="BH173" i="1"/>
  <c r="BI173" i="1" s="1"/>
  <c r="BA173" i="1"/>
  <c r="AZ173" i="1"/>
  <c r="AS173" i="1"/>
  <c r="AT173" i="1" s="1"/>
  <c r="AU173" i="1" s="1"/>
  <c r="AV173" i="1" s="1"/>
  <c r="AW173" i="1" s="1"/>
  <c r="AX173" i="1" s="1"/>
  <c r="AN173" i="1"/>
  <c r="AO173" i="1" s="1"/>
  <c r="AP173" i="1" s="1"/>
  <c r="AQ173" i="1" s="1"/>
  <c r="AG173" i="1"/>
  <c r="AF173" i="1"/>
  <c r="AD173" i="1"/>
  <c r="AE173" i="1" s="1"/>
  <c r="AB173" i="1"/>
  <c r="AC173" i="1" s="1"/>
  <c r="CP221" i="1"/>
  <c r="CQ221" i="1" s="1"/>
  <c r="CR221" i="1" s="1"/>
  <c r="CM221" i="1"/>
  <c r="CN221" i="1" s="1"/>
  <c r="CC221" i="1"/>
  <c r="CD221" i="1" s="1"/>
  <c r="CE221" i="1" s="1"/>
  <c r="BU221" i="1"/>
  <c r="BV221" i="1" s="1"/>
  <c r="BP221" i="1"/>
  <c r="BQ221" i="1" s="1"/>
  <c r="BR221" i="1" s="1"/>
  <c r="BJ221" i="1"/>
  <c r="BI221" i="1"/>
  <c r="BH221" i="1"/>
  <c r="BA221" i="1"/>
  <c r="AZ221" i="1"/>
  <c r="AS221" i="1"/>
  <c r="AT221" i="1" s="1"/>
  <c r="AU221" i="1" s="1"/>
  <c r="AV221" i="1" s="1"/>
  <c r="AW221" i="1" s="1"/>
  <c r="AX221" i="1" s="1"/>
  <c r="AQ221" i="1"/>
  <c r="AN221" i="1"/>
  <c r="AO221" i="1" s="1"/>
  <c r="AP221" i="1" s="1"/>
  <c r="AF221" i="1"/>
  <c r="W221" i="1"/>
  <c r="AG221" i="1" s="1"/>
  <c r="CO46" i="1"/>
  <c r="CP46" i="1" s="1"/>
  <c r="CQ46" i="1" s="1"/>
  <c r="CR46" i="1" s="1"/>
  <c r="CM46" i="1"/>
  <c r="CN46" i="1" s="1"/>
  <c r="CC46" i="1"/>
  <c r="CD46" i="1" s="1"/>
  <c r="CE46" i="1" s="1"/>
  <c r="BU46" i="1"/>
  <c r="BV46" i="1" s="1"/>
  <c r="BP46" i="1"/>
  <c r="BQ46" i="1" s="1"/>
  <c r="BR46" i="1" s="1"/>
  <c r="BJ46" i="1"/>
  <c r="BH46" i="1"/>
  <c r="BI46" i="1" s="1"/>
  <c r="BA46" i="1"/>
  <c r="AZ46" i="1"/>
  <c r="AS46" i="1"/>
  <c r="AT46" i="1" s="1"/>
  <c r="AU46" i="1" s="1"/>
  <c r="AV46" i="1" s="1"/>
  <c r="AW46" i="1" s="1"/>
  <c r="AX46" i="1" s="1"/>
  <c r="AN46" i="1"/>
  <c r="AO46" i="1" s="1"/>
  <c r="AP46" i="1" s="1"/>
  <c r="AQ46" i="1" s="1"/>
  <c r="AF46" i="1"/>
  <c r="W46" i="1"/>
  <c r="AB46" i="1" s="1"/>
  <c r="AC46" i="1" s="1"/>
  <c r="AD46" i="1" s="1"/>
  <c r="AE46" i="1" s="1"/>
  <c r="CO320" i="1"/>
  <c r="CP320" i="1" s="1"/>
  <c r="CQ320" i="1" s="1"/>
  <c r="CR320" i="1" s="1"/>
  <c r="CM320" i="1"/>
  <c r="CN320" i="1" s="1"/>
  <c r="CC320" i="1"/>
  <c r="CD320" i="1" s="1"/>
  <c r="CE320" i="1" s="1"/>
  <c r="BU320" i="1"/>
  <c r="BV320" i="1" s="1"/>
  <c r="BP320" i="1"/>
  <c r="BQ320" i="1" s="1"/>
  <c r="BR320" i="1" s="1"/>
  <c r="BJ320" i="1"/>
  <c r="BH320" i="1"/>
  <c r="BI320" i="1" s="1"/>
  <c r="BA320" i="1"/>
  <c r="AZ320" i="1"/>
  <c r="AS320" i="1"/>
  <c r="AT320" i="1" s="1"/>
  <c r="AU320" i="1" s="1"/>
  <c r="AV320" i="1" s="1"/>
  <c r="AW320" i="1" s="1"/>
  <c r="AX320" i="1" s="1"/>
  <c r="AN320" i="1"/>
  <c r="AO320" i="1" s="1"/>
  <c r="AP320" i="1" s="1"/>
  <c r="AQ320" i="1" s="1"/>
  <c r="Z320" i="1"/>
  <c r="W320" i="1"/>
  <c r="V320" i="1"/>
  <c r="CP85" i="1"/>
  <c r="CQ85" i="1" s="1"/>
  <c r="CR85" i="1" s="1"/>
  <c r="CM85" i="1"/>
  <c r="CN85" i="1" s="1"/>
  <c r="CC85" i="1"/>
  <c r="CD85" i="1" s="1"/>
  <c r="CE85" i="1" s="1"/>
  <c r="BU85" i="1"/>
  <c r="BV85" i="1" s="1"/>
  <c r="BO85" i="1"/>
  <c r="BP85" i="1" s="1"/>
  <c r="BQ85" i="1" s="1"/>
  <c r="BR85" i="1" s="1"/>
  <c r="BJ85" i="1"/>
  <c r="BE85" i="1"/>
  <c r="BH85" i="1" s="1"/>
  <c r="BI85" i="1" s="1"/>
  <c r="BA85" i="1"/>
  <c r="BB85" i="1" s="1"/>
  <c r="BC85" i="1" s="1"/>
  <c r="BD85" i="1" s="1"/>
  <c r="AS85" i="1"/>
  <c r="AT85" i="1" s="1"/>
  <c r="AU85" i="1" s="1"/>
  <c r="AV85" i="1" s="1"/>
  <c r="AW85" i="1" s="1"/>
  <c r="AX85" i="1" s="1"/>
  <c r="AO85" i="1"/>
  <c r="AP85" i="1" s="1"/>
  <c r="AQ85" i="1" s="1"/>
  <c r="AN85" i="1"/>
  <c r="AF85" i="1"/>
  <c r="W85" i="1"/>
  <c r="AB85" i="1" s="1"/>
  <c r="AC85" i="1" s="1"/>
  <c r="AD85" i="1" s="1"/>
  <c r="AE85" i="1" s="1"/>
  <c r="CO162" i="1"/>
  <c r="CP162" i="1" s="1"/>
  <c r="CQ162" i="1" s="1"/>
  <c r="CR162" i="1" s="1"/>
  <c r="CM162" i="1"/>
  <c r="CN162" i="1" s="1"/>
  <c r="CC162" i="1"/>
  <c r="CD162" i="1" s="1"/>
  <c r="CE162" i="1" s="1"/>
  <c r="BU162" i="1"/>
  <c r="BV162" i="1" s="1"/>
  <c r="BP162" i="1"/>
  <c r="BQ162" i="1" s="1"/>
  <c r="BR162" i="1" s="1"/>
  <c r="BJ162" i="1"/>
  <c r="BH162" i="1"/>
  <c r="BI162" i="1" s="1"/>
  <c r="BA162" i="1"/>
  <c r="AZ162" i="1"/>
  <c r="AS162" i="1"/>
  <c r="AT162" i="1" s="1"/>
  <c r="AU162" i="1" s="1"/>
  <c r="AV162" i="1" s="1"/>
  <c r="AW162" i="1" s="1"/>
  <c r="AX162" i="1" s="1"/>
  <c r="AN162" i="1"/>
  <c r="AO162" i="1" s="1"/>
  <c r="AP162" i="1" s="1"/>
  <c r="AQ162" i="1" s="1"/>
  <c r="W162" i="1"/>
  <c r="V162" i="1"/>
  <c r="CP268" i="1"/>
  <c r="CQ268" i="1" s="1"/>
  <c r="CR268" i="1" s="1"/>
  <c r="CO268" i="1"/>
  <c r="CM268" i="1"/>
  <c r="CN268" i="1" s="1"/>
  <c r="CC268" i="1"/>
  <c r="CD268" i="1" s="1"/>
  <c r="CE268" i="1" s="1"/>
  <c r="BU268" i="1"/>
  <c r="BV268" i="1" s="1"/>
  <c r="BP268" i="1"/>
  <c r="BQ268" i="1" s="1"/>
  <c r="BR268" i="1" s="1"/>
  <c r="BJ268" i="1"/>
  <c r="BH268" i="1"/>
  <c r="BI268" i="1" s="1"/>
  <c r="BA268" i="1"/>
  <c r="BB268" i="1" s="1"/>
  <c r="BC268" i="1" s="1"/>
  <c r="BD268" i="1" s="1"/>
  <c r="AS268" i="1"/>
  <c r="AT268" i="1" s="1"/>
  <c r="AU268" i="1" s="1"/>
  <c r="AV268" i="1" s="1"/>
  <c r="AW268" i="1" s="1"/>
  <c r="AX268" i="1" s="1"/>
  <c r="AN268" i="1"/>
  <c r="AO268" i="1" s="1"/>
  <c r="AP268" i="1" s="1"/>
  <c r="AQ268" i="1" s="1"/>
  <c r="AG268" i="1"/>
  <c r="AF268" i="1"/>
  <c r="AB268" i="1"/>
  <c r="AC268" i="1" s="1"/>
  <c r="AD268" i="1" s="1"/>
  <c r="AE268" i="1" s="1"/>
  <c r="CO275" i="1"/>
  <c r="CP275" i="1" s="1"/>
  <c r="CQ275" i="1" s="1"/>
  <c r="CR275" i="1" s="1"/>
  <c r="CM275" i="1"/>
  <c r="CN275" i="1" s="1"/>
  <c r="CC275" i="1"/>
  <c r="CD275" i="1" s="1"/>
  <c r="CE275" i="1" s="1"/>
  <c r="BU275" i="1"/>
  <c r="BV275" i="1" s="1"/>
  <c r="BP275" i="1"/>
  <c r="BQ275" i="1" s="1"/>
  <c r="BR275" i="1" s="1"/>
  <c r="BJ275" i="1"/>
  <c r="BH275" i="1"/>
  <c r="BI275" i="1" s="1"/>
  <c r="BA275" i="1"/>
  <c r="BB275" i="1" s="1"/>
  <c r="BC275" i="1" s="1"/>
  <c r="BD275" i="1" s="1"/>
  <c r="AS275" i="1"/>
  <c r="AT275" i="1" s="1"/>
  <c r="AU275" i="1" s="1"/>
  <c r="AV275" i="1" s="1"/>
  <c r="AW275" i="1" s="1"/>
  <c r="AX275" i="1" s="1"/>
  <c r="AN275" i="1"/>
  <c r="AO275" i="1" s="1"/>
  <c r="AP275" i="1" s="1"/>
  <c r="AQ275" i="1" s="1"/>
  <c r="U275" i="1"/>
  <c r="CO309" i="1"/>
  <c r="CP309" i="1" s="1"/>
  <c r="CQ309" i="1" s="1"/>
  <c r="CR309" i="1" s="1"/>
  <c r="CM309" i="1"/>
  <c r="CN309" i="1" s="1"/>
  <c r="CC309" i="1"/>
  <c r="CD309" i="1" s="1"/>
  <c r="CE309" i="1" s="1"/>
  <c r="BU309" i="1"/>
  <c r="BV309" i="1" s="1"/>
  <c r="BP309" i="1"/>
  <c r="BQ309" i="1" s="1"/>
  <c r="BR309" i="1" s="1"/>
  <c r="BJ309" i="1"/>
  <c r="BH309" i="1"/>
  <c r="BI309" i="1" s="1"/>
  <c r="BA309" i="1"/>
  <c r="BB309" i="1" s="1"/>
  <c r="BC309" i="1" s="1"/>
  <c r="BD309" i="1" s="1"/>
  <c r="AS309" i="1"/>
  <c r="AT309" i="1" s="1"/>
  <c r="AU309" i="1" s="1"/>
  <c r="AV309" i="1" s="1"/>
  <c r="AW309" i="1" s="1"/>
  <c r="AX309" i="1" s="1"/>
  <c r="AN309" i="1"/>
  <c r="AO309" i="1" s="1"/>
  <c r="AP309" i="1" s="1"/>
  <c r="AQ309" i="1" s="1"/>
  <c r="AG309" i="1"/>
  <c r="AF309" i="1"/>
  <c r="AB309" i="1"/>
  <c r="AC309" i="1" s="1"/>
  <c r="AD309" i="1" s="1"/>
  <c r="AE309" i="1" s="1"/>
  <c r="CO260" i="1"/>
  <c r="CP260" i="1" s="1"/>
  <c r="CQ260" i="1" s="1"/>
  <c r="CR260" i="1" s="1"/>
  <c r="CM260" i="1"/>
  <c r="CN260" i="1" s="1"/>
  <c r="CC260" i="1"/>
  <c r="CD260" i="1" s="1"/>
  <c r="CE260" i="1" s="1"/>
  <c r="BU260" i="1"/>
  <c r="BV260" i="1" s="1"/>
  <c r="BO260" i="1"/>
  <c r="BP260" i="1" s="1"/>
  <c r="BQ260" i="1" s="1"/>
  <c r="BR260" i="1" s="1"/>
  <c r="BJ260" i="1"/>
  <c r="BH260" i="1"/>
  <c r="BI260" i="1" s="1"/>
  <c r="BA260" i="1"/>
  <c r="AZ260" i="1"/>
  <c r="AS260" i="1"/>
  <c r="AT260" i="1" s="1"/>
  <c r="AU260" i="1" s="1"/>
  <c r="AV260" i="1" s="1"/>
  <c r="AW260" i="1" s="1"/>
  <c r="AX260" i="1" s="1"/>
  <c r="AN260" i="1"/>
  <c r="AO260" i="1" s="1"/>
  <c r="AP260" i="1" s="1"/>
  <c r="AQ260" i="1" s="1"/>
  <c r="W260" i="1"/>
  <c r="V260" i="1"/>
  <c r="U260" i="1"/>
  <c r="CO287" i="1"/>
  <c r="CP287" i="1" s="1"/>
  <c r="CQ287" i="1" s="1"/>
  <c r="CR287" i="1" s="1"/>
  <c r="CM287" i="1"/>
  <c r="CN287" i="1" s="1"/>
  <c r="CC287" i="1"/>
  <c r="CD287" i="1" s="1"/>
  <c r="CE287" i="1" s="1"/>
  <c r="BU287" i="1"/>
  <c r="BV287" i="1" s="1"/>
  <c r="BP287" i="1"/>
  <c r="BQ287" i="1" s="1"/>
  <c r="BR287" i="1" s="1"/>
  <c r="BJ287" i="1"/>
  <c r="BH287" i="1"/>
  <c r="BI287" i="1" s="1"/>
  <c r="BA287" i="1"/>
  <c r="AZ287" i="1"/>
  <c r="AS287" i="1"/>
  <c r="AT287" i="1" s="1"/>
  <c r="AU287" i="1" s="1"/>
  <c r="AV287" i="1" s="1"/>
  <c r="AW287" i="1" s="1"/>
  <c r="AX287" i="1" s="1"/>
  <c r="AN287" i="1"/>
  <c r="AO287" i="1" s="1"/>
  <c r="AP287" i="1" s="1"/>
  <c r="AQ287" i="1" s="1"/>
  <c r="V287" i="1"/>
  <c r="U287" i="1"/>
  <c r="CO296" i="1"/>
  <c r="CP296" i="1" s="1"/>
  <c r="CQ296" i="1" s="1"/>
  <c r="CR296" i="1" s="1"/>
  <c r="CM296" i="1"/>
  <c r="CN296" i="1" s="1"/>
  <c r="CC296" i="1"/>
  <c r="CD296" i="1" s="1"/>
  <c r="CE296" i="1" s="1"/>
  <c r="BU296" i="1"/>
  <c r="BV296" i="1" s="1"/>
  <c r="BP296" i="1"/>
  <c r="BQ296" i="1" s="1"/>
  <c r="BR296" i="1" s="1"/>
  <c r="BJ296" i="1"/>
  <c r="BH296" i="1"/>
  <c r="BI296" i="1" s="1"/>
  <c r="BF296" i="1"/>
  <c r="BE296" i="1"/>
  <c r="BA296" i="1"/>
  <c r="AZ296" i="1"/>
  <c r="AS296" i="1"/>
  <c r="AT296" i="1" s="1"/>
  <c r="AU296" i="1" s="1"/>
  <c r="AV296" i="1" s="1"/>
  <c r="AW296" i="1" s="1"/>
  <c r="AX296" i="1" s="1"/>
  <c r="AN296" i="1"/>
  <c r="AO296" i="1" s="1"/>
  <c r="AP296" i="1" s="1"/>
  <c r="AQ296" i="1" s="1"/>
  <c r="V296" i="1"/>
  <c r="AB296" i="1" s="1"/>
  <c r="AC296" i="1" s="1"/>
  <c r="AD296" i="1" s="1"/>
  <c r="AE296" i="1" s="1"/>
  <c r="CO178" i="1"/>
  <c r="CP178" i="1" s="1"/>
  <c r="CQ178" i="1" s="1"/>
  <c r="CR178" i="1" s="1"/>
  <c r="CM178" i="1"/>
  <c r="CN178" i="1" s="1"/>
  <c r="CC178" i="1"/>
  <c r="CD178" i="1" s="1"/>
  <c r="CE178" i="1" s="1"/>
  <c r="BU178" i="1"/>
  <c r="BV178" i="1" s="1"/>
  <c r="BP178" i="1"/>
  <c r="BQ178" i="1" s="1"/>
  <c r="BR178" i="1" s="1"/>
  <c r="BJ178" i="1"/>
  <c r="BH178" i="1"/>
  <c r="BI178" i="1" s="1"/>
  <c r="BA178" i="1"/>
  <c r="AZ178" i="1"/>
  <c r="AS178" i="1"/>
  <c r="AT178" i="1" s="1"/>
  <c r="AU178" i="1" s="1"/>
  <c r="AV178" i="1" s="1"/>
  <c r="AW178" i="1" s="1"/>
  <c r="AX178" i="1" s="1"/>
  <c r="AN178" i="1"/>
  <c r="AO178" i="1" s="1"/>
  <c r="AP178" i="1" s="1"/>
  <c r="AQ178" i="1" s="1"/>
  <c r="W178" i="1"/>
  <c r="V178" i="1"/>
  <c r="U178" i="1"/>
  <c r="CO306" i="1"/>
  <c r="CP306" i="1" s="1"/>
  <c r="CQ306" i="1" s="1"/>
  <c r="CR306" i="1" s="1"/>
  <c r="CM306" i="1"/>
  <c r="CN306" i="1" s="1"/>
  <c r="CC306" i="1"/>
  <c r="CD306" i="1" s="1"/>
  <c r="CE306" i="1" s="1"/>
  <c r="BU306" i="1"/>
  <c r="BV306" i="1" s="1"/>
  <c r="BP306" i="1"/>
  <c r="BQ306" i="1" s="1"/>
  <c r="BR306" i="1" s="1"/>
  <c r="BJ306" i="1"/>
  <c r="BH306" i="1"/>
  <c r="BI306" i="1" s="1"/>
  <c r="BA306" i="1"/>
  <c r="BB306" i="1" s="1"/>
  <c r="BC306" i="1" s="1"/>
  <c r="BD306" i="1" s="1"/>
  <c r="AS306" i="1"/>
  <c r="AT306" i="1" s="1"/>
  <c r="AU306" i="1" s="1"/>
  <c r="AV306" i="1" s="1"/>
  <c r="AW306" i="1" s="1"/>
  <c r="AX306" i="1" s="1"/>
  <c r="AN306" i="1"/>
  <c r="AO306" i="1" s="1"/>
  <c r="AP306" i="1" s="1"/>
  <c r="AQ306" i="1" s="1"/>
  <c r="AG306" i="1"/>
  <c r="AF306" i="1"/>
  <c r="V306" i="1"/>
  <c r="AB306" i="1" s="1"/>
  <c r="AC306" i="1" s="1"/>
  <c r="AD306" i="1" s="1"/>
  <c r="AE306" i="1" s="1"/>
  <c r="CP109" i="1"/>
  <c r="CQ109" i="1" s="1"/>
  <c r="CR109" i="1" s="1"/>
  <c r="CO109" i="1"/>
  <c r="CM109" i="1"/>
  <c r="CN109" i="1" s="1"/>
  <c r="CC109" i="1"/>
  <c r="CD109" i="1" s="1"/>
  <c r="CE109" i="1" s="1"/>
  <c r="BU109" i="1"/>
  <c r="BV109" i="1" s="1"/>
  <c r="BO109" i="1"/>
  <c r="BP109" i="1" s="1"/>
  <c r="BQ109" i="1" s="1"/>
  <c r="BR109" i="1" s="1"/>
  <c r="BJ109" i="1"/>
  <c r="BH109" i="1"/>
  <c r="BI109" i="1" s="1"/>
  <c r="BA109" i="1"/>
  <c r="AZ109" i="1"/>
  <c r="BB109" i="1" s="1"/>
  <c r="BC109" i="1" s="1"/>
  <c r="BD109" i="1" s="1"/>
  <c r="AS109" i="1"/>
  <c r="AT109" i="1" s="1"/>
  <c r="AU109" i="1" s="1"/>
  <c r="AV109" i="1" s="1"/>
  <c r="AW109" i="1" s="1"/>
  <c r="AX109" i="1" s="1"/>
  <c r="AN109" i="1"/>
  <c r="AO109" i="1" s="1"/>
  <c r="AP109" i="1" s="1"/>
  <c r="AQ109" i="1" s="1"/>
  <c r="V109" i="1"/>
  <c r="AG109" i="1" s="1"/>
  <c r="CP176" i="1"/>
  <c r="CQ176" i="1" s="1"/>
  <c r="CR176" i="1" s="1"/>
  <c r="CM176" i="1"/>
  <c r="CN176" i="1" s="1"/>
  <c r="CD176" i="1"/>
  <c r="CE176" i="1" s="1"/>
  <c r="CC176" i="1"/>
  <c r="BU176" i="1"/>
  <c r="BV176" i="1" s="1"/>
  <c r="BP176" i="1"/>
  <c r="BQ176" i="1" s="1"/>
  <c r="BR176" i="1" s="1"/>
  <c r="BJ176" i="1"/>
  <c r="BH176" i="1"/>
  <c r="BI176" i="1" s="1"/>
  <c r="BA176" i="1"/>
  <c r="BB176" i="1" s="1"/>
  <c r="BC176" i="1" s="1"/>
  <c r="BD176" i="1" s="1"/>
  <c r="AS176" i="1"/>
  <c r="AT176" i="1" s="1"/>
  <c r="AU176" i="1" s="1"/>
  <c r="AV176" i="1" s="1"/>
  <c r="AW176" i="1" s="1"/>
  <c r="AX176" i="1" s="1"/>
  <c r="AN176" i="1"/>
  <c r="AO176" i="1" s="1"/>
  <c r="AP176" i="1" s="1"/>
  <c r="AQ176" i="1" s="1"/>
  <c r="AF176" i="1"/>
  <c r="W176" i="1"/>
  <c r="AG176" i="1" s="1"/>
  <c r="CO155" i="1"/>
  <c r="CP155" i="1" s="1"/>
  <c r="CQ155" i="1" s="1"/>
  <c r="CR155" i="1" s="1"/>
  <c r="CM155" i="1"/>
  <c r="CN155" i="1" s="1"/>
  <c r="CC155" i="1"/>
  <c r="CD155" i="1" s="1"/>
  <c r="CE155" i="1" s="1"/>
  <c r="BU155" i="1"/>
  <c r="BV155" i="1" s="1"/>
  <c r="BP155" i="1"/>
  <c r="BQ155" i="1" s="1"/>
  <c r="BR155" i="1" s="1"/>
  <c r="BJ155" i="1"/>
  <c r="BH155" i="1"/>
  <c r="BI155" i="1" s="1"/>
  <c r="BA155" i="1"/>
  <c r="BB155" i="1" s="1"/>
  <c r="BC155" i="1" s="1"/>
  <c r="BD155" i="1" s="1"/>
  <c r="AS155" i="1"/>
  <c r="AT155" i="1" s="1"/>
  <c r="AU155" i="1" s="1"/>
  <c r="AV155" i="1" s="1"/>
  <c r="AW155" i="1" s="1"/>
  <c r="AX155" i="1" s="1"/>
  <c r="AO155" i="1"/>
  <c r="AP155" i="1" s="1"/>
  <c r="AQ155" i="1" s="1"/>
  <c r="AN155" i="1"/>
  <c r="AG155" i="1"/>
  <c r="AF155" i="1"/>
  <c r="V155" i="1"/>
  <c r="AB155" i="1" s="1"/>
  <c r="AC155" i="1" s="1"/>
  <c r="AD155" i="1" s="1"/>
  <c r="AE155" i="1" s="1"/>
  <c r="CP10" i="1"/>
  <c r="CQ10" i="1" s="1"/>
  <c r="CR10" i="1" s="1"/>
  <c r="CO10" i="1"/>
  <c r="CM10" i="1"/>
  <c r="CN10" i="1" s="1"/>
  <c r="CI10" i="1"/>
  <c r="CJ10" i="1" s="1"/>
  <c r="BU10" i="1"/>
  <c r="BV10" i="1" s="1"/>
  <c r="BQ10" i="1"/>
  <c r="BR10" i="1" s="1"/>
  <c r="BP10" i="1"/>
  <c r="BJ10" i="1"/>
  <c r="BH10" i="1"/>
  <c r="BI10" i="1" s="1"/>
  <c r="BA10" i="1"/>
  <c r="BB10" i="1" s="1"/>
  <c r="BC10" i="1" s="1"/>
  <c r="BD10" i="1" s="1"/>
  <c r="AS10" i="1"/>
  <c r="AT10" i="1" s="1"/>
  <c r="AU10" i="1" s="1"/>
  <c r="AV10" i="1" s="1"/>
  <c r="AW10" i="1" s="1"/>
  <c r="AX10" i="1" s="1"/>
  <c r="AN10" i="1"/>
  <c r="AO10" i="1" s="1"/>
  <c r="AP10" i="1" s="1"/>
  <c r="AQ10" i="1" s="1"/>
  <c r="W10" i="1"/>
  <c r="AB10" i="1" s="1"/>
  <c r="AC10" i="1" s="1"/>
  <c r="AD10" i="1" s="1"/>
  <c r="AE10" i="1" s="1"/>
  <c r="V10" i="1"/>
  <c r="AF10" i="1" s="1"/>
  <c r="CP288" i="1"/>
  <c r="CQ288" i="1" s="1"/>
  <c r="CR288" i="1" s="1"/>
  <c r="CM288" i="1"/>
  <c r="CN288" i="1" s="1"/>
  <c r="CC288" i="1"/>
  <c r="CD288" i="1" s="1"/>
  <c r="CE288" i="1" s="1"/>
  <c r="BU288" i="1"/>
  <c r="BV288" i="1" s="1"/>
  <c r="BP288" i="1"/>
  <c r="BQ288" i="1" s="1"/>
  <c r="BR288" i="1" s="1"/>
  <c r="BJ288" i="1"/>
  <c r="BH288" i="1"/>
  <c r="BI288" i="1" s="1"/>
  <c r="BA288" i="1"/>
  <c r="BB288" i="1" s="1"/>
  <c r="BC288" i="1" s="1"/>
  <c r="BD288" i="1" s="1"/>
  <c r="AS288" i="1"/>
  <c r="AT288" i="1" s="1"/>
  <c r="AU288" i="1" s="1"/>
  <c r="AV288" i="1" s="1"/>
  <c r="AW288" i="1" s="1"/>
  <c r="AX288" i="1" s="1"/>
  <c r="AN288" i="1"/>
  <c r="AO288" i="1" s="1"/>
  <c r="AP288" i="1" s="1"/>
  <c r="AQ288" i="1" s="1"/>
  <c r="W288" i="1"/>
  <c r="V288" i="1"/>
  <c r="CP186" i="1"/>
  <c r="CQ186" i="1" s="1"/>
  <c r="CR186" i="1" s="1"/>
  <c r="CO186" i="1"/>
  <c r="CM186" i="1"/>
  <c r="CN186" i="1" s="1"/>
  <c r="CC186" i="1"/>
  <c r="CD186" i="1" s="1"/>
  <c r="CE186" i="1" s="1"/>
  <c r="BU186" i="1"/>
  <c r="BV186" i="1" s="1"/>
  <c r="BP186" i="1"/>
  <c r="BQ186" i="1" s="1"/>
  <c r="BR186" i="1" s="1"/>
  <c r="BJ186" i="1"/>
  <c r="BH186" i="1"/>
  <c r="BI186" i="1" s="1"/>
  <c r="BA186" i="1"/>
  <c r="AZ186" i="1"/>
  <c r="AS186" i="1"/>
  <c r="AT186" i="1" s="1"/>
  <c r="AU186" i="1" s="1"/>
  <c r="AV186" i="1" s="1"/>
  <c r="AW186" i="1" s="1"/>
  <c r="AX186" i="1" s="1"/>
  <c r="AN186" i="1"/>
  <c r="AO186" i="1" s="1"/>
  <c r="AP186" i="1" s="1"/>
  <c r="AQ186" i="1" s="1"/>
  <c r="X186" i="1"/>
  <c r="W186" i="1"/>
  <c r="V186" i="1"/>
  <c r="AF186" i="1" s="1"/>
  <c r="CP106" i="1"/>
  <c r="CQ106" i="1" s="1"/>
  <c r="CR106" i="1" s="1"/>
  <c r="CM106" i="1"/>
  <c r="CN106" i="1" s="1"/>
  <c r="CC106" i="1"/>
  <c r="CD106" i="1" s="1"/>
  <c r="CE106" i="1" s="1"/>
  <c r="BU106" i="1"/>
  <c r="BV106" i="1" s="1"/>
  <c r="BP106" i="1"/>
  <c r="BQ106" i="1" s="1"/>
  <c r="BR106" i="1" s="1"/>
  <c r="BJ106" i="1"/>
  <c r="BH106" i="1"/>
  <c r="BI106" i="1" s="1"/>
  <c r="BB106" i="1"/>
  <c r="BC106" i="1" s="1"/>
  <c r="BD106" i="1" s="1"/>
  <c r="BA106" i="1"/>
  <c r="AS106" i="1"/>
  <c r="AT106" i="1" s="1"/>
  <c r="AU106" i="1" s="1"/>
  <c r="AV106" i="1" s="1"/>
  <c r="AW106" i="1" s="1"/>
  <c r="AX106" i="1" s="1"/>
  <c r="AN106" i="1"/>
  <c r="AO106" i="1" s="1"/>
  <c r="AP106" i="1" s="1"/>
  <c r="AQ106" i="1" s="1"/>
  <c r="U106" i="1"/>
  <c r="AB106" i="1" s="1"/>
  <c r="AC106" i="1" s="1"/>
  <c r="AD106" i="1" s="1"/>
  <c r="AE106" i="1" s="1"/>
  <c r="S106" i="1"/>
  <c r="CO189" i="1"/>
  <c r="CP189" i="1" s="1"/>
  <c r="CQ189" i="1" s="1"/>
  <c r="CR189" i="1" s="1"/>
  <c r="CM189" i="1"/>
  <c r="CN189" i="1" s="1"/>
  <c r="CC189" i="1"/>
  <c r="CD189" i="1" s="1"/>
  <c r="CE189" i="1" s="1"/>
  <c r="BU189" i="1"/>
  <c r="BV189" i="1" s="1"/>
  <c r="BP189" i="1"/>
  <c r="BQ189" i="1" s="1"/>
  <c r="BR189" i="1" s="1"/>
  <c r="BJ189" i="1"/>
  <c r="BH189" i="1"/>
  <c r="BI189" i="1" s="1"/>
  <c r="BA189" i="1"/>
  <c r="BB189" i="1" s="1"/>
  <c r="BC189" i="1" s="1"/>
  <c r="BD189" i="1" s="1"/>
  <c r="AS189" i="1"/>
  <c r="AT189" i="1" s="1"/>
  <c r="AU189" i="1" s="1"/>
  <c r="AV189" i="1" s="1"/>
  <c r="AW189" i="1" s="1"/>
  <c r="AX189" i="1" s="1"/>
  <c r="AN189" i="1"/>
  <c r="AO189" i="1" s="1"/>
  <c r="AP189" i="1" s="1"/>
  <c r="AQ189" i="1" s="1"/>
  <c r="AG189" i="1"/>
  <c r="AF189" i="1"/>
  <c r="W189" i="1"/>
  <c r="AB189" i="1" s="1"/>
  <c r="AC189" i="1" s="1"/>
  <c r="AD189" i="1" s="1"/>
  <c r="AE189" i="1" s="1"/>
  <c r="CP230" i="1"/>
  <c r="CQ230" i="1" s="1"/>
  <c r="CR230" i="1" s="1"/>
  <c r="CM230" i="1"/>
  <c r="CN230" i="1" s="1"/>
  <c r="CC230" i="1"/>
  <c r="CD230" i="1" s="1"/>
  <c r="CE230" i="1" s="1"/>
  <c r="BU230" i="1"/>
  <c r="BV230" i="1" s="1"/>
  <c r="BP230" i="1"/>
  <c r="BQ230" i="1" s="1"/>
  <c r="BR230" i="1" s="1"/>
  <c r="BJ230" i="1"/>
  <c r="BH230" i="1"/>
  <c r="BI230" i="1" s="1"/>
  <c r="BA230" i="1"/>
  <c r="AZ230" i="1"/>
  <c r="AS230" i="1"/>
  <c r="AT230" i="1" s="1"/>
  <c r="AU230" i="1" s="1"/>
  <c r="AV230" i="1" s="1"/>
  <c r="AW230" i="1" s="1"/>
  <c r="AX230" i="1" s="1"/>
  <c r="AN230" i="1"/>
  <c r="AO230" i="1" s="1"/>
  <c r="AP230" i="1" s="1"/>
  <c r="AQ230" i="1" s="1"/>
  <c r="Z230" i="1"/>
  <c r="W230" i="1"/>
  <c r="V230" i="1"/>
  <c r="CO121" i="1"/>
  <c r="CP121" i="1" s="1"/>
  <c r="CQ121" i="1" s="1"/>
  <c r="CR121" i="1" s="1"/>
  <c r="CM121" i="1"/>
  <c r="CN121" i="1" s="1"/>
  <c r="CC121" i="1"/>
  <c r="CD121" i="1" s="1"/>
  <c r="CE121" i="1" s="1"/>
  <c r="BU121" i="1"/>
  <c r="BV121" i="1" s="1"/>
  <c r="BP121" i="1"/>
  <c r="BQ121" i="1" s="1"/>
  <c r="BR121" i="1" s="1"/>
  <c r="BJ121" i="1"/>
  <c r="BH121" i="1"/>
  <c r="BI121" i="1" s="1"/>
  <c r="BA121" i="1"/>
  <c r="AZ121" i="1"/>
  <c r="AS121" i="1"/>
  <c r="AT121" i="1" s="1"/>
  <c r="AU121" i="1" s="1"/>
  <c r="AV121" i="1" s="1"/>
  <c r="AW121" i="1" s="1"/>
  <c r="AX121" i="1" s="1"/>
  <c r="AO121" i="1"/>
  <c r="AP121" i="1" s="1"/>
  <c r="AQ121" i="1" s="1"/>
  <c r="AN121" i="1"/>
  <c r="X121" i="1"/>
  <c r="W121" i="1"/>
  <c r="V121" i="1"/>
  <c r="CS22" i="1"/>
  <c r="CS156" i="1"/>
  <c r="CS5" i="1"/>
  <c r="CS297" i="1"/>
  <c r="CS196" i="1"/>
  <c r="CS16" i="1"/>
  <c r="CS32" i="1"/>
  <c r="CS294" i="1"/>
  <c r="CS321" i="1"/>
  <c r="CS77" i="1"/>
  <c r="CS209" i="1"/>
  <c r="CS238" i="1"/>
  <c r="CS316" i="1"/>
  <c r="CS267" i="1"/>
  <c r="CS272" i="1"/>
  <c r="CS168" i="1"/>
  <c r="CS213" i="1"/>
  <c r="CS102" i="1"/>
  <c r="CS197" i="1"/>
  <c r="CS140" i="1"/>
  <c r="CS9" i="1"/>
  <c r="CS81" i="1"/>
  <c r="CS200" i="1"/>
  <c r="CS230" i="1"/>
  <c r="CS131" i="1"/>
  <c r="CS295" i="1"/>
  <c r="CS40" i="1"/>
  <c r="CS320" i="1"/>
  <c r="CS133" i="1"/>
  <c r="CS108" i="1"/>
  <c r="CS176" i="1"/>
  <c r="CS207" i="1"/>
  <c r="CS317" i="1"/>
  <c r="CS263" i="1"/>
  <c r="CS59" i="1"/>
  <c r="CS110" i="1"/>
  <c r="CS66" i="1"/>
  <c r="CS195" i="1"/>
  <c r="CS248" i="1"/>
  <c r="CS55" i="1"/>
  <c r="CS224" i="1"/>
  <c r="CS181" i="1"/>
  <c r="CS147" i="1"/>
  <c r="CS170" i="1"/>
  <c r="CS33" i="1"/>
  <c r="CS253" i="1"/>
  <c r="CS307" i="1"/>
  <c r="CS177" i="1"/>
  <c r="CS118" i="1"/>
  <c r="CS105" i="1"/>
  <c r="CS152" i="1"/>
  <c r="CS318" i="1"/>
  <c r="CS71" i="1"/>
  <c r="CS280" i="1"/>
  <c r="CS229" i="1"/>
  <c r="CS208" i="1"/>
  <c r="CS6" i="1"/>
  <c r="CS113" i="1"/>
  <c r="CS80" i="1"/>
  <c r="CS188" i="1"/>
  <c r="CS266" i="1"/>
  <c r="CS299" i="1"/>
  <c r="CS215" i="1"/>
  <c r="CS157" i="1"/>
  <c r="CS141" i="1"/>
  <c r="CS189" i="1"/>
  <c r="CS225" i="1"/>
  <c r="CS204" i="1"/>
  <c r="CS276" i="1"/>
  <c r="CS160" i="1"/>
  <c r="CS25" i="1"/>
  <c r="CS242" i="1"/>
  <c r="CS313" i="1"/>
  <c r="CS186" i="1"/>
  <c r="CS178" i="1"/>
  <c r="CS103" i="1"/>
  <c r="CS274" i="1"/>
  <c r="CS11" i="1"/>
  <c r="CS180" i="1"/>
  <c r="CS232" i="1"/>
  <c r="CS17" i="1"/>
  <c r="CS158" i="1"/>
  <c r="CS68" i="1"/>
  <c r="CS227" i="1"/>
  <c r="CS76" i="1"/>
  <c r="CS261" i="1"/>
  <c r="CS19" i="1"/>
  <c r="CS308" i="1"/>
  <c r="CS86" i="1"/>
  <c r="CS260" i="1"/>
  <c r="CS88" i="1"/>
  <c r="CS93" i="1"/>
  <c r="CS57" i="1"/>
  <c r="CS124" i="1"/>
  <c r="CS82" i="1"/>
  <c r="CS50" i="1"/>
  <c r="CS210" i="1"/>
  <c r="CS7" i="1"/>
  <c r="CS38" i="1"/>
  <c r="CS298" i="1"/>
  <c r="CS262" i="1"/>
  <c r="CS187" i="1"/>
  <c r="CS214" i="1"/>
  <c r="CS315" i="1"/>
  <c r="CS245" i="1"/>
  <c r="CS151" i="1"/>
  <c r="CS161" i="1"/>
  <c r="CS239" i="1"/>
  <c r="CS217" i="1"/>
  <c r="CS56" i="1"/>
  <c r="CS305" i="1"/>
  <c r="CS284" i="1"/>
  <c r="CS144" i="1"/>
  <c r="CS183" i="1"/>
  <c r="CS119" i="1"/>
  <c r="CS221" i="1"/>
  <c r="CS61" i="1"/>
  <c r="CS233" i="1"/>
  <c r="CS199" i="1"/>
  <c r="CS314" i="1"/>
  <c r="CS148" i="1"/>
  <c r="CS277" i="1"/>
  <c r="CS146" i="1"/>
  <c r="CS223" i="1"/>
  <c r="CS182" i="1"/>
  <c r="CS175" i="1"/>
  <c r="CS149" i="1"/>
  <c r="CS36" i="1"/>
  <c r="CS218" i="1"/>
  <c r="CS130" i="1"/>
  <c r="CS132" i="1"/>
  <c r="CS254" i="1"/>
  <c r="CS120" i="1"/>
  <c r="CS30" i="1"/>
  <c r="CS47" i="1"/>
  <c r="CS301" i="1"/>
  <c r="CS101" i="1"/>
  <c r="CS190" i="1"/>
  <c r="CS35" i="1"/>
  <c r="CS256" i="1"/>
  <c r="CS271" i="1"/>
  <c r="CS216" i="1"/>
  <c r="CS285" i="1"/>
  <c r="CS193" i="1"/>
  <c r="CS106" i="1"/>
  <c r="CS241" i="1"/>
  <c r="CS203" i="1"/>
  <c r="CS252" i="1"/>
  <c r="CS306" i="1"/>
  <c r="CS31" i="1"/>
  <c r="CS290" i="1"/>
  <c r="CS226" i="1"/>
  <c r="CS270" i="1"/>
  <c r="CS286" i="1"/>
  <c r="CS84" i="1"/>
  <c r="CS155" i="1"/>
  <c r="CS85" i="1"/>
  <c r="CS125" i="1"/>
  <c r="CS143" i="1"/>
  <c r="CS92" i="1"/>
  <c r="CS162" i="1"/>
  <c r="CS269" i="1"/>
  <c r="CS282" i="1"/>
  <c r="CS292" i="1"/>
  <c r="CS319" i="1"/>
  <c r="CS90" i="1"/>
  <c r="CS15" i="1"/>
  <c r="CS2" i="1"/>
  <c r="CS27" i="1"/>
  <c r="CS42" i="1"/>
  <c r="CS300" i="1"/>
  <c r="CS100" i="1"/>
  <c r="CS167" i="1"/>
  <c r="CS4" i="1"/>
  <c r="CS222" i="1"/>
  <c r="CS94" i="1"/>
  <c r="CS236" i="1"/>
  <c r="CS258" i="1"/>
  <c r="CS164" i="1"/>
  <c r="CS179" i="1"/>
  <c r="CS69" i="1"/>
  <c r="CS78" i="1"/>
  <c r="CS246" i="1"/>
  <c r="CS278" i="1"/>
  <c r="CS287" i="1"/>
  <c r="CS283" i="1"/>
  <c r="CS114" i="1"/>
  <c r="CS97" i="1"/>
  <c r="CS311" i="1"/>
  <c r="CS198" i="1"/>
  <c r="CS107" i="1"/>
  <c r="CS18" i="1"/>
  <c r="CS28" i="1"/>
  <c r="CS205" i="1"/>
  <c r="CS150" i="1"/>
  <c r="CS13" i="1"/>
  <c r="CS264" i="1"/>
  <c r="CS257" i="1"/>
  <c r="CS293" i="1"/>
  <c r="CS111" i="1"/>
  <c r="CS95" i="1"/>
  <c r="CS142" i="1"/>
  <c r="CS202" i="1"/>
  <c r="CS109" i="1"/>
  <c r="CS192" i="1"/>
  <c r="CS137" i="1"/>
  <c r="CS273" i="1"/>
  <c r="CS51" i="1"/>
  <c r="CS14" i="1"/>
  <c r="CS122" i="1"/>
  <c r="CS310" i="1"/>
  <c r="CS265" i="1"/>
  <c r="CS54" i="1"/>
  <c r="CS115" i="1"/>
  <c r="CS296" i="1"/>
  <c r="CS275" i="1"/>
  <c r="CS60" i="1"/>
  <c r="CS10" i="1"/>
  <c r="CS53" i="1"/>
  <c r="CS117" i="1"/>
  <c r="CS29" i="1"/>
  <c r="CS83" i="1"/>
  <c r="CS24" i="1"/>
  <c r="CS20" i="1"/>
  <c r="CS112" i="1"/>
  <c r="CS41" i="1"/>
  <c r="CS249" i="1"/>
  <c r="CS211" i="1"/>
  <c r="CS74" i="1"/>
  <c r="CS185" i="1"/>
  <c r="CS251" i="1"/>
  <c r="CS166" i="1"/>
  <c r="CS184" i="1"/>
  <c r="CS291" i="1"/>
  <c r="CS154" i="1"/>
  <c r="CS8" i="1"/>
  <c r="CS104" i="1"/>
  <c r="CS46" i="1"/>
  <c r="CS312" i="1"/>
  <c r="CS234" i="1"/>
  <c r="CS44" i="1"/>
  <c r="CS62" i="1"/>
  <c r="CS34" i="1"/>
  <c r="CS173" i="1"/>
  <c r="CS194" i="1"/>
  <c r="CS87" i="1"/>
  <c r="CS302" i="1"/>
  <c r="CS43" i="1"/>
  <c r="CS304" i="1"/>
  <c r="CS240" i="1"/>
  <c r="CS220" i="1"/>
  <c r="CS3" i="1"/>
  <c r="CS174" i="1"/>
  <c r="CS244" i="1"/>
  <c r="CS309" i="1"/>
  <c r="CS219" i="1"/>
  <c r="CS159" i="1"/>
  <c r="CS206" i="1"/>
  <c r="CS129" i="1"/>
  <c r="CS303" i="1"/>
  <c r="CS72" i="1"/>
  <c r="CS145" i="1"/>
  <c r="CS139" i="1"/>
  <c r="CS289" i="1"/>
  <c r="CS52" i="1"/>
  <c r="CS73" i="1"/>
  <c r="CS169" i="1"/>
  <c r="CS70" i="1"/>
  <c r="CS128" i="1"/>
  <c r="CS255" i="1"/>
  <c r="CS79" i="1"/>
  <c r="CS123" i="1"/>
  <c r="CS135" i="1"/>
  <c r="CS288" i="1"/>
  <c r="CS67" i="1"/>
  <c r="CS21" i="1"/>
  <c r="CS23" i="1"/>
  <c r="CS45" i="1"/>
  <c r="CS165" i="1"/>
  <c r="CS153" i="1"/>
  <c r="CS228" i="1"/>
  <c r="CS89" i="1"/>
  <c r="CS138" i="1"/>
  <c r="CS322" i="1"/>
  <c r="CS37" i="1"/>
  <c r="CS247" i="1"/>
  <c r="CS58" i="1"/>
  <c r="CS136" i="1"/>
  <c r="CS65" i="1"/>
  <c r="CS259" i="1"/>
  <c r="CS127" i="1"/>
  <c r="CS116" i="1"/>
  <c r="CS231" i="1"/>
  <c r="CS63" i="1"/>
  <c r="CS48" i="1"/>
  <c r="CS98" i="1"/>
  <c r="CS171" i="1"/>
  <c r="CS163" i="1"/>
  <c r="CS237" i="1"/>
  <c r="CS26" i="1"/>
  <c r="CS201" i="1"/>
  <c r="CS212" i="1"/>
  <c r="CS172" i="1"/>
  <c r="CS64" i="1"/>
  <c r="CS121" i="1"/>
  <c r="CS96" i="1"/>
  <c r="CS279" i="1"/>
  <c r="CS99" i="1"/>
  <c r="CS91" i="1"/>
  <c r="CS281" i="1"/>
  <c r="CS12" i="1"/>
  <c r="CS250" i="1"/>
  <c r="CS39" i="1"/>
  <c r="CS191" i="1"/>
  <c r="CS126" i="1"/>
  <c r="CS49" i="1"/>
  <c r="CS268" i="1"/>
  <c r="CS235" i="1"/>
  <c r="CS134" i="1"/>
  <c r="CS75" i="1"/>
  <c r="CS243" i="1"/>
  <c r="BB182" i="1" l="1"/>
  <c r="BC182" i="1" s="1"/>
  <c r="BD182" i="1" s="1"/>
  <c r="AH308" i="1"/>
  <c r="AI308" i="1" s="1"/>
  <c r="AJ308" i="1" s="1"/>
  <c r="AH129" i="1"/>
  <c r="AI129" i="1" s="1"/>
  <c r="AJ129" i="1" s="1"/>
  <c r="AH13" i="1"/>
  <c r="AI13" i="1" s="1"/>
  <c r="AJ13" i="1" s="1"/>
  <c r="BB302" i="1"/>
  <c r="BC302" i="1" s="1"/>
  <c r="BD302" i="1" s="1"/>
  <c r="BB53" i="1"/>
  <c r="BC53" i="1" s="1"/>
  <c r="BD53" i="1" s="1"/>
  <c r="BB191" i="1"/>
  <c r="BC191" i="1" s="1"/>
  <c r="BD191" i="1" s="1"/>
  <c r="BB169" i="1"/>
  <c r="BC169" i="1" s="1"/>
  <c r="BD169" i="1" s="1"/>
  <c r="AH173" i="1"/>
  <c r="AI173" i="1" s="1"/>
  <c r="AJ173" i="1" s="1"/>
  <c r="BB225" i="1"/>
  <c r="BC225" i="1" s="1"/>
  <c r="BD225" i="1" s="1"/>
  <c r="AH143" i="1"/>
  <c r="AI143" i="1" s="1"/>
  <c r="AJ143" i="1" s="1"/>
  <c r="BB204" i="1"/>
  <c r="BC204" i="1" s="1"/>
  <c r="BD204" i="1" s="1"/>
  <c r="AH87" i="1"/>
  <c r="AI87" i="1" s="1"/>
  <c r="AJ87" i="1" s="1"/>
  <c r="AH16" i="1"/>
  <c r="AI16" i="1" s="1"/>
  <c r="AJ16" i="1" s="1"/>
  <c r="BB25" i="1"/>
  <c r="BC25" i="1" s="1"/>
  <c r="BD25" i="1" s="1"/>
  <c r="AH58" i="1"/>
  <c r="AI58" i="1" s="1"/>
  <c r="AJ58" i="1" s="1"/>
  <c r="BB168" i="1"/>
  <c r="BC168" i="1" s="1"/>
  <c r="BD168" i="1" s="1"/>
  <c r="AH100" i="1"/>
  <c r="AI100" i="1" s="1"/>
  <c r="AJ100" i="1" s="1"/>
  <c r="BB16" i="1"/>
  <c r="BC16" i="1" s="1"/>
  <c r="BD16" i="1" s="1"/>
  <c r="AH251" i="1"/>
  <c r="AI251" i="1" s="1"/>
  <c r="AJ251" i="1" s="1"/>
  <c r="AH217" i="1"/>
  <c r="AI217" i="1" s="1"/>
  <c r="AJ217" i="1" s="1"/>
  <c r="AH155" i="1"/>
  <c r="AI155" i="1" s="1"/>
  <c r="AJ155" i="1" s="1"/>
  <c r="AH268" i="1"/>
  <c r="AI268" i="1" s="1"/>
  <c r="AJ268" i="1" s="1"/>
  <c r="AH189" i="1"/>
  <c r="AI189" i="1" s="1"/>
  <c r="AJ189" i="1" s="1"/>
  <c r="BB290" i="1"/>
  <c r="BC290" i="1" s="1"/>
  <c r="BD290" i="1" s="1"/>
  <c r="BB104" i="1"/>
  <c r="BC104" i="1" s="1"/>
  <c r="BD104" i="1" s="1"/>
  <c r="AH227" i="1"/>
  <c r="AI227" i="1" s="1"/>
  <c r="AJ227" i="1" s="1"/>
  <c r="BB251" i="1"/>
  <c r="BC251" i="1" s="1"/>
  <c r="BD251" i="1" s="1"/>
  <c r="BB102" i="1"/>
  <c r="BC102" i="1" s="1"/>
  <c r="BD102" i="1" s="1"/>
  <c r="AH248" i="1"/>
  <c r="AI248" i="1" s="1"/>
  <c r="AJ248" i="1" s="1"/>
  <c r="AH2" i="1"/>
  <c r="AI2" i="1" s="1"/>
  <c r="AJ2" i="1" s="1"/>
  <c r="BB36" i="1"/>
  <c r="BC36" i="1" s="1"/>
  <c r="BD36" i="1" s="1"/>
  <c r="BB310" i="1"/>
  <c r="BC310" i="1" s="1"/>
  <c r="BD310" i="1" s="1"/>
  <c r="BB28" i="1"/>
  <c r="BC28" i="1" s="1"/>
  <c r="BD28" i="1" s="1"/>
  <c r="BB66" i="1"/>
  <c r="BC66" i="1" s="1"/>
  <c r="BD66" i="1" s="1"/>
  <c r="AH253" i="1"/>
  <c r="AI253" i="1" s="1"/>
  <c r="AJ253" i="1" s="1"/>
  <c r="AG56" i="1"/>
  <c r="AB56" i="1"/>
  <c r="AC56" i="1" s="1"/>
  <c r="AD56" i="1" s="1"/>
  <c r="AE56" i="1" s="1"/>
  <c r="BB162" i="1"/>
  <c r="BC162" i="1" s="1"/>
  <c r="BD162" i="1" s="1"/>
  <c r="AB82" i="1"/>
  <c r="AC82" i="1" s="1"/>
  <c r="AD82" i="1" s="1"/>
  <c r="AE82" i="1" s="1"/>
  <c r="AB43" i="1"/>
  <c r="AC43" i="1" s="1"/>
  <c r="AD43" i="1" s="1"/>
  <c r="AE43" i="1" s="1"/>
  <c r="BB61" i="1"/>
  <c r="BC61" i="1" s="1"/>
  <c r="BD61" i="1" s="1"/>
  <c r="AH220" i="1"/>
  <c r="AI220" i="1" s="1"/>
  <c r="AJ220" i="1" s="1"/>
  <c r="AG83" i="1"/>
  <c r="AH83" i="1" s="1"/>
  <c r="AI83" i="1" s="1"/>
  <c r="AJ83" i="1" s="1"/>
  <c r="AB83" i="1"/>
  <c r="AC83" i="1" s="1"/>
  <c r="AD83" i="1" s="1"/>
  <c r="AE83" i="1" s="1"/>
  <c r="AG55" i="1"/>
  <c r="AF247" i="1"/>
  <c r="BB142" i="1"/>
  <c r="BC142" i="1" s="1"/>
  <c r="BD142" i="1" s="1"/>
  <c r="AF298" i="1"/>
  <c r="AF90" i="1"/>
  <c r="AH90" i="1" s="1"/>
  <c r="AI90" i="1" s="1"/>
  <c r="AJ90" i="1" s="1"/>
  <c r="AB297" i="1"/>
  <c r="AC297" i="1" s="1"/>
  <c r="AD297" i="1" s="1"/>
  <c r="AE297" i="1" s="1"/>
  <c r="BB312" i="1"/>
  <c r="BC312" i="1" s="1"/>
  <c r="BD312" i="1" s="1"/>
  <c r="BB112" i="1"/>
  <c r="BC112" i="1" s="1"/>
  <c r="BD112" i="1" s="1"/>
  <c r="BI275" i="2"/>
  <c r="AG46" i="1"/>
  <c r="AH46" i="1" s="1"/>
  <c r="AI46" i="1" s="1"/>
  <c r="AJ46" i="1" s="1"/>
  <c r="AG146" i="1"/>
  <c r="BB115" i="1"/>
  <c r="BC115" i="1" s="1"/>
  <c r="BD115" i="1" s="1"/>
  <c r="BB295" i="1"/>
  <c r="BC295" i="1" s="1"/>
  <c r="BD295" i="1" s="1"/>
  <c r="BB291" i="1"/>
  <c r="BC291" i="1" s="1"/>
  <c r="BD291" i="1" s="1"/>
  <c r="AH34" i="1"/>
  <c r="AI34" i="1" s="1"/>
  <c r="AJ34" i="1" s="1"/>
  <c r="AG70" i="1"/>
  <c r="AH171" i="2"/>
  <c r="AI171" i="2" s="1"/>
  <c r="AJ171" i="2" s="1"/>
  <c r="AB136" i="1"/>
  <c r="AC136" i="1" s="1"/>
  <c r="AD136" i="1" s="1"/>
  <c r="AE136" i="1" s="1"/>
  <c r="AF205" i="1"/>
  <c r="AG205" i="1"/>
  <c r="AG91" i="1"/>
  <c r="AB91" i="1"/>
  <c r="AC91" i="1" s="1"/>
  <c r="AD91" i="1" s="1"/>
  <c r="AE91" i="1" s="1"/>
  <c r="AB121" i="1"/>
  <c r="AC121" i="1" s="1"/>
  <c r="AD121" i="1" s="1"/>
  <c r="AE121" i="1" s="1"/>
  <c r="BB120" i="1"/>
  <c r="BC120" i="1" s="1"/>
  <c r="BD120" i="1" s="1"/>
  <c r="BH137" i="1"/>
  <c r="BI137" i="1" s="1"/>
  <c r="AF146" i="1"/>
  <c r="AB95" i="1"/>
  <c r="AC95" i="1" s="1"/>
  <c r="AD95" i="1" s="1"/>
  <c r="AE95" i="1" s="1"/>
  <c r="AF136" i="1"/>
  <c r="BB15" i="1"/>
  <c r="BC15" i="1" s="1"/>
  <c r="BD15" i="1" s="1"/>
  <c r="AF91" i="1"/>
  <c r="AH212" i="1"/>
  <c r="AI212" i="1" s="1"/>
  <c r="AJ212" i="1" s="1"/>
  <c r="BB164" i="1"/>
  <c r="BC164" i="1" s="1"/>
  <c r="BD164" i="1" s="1"/>
  <c r="BB297" i="1"/>
  <c r="BC297" i="1" s="1"/>
  <c r="BD297" i="1" s="1"/>
  <c r="AG321" i="1"/>
  <c r="AH300" i="1"/>
  <c r="AI300" i="1" s="1"/>
  <c r="AJ300" i="1" s="1"/>
  <c r="AB153" i="1"/>
  <c r="AC153" i="1" s="1"/>
  <c r="AD153" i="1" s="1"/>
  <c r="AE153" i="1" s="1"/>
  <c r="AF153" i="1"/>
  <c r="AH197" i="1"/>
  <c r="AI197" i="1" s="1"/>
  <c r="AJ197" i="1" s="1"/>
  <c r="BB163" i="1"/>
  <c r="BC163" i="1" s="1"/>
  <c r="BD163" i="1" s="1"/>
  <c r="AB205" i="1"/>
  <c r="AC205" i="1" s="1"/>
  <c r="AD205" i="1" s="1"/>
  <c r="AE205" i="1" s="1"/>
  <c r="AH154" i="1"/>
  <c r="AI154" i="1" s="1"/>
  <c r="AJ154" i="1" s="1"/>
  <c r="BB7" i="1"/>
  <c r="BC7" i="1" s="1"/>
  <c r="BD7" i="1" s="1"/>
  <c r="BB178" i="1"/>
  <c r="BC178" i="1" s="1"/>
  <c r="BD178" i="1" s="1"/>
  <c r="AH53" i="1"/>
  <c r="AI53" i="1" s="1"/>
  <c r="AJ53" i="1" s="1"/>
  <c r="AB135" i="1"/>
  <c r="AC135" i="1" s="1"/>
  <c r="AD135" i="1" s="1"/>
  <c r="AE135" i="1" s="1"/>
  <c r="BB198" i="1"/>
  <c r="BC198" i="1" s="1"/>
  <c r="BD198" i="1" s="1"/>
  <c r="AH41" i="1"/>
  <c r="AI41" i="1" s="1"/>
  <c r="AJ41" i="1" s="1"/>
  <c r="AG20" i="1"/>
  <c r="AB315" i="1"/>
  <c r="AC315" i="1" s="1"/>
  <c r="AD315" i="1" s="1"/>
  <c r="AE315" i="1" s="1"/>
  <c r="AB114" i="1"/>
  <c r="AC114" i="1" s="1"/>
  <c r="AD114" i="1" s="1"/>
  <c r="AE114" i="1" s="1"/>
  <c r="AB129" i="1"/>
  <c r="AC129" i="1" s="1"/>
  <c r="AD129" i="1" s="1"/>
  <c r="AE129" i="1" s="1"/>
  <c r="BB299" i="1"/>
  <c r="BC299" i="1" s="1"/>
  <c r="BD299" i="1" s="1"/>
  <c r="BB121" i="1"/>
  <c r="BC121" i="1" s="1"/>
  <c r="BD121" i="1" s="1"/>
  <c r="BB42" i="1"/>
  <c r="BC42" i="1" s="1"/>
  <c r="BD42" i="1" s="1"/>
  <c r="AG65" i="1"/>
  <c r="AG290" i="1"/>
  <c r="AH290" i="1" s="1"/>
  <c r="AI290" i="1" s="1"/>
  <c r="AJ290" i="1" s="1"/>
  <c r="AF290" i="1"/>
  <c r="BB93" i="1"/>
  <c r="BC93" i="1" s="1"/>
  <c r="BD93" i="1" s="1"/>
  <c r="AF8" i="1"/>
  <c r="AG8" i="1"/>
  <c r="AH8" i="1" s="1"/>
  <c r="AI8" i="1" s="1"/>
  <c r="AJ8" i="1" s="1"/>
  <c r="AF114" i="1"/>
  <c r="AH114" i="1" s="1"/>
  <c r="AI114" i="1" s="1"/>
  <c r="AJ114" i="1" s="1"/>
  <c r="AH309" i="1"/>
  <c r="AI309" i="1" s="1"/>
  <c r="AJ309" i="1" s="1"/>
  <c r="AG63" i="1"/>
  <c r="AH63" i="1" s="1"/>
  <c r="AI63" i="1" s="1"/>
  <c r="AJ63" i="1" s="1"/>
  <c r="AB8" i="1"/>
  <c r="AC8" i="1" s="1"/>
  <c r="AD8" i="1" s="1"/>
  <c r="AE8" i="1" s="1"/>
  <c r="AH276" i="2"/>
  <c r="AI276" i="2" s="1"/>
  <c r="AJ276" i="2" s="1"/>
  <c r="AB186" i="1"/>
  <c r="AC186" i="1" s="1"/>
  <c r="AD186" i="1" s="1"/>
  <c r="AE186" i="1" s="1"/>
  <c r="AG174" i="1"/>
  <c r="BB301" i="1"/>
  <c r="BC301" i="1" s="1"/>
  <c r="BD301" i="1" s="1"/>
  <c r="AB4" i="1"/>
  <c r="AC4" i="1" s="1"/>
  <c r="AD4" i="1" s="1"/>
  <c r="AE4" i="1" s="1"/>
  <c r="BH3" i="1"/>
  <c r="BI3" i="1" s="1"/>
  <c r="BH294" i="1"/>
  <c r="BI294" i="1" s="1"/>
  <c r="AF59" i="1"/>
  <c r="AG269" i="1"/>
  <c r="AH269" i="1" s="1"/>
  <c r="AI269" i="1" s="1"/>
  <c r="AJ269" i="1" s="1"/>
  <c r="BB157" i="1"/>
  <c r="BC157" i="1" s="1"/>
  <c r="BD157" i="1" s="1"/>
  <c r="AG85" i="1"/>
  <c r="AH85" i="1" s="1"/>
  <c r="AI85" i="1" s="1"/>
  <c r="AJ85" i="1" s="1"/>
  <c r="AG4" i="1"/>
  <c r="AB47" i="1"/>
  <c r="AC47" i="1" s="1"/>
  <c r="AD47" i="1" s="1"/>
  <c r="AE47" i="1" s="1"/>
  <c r="AG47" i="1"/>
  <c r="AH47" i="1" s="1"/>
  <c r="AI47" i="1" s="1"/>
  <c r="AJ47" i="1" s="1"/>
  <c r="AB109" i="1"/>
  <c r="AC109" i="1" s="1"/>
  <c r="AD109" i="1" s="1"/>
  <c r="AE109" i="1" s="1"/>
  <c r="AB287" i="1"/>
  <c r="AC287" i="1" s="1"/>
  <c r="AD287" i="1" s="1"/>
  <c r="AE287" i="1" s="1"/>
  <c r="BB266" i="1"/>
  <c r="BC266" i="1" s="1"/>
  <c r="BD266" i="1" s="1"/>
  <c r="AH36" i="1"/>
  <c r="AI36" i="1" s="1"/>
  <c r="AJ36" i="1" s="1"/>
  <c r="AG61" i="1"/>
  <c r="AB304" i="1"/>
  <c r="AF109" i="1"/>
  <c r="AH109" i="1" s="1"/>
  <c r="AI109" i="1" s="1"/>
  <c r="AJ109" i="1" s="1"/>
  <c r="AB39" i="1"/>
  <c r="AC39" i="1" s="1"/>
  <c r="AD39" i="1" s="1"/>
  <c r="AE39" i="1" s="1"/>
  <c r="AB156" i="1"/>
  <c r="AC156" i="1" s="1"/>
  <c r="AD156" i="1" s="1"/>
  <c r="AE156" i="1" s="1"/>
  <c r="AF18" i="1"/>
  <c r="AH18" i="1" s="1"/>
  <c r="AI18" i="1" s="1"/>
  <c r="AJ18" i="1" s="1"/>
  <c r="AB112" i="1"/>
  <c r="AC112" i="1" s="1"/>
  <c r="AD112" i="1" s="1"/>
  <c r="AE112" i="1" s="1"/>
  <c r="AH172" i="2"/>
  <c r="AI172" i="2" s="1"/>
  <c r="AJ172" i="2" s="1"/>
  <c r="AG106" i="1"/>
  <c r="BB260" i="1"/>
  <c r="BC260" i="1" s="1"/>
  <c r="BD260" i="1" s="1"/>
  <c r="AH221" i="1"/>
  <c r="AI221" i="1" s="1"/>
  <c r="AJ221" i="1" s="1"/>
  <c r="AB257" i="1"/>
  <c r="AC257" i="1" s="1"/>
  <c r="AD257" i="1" s="1"/>
  <c r="AE257" i="1" s="1"/>
  <c r="BB4" i="1"/>
  <c r="BC4" i="1" s="1"/>
  <c r="BD4" i="1" s="1"/>
  <c r="AH311" i="1"/>
  <c r="AI311" i="1" s="1"/>
  <c r="AJ311" i="1" s="1"/>
  <c r="AB291" i="1"/>
  <c r="AC291" i="1" s="1"/>
  <c r="AD291" i="1" s="1"/>
  <c r="AE291" i="1" s="1"/>
  <c r="AG211" i="1"/>
  <c r="AG126" i="1"/>
  <c r="AH126" i="1" s="1"/>
  <c r="AI126" i="1" s="1"/>
  <c r="AJ126" i="1" s="1"/>
  <c r="AB159" i="1"/>
  <c r="AC159" i="1" s="1"/>
  <c r="AD159" i="1" s="1"/>
  <c r="AE159" i="1" s="1"/>
  <c r="BB269" i="1"/>
  <c r="BC269" i="1" s="1"/>
  <c r="BD269" i="1" s="1"/>
  <c r="BB51" i="1"/>
  <c r="BC51" i="1" s="1"/>
  <c r="BD51" i="1" s="1"/>
  <c r="BB100" i="1"/>
  <c r="BC100" i="1" s="1"/>
  <c r="BD100" i="1" s="1"/>
  <c r="AH281" i="2"/>
  <c r="AI281" i="2" s="1"/>
  <c r="AJ281" i="2" s="1"/>
  <c r="BW28" i="1"/>
  <c r="BX28" i="1" s="1"/>
  <c r="AG203" i="1"/>
  <c r="AB35" i="1"/>
  <c r="AC35" i="1" s="1"/>
  <c r="AD35" i="1" s="1"/>
  <c r="AE35" i="1" s="1"/>
  <c r="AG278" i="1"/>
  <c r="AH278" i="1" s="1"/>
  <c r="AI278" i="1" s="1"/>
  <c r="AJ278" i="1" s="1"/>
  <c r="AH33" i="1"/>
  <c r="AI33" i="1" s="1"/>
  <c r="AJ33" i="1" s="1"/>
  <c r="BB114" i="1"/>
  <c r="BC114" i="1" s="1"/>
  <c r="BD114" i="1" s="1"/>
  <c r="AH165" i="1"/>
  <c r="AI165" i="1" s="1"/>
  <c r="AJ165" i="1" s="1"/>
  <c r="BB194" i="1"/>
  <c r="BC194" i="1" s="1"/>
  <c r="BD194" i="1" s="1"/>
  <c r="AH7" i="2"/>
  <c r="AI7" i="2" s="1"/>
  <c r="AJ7" i="2" s="1"/>
  <c r="AH124" i="2"/>
  <c r="AI124" i="2" s="1"/>
  <c r="AJ124" i="2" s="1"/>
  <c r="AH266" i="2"/>
  <c r="AI266" i="2" s="1"/>
  <c r="AJ266" i="2" s="1"/>
  <c r="AG88" i="1"/>
  <c r="AG102" i="1"/>
  <c r="BB223" i="1"/>
  <c r="BC223" i="1" s="1"/>
  <c r="BD223" i="1" s="1"/>
  <c r="AB165" i="1"/>
  <c r="AC165" i="1" s="1"/>
  <c r="AD165" i="1" s="1"/>
  <c r="AE165" i="1" s="1"/>
  <c r="AH143" i="2"/>
  <c r="AI143" i="2" s="1"/>
  <c r="AJ143" i="2" s="1"/>
  <c r="AH192" i="2"/>
  <c r="AI192" i="2" s="1"/>
  <c r="AJ192" i="2" s="1"/>
  <c r="AH72" i="1"/>
  <c r="AI72" i="1" s="1"/>
  <c r="AJ72" i="1" s="1"/>
  <c r="BH13" i="1"/>
  <c r="BI13" i="1" s="1"/>
  <c r="BK2" i="1" s="1"/>
  <c r="BL2" i="1" s="1"/>
  <c r="BM2" i="1" s="1"/>
  <c r="BN2" i="1" s="1"/>
  <c r="AH316" i="2"/>
  <c r="AI316" i="2" s="1"/>
  <c r="AJ316" i="2" s="1"/>
  <c r="AH25" i="1"/>
  <c r="AI25" i="1" s="1"/>
  <c r="AJ25" i="1" s="1"/>
  <c r="BB96" i="1"/>
  <c r="BC96" i="1" s="1"/>
  <c r="BD96" i="1" s="1"/>
  <c r="AG222" i="1"/>
  <c r="AB103" i="1"/>
  <c r="AC103" i="1" s="1"/>
  <c r="AD103" i="1" s="1"/>
  <c r="AE103" i="1" s="1"/>
  <c r="BB18" i="1"/>
  <c r="BC18" i="1" s="1"/>
  <c r="BD18" i="1" s="1"/>
  <c r="BB139" i="1"/>
  <c r="BC139" i="1" s="1"/>
  <c r="BD139" i="1" s="1"/>
  <c r="BB282" i="1"/>
  <c r="BC282" i="1" s="1"/>
  <c r="BD282" i="1" s="1"/>
  <c r="BB72" i="1"/>
  <c r="BC72" i="1" s="1"/>
  <c r="BD72" i="1" s="1"/>
  <c r="AH113" i="2"/>
  <c r="AI113" i="2" s="1"/>
  <c r="AJ113" i="2" s="1"/>
  <c r="AH62" i="2"/>
  <c r="AI62" i="2" s="1"/>
  <c r="AJ62" i="2" s="1"/>
  <c r="AH167" i="2"/>
  <c r="AI167" i="2" s="1"/>
  <c r="AJ167" i="2" s="1"/>
  <c r="AH225" i="2"/>
  <c r="AI225" i="2" s="1"/>
  <c r="AJ225" i="2" s="1"/>
  <c r="AH263" i="2"/>
  <c r="AI263" i="2" s="1"/>
  <c r="AJ263" i="2" s="1"/>
  <c r="AG272" i="1"/>
  <c r="BB31" i="1"/>
  <c r="BC31" i="1" s="1"/>
  <c r="BD31" i="1" s="1"/>
  <c r="AB117" i="1"/>
  <c r="AC117" i="1" s="1"/>
  <c r="AD117" i="1" s="1"/>
  <c r="AE117" i="1" s="1"/>
  <c r="AF303" i="1"/>
  <c r="AH303" i="1" s="1"/>
  <c r="AI303" i="1" s="1"/>
  <c r="AJ303" i="1" s="1"/>
  <c r="AG245" i="1"/>
  <c r="AH224" i="1"/>
  <c r="AI224" i="1" s="1"/>
  <c r="AJ224" i="1" s="1"/>
  <c r="BB171" i="1"/>
  <c r="BC171" i="1" s="1"/>
  <c r="BD171" i="1" s="1"/>
  <c r="AH17" i="2"/>
  <c r="AI17" i="2" s="1"/>
  <c r="AJ17" i="2" s="1"/>
  <c r="AH24" i="2"/>
  <c r="AI24" i="2" s="1"/>
  <c r="AJ24" i="2" s="1"/>
  <c r="AH246" i="2"/>
  <c r="AI246" i="2" s="1"/>
  <c r="AJ246" i="2" s="1"/>
  <c r="AH310" i="2"/>
  <c r="AI310" i="2" s="1"/>
  <c r="AJ310" i="2" s="1"/>
  <c r="AB124" i="1"/>
  <c r="AC124" i="1" s="1"/>
  <c r="AD124" i="1" s="1"/>
  <c r="AE124" i="1" s="1"/>
  <c r="AF124" i="1"/>
  <c r="AG235" i="1"/>
  <c r="AG79" i="1"/>
  <c r="AH79" i="1" s="1"/>
  <c r="AI79" i="1" s="1"/>
  <c r="AJ79" i="1" s="1"/>
  <c r="AB195" i="1"/>
  <c r="AC195" i="1" s="1"/>
  <c r="AD195" i="1" s="1"/>
  <c r="AE195" i="1" s="1"/>
  <c r="AG195" i="1"/>
  <c r="AF195" i="1"/>
  <c r="BB230" i="1"/>
  <c r="BC230" i="1" s="1"/>
  <c r="BD230" i="1" s="1"/>
  <c r="BB82" i="1"/>
  <c r="BC82" i="1" s="1"/>
  <c r="BD82" i="1" s="1"/>
  <c r="AG32" i="1"/>
  <c r="AB32" i="1"/>
  <c r="AC32" i="1" s="1"/>
  <c r="AD32" i="1" s="1"/>
  <c r="AE32" i="1" s="1"/>
  <c r="AB292" i="1"/>
  <c r="AC292" i="1" s="1"/>
  <c r="AD292" i="1" s="1"/>
  <c r="AE292" i="1" s="1"/>
  <c r="AG305" i="1"/>
  <c r="AF305" i="1"/>
  <c r="AF149" i="1"/>
  <c r="AB149" i="1"/>
  <c r="AC149" i="1" s="1"/>
  <c r="AD149" i="1" s="1"/>
  <c r="AE149" i="1" s="1"/>
  <c r="AG200" i="1"/>
  <c r="AG124" i="1"/>
  <c r="BB186" i="1"/>
  <c r="BC186" i="1" s="1"/>
  <c r="BD186" i="1" s="1"/>
  <c r="BB135" i="1"/>
  <c r="BC135" i="1" s="1"/>
  <c r="BD135" i="1" s="1"/>
  <c r="AB203" i="1"/>
  <c r="AC203" i="1" s="1"/>
  <c r="AD203" i="1" s="1"/>
  <c r="AE203" i="1" s="1"/>
  <c r="AB305" i="1"/>
  <c r="AC305" i="1" s="1"/>
  <c r="AD305" i="1" s="1"/>
  <c r="AE305" i="1" s="1"/>
  <c r="BB220" i="1"/>
  <c r="BC220" i="1" s="1"/>
  <c r="BD220" i="1" s="1"/>
  <c r="AG14" i="1"/>
  <c r="AH14" i="1" s="1"/>
  <c r="AI14" i="1" s="1"/>
  <c r="AJ14" i="1" s="1"/>
  <c r="AG284" i="1"/>
  <c r="AB284" i="1"/>
  <c r="AC284" i="1" s="1"/>
  <c r="AD284" i="1" s="1"/>
  <c r="AE284" i="1" s="1"/>
  <c r="AF240" i="1"/>
  <c r="AB240" i="1"/>
  <c r="AC240" i="1" s="1"/>
  <c r="AD240" i="1" s="1"/>
  <c r="AE240" i="1" s="1"/>
  <c r="AF203" i="1"/>
  <c r="BB296" i="1"/>
  <c r="BC296" i="1" s="1"/>
  <c r="BD296" i="1" s="1"/>
  <c r="BB173" i="1"/>
  <c r="BC173" i="1" s="1"/>
  <c r="BD173" i="1" s="1"/>
  <c r="AG240" i="1"/>
  <c r="AB65" i="1"/>
  <c r="AC65" i="1" s="1"/>
  <c r="AD65" i="1" s="1"/>
  <c r="AE65" i="1" s="1"/>
  <c r="AH88" i="1"/>
  <c r="AI88" i="1" s="1"/>
  <c r="AJ88" i="1" s="1"/>
  <c r="AB282" i="1"/>
  <c r="AC282" i="1" s="1"/>
  <c r="AD282" i="1" s="1"/>
  <c r="AE282" i="1" s="1"/>
  <c r="AG282" i="1"/>
  <c r="AF282" i="1"/>
  <c r="AG186" i="1"/>
  <c r="AH191" i="1"/>
  <c r="AI191" i="1" s="1"/>
  <c r="AJ191" i="1" s="1"/>
  <c r="AG255" i="1"/>
  <c r="AF255" i="1"/>
  <c r="AB255" i="1"/>
  <c r="AC255" i="1" s="1"/>
  <c r="AD255" i="1" s="1"/>
  <c r="AE255" i="1" s="1"/>
  <c r="AG307" i="1"/>
  <c r="AB307" i="1"/>
  <c r="AC307" i="1" s="1"/>
  <c r="AD307" i="1" s="1"/>
  <c r="AE307" i="1" s="1"/>
  <c r="AF65" i="1"/>
  <c r="AB15" i="1"/>
  <c r="AC15" i="1" s="1"/>
  <c r="AD15" i="1" s="1"/>
  <c r="AE15" i="1" s="1"/>
  <c r="AG15" i="1"/>
  <c r="AH306" i="1"/>
  <c r="AI306" i="1" s="1"/>
  <c r="AJ306" i="1" s="1"/>
  <c r="AF31" i="1"/>
  <c r="AE31" i="1"/>
  <c r="AB118" i="1"/>
  <c r="AC118" i="1" s="1"/>
  <c r="AD118" i="1" s="1"/>
  <c r="AE118" i="1" s="1"/>
  <c r="AG118" i="1"/>
  <c r="AF118" i="1"/>
  <c r="BW184" i="1"/>
  <c r="BX184" i="1" s="1"/>
  <c r="AG10" i="1"/>
  <c r="AH10" i="1" s="1"/>
  <c r="AI10" i="1" s="1"/>
  <c r="AJ10" i="1" s="1"/>
  <c r="AB176" i="1"/>
  <c r="AC176" i="1" s="1"/>
  <c r="AD176" i="1" s="1"/>
  <c r="AE176" i="1" s="1"/>
  <c r="AB54" i="1"/>
  <c r="AC54" i="1" s="1"/>
  <c r="AD54" i="1" s="1"/>
  <c r="AE54" i="1" s="1"/>
  <c r="AG26" i="1"/>
  <c r="AH26" i="1" s="1"/>
  <c r="AI26" i="1" s="1"/>
  <c r="AJ26" i="1" s="1"/>
  <c r="AB26" i="1"/>
  <c r="AC26" i="1" s="1"/>
  <c r="AD26" i="1" s="1"/>
  <c r="AE26" i="1" s="1"/>
  <c r="AG261" i="1"/>
  <c r="AF261" i="1"/>
  <c r="AB289" i="1"/>
  <c r="AC289" i="1" s="1"/>
  <c r="AD289" i="1" s="1"/>
  <c r="AE289" i="1" s="1"/>
  <c r="AG289" i="1"/>
  <c r="AH289" i="1" s="1"/>
  <c r="AI289" i="1" s="1"/>
  <c r="AJ289" i="1" s="1"/>
  <c r="AG121" i="1"/>
  <c r="AH176" i="1"/>
  <c r="AI176" i="1" s="1"/>
  <c r="AJ176" i="1" s="1"/>
  <c r="AF54" i="1"/>
  <c r="AH54" i="1" s="1"/>
  <c r="AI54" i="1" s="1"/>
  <c r="AJ54" i="1" s="1"/>
  <c r="AB236" i="1"/>
  <c r="AC236" i="1" s="1"/>
  <c r="AD236" i="1" s="1"/>
  <c r="AE236" i="1" s="1"/>
  <c r="AG236" i="1"/>
  <c r="AF179" i="1"/>
  <c r="AB179" i="1"/>
  <c r="AC179" i="1" s="1"/>
  <c r="AD179" i="1" s="1"/>
  <c r="AE179" i="1" s="1"/>
  <c r="AG179" i="1"/>
  <c r="BB307" i="1"/>
  <c r="BC307" i="1" s="1"/>
  <c r="BD307" i="1" s="1"/>
  <c r="AB27" i="1"/>
  <c r="AC27" i="1" s="1"/>
  <c r="AD27" i="1" s="1"/>
  <c r="AE27" i="1" s="1"/>
  <c r="AG27" i="1"/>
  <c r="AH27" i="1" s="1"/>
  <c r="AI27" i="1" s="1"/>
  <c r="AJ27" i="1" s="1"/>
  <c r="AG137" i="1"/>
  <c r="AF137" i="1"/>
  <c r="AB137" i="1"/>
  <c r="AC137" i="1" s="1"/>
  <c r="AD137" i="1" s="1"/>
  <c r="AE137" i="1" s="1"/>
  <c r="BB300" i="1"/>
  <c r="BC300" i="1" s="1"/>
  <c r="BD300" i="1" s="1"/>
  <c r="BB146" i="1"/>
  <c r="BC146" i="1" s="1"/>
  <c r="BD146" i="1" s="1"/>
  <c r="AG262" i="1"/>
  <c r="AB262" i="1"/>
  <c r="AC262" i="1" s="1"/>
  <c r="AD262" i="1" s="1"/>
  <c r="AE262" i="1" s="1"/>
  <c r="AG60" i="1"/>
  <c r="AG57" i="1"/>
  <c r="AH57" i="1" s="1"/>
  <c r="AI57" i="1" s="1"/>
  <c r="AJ57" i="1" s="1"/>
  <c r="AB57" i="1"/>
  <c r="AC57" i="1" s="1"/>
  <c r="AD57" i="1" s="1"/>
  <c r="AE57" i="1" s="1"/>
  <c r="AH245" i="1"/>
  <c r="AI245" i="1" s="1"/>
  <c r="AJ245" i="1" s="1"/>
  <c r="AF121" i="1"/>
  <c r="AG119" i="1"/>
  <c r="AF119" i="1"/>
  <c r="AB119" i="1"/>
  <c r="AC119" i="1" s="1"/>
  <c r="AD119" i="1" s="1"/>
  <c r="AE119" i="1" s="1"/>
  <c r="AG198" i="1"/>
  <c r="AH198" i="1" s="1"/>
  <c r="AI198" i="1" s="1"/>
  <c r="AJ198" i="1" s="1"/>
  <c r="AF236" i="1"/>
  <c r="AF105" i="1"/>
  <c r="AG105" i="1"/>
  <c r="AG257" i="1"/>
  <c r="BB20" i="1"/>
  <c r="BC20" i="1" s="1"/>
  <c r="BD20" i="1" s="1"/>
  <c r="BB200" i="1"/>
  <c r="BC200" i="1" s="1"/>
  <c r="BD200" i="1" s="1"/>
  <c r="BB289" i="1"/>
  <c r="BC289" i="1" s="1"/>
  <c r="BD289" i="1" s="1"/>
  <c r="BB103" i="1"/>
  <c r="BC103" i="1" s="1"/>
  <c r="BD103" i="1" s="1"/>
  <c r="BB284" i="1"/>
  <c r="BC284" i="1" s="1"/>
  <c r="BD284" i="1" s="1"/>
  <c r="AH216" i="1"/>
  <c r="AI216" i="1" s="1"/>
  <c r="AJ216" i="1" s="1"/>
  <c r="BB105" i="1"/>
  <c r="BC105" i="1" s="1"/>
  <c r="BD105" i="1" s="1"/>
  <c r="BB24" i="1"/>
  <c r="BC24" i="1" s="1"/>
  <c r="BD24" i="1" s="1"/>
  <c r="BB320" i="1"/>
  <c r="BC320" i="1" s="1"/>
  <c r="BD320" i="1" s="1"/>
  <c r="BB63" i="1"/>
  <c r="BC63" i="1" s="1"/>
  <c r="BD63" i="1" s="1"/>
  <c r="AF257" i="1"/>
  <c r="AB300" i="1"/>
  <c r="AC300" i="1" s="1"/>
  <c r="AD300" i="1" s="1"/>
  <c r="AE300" i="1" s="1"/>
  <c r="AB232" i="1"/>
  <c r="AC232" i="1" s="1"/>
  <c r="AD232" i="1" s="1"/>
  <c r="AE232" i="1" s="1"/>
  <c r="BB88" i="1"/>
  <c r="BC88" i="1" s="1"/>
  <c r="BD88" i="1" s="1"/>
  <c r="AB202" i="1"/>
  <c r="AC202" i="1" s="1"/>
  <c r="AD202" i="1" s="1"/>
  <c r="AE202" i="1" s="1"/>
  <c r="AG202" i="1"/>
  <c r="AB219" i="1"/>
  <c r="AC219" i="1" s="1"/>
  <c r="AD219" i="1" s="1"/>
  <c r="AE219" i="1" s="1"/>
  <c r="AF61" i="1"/>
  <c r="AF225" i="1"/>
  <c r="AG214" i="1"/>
  <c r="AF214" i="1"/>
  <c r="AH214" i="1" s="1"/>
  <c r="AI214" i="1" s="1"/>
  <c r="AJ214" i="1" s="1"/>
  <c r="AB214" i="1"/>
  <c r="AC214" i="1" s="1"/>
  <c r="AD214" i="1" s="1"/>
  <c r="AE214" i="1" s="1"/>
  <c r="BB46" i="1"/>
  <c r="BC46" i="1" s="1"/>
  <c r="BD46" i="1" s="1"/>
  <c r="AB319" i="1"/>
  <c r="AC319" i="1" s="1"/>
  <c r="AD319" i="1" s="1"/>
  <c r="AE319" i="1" s="1"/>
  <c r="AB134" i="1"/>
  <c r="AC134" i="1" s="1"/>
  <c r="AD134" i="1" s="1"/>
  <c r="AE134" i="1" s="1"/>
  <c r="AB290" i="1"/>
  <c r="AC290" i="1" s="1"/>
  <c r="AD290" i="1" s="1"/>
  <c r="AE290" i="1" s="1"/>
  <c r="AG225" i="1"/>
  <c r="AG232" i="1"/>
  <c r="AB237" i="1"/>
  <c r="AC237" i="1" s="1"/>
  <c r="AD237" i="1" s="1"/>
  <c r="AE237" i="1" s="1"/>
  <c r="AB311" i="1"/>
  <c r="AC311" i="1" s="1"/>
  <c r="AD311" i="1" s="1"/>
  <c r="AE311" i="1" s="1"/>
  <c r="AF202" i="1"/>
  <c r="AG219" i="1"/>
  <c r="AH219" i="1" s="1"/>
  <c r="AI219" i="1" s="1"/>
  <c r="AJ219" i="1" s="1"/>
  <c r="AF135" i="1"/>
  <c r="AF218" i="1"/>
  <c r="AF174" i="1"/>
  <c r="AG301" i="1"/>
  <c r="AH301" i="1" s="1"/>
  <c r="AI301" i="1" s="1"/>
  <c r="AJ301" i="1" s="1"/>
  <c r="AB222" i="1"/>
  <c r="AC222" i="1" s="1"/>
  <c r="AD222" i="1" s="1"/>
  <c r="AE222" i="1" s="1"/>
  <c r="AH147" i="1"/>
  <c r="AI147" i="1" s="1"/>
  <c r="AJ147" i="1" s="1"/>
  <c r="AB99" i="1"/>
  <c r="AC99" i="1" s="1"/>
  <c r="AD99" i="1" s="1"/>
  <c r="AE99" i="1" s="1"/>
  <c r="AF99" i="1"/>
  <c r="AG99" i="1"/>
  <c r="AH99" i="1" s="1"/>
  <c r="AI99" i="1" s="1"/>
  <c r="AJ99" i="1" s="1"/>
  <c r="BB287" i="1"/>
  <c r="BC287" i="1" s="1"/>
  <c r="BD287" i="1" s="1"/>
  <c r="BB221" i="1"/>
  <c r="BC221" i="1" s="1"/>
  <c r="BD221" i="1" s="1"/>
  <c r="AH44" i="1"/>
  <c r="AI44" i="1" s="1"/>
  <c r="AJ44" i="1" s="1"/>
  <c r="AB321" i="1"/>
  <c r="AC321" i="1" s="1"/>
  <c r="AD321" i="1" s="1"/>
  <c r="AE321" i="1" s="1"/>
  <c r="AG135" i="1"/>
  <c r="AH135" i="1" s="1"/>
  <c r="AI135" i="1" s="1"/>
  <c r="AJ135" i="1" s="1"/>
  <c r="AG241" i="1"/>
  <c r="AG218" i="1"/>
  <c r="BB35" i="1"/>
  <c r="BC35" i="1" s="1"/>
  <c r="BD35" i="1" s="1"/>
  <c r="BB156" i="1"/>
  <c r="BC156" i="1" s="1"/>
  <c r="BD156" i="1" s="1"/>
  <c r="AG78" i="1"/>
  <c r="AB78" i="1"/>
  <c r="AC78" i="1" s="1"/>
  <c r="AD78" i="1" s="1"/>
  <c r="AE78" i="1" s="1"/>
  <c r="AF276" i="1"/>
  <c r="AH145" i="1"/>
  <c r="AI145" i="1" s="1"/>
  <c r="AJ145" i="1" s="1"/>
  <c r="AH115" i="1"/>
  <c r="AI115" i="1" s="1"/>
  <c r="AJ115" i="1" s="1"/>
  <c r="AG228" i="1"/>
  <c r="AB228" i="1"/>
  <c r="AC228" i="1" s="1"/>
  <c r="AD228" i="1" s="1"/>
  <c r="AE228" i="1" s="1"/>
  <c r="AH298" i="1"/>
  <c r="AI298" i="1" s="1"/>
  <c r="AJ298" i="1" s="1"/>
  <c r="AB115" i="1"/>
  <c r="AC115" i="1" s="1"/>
  <c r="AD115" i="1" s="1"/>
  <c r="AE115" i="1" s="1"/>
  <c r="BB222" i="1"/>
  <c r="BC222" i="1" s="1"/>
  <c r="BD222" i="1" s="1"/>
  <c r="AB313" i="1"/>
  <c r="AC313" i="1" s="1"/>
  <c r="AD313" i="1" s="1"/>
  <c r="AE313" i="1" s="1"/>
  <c r="AG234" i="1"/>
  <c r="AH234" i="1" s="1"/>
  <c r="AI234" i="1" s="1"/>
  <c r="AJ234" i="1" s="1"/>
  <c r="AB234" i="1"/>
  <c r="AC234" i="1" s="1"/>
  <c r="AD234" i="1" s="1"/>
  <c r="AE234" i="1" s="1"/>
  <c r="AG153" i="1"/>
  <c r="AH68" i="1"/>
  <c r="AI68" i="1" s="1"/>
  <c r="AJ68" i="1" s="1"/>
  <c r="BB145" i="1"/>
  <c r="BC145" i="1" s="1"/>
  <c r="BD145" i="1" s="1"/>
  <c r="BB48" i="1"/>
  <c r="BC48" i="1" s="1"/>
  <c r="BD48" i="1" s="1"/>
  <c r="AG94" i="1"/>
  <c r="AH94" i="1" s="1"/>
  <c r="AI94" i="1" s="1"/>
  <c r="AJ94" i="1" s="1"/>
  <c r="AG190" i="1"/>
  <c r="AG210" i="1"/>
  <c r="AH210" i="1" s="1"/>
  <c r="AI210" i="1" s="1"/>
  <c r="AJ210" i="1" s="1"/>
  <c r="AB248" i="1"/>
  <c r="AC248" i="1" s="1"/>
  <c r="AD248" i="1" s="1"/>
  <c r="AE248" i="1" s="1"/>
  <c r="AG299" i="1"/>
  <c r="AF299" i="1"/>
  <c r="AH229" i="1"/>
  <c r="AI229" i="1" s="1"/>
  <c r="AJ229" i="1" s="1"/>
  <c r="AH187" i="1"/>
  <c r="AI187" i="1" s="1"/>
  <c r="AJ187" i="1" s="1"/>
  <c r="BB123" i="1"/>
  <c r="BC123" i="1" s="1"/>
  <c r="BD123" i="1" s="1"/>
  <c r="AG156" i="1"/>
  <c r="AH156" i="1" s="1"/>
  <c r="AI156" i="1" s="1"/>
  <c r="AJ156" i="1" s="1"/>
  <c r="AF239" i="1"/>
  <c r="AB131" i="1"/>
  <c r="AC131" i="1" s="1"/>
  <c r="AD131" i="1" s="1"/>
  <c r="AE131" i="1" s="1"/>
  <c r="AG116" i="1"/>
  <c r="AH116" i="1" s="1"/>
  <c r="AI116" i="1" s="1"/>
  <c r="AJ116" i="1" s="1"/>
  <c r="AB116" i="1"/>
  <c r="AC116" i="1" s="1"/>
  <c r="AD116" i="1" s="1"/>
  <c r="AE116" i="1" s="1"/>
  <c r="AH215" i="1"/>
  <c r="AI215" i="1" s="1"/>
  <c r="AJ215" i="1" s="1"/>
  <c r="AG51" i="1"/>
  <c r="AH51" i="1" s="1"/>
  <c r="AI51" i="1" s="1"/>
  <c r="AJ51" i="1" s="1"/>
  <c r="AG204" i="1"/>
  <c r="AF204" i="1"/>
  <c r="AB204" i="1"/>
  <c r="AC204" i="1" s="1"/>
  <c r="AD204" i="1" s="1"/>
  <c r="AE204" i="1" s="1"/>
  <c r="AH32" i="1"/>
  <c r="AI32" i="1" s="1"/>
  <c r="AJ32" i="1" s="1"/>
  <c r="AB272" i="1"/>
  <c r="AC272" i="1" s="1"/>
  <c r="AD272" i="1" s="1"/>
  <c r="AE272" i="1" s="1"/>
  <c r="BB101" i="1"/>
  <c r="BC101" i="1" s="1"/>
  <c r="BD101" i="1" s="1"/>
  <c r="BB6" i="1"/>
  <c r="BC6" i="1" s="1"/>
  <c r="BD6" i="1" s="1"/>
  <c r="BB3" i="1"/>
  <c r="BC3" i="1" s="1"/>
  <c r="BD3" i="1" s="1"/>
  <c r="BB68" i="1"/>
  <c r="BC68" i="1" s="1"/>
  <c r="BD68" i="1" s="1"/>
  <c r="BB245" i="1"/>
  <c r="BC245" i="1" s="1"/>
  <c r="BD245" i="1" s="1"/>
  <c r="BB192" i="1"/>
  <c r="BC192" i="1" s="1"/>
  <c r="BD192" i="1" s="1"/>
  <c r="BB47" i="1"/>
  <c r="BC47" i="1" s="1"/>
  <c r="BD47" i="1" s="1"/>
  <c r="BB205" i="1"/>
  <c r="BC205" i="1" s="1"/>
  <c r="BD205" i="1" s="1"/>
  <c r="AG21" i="1"/>
  <c r="AH21" i="1" s="1"/>
  <c r="AI21" i="1" s="1"/>
  <c r="AJ21" i="1" s="1"/>
  <c r="AH18" i="2"/>
  <c r="AI18" i="2" s="1"/>
  <c r="AJ18" i="2" s="1"/>
  <c r="AH132" i="2"/>
  <c r="AI132" i="2" s="1"/>
  <c r="AJ132" i="2" s="1"/>
  <c r="BB2" i="1"/>
  <c r="BC2" i="1" s="1"/>
  <c r="BD2" i="1" s="1"/>
  <c r="AB164" i="1"/>
  <c r="AC164" i="1" s="1"/>
  <c r="AD164" i="1" s="1"/>
  <c r="AE164" i="1" s="1"/>
  <c r="BB38" i="1"/>
  <c r="BC38" i="1" s="1"/>
  <c r="BD38" i="1" s="1"/>
  <c r="AG138" i="1"/>
  <c r="AH138" i="1" s="1"/>
  <c r="AI138" i="1" s="1"/>
  <c r="AJ138" i="1" s="1"/>
  <c r="AB138" i="1"/>
  <c r="AC138" i="1" s="1"/>
  <c r="AD138" i="1" s="1"/>
  <c r="AE138" i="1" s="1"/>
  <c r="AF166" i="1"/>
  <c r="AH166" i="1" s="1"/>
  <c r="AI166" i="1" s="1"/>
  <c r="AJ166" i="1" s="1"/>
  <c r="AH207" i="1"/>
  <c r="AI207" i="1" s="1"/>
  <c r="AJ207" i="1" s="1"/>
  <c r="AG168" i="1"/>
  <c r="AF164" i="1"/>
  <c r="AH164" i="1" s="1"/>
  <c r="AI164" i="1" s="1"/>
  <c r="AJ164" i="1" s="1"/>
  <c r="AB150" i="1"/>
  <c r="AC150" i="1" s="1"/>
  <c r="AD150" i="1" s="1"/>
  <c r="AE150" i="1" s="1"/>
  <c r="BB71" i="1"/>
  <c r="BC71" i="1" s="1"/>
  <c r="BD71" i="1" s="1"/>
  <c r="AB16" i="1"/>
  <c r="AC16" i="1" s="1"/>
  <c r="AD16" i="1" s="1"/>
  <c r="AE16" i="1" s="1"/>
  <c r="AG247" i="1"/>
  <c r="AB69" i="1"/>
  <c r="AC69" i="1" s="1"/>
  <c r="AD69" i="1" s="1"/>
  <c r="AE69" i="1" s="1"/>
  <c r="AH150" i="1"/>
  <c r="AI150" i="1" s="1"/>
  <c r="AJ150" i="1" s="1"/>
  <c r="AH2" i="2"/>
  <c r="AI2" i="2" s="1"/>
  <c r="AJ2" i="2" s="1"/>
  <c r="AH140" i="1"/>
  <c r="AI140" i="1" s="1"/>
  <c r="AJ140" i="1" s="1"/>
  <c r="AH322" i="1"/>
  <c r="AI322" i="1" s="1"/>
  <c r="AJ322" i="1" s="1"/>
  <c r="AH23" i="1"/>
  <c r="AI23" i="1" s="1"/>
  <c r="AJ23" i="1" s="1"/>
  <c r="BB84" i="1"/>
  <c r="BC84" i="1" s="1"/>
  <c r="BD84" i="1" s="1"/>
  <c r="BB253" i="1"/>
  <c r="BC253" i="1" s="1"/>
  <c r="BD253" i="1" s="1"/>
  <c r="BB214" i="1"/>
  <c r="BC214" i="1" s="1"/>
  <c r="BD214" i="1" s="1"/>
  <c r="BB129" i="1"/>
  <c r="BC129" i="1" s="1"/>
  <c r="BD129" i="1" s="1"/>
  <c r="AH316" i="1"/>
  <c r="AI316" i="1" s="1"/>
  <c r="AJ316" i="1" s="1"/>
  <c r="AG201" i="1"/>
  <c r="BB140" i="1"/>
  <c r="BC140" i="1" s="1"/>
  <c r="BD140" i="1" s="1"/>
  <c r="AH50" i="2"/>
  <c r="AI50" i="2" s="1"/>
  <c r="AJ50" i="2" s="1"/>
  <c r="AG62" i="1"/>
  <c r="AH62" i="1" s="1"/>
  <c r="AI62" i="1" s="1"/>
  <c r="AJ62" i="1" s="1"/>
  <c r="AB62" i="1"/>
  <c r="AC62" i="1" s="1"/>
  <c r="AD62" i="1" s="1"/>
  <c r="AE62" i="1" s="1"/>
  <c r="AF242" i="1"/>
  <c r="AF56" i="1"/>
  <c r="AH56" i="1" s="1"/>
  <c r="AI56" i="1" s="1"/>
  <c r="AJ56" i="1" s="1"/>
  <c r="AB298" i="1"/>
  <c r="AC298" i="1" s="1"/>
  <c r="AD298" i="1" s="1"/>
  <c r="AE298" i="1" s="1"/>
  <c r="AB126" i="1"/>
  <c r="AC126" i="1" s="1"/>
  <c r="AD126" i="1" s="1"/>
  <c r="AE126" i="1" s="1"/>
  <c r="AF201" i="1"/>
  <c r="AH312" i="1"/>
  <c r="AI312" i="1" s="1"/>
  <c r="AJ312" i="1" s="1"/>
  <c r="BB83" i="1"/>
  <c r="BC83" i="1" s="1"/>
  <c r="BD83" i="1" s="1"/>
  <c r="AF250" i="1"/>
  <c r="AG242" i="1"/>
  <c r="AG75" i="1"/>
  <c r="AF75" i="1"/>
  <c r="AF223" i="1"/>
  <c r="AF86" i="1"/>
  <c r="BB13" i="1"/>
  <c r="BC13" i="1" s="1"/>
  <c r="BD13" i="1" s="1"/>
  <c r="BH7" i="1"/>
  <c r="BI7" i="1" s="1"/>
  <c r="AH38" i="2"/>
  <c r="AI38" i="2" s="1"/>
  <c r="AJ38" i="2" s="1"/>
  <c r="AH261" i="2"/>
  <c r="AI261" i="2" s="1"/>
  <c r="AJ261" i="2" s="1"/>
  <c r="AH117" i="2"/>
  <c r="AI117" i="2" s="1"/>
  <c r="AJ117" i="2" s="1"/>
  <c r="AH155" i="2"/>
  <c r="AI155" i="2" s="1"/>
  <c r="AJ155" i="2" s="1"/>
  <c r="AH209" i="2"/>
  <c r="AI209" i="2" s="1"/>
  <c r="AJ209" i="2" s="1"/>
  <c r="BI312" i="1"/>
  <c r="BK162" i="1" s="1"/>
  <c r="BL162" i="1" s="1"/>
  <c r="BM162" i="1" s="1"/>
  <c r="BN162" i="1" s="1"/>
  <c r="BB279" i="1"/>
  <c r="BC279" i="1" s="1"/>
  <c r="BD279" i="1" s="1"/>
  <c r="AH29" i="2"/>
  <c r="AI29" i="2" s="1"/>
  <c r="AJ29" i="2" s="1"/>
  <c r="AH199" i="2"/>
  <c r="AI199" i="2" s="1"/>
  <c r="AJ199" i="2" s="1"/>
  <c r="AH221" i="2"/>
  <c r="AI221" i="2" s="1"/>
  <c r="AJ221" i="2" s="1"/>
  <c r="AH279" i="2"/>
  <c r="AI279" i="2" s="1"/>
  <c r="AJ279" i="2" s="1"/>
  <c r="AH296" i="2"/>
  <c r="AI296" i="2" s="1"/>
  <c r="AJ296" i="2" s="1"/>
  <c r="AH306" i="2"/>
  <c r="AI306" i="2" s="1"/>
  <c r="AJ306" i="2" s="1"/>
  <c r="AG7" i="1"/>
  <c r="AH7" i="1" s="1"/>
  <c r="AI7" i="1" s="1"/>
  <c r="AJ7" i="1" s="1"/>
  <c r="AH215" i="2"/>
  <c r="AI215" i="2" s="1"/>
  <c r="AJ215" i="2" s="1"/>
  <c r="AH238" i="2"/>
  <c r="AI238" i="2" s="1"/>
  <c r="AJ238" i="2" s="1"/>
  <c r="AH304" i="2"/>
  <c r="AI304" i="2" s="1"/>
  <c r="AJ304" i="2" s="1"/>
  <c r="AH23" i="2"/>
  <c r="AI23" i="2" s="1"/>
  <c r="AJ23" i="2" s="1"/>
  <c r="AH32" i="2"/>
  <c r="AI32" i="2" s="1"/>
  <c r="AJ32" i="2" s="1"/>
  <c r="AH243" i="2"/>
  <c r="AI243" i="2" s="1"/>
  <c r="AJ243" i="2" s="1"/>
  <c r="AH179" i="2"/>
  <c r="AI179" i="2" s="1"/>
  <c r="AJ179" i="2" s="1"/>
  <c r="AH66" i="1"/>
  <c r="AI66" i="1" s="1"/>
  <c r="AJ66" i="1" s="1"/>
  <c r="AH35" i="2"/>
  <c r="AI35" i="2" s="1"/>
  <c r="AJ35" i="2" s="1"/>
  <c r="AH82" i="2"/>
  <c r="AI82" i="2" s="1"/>
  <c r="AJ82" i="2" s="1"/>
  <c r="AH178" i="2"/>
  <c r="AI178" i="2" s="1"/>
  <c r="AJ178" i="2" s="1"/>
  <c r="AG172" i="1"/>
  <c r="AH172" i="1" s="1"/>
  <c r="AI172" i="1" s="1"/>
  <c r="AJ172" i="1" s="1"/>
  <c r="AB269" i="1"/>
  <c r="AC269" i="1" s="1"/>
  <c r="AD269" i="1" s="1"/>
  <c r="AE269" i="1" s="1"/>
  <c r="AF70" i="1"/>
  <c r="BB111" i="1"/>
  <c r="BC111" i="1" s="1"/>
  <c r="BD111" i="1" s="1"/>
  <c r="AG171" i="1"/>
  <c r="AH114" i="2"/>
  <c r="AI114" i="2" s="1"/>
  <c r="AJ114" i="2" s="1"/>
  <c r="AH291" i="2"/>
  <c r="AI291" i="2" s="1"/>
  <c r="AJ291" i="2" s="1"/>
  <c r="AH267" i="2"/>
  <c r="AI267" i="2" s="1"/>
  <c r="AJ267" i="2" s="1"/>
  <c r="AH166" i="2"/>
  <c r="AI166" i="2" s="1"/>
  <c r="AJ166" i="2" s="1"/>
  <c r="AH174" i="2"/>
  <c r="AI174" i="2" s="1"/>
  <c r="AJ174" i="2" s="1"/>
  <c r="AH236" i="2"/>
  <c r="AI236" i="2" s="1"/>
  <c r="AJ236" i="2" s="1"/>
  <c r="AH234" i="2"/>
  <c r="AI234" i="2" s="1"/>
  <c r="AJ234" i="2" s="1"/>
  <c r="CT246" i="1"/>
  <c r="CU246" i="1" s="1"/>
  <c r="CV246" i="1" s="1"/>
  <c r="CT265" i="1"/>
  <c r="CU265" i="1" s="1"/>
  <c r="CV265" i="1" s="1"/>
  <c r="CT47" i="1"/>
  <c r="CU47" i="1" s="1"/>
  <c r="CV47" i="1" s="1"/>
  <c r="CT25" i="1"/>
  <c r="CU25" i="1" s="1"/>
  <c r="CV25" i="1" s="1"/>
  <c r="CT14" i="1"/>
  <c r="CU14" i="1" s="1"/>
  <c r="CV14" i="1" s="1"/>
  <c r="CT222" i="1"/>
  <c r="CU222" i="1" s="1"/>
  <c r="CV222" i="1" s="1"/>
  <c r="CT156" i="1"/>
  <c r="CU156" i="1" s="1"/>
  <c r="CV156" i="1" s="1"/>
  <c r="CT257" i="1"/>
  <c r="CU257" i="1" s="1"/>
  <c r="CV257" i="1" s="1"/>
  <c r="CT277" i="1"/>
  <c r="CU277" i="1" s="1"/>
  <c r="CV277" i="1" s="1"/>
  <c r="CT253" i="1"/>
  <c r="CU253" i="1" s="1"/>
  <c r="CV253" i="1" s="1"/>
  <c r="CT228" i="1"/>
  <c r="CU228" i="1" s="1"/>
  <c r="CV228" i="1" s="1"/>
  <c r="CT125" i="1"/>
  <c r="CU125" i="1" s="1"/>
  <c r="CV125" i="1" s="1"/>
  <c r="CT203" i="1"/>
  <c r="CU203" i="1" s="1"/>
  <c r="CV203" i="1" s="1"/>
  <c r="CT137" i="1"/>
  <c r="CU137" i="1" s="1"/>
  <c r="CV137" i="1" s="1"/>
  <c r="CT20" i="1"/>
  <c r="CU20" i="1" s="1"/>
  <c r="CV20" i="1" s="1"/>
  <c r="CT158" i="1"/>
  <c r="CU158" i="1" s="1"/>
  <c r="CV158" i="1" s="1"/>
  <c r="CT210" i="1"/>
  <c r="CU210" i="1" s="1"/>
  <c r="CV210" i="1" s="1"/>
  <c r="CT101" i="1"/>
  <c r="CU101" i="1" s="1"/>
  <c r="CV101" i="1" s="1"/>
  <c r="CT256" i="1"/>
  <c r="CU256" i="1" s="1"/>
  <c r="CV256" i="1" s="1"/>
  <c r="CT153" i="1"/>
  <c r="CU153" i="1" s="1"/>
  <c r="CV153" i="1" s="1"/>
  <c r="CT94" i="1"/>
  <c r="CU94" i="1" s="1"/>
  <c r="CV94" i="1" s="1"/>
  <c r="CT212" i="1"/>
  <c r="CU212" i="1" s="1"/>
  <c r="CV212" i="1" s="1"/>
  <c r="CT81" i="1"/>
  <c r="CU81" i="1" s="1"/>
  <c r="CV81" i="1" s="1"/>
  <c r="CT290" i="1"/>
  <c r="CU290" i="1" s="1"/>
  <c r="CV290" i="1" s="1"/>
  <c r="CT61" i="1"/>
  <c r="CU61" i="1" s="1"/>
  <c r="CV61" i="1" s="1"/>
  <c r="CT15" i="1"/>
  <c r="CU15" i="1" s="1"/>
  <c r="CV15" i="1" s="1"/>
  <c r="CT22" i="1"/>
  <c r="CU22" i="1" s="1"/>
  <c r="CV22" i="1" s="1"/>
  <c r="CT154" i="1"/>
  <c r="CU154" i="1" s="1"/>
  <c r="CV154" i="1" s="1"/>
  <c r="CT268" i="1"/>
  <c r="CU268" i="1" s="1"/>
  <c r="CV268" i="1" s="1"/>
  <c r="CT190" i="1"/>
  <c r="CU190" i="1" s="1"/>
  <c r="CV190" i="1" s="1"/>
  <c r="CT58" i="1"/>
  <c r="CU58" i="1" s="1"/>
  <c r="CV58" i="1" s="1"/>
  <c r="CT282" i="1"/>
  <c r="CU282" i="1" s="1"/>
  <c r="CV282" i="1" s="1"/>
  <c r="CT263" i="1"/>
  <c r="CU263" i="1" s="1"/>
  <c r="CV263" i="1" s="1"/>
  <c r="CT286" i="1"/>
  <c r="CU286" i="1" s="1"/>
  <c r="CV286" i="1" s="1"/>
  <c r="CT29" i="1"/>
  <c r="CU29" i="1" s="1"/>
  <c r="CV29" i="1" s="1"/>
  <c r="CT269" i="1"/>
  <c r="CU269" i="1" s="1"/>
  <c r="CV269" i="1" s="1"/>
  <c r="CT17" i="1"/>
  <c r="CU17" i="1" s="1"/>
  <c r="CV17" i="1" s="1"/>
  <c r="CT230" i="1"/>
  <c r="CU230" i="1" s="1"/>
  <c r="CV230" i="1" s="1"/>
  <c r="CT307" i="1"/>
  <c r="CU307" i="1" s="1"/>
  <c r="CV307" i="1" s="1"/>
  <c r="CT135" i="1"/>
  <c r="CU135" i="1" s="1"/>
  <c r="CV135" i="1" s="1"/>
  <c r="CT27" i="1"/>
  <c r="CU27" i="1" s="1"/>
  <c r="CV27" i="1" s="1"/>
  <c r="CT63" i="1"/>
  <c r="CU63" i="1" s="1"/>
  <c r="CV63" i="1" s="1"/>
  <c r="CT32" i="1"/>
  <c r="CU32" i="1" s="1"/>
  <c r="CV32" i="1" s="1"/>
  <c r="CT229" i="1"/>
  <c r="CU229" i="1" s="1"/>
  <c r="CV229" i="1" s="1"/>
  <c r="CT187" i="1"/>
  <c r="CU187" i="1" s="1"/>
  <c r="CV187" i="1" s="1"/>
  <c r="CT134" i="1"/>
  <c r="CU134" i="1" s="1"/>
  <c r="CV134" i="1" s="1"/>
  <c r="CT60" i="1"/>
  <c r="CU60" i="1" s="1"/>
  <c r="CV60" i="1" s="1"/>
  <c r="CT28" i="1"/>
  <c r="CU28" i="1" s="1"/>
  <c r="CV28" i="1" s="1"/>
  <c r="CT220" i="1"/>
  <c r="CU220" i="1" s="1"/>
  <c r="CV220" i="1" s="1"/>
  <c r="CT216" i="1"/>
  <c r="CU216" i="1" s="1"/>
  <c r="CV216" i="1" s="1"/>
  <c r="CT288" i="1"/>
  <c r="CU288" i="1" s="1"/>
  <c r="CV288" i="1" s="1"/>
  <c r="CT36" i="1"/>
  <c r="CU36" i="1" s="1"/>
  <c r="CV36" i="1" s="1"/>
  <c r="CT197" i="1"/>
  <c r="CU197" i="1" s="1"/>
  <c r="CV197" i="1" s="1"/>
  <c r="CT102" i="1"/>
  <c r="CU102" i="1" s="1"/>
  <c r="CV102" i="1" s="1"/>
  <c r="CT21" i="1"/>
  <c r="CU21" i="1" s="1"/>
  <c r="CV21" i="1" s="1"/>
  <c r="CT189" i="1"/>
  <c r="CU189" i="1" s="1"/>
  <c r="CV189" i="1" s="1"/>
  <c r="CT162" i="1"/>
  <c r="CU162" i="1" s="1"/>
  <c r="CV162" i="1" s="1"/>
  <c r="CT85" i="1"/>
  <c r="CU85" i="1" s="1"/>
  <c r="CV85" i="1" s="1"/>
  <c r="CT184" i="1"/>
  <c r="CU184" i="1" s="1"/>
  <c r="CV184" i="1" s="1"/>
  <c r="CT73" i="1"/>
  <c r="CU73" i="1" s="1"/>
  <c r="CV73" i="1" s="1"/>
  <c r="CT174" i="1"/>
  <c r="CU174" i="1" s="1"/>
  <c r="CV174" i="1" s="1"/>
  <c r="CT247" i="1"/>
  <c r="CU247" i="1" s="1"/>
  <c r="CV247" i="1" s="1"/>
  <c r="CT202" i="1"/>
  <c r="CU202" i="1" s="1"/>
  <c r="CV202" i="1" s="1"/>
  <c r="CT195" i="1"/>
  <c r="CU195" i="1" s="1"/>
  <c r="CV195" i="1" s="1"/>
  <c r="CT261" i="1"/>
  <c r="CU261" i="1" s="1"/>
  <c r="CV261" i="1" s="1"/>
  <c r="CT126" i="1"/>
  <c r="CU126" i="1" s="1"/>
  <c r="CV126" i="1" s="1"/>
  <c r="CT115" i="1"/>
  <c r="CU115" i="1" s="1"/>
  <c r="CV115" i="1" s="1"/>
  <c r="CT74" i="1"/>
  <c r="CU74" i="1" s="1"/>
  <c r="CV74" i="1" s="1"/>
  <c r="CT161" i="1"/>
  <c r="CU161" i="1" s="1"/>
  <c r="CV161" i="1" s="1"/>
  <c r="CT131" i="1"/>
  <c r="CU131" i="1" s="1"/>
  <c r="CV131" i="1" s="1"/>
  <c r="CT165" i="1"/>
  <c r="CU165" i="1" s="1"/>
  <c r="CV165" i="1" s="1"/>
  <c r="CT299" i="1"/>
  <c r="CU299" i="1" s="1"/>
  <c r="CV299" i="1" s="1"/>
  <c r="CT46" i="1"/>
  <c r="CU46" i="1" s="1"/>
  <c r="CV46" i="1" s="1"/>
  <c r="CT293" i="1"/>
  <c r="CU293" i="1" s="1"/>
  <c r="CV293" i="1" s="1"/>
  <c r="CT39" i="1"/>
  <c r="CU39" i="1" s="1"/>
  <c r="CV39" i="1" s="1"/>
  <c r="CT118" i="1"/>
  <c r="CU118" i="1" s="1"/>
  <c r="CV118" i="1" s="1"/>
  <c r="CT141" i="1"/>
  <c r="CU141" i="1" s="1"/>
  <c r="CV141" i="1" s="1"/>
  <c r="CT72" i="1"/>
  <c r="CU72" i="1" s="1"/>
  <c r="CV72" i="1" s="1"/>
  <c r="CT40" i="1"/>
  <c r="CU40" i="1" s="1"/>
  <c r="CV40" i="1" s="1"/>
  <c r="CT129" i="1"/>
  <c r="CU129" i="1" s="1"/>
  <c r="CV129" i="1" s="1"/>
  <c r="CT3" i="1"/>
  <c r="CU3" i="1" s="1"/>
  <c r="CV3" i="1" s="1"/>
  <c r="CT45" i="1"/>
  <c r="CU45" i="1" s="1"/>
  <c r="CV45" i="1" s="1"/>
  <c r="CT13" i="1"/>
  <c r="CU13" i="1" s="1"/>
  <c r="CV13" i="1" s="1"/>
  <c r="CT30" i="1"/>
  <c r="CU30" i="1" s="1"/>
  <c r="CV30" i="1" s="1"/>
  <c r="CT160" i="1"/>
  <c r="CU160" i="1" s="1"/>
  <c r="CV160" i="1" s="1"/>
  <c r="CT90" i="1"/>
  <c r="CU90" i="1" s="1"/>
  <c r="CV90" i="1" s="1"/>
  <c r="CT279" i="1"/>
  <c r="CU279" i="1" s="1"/>
  <c r="CV279" i="1" s="1"/>
  <c r="CT198" i="1"/>
  <c r="CU198" i="1" s="1"/>
  <c r="CV198" i="1" s="1"/>
  <c r="CT152" i="1"/>
  <c r="CU152" i="1" s="1"/>
  <c r="CV152" i="1" s="1"/>
  <c r="CT133" i="1"/>
  <c r="CU133" i="1" s="1"/>
  <c r="CV133" i="1" s="1"/>
  <c r="CT169" i="1"/>
  <c r="CU169" i="1" s="1"/>
  <c r="CV169" i="1" s="1"/>
  <c r="CT148" i="1"/>
  <c r="CU148" i="1" s="1"/>
  <c r="CV148" i="1" s="1"/>
  <c r="CT104" i="1"/>
  <c r="CU104" i="1" s="1"/>
  <c r="CV104" i="1" s="1"/>
  <c r="CT304" i="1"/>
  <c r="CU304" i="1" s="1"/>
  <c r="CV304" i="1" s="1"/>
  <c r="CT128" i="1"/>
  <c r="CU128" i="1" s="1"/>
  <c r="CV128" i="1" s="1"/>
  <c r="CT106" i="1"/>
  <c r="CU106" i="1" s="1"/>
  <c r="CV106" i="1" s="1"/>
  <c r="CT177" i="1"/>
  <c r="CU177" i="1" s="1"/>
  <c r="CV177" i="1" s="1"/>
  <c r="CT321" i="1"/>
  <c r="CU321" i="1" s="1"/>
  <c r="CV321" i="1" s="1"/>
  <c r="CT238" i="1"/>
  <c r="CU238" i="1" s="1"/>
  <c r="CV238" i="1" s="1"/>
  <c r="CT122" i="1"/>
  <c r="CU122" i="1" s="1"/>
  <c r="CV122" i="1" s="1"/>
  <c r="CT240" i="1"/>
  <c r="CU240" i="1" s="1"/>
  <c r="CV240" i="1" s="1"/>
  <c r="CT79" i="1"/>
  <c r="CU79" i="1" s="1"/>
  <c r="CV79" i="1" s="1"/>
  <c r="CT166" i="1"/>
  <c r="CU166" i="1" s="1"/>
  <c r="CV166" i="1" s="1"/>
  <c r="CT9" i="1"/>
  <c r="CU9" i="1" s="1"/>
  <c r="CV9" i="1" s="1"/>
  <c r="CT31" i="1"/>
  <c r="CU31" i="1" s="1"/>
  <c r="CV31" i="1" s="1"/>
  <c r="CT221" i="1"/>
  <c r="CU221" i="1" s="1"/>
  <c r="CV221" i="1" s="1"/>
  <c r="CT26" i="1"/>
  <c r="CU26" i="1" s="1"/>
  <c r="CV26" i="1" s="1"/>
  <c r="CT278" i="1"/>
  <c r="CU278" i="1" s="1"/>
  <c r="CV278" i="1" s="1"/>
  <c r="CT175" i="1"/>
  <c r="CU175" i="1" s="1"/>
  <c r="CV175" i="1" s="1"/>
  <c r="CT77" i="1"/>
  <c r="CU77" i="1" s="1"/>
  <c r="CV77" i="1" s="1"/>
  <c r="CT123" i="1"/>
  <c r="CU123" i="1" s="1"/>
  <c r="CV123" i="1" s="1"/>
  <c r="CT225" i="1"/>
  <c r="CU225" i="1" s="1"/>
  <c r="CV225" i="1" s="1"/>
  <c r="CT8" i="1"/>
  <c r="CU8" i="1" s="1"/>
  <c r="CV8" i="1" s="1"/>
  <c r="CT291" i="1"/>
  <c r="CU291" i="1" s="1"/>
  <c r="CV291" i="1" s="1"/>
  <c r="CT223" i="1"/>
  <c r="CU223" i="1" s="1"/>
  <c r="CV223" i="1" s="1"/>
  <c r="CT207" i="1"/>
  <c r="CU207" i="1" s="1"/>
  <c r="CV207" i="1" s="1"/>
  <c r="CT193" i="1"/>
  <c r="CU193" i="1" s="1"/>
  <c r="CV193" i="1" s="1"/>
  <c r="CT266" i="1"/>
  <c r="CU266" i="1" s="1"/>
  <c r="CV266" i="1" s="1"/>
  <c r="CT43" i="1"/>
  <c r="CU43" i="1" s="1"/>
  <c r="CV43" i="1" s="1"/>
  <c r="CT146" i="1"/>
  <c r="CU146" i="1" s="1"/>
  <c r="CV146" i="1" s="1"/>
  <c r="CT314" i="1"/>
  <c r="CU314" i="1" s="1"/>
  <c r="CV314" i="1" s="1"/>
  <c r="CT289" i="1"/>
  <c r="CU289" i="1" s="1"/>
  <c r="CV289" i="1" s="1"/>
  <c r="CT211" i="1"/>
  <c r="CU211" i="1" s="1"/>
  <c r="CV211" i="1" s="1"/>
  <c r="CT16" i="1"/>
  <c r="CU16" i="1" s="1"/>
  <c r="CV16" i="1" s="1"/>
  <c r="CT280" i="1"/>
  <c r="CU280" i="1" s="1"/>
  <c r="CV280" i="1" s="1"/>
  <c r="CT262" i="1"/>
  <c r="CU262" i="1" s="1"/>
  <c r="CV262" i="1" s="1"/>
  <c r="CT116" i="1"/>
  <c r="CU116" i="1" s="1"/>
  <c r="CV116" i="1" s="1"/>
  <c r="CT236" i="1"/>
  <c r="CU236" i="1" s="1"/>
  <c r="CV236" i="1" s="1"/>
  <c r="CT88" i="1"/>
  <c r="CU88" i="1" s="1"/>
  <c r="CV88" i="1" s="1"/>
  <c r="CT267" i="1"/>
  <c r="CU267" i="1" s="1"/>
  <c r="CV267" i="1" s="1"/>
  <c r="CT303" i="1"/>
  <c r="CU303" i="1" s="1"/>
  <c r="CV303" i="1" s="1"/>
  <c r="CT33" i="1"/>
  <c r="CU33" i="1" s="1"/>
  <c r="CV33" i="1" s="1"/>
  <c r="CT107" i="1"/>
  <c r="CU107" i="1" s="1"/>
  <c r="CV107" i="1" s="1"/>
  <c r="CT91" i="1"/>
  <c r="CU91" i="1" s="1"/>
  <c r="CV91" i="1" s="1"/>
  <c r="CT224" i="1"/>
  <c r="CU224" i="1" s="1"/>
  <c r="CV224" i="1" s="1"/>
  <c r="CT213" i="1"/>
  <c r="CU213" i="1" s="1"/>
  <c r="CV213" i="1" s="1"/>
  <c r="CT176" i="1"/>
  <c r="CU176" i="1" s="1"/>
  <c r="CV176" i="1" s="1"/>
  <c r="CT109" i="1"/>
  <c r="CU109" i="1" s="1"/>
  <c r="CV109" i="1" s="1"/>
  <c r="CT311" i="1"/>
  <c r="CU311" i="1" s="1"/>
  <c r="CV311" i="1" s="1"/>
  <c r="CT239" i="1"/>
  <c r="CU239" i="1" s="1"/>
  <c r="CV239" i="1" s="1"/>
  <c r="CT245" i="1"/>
  <c r="CU245" i="1" s="1"/>
  <c r="CV245" i="1" s="1"/>
  <c r="CT159" i="1"/>
  <c r="CU159" i="1" s="1"/>
  <c r="CV159" i="1" s="1"/>
  <c r="CT78" i="1"/>
  <c r="CU78" i="1" s="1"/>
  <c r="CV78" i="1" s="1"/>
  <c r="CT281" i="1"/>
  <c r="CU281" i="1" s="1"/>
  <c r="CV281" i="1" s="1"/>
  <c r="CT66" i="1"/>
  <c r="CU66" i="1" s="1"/>
  <c r="CV66" i="1" s="1"/>
  <c r="CT76" i="1"/>
  <c r="CU76" i="1" s="1"/>
  <c r="CV76" i="1" s="1"/>
  <c r="CT322" i="1"/>
  <c r="CU322" i="1" s="1"/>
  <c r="CV322" i="1" s="1"/>
  <c r="CT287" i="1"/>
  <c r="CU287" i="1" s="1"/>
  <c r="CV287" i="1" s="1"/>
  <c r="CT305" i="1"/>
  <c r="CU305" i="1" s="1"/>
  <c r="CV305" i="1" s="1"/>
  <c r="CT12" i="1"/>
  <c r="CU12" i="1" s="1"/>
  <c r="CV12" i="1" s="1"/>
  <c r="CT52" i="1"/>
  <c r="CU52" i="1" s="1"/>
  <c r="CV52" i="1" s="1"/>
  <c r="CT151" i="1"/>
  <c r="CU151" i="1" s="1"/>
  <c r="CV151" i="1" s="1"/>
  <c r="CT114" i="1"/>
  <c r="CU114" i="1" s="1"/>
  <c r="CV114" i="1" s="1"/>
  <c r="CT185" i="1"/>
  <c r="CU185" i="1" s="1"/>
  <c r="CV185" i="1" s="1"/>
  <c r="CT145" i="1"/>
  <c r="CU145" i="1" s="1"/>
  <c r="CV145" i="1" s="1"/>
  <c r="CT51" i="1"/>
  <c r="CU51" i="1" s="1"/>
  <c r="CV51" i="1" s="1"/>
  <c r="CT168" i="1"/>
  <c r="CU168" i="1" s="1"/>
  <c r="CV168" i="1" s="1"/>
  <c r="CT264" i="1"/>
  <c r="CU264" i="1" s="1"/>
  <c r="CV264" i="1" s="1"/>
  <c r="CT99" i="1"/>
  <c r="CU99" i="1" s="1"/>
  <c r="CV99" i="1" s="1"/>
  <c r="CT93" i="1"/>
  <c r="CU93" i="1" s="1"/>
  <c r="CV93" i="1" s="1"/>
  <c r="CT86" i="1"/>
  <c r="CU86" i="1" s="1"/>
  <c r="CV86" i="1" s="1"/>
  <c r="CT312" i="1"/>
  <c r="CU312" i="1" s="1"/>
  <c r="CV312" i="1" s="1"/>
  <c r="CT112" i="1"/>
  <c r="CU112" i="1" s="1"/>
  <c r="CV112" i="1" s="1"/>
  <c r="CT173" i="1"/>
  <c r="CU173" i="1" s="1"/>
  <c r="CV173" i="1" s="1"/>
  <c r="CT120" i="1"/>
  <c r="CU120" i="1" s="1"/>
  <c r="CV120" i="1" s="1"/>
  <c r="CT276" i="1"/>
  <c r="CU276" i="1" s="1"/>
  <c r="CV276" i="1" s="1"/>
  <c r="CT130" i="1"/>
  <c r="CU130" i="1" s="1"/>
  <c r="CV130" i="1" s="1"/>
  <c r="CT68" i="1"/>
  <c r="CU68" i="1" s="1"/>
  <c r="CV68" i="1" s="1"/>
  <c r="CT178" i="1"/>
  <c r="CU178" i="1" s="1"/>
  <c r="CV178" i="1" s="1"/>
  <c r="CT296" i="1"/>
  <c r="CU296" i="1" s="1"/>
  <c r="CV296" i="1" s="1"/>
  <c r="CT53" i="1"/>
  <c r="CU53" i="1" s="1"/>
  <c r="CV53" i="1" s="1"/>
  <c r="CT105" i="1"/>
  <c r="CU105" i="1" s="1"/>
  <c r="CV105" i="1" s="1"/>
  <c r="CT179" i="1"/>
  <c r="CU179" i="1" s="1"/>
  <c r="CV179" i="1" s="1"/>
  <c r="CT113" i="1"/>
  <c r="CU113" i="1" s="1"/>
  <c r="CV113" i="1" s="1"/>
  <c r="CT217" i="1"/>
  <c r="CU217" i="1" s="1"/>
  <c r="CV217" i="1" s="1"/>
  <c r="CT95" i="1"/>
  <c r="CU95" i="1" s="1"/>
  <c r="CV95" i="1" s="1"/>
  <c r="CT275" i="1"/>
  <c r="CU275" i="1" s="1"/>
  <c r="CV275" i="1" s="1"/>
  <c r="CT170" i="1"/>
  <c r="CU170" i="1" s="1"/>
  <c r="CV170" i="1" s="1"/>
  <c r="CT64" i="1"/>
  <c r="CU64" i="1" s="1"/>
  <c r="CV64" i="1" s="1"/>
  <c r="CT103" i="1"/>
  <c r="CU103" i="1" s="1"/>
  <c r="CV103" i="1" s="1"/>
  <c r="CT313" i="1"/>
  <c r="CU313" i="1" s="1"/>
  <c r="CV313" i="1" s="1"/>
  <c r="CT199" i="1"/>
  <c r="CU199" i="1" s="1"/>
  <c r="CV199" i="1" s="1"/>
  <c r="CT2" i="1"/>
  <c r="CU2" i="1" s="1"/>
  <c r="CV2" i="1" s="1"/>
  <c r="CT201" i="1"/>
  <c r="CU201" i="1" s="1"/>
  <c r="CV201" i="1" s="1"/>
  <c r="CT140" i="1"/>
  <c r="CU140" i="1" s="1"/>
  <c r="CV140" i="1" s="1"/>
  <c r="CT306" i="1"/>
  <c r="CU306" i="1" s="1"/>
  <c r="CV306" i="1" s="1"/>
  <c r="CT119" i="1"/>
  <c r="CU119" i="1" s="1"/>
  <c r="CV119" i="1" s="1"/>
  <c r="CT42" i="1"/>
  <c r="CU42" i="1" s="1"/>
  <c r="CV42" i="1" s="1"/>
  <c r="CT82" i="1"/>
  <c r="CU82" i="1" s="1"/>
  <c r="CV82" i="1" s="1"/>
  <c r="CT54" i="1"/>
  <c r="CU54" i="1" s="1"/>
  <c r="CV54" i="1" s="1"/>
  <c r="CT44" i="1"/>
  <c r="CU44" i="1" s="1"/>
  <c r="CV44" i="1" s="1"/>
  <c r="CT271" i="1"/>
  <c r="CU271" i="1" s="1"/>
  <c r="CV271" i="1" s="1"/>
  <c r="CT4" i="1"/>
  <c r="CU4" i="1" s="1"/>
  <c r="CV4" i="1" s="1"/>
  <c r="CT34" i="1"/>
  <c r="CU34" i="1" s="1"/>
  <c r="CV34" i="1" s="1"/>
  <c r="CT144" i="1"/>
  <c r="CU144" i="1" s="1"/>
  <c r="CV144" i="1" s="1"/>
  <c r="CT205" i="1"/>
  <c r="CU205" i="1" s="1"/>
  <c r="CV205" i="1" s="1"/>
  <c r="CT87" i="1"/>
  <c r="CU87" i="1" s="1"/>
  <c r="CV87" i="1" s="1"/>
  <c r="CT62" i="1"/>
  <c r="CU62" i="1" s="1"/>
  <c r="CV62" i="1" s="1"/>
  <c r="CT98" i="1"/>
  <c r="CU98" i="1" s="1"/>
  <c r="CV98" i="1" s="1"/>
  <c r="CT155" i="1"/>
  <c r="CU155" i="1" s="1"/>
  <c r="CV155" i="1" s="1"/>
  <c r="CT270" i="1"/>
  <c r="CU270" i="1" s="1"/>
  <c r="CV270" i="1" s="1"/>
  <c r="CT315" i="1"/>
  <c r="CU315" i="1" s="1"/>
  <c r="CV315" i="1" s="1"/>
  <c r="CT24" i="1"/>
  <c r="CU24" i="1" s="1"/>
  <c r="CV24" i="1" s="1"/>
  <c r="CT231" i="1"/>
  <c r="CU231" i="1" s="1"/>
  <c r="CV231" i="1" s="1"/>
  <c r="CT196" i="1"/>
  <c r="CU196" i="1" s="1"/>
  <c r="CV196" i="1" s="1"/>
  <c r="CT71" i="1"/>
  <c r="CU71" i="1" s="1"/>
  <c r="CV71" i="1" s="1"/>
  <c r="CT298" i="1"/>
  <c r="CU298" i="1" s="1"/>
  <c r="CV298" i="1" s="1"/>
  <c r="CT164" i="1"/>
  <c r="CU164" i="1" s="1"/>
  <c r="CV164" i="1" s="1"/>
  <c r="CT84" i="1"/>
  <c r="CU84" i="1" s="1"/>
  <c r="CV84" i="1" s="1"/>
  <c r="CT194" i="1"/>
  <c r="CU194" i="1" s="1"/>
  <c r="CV194" i="1" s="1"/>
  <c r="CT206" i="1"/>
  <c r="CU206" i="1" s="1"/>
  <c r="CV206" i="1" s="1"/>
  <c r="CT260" i="1"/>
  <c r="CU260" i="1" s="1"/>
  <c r="CV260" i="1" s="1"/>
  <c r="CT309" i="1"/>
  <c r="CU309" i="1" s="1"/>
  <c r="CV309" i="1" s="1"/>
  <c r="CT249" i="1"/>
  <c r="CU249" i="1" s="1"/>
  <c r="CV249" i="1" s="1"/>
  <c r="CT310" i="1"/>
  <c r="CU310" i="1" s="1"/>
  <c r="CV310" i="1" s="1"/>
  <c r="CT251" i="1"/>
  <c r="CU251" i="1" s="1"/>
  <c r="CV251" i="1" s="1"/>
  <c r="CT96" i="1"/>
  <c r="CU96" i="1" s="1"/>
  <c r="CV96" i="1" s="1"/>
  <c r="CT149" i="1"/>
  <c r="CU149" i="1" s="1"/>
  <c r="CV149" i="1" s="1"/>
  <c r="CT285" i="1"/>
  <c r="CU285" i="1" s="1"/>
  <c r="CV285" i="1" s="1"/>
  <c r="CT188" i="1"/>
  <c r="CU188" i="1" s="1"/>
  <c r="CV188" i="1" s="1"/>
  <c r="CU6" i="1"/>
  <c r="CV6" i="1" s="1"/>
  <c r="CT308" i="1"/>
  <c r="CU308" i="1" s="1"/>
  <c r="CV308" i="1" s="1"/>
  <c r="CT117" i="1"/>
  <c r="CU117" i="1" s="1"/>
  <c r="CV117" i="1" s="1"/>
  <c r="CT37" i="1"/>
  <c r="CU37" i="1" s="1"/>
  <c r="CV37" i="1" s="1"/>
  <c r="CT142" i="1"/>
  <c r="CU142" i="1" s="1"/>
  <c r="CV142" i="1" s="1"/>
  <c r="CT110" i="1"/>
  <c r="CU110" i="1" s="1"/>
  <c r="CV110" i="1" s="1"/>
  <c r="CT227" i="1"/>
  <c r="CU227" i="1" s="1"/>
  <c r="CV227" i="1" s="1"/>
  <c r="CT75" i="1"/>
  <c r="CU75" i="1" s="1"/>
  <c r="CV75" i="1" s="1"/>
  <c r="CT180" i="1"/>
  <c r="CU180" i="1" s="1"/>
  <c r="CV180" i="1" s="1"/>
  <c r="CT121" i="1"/>
  <c r="CU121" i="1" s="1"/>
  <c r="CV121" i="1" s="1"/>
  <c r="CT182" i="1"/>
  <c r="CU182" i="1" s="1"/>
  <c r="CV182" i="1" s="1"/>
  <c r="CT241" i="1"/>
  <c r="CU241" i="1" s="1"/>
  <c r="CV241" i="1" s="1"/>
  <c r="CT235" i="1"/>
  <c r="CU235" i="1" s="1"/>
  <c r="CV235" i="1" s="1"/>
  <c r="CT237" i="1"/>
  <c r="CU237" i="1" s="1"/>
  <c r="CV237" i="1" s="1"/>
  <c r="CT57" i="1"/>
  <c r="CU57" i="1" s="1"/>
  <c r="CV57" i="1" s="1"/>
  <c r="CT283" i="1"/>
  <c r="CU283" i="1" s="1"/>
  <c r="CV283" i="1" s="1"/>
  <c r="CT163" i="1"/>
  <c r="CU163" i="1" s="1"/>
  <c r="CV163" i="1" s="1"/>
  <c r="CT284" i="1"/>
  <c r="CU284" i="1" s="1"/>
  <c r="CV284" i="1" s="1"/>
  <c r="CT136" i="1"/>
  <c r="CU136" i="1" s="1"/>
  <c r="CV136" i="1" s="1"/>
  <c r="CT147" i="1"/>
  <c r="CU147" i="1" s="1"/>
  <c r="CV147" i="1" s="1"/>
  <c r="CT55" i="1"/>
  <c r="CU55" i="1" s="1"/>
  <c r="CV55" i="1" s="1"/>
  <c r="CT242" i="1"/>
  <c r="CU242" i="1" s="1"/>
  <c r="CV242" i="1" s="1"/>
  <c r="CT250" i="1"/>
  <c r="CU250" i="1" s="1"/>
  <c r="CV250" i="1" s="1"/>
  <c r="CT23" i="1"/>
  <c r="CU23" i="1" s="1"/>
  <c r="CV23" i="1" s="1"/>
  <c r="CT150" i="1"/>
  <c r="CU150" i="1" s="1"/>
  <c r="CV150" i="1" s="1"/>
  <c r="CT254" i="1"/>
  <c r="CU254" i="1" s="1"/>
  <c r="CV254" i="1" s="1"/>
  <c r="CT204" i="1"/>
  <c r="CU204" i="1" s="1"/>
  <c r="CV204" i="1" s="1"/>
  <c r="CT100" i="1"/>
  <c r="CU100" i="1" s="1"/>
  <c r="CV100" i="1" s="1"/>
  <c r="CT80" i="1"/>
  <c r="CU80" i="1" s="1"/>
  <c r="CV80" i="1" s="1"/>
  <c r="CT171" i="1"/>
  <c r="CU171" i="1" s="1"/>
  <c r="CV171" i="1" s="1"/>
  <c r="CT56" i="1"/>
  <c r="CU56" i="1" s="1"/>
  <c r="CV56" i="1" s="1"/>
  <c r="CT320" i="1"/>
  <c r="CU320" i="1" s="1"/>
  <c r="CV320" i="1" s="1"/>
  <c r="CT191" i="1"/>
  <c r="CU191" i="1" s="1"/>
  <c r="CV191" i="1" s="1"/>
  <c r="CT258" i="1"/>
  <c r="CU258" i="1" s="1"/>
  <c r="CV258" i="1" s="1"/>
  <c r="CT218" i="1"/>
  <c r="CU218" i="1" s="1"/>
  <c r="CV218" i="1" s="1"/>
  <c r="CT41" i="1"/>
  <c r="CU41" i="1" s="1"/>
  <c r="CV41" i="1" s="1"/>
  <c r="CT259" i="1"/>
  <c r="CU259" i="1" s="1"/>
  <c r="CV259" i="1" s="1"/>
  <c r="CT50" i="1"/>
  <c r="CU50" i="1" s="1"/>
  <c r="CV50" i="1" s="1"/>
  <c r="CT108" i="1"/>
  <c r="CU108" i="1" s="1"/>
  <c r="CV108" i="1" s="1"/>
  <c r="CT35" i="1"/>
  <c r="CU35" i="1" s="1"/>
  <c r="CV35" i="1" s="1"/>
  <c r="CT301" i="1"/>
  <c r="CU301" i="1" s="1"/>
  <c r="CV301" i="1" s="1"/>
  <c r="CT226" i="1"/>
  <c r="CU226" i="1" s="1"/>
  <c r="CV226" i="1" s="1"/>
  <c r="CT233" i="1"/>
  <c r="CU233" i="1" s="1"/>
  <c r="CV233" i="1" s="1"/>
  <c r="CT255" i="1"/>
  <c r="CU255" i="1" s="1"/>
  <c r="CV255" i="1" s="1"/>
  <c r="CT18" i="1"/>
  <c r="CU18" i="1" s="1"/>
  <c r="CV18" i="1" s="1"/>
  <c r="CT132" i="1"/>
  <c r="CU132" i="1" s="1"/>
  <c r="CV132" i="1" s="1"/>
  <c r="CT252" i="1"/>
  <c r="CU252" i="1" s="1"/>
  <c r="CV252" i="1" s="1"/>
  <c r="CT49" i="1"/>
  <c r="CU49" i="1" s="1"/>
  <c r="CV49" i="1" s="1"/>
  <c r="CT143" i="1"/>
  <c r="CU143" i="1" s="1"/>
  <c r="CV143" i="1" s="1"/>
  <c r="CT172" i="1"/>
  <c r="CU172" i="1" s="1"/>
  <c r="CV172" i="1" s="1"/>
  <c r="CT234" i="1"/>
  <c r="CU234" i="1" s="1"/>
  <c r="CV234" i="1" s="1"/>
  <c r="CT186" i="1"/>
  <c r="CU186" i="1" s="1"/>
  <c r="CV186" i="1" s="1"/>
  <c r="CT319" i="1"/>
  <c r="CU319" i="1" s="1"/>
  <c r="CV319" i="1" s="1"/>
  <c r="CT127" i="1"/>
  <c r="CU127" i="1" s="1"/>
  <c r="CV127" i="1" s="1"/>
  <c r="CT292" i="1"/>
  <c r="CU292" i="1" s="1"/>
  <c r="CV292" i="1" s="1"/>
  <c r="CT167" i="1"/>
  <c r="CU167" i="1" s="1"/>
  <c r="CV167" i="1" s="1"/>
  <c r="CT89" i="1"/>
  <c r="CU89" i="1" s="1"/>
  <c r="CV89" i="1" s="1"/>
  <c r="CT232" i="1"/>
  <c r="CU232" i="1" s="1"/>
  <c r="CV232" i="1" s="1"/>
  <c r="CT272" i="1"/>
  <c r="CU272" i="1" s="1"/>
  <c r="CV272" i="1" s="1"/>
  <c r="CT295" i="1"/>
  <c r="CU295" i="1" s="1"/>
  <c r="CV295" i="1" s="1"/>
  <c r="CT200" i="1"/>
  <c r="CU200" i="1" s="1"/>
  <c r="CV200" i="1" s="1"/>
  <c r="CT208" i="1"/>
  <c r="CU208" i="1" s="1"/>
  <c r="CV208" i="1" s="1"/>
  <c r="CT214" i="1"/>
  <c r="CU214" i="1" s="1"/>
  <c r="CV214" i="1" s="1"/>
  <c r="CT139" i="1"/>
  <c r="CU139" i="1" s="1"/>
  <c r="CV139" i="1" s="1"/>
  <c r="CT97" i="1"/>
  <c r="CU97" i="1" s="1"/>
  <c r="CV97" i="1" s="1"/>
  <c r="CT297" i="1"/>
  <c r="CU297" i="1" s="1"/>
  <c r="CV297" i="1" s="1"/>
  <c r="CT318" i="1"/>
  <c r="CU318" i="1" s="1"/>
  <c r="CV318" i="1" s="1"/>
  <c r="CT10" i="1"/>
  <c r="CU10" i="1" s="1"/>
  <c r="CV10" i="1" s="1"/>
  <c r="CT181" i="1"/>
  <c r="CU181" i="1" s="1"/>
  <c r="CV181" i="1" s="1"/>
  <c r="CT65" i="1"/>
  <c r="CU65" i="1" s="1"/>
  <c r="CV65" i="1" s="1"/>
  <c r="CT124" i="1"/>
  <c r="CU124" i="1" s="1"/>
  <c r="CV124" i="1" s="1"/>
  <c r="CT317" i="1"/>
  <c r="CU317" i="1" s="1"/>
  <c r="CV317" i="1" s="1"/>
  <c r="CT183" i="1"/>
  <c r="CU183" i="1" s="1"/>
  <c r="CV183" i="1" s="1"/>
  <c r="CT300" i="1"/>
  <c r="CU300" i="1" s="1"/>
  <c r="CV300" i="1" s="1"/>
  <c r="CT274" i="1"/>
  <c r="CU274" i="1" s="1"/>
  <c r="CV274" i="1" s="1"/>
  <c r="CT243" i="1"/>
  <c r="CU243" i="1" s="1"/>
  <c r="CV243" i="1" s="1"/>
  <c r="CT67" i="1"/>
  <c r="CU67" i="1" s="1"/>
  <c r="CV67" i="1" s="1"/>
  <c r="CT92" i="1"/>
  <c r="CU92" i="1" s="1"/>
  <c r="CV92" i="1" s="1"/>
  <c r="CT273" i="1"/>
  <c r="CU273" i="1" s="1"/>
  <c r="CV273" i="1" s="1"/>
  <c r="CT209" i="1"/>
  <c r="CU209" i="1" s="1"/>
  <c r="CV209" i="1" s="1"/>
  <c r="CT294" i="1"/>
  <c r="CU294" i="1" s="1"/>
  <c r="CV294" i="1" s="1"/>
  <c r="CT248" i="1"/>
  <c r="CU248" i="1" s="1"/>
  <c r="CV248" i="1" s="1"/>
  <c r="CT19" i="1"/>
  <c r="CU19" i="1" s="1"/>
  <c r="CV19" i="1" s="1"/>
  <c r="CT219" i="1"/>
  <c r="CU219" i="1" s="1"/>
  <c r="CV219" i="1" s="1"/>
  <c r="CT69" i="1"/>
  <c r="CU69" i="1" s="1"/>
  <c r="CV69" i="1" s="1"/>
  <c r="CT5" i="1"/>
  <c r="CU5" i="1" s="1"/>
  <c r="CV5" i="1" s="1"/>
  <c r="CT59" i="1"/>
  <c r="CU59" i="1" s="1"/>
  <c r="CV59" i="1" s="1"/>
  <c r="CT244" i="1"/>
  <c r="CU244" i="1" s="1"/>
  <c r="CV244" i="1" s="1"/>
  <c r="CT215" i="1"/>
  <c r="CU215" i="1" s="1"/>
  <c r="CV215" i="1" s="1"/>
  <c r="CT48" i="1"/>
  <c r="CU48" i="1" s="1"/>
  <c r="CV48" i="1" s="1"/>
  <c r="CT11" i="1"/>
  <c r="CU11" i="1" s="1"/>
  <c r="CV11" i="1" s="1"/>
  <c r="CT316" i="1"/>
  <c r="CU316" i="1" s="1"/>
  <c r="CV316" i="1" s="1"/>
  <c r="CT38" i="1"/>
  <c r="CU38" i="1" s="1"/>
  <c r="CV38" i="1" s="1"/>
  <c r="CT138" i="1"/>
  <c r="CU138" i="1" s="1"/>
  <c r="CV138" i="1" s="1"/>
  <c r="CT7" i="1"/>
  <c r="CU7" i="1" s="1"/>
  <c r="CV7" i="1" s="1"/>
  <c r="CT83" i="1"/>
  <c r="CU83" i="1" s="1"/>
  <c r="CV83" i="1" s="1"/>
  <c r="CT70" i="1"/>
  <c r="CU70" i="1" s="1"/>
  <c r="CV70" i="1" s="1"/>
  <c r="CT157" i="1"/>
  <c r="CU157" i="1" s="1"/>
  <c r="CV157" i="1" s="1"/>
  <c r="CT111" i="1"/>
  <c r="CU111" i="1" s="1"/>
  <c r="CV111" i="1" s="1"/>
  <c r="CT192" i="1"/>
  <c r="CU192" i="1" s="1"/>
  <c r="CV192" i="1" s="1"/>
  <c r="CT302" i="1"/>
  <c r="CU302" i="1" s="1"/>
  <c r="CV302" i="1" s="1"/>
  <c r="BW62" i="2"/>
  <c r="BW52" i="2"/>
  <c r="BB119" i="2"/>
  <c r="BC119" i="2" s="1"/>
  <c r="BD119" i="2" s="1"/>
  <c r="BB199" i="2"/>
  <c r="BC199" i="2" s="1"/>
  <c r="BD199" i="2" s="1"/>
  <c r="BB281" i="2"/>
  <c r="BC281" i="2" s="1"/>
  <c r="BD281" i="2" s="1"/>
  <c r="BB27" i="2"/>
  <c r="BC27" i="2" s="1"/>
  <c r="BD27" i="2" s="1"/>
  <c r="BB35" i="2"/>
  <c r="BC35" i="2" s="1"/>
  <c r="BD35" i="2" s="1"/>
  <c r="BB146" i="2"/>
  <c r="BC146" i="2" s="1"/>
  <c r="BD146" i="2" s="1"/>
  <c r="BB169" i="2"/>
  <c r="BC169" i="2" s="1"/>
  <c r="BD169" i="2" s="1"/>
  <c r="BB225" i="2"/>
  <c r="BC225" i="2" s="1"/>
  <c r="BD225" i="2" s="1"/>
  <c r="BB47" i="2"/>
  <c r="BC47" i="2" s="1"/>
  <c r="BD47" i="2" s="1"/>
  <c r="BB57" i="2"/>
  <c r="BC57" i="2" s="1"/>
  <c r="BD57" i="2" s="1"/>
  <c r="BB80" i="2"/>
  <c r="BC80" i="2" s="1"/>
  <c r="BD80" i="2" s="1"/>
  <c r="BB140" i="2"/>
  <c r="BC140" i="2" s="1"/>
  <c r="BD140" i="2" s="1"/>
  <c r="BB304" i="2"/>
  <c r="BC304" i="2" s="1"/>
  <c r="BD304" i="2" s="1"/>
  <c r="BB11" i="2"/>
  <c r="BC11" i="2" s="1"/>
  <c r="BD11" i="2" s="1"/>
  <c r="BB81" i="2"/>
  <c r="BC81" i="2" s="1"/>
  <c r="BD81" i="2" s="1"/>
  <c r="BB96" i="2"/>
  <c r="BC96" i="2" s="1"/>
  <c r="BD96" i="2" s="1"/>
  <c r="BB141" i="2"/>
  <c r="BC141" i="2" s="1"/>
  <c r="BD141" i="2" s="1"/>
  <c r="BB176" i="2"/>
  <c r="BC176" i="2" s="1"/>
  <c r="BD176" i="2" s="1"/>
  <c r="BB232" i="2"/>
  <c r="BC232" i="2" s="1"/>
  <c r="BD232" i="2" s="1"/>
  <c r="BB277" i="2"/>
  <c r="BC277" i="2" s="1"/>
  <c r="BD277" i="2" s="1"/>
  <c r="BB297" i="2"/>
  <c r="BC297" i="2" s="1"/>
  <c r="BD297" i="2" s="1"/>
  <c r="BB72" i="2"/>
  <c r="BC72" i="2" s="1"/>
  <c r="BD72" i="2" s="1"/>
  <c r="BB188" i="2"/>
  <c r="BC188" i="2" s="1"/>
  <c r="BD188" i="2" s="1"/>
  <c r="BB248" i="2"/>
  <c r="BC248" i="2" s="1"/>
  <c r="BD248" i="2" s="1"/>
  <c r="BB270" i="2"/>
  <c r="BC270" i="2" s="1"/>
  <c r="BD270" i="2" s="1"/>
  <c r="BB130" i="2"/>
  <c r="BC130" i="2" s="1"/>
  <c r="BD130" i="2" s="1"/>
  <c r="BB247" i="2"/>
  <c r="BC247" i="2" s="1"/>
  <c r="BD247" i="2" s="1"/>
  <c r="BB102" i="2"/>
  <c r="BC102" i="2" s="1"/>
  <c r="BD102" i="2" s="1"/>
  <c r="BB249" i="2"/>
  <c r="BC249" i="2" s="1"/>
  <c r="BD249" i="2" s="1"/>
  <c r="BB278" i="2"/>
  <c r="BC278" i="2" s="1"/>
  <c r="BD278" i="2" s="1"/>
  <c r="BB298" i="2"/>
  <c r="BC298" i="2" s="1"/>
  <c r="BD298" i="2" s="1"/>
  <c r="BB2" i="2"/>
  <c r="BC2" i="2" s="1"/>
  <c r="BD2" i="2" s="1"/>
  <c r="BB173" i="2"/>
  <c r="BC173" i="2" s="1"/>
  <c r="BD173" i="2" s="1"/>
  <c r="BB206" i="2"/>
  <c r="BC206" i="2" s="1"/>
  <c r="BD206" i="2" s="1"/>
  <c r="BB236" i="2"/>
  <c r="BC236" i="2" s="1"/>
  <c r="BD236" i="2" s="1"/>
  <c r="BB238" i="2"/>
  <c r="BC238" i="2" s="1"/>
  <c r="BD238" i="2" s="1"/>
  <c r="BB284" i="2"/>
  <c r="BC284" i="2" s="1"/>
  <c r="BD284" i="2" s="1"/>
  <c r="BB318" i="2"/>
  <c r="BC318" i="2" s="1"/>
  <c r="BD318" i="2" s="1"/>
  <c r="AH93" i="2"/>
  <c r="AI93" i="2" s="1"/>
  <c r="AJ93" i="2" s="1"/>
  <c r="AH258" i="2"/>
  <c r="AI258" i="2" s="1"/>
  <c r="AJ258" i="2" s="1"/>
  <c r="AH72" i="2"/>
  <c r="AI72" i="2" s="1"/>
  <c r="AJ72" i="2" s="1"/>
  <c r="AH182" i="2"/>
  <c r="AI182" i="2" s="1"/>
  <c r="AJ182" i="2" s="1"/>
  <c r="AH5" i="2"/>
  <c r="AI5" i="2" s="1"/>
  <c r="AJ5" i="2" s="1"/>
  <c r="AH189" i="2"/>
  <c r="AI189" i="2" s="1"/>
  <c r="AJ189" i="2" s="1"/>
  <c r="AH198" i="2"/>
  <c r="AI198" i="2" s="1"/>
  <c r="AJ198" i="2" s="1"/>
  <c r="AH247" i="2"/>
  <c r="AI247" i="2" s="1"/>
  <c r="AJ247" i="2" s="1"/>
  <c r="AH253" i="2"/>
  <c r="AI253" i="2" s="1"/>
  <c r="AJ253" i="2" s="1"/>
  <c r="AH183" i="2"/>
  <c r="AI183" i="2" s="1"/>
  <c r="AJ183" i="2" s="1"/>
  <c r="AH251" i="2"/>
  <c r="AI251" i="2" s="1"/>
  <c r="AJ251" i="2" s="1"/>
  <c r="AH153" i="2"/>
  <c r="AI153" i="2" s="1"/>
  <c r="AJ153" i="2" s="1"/>
  <c r="AH222" i="2"/>
  <c r="AI222" i="2" s="1"/>
  <c r="AJ222" i="2" s="1"/>
  <c r="AH293" i="2"/>
  <c r="AI293" i="2" s="1"/>
  <c r="AJ293" i="2" s="1"/>
  <c r="AH193" i="2"/>
  <c r="AI193" i="2" s="1"/>
  <c r="AJ193" i="2" s="1"/>
  <c r="AH197" i="2"/>
  <c r="AI197" i="2" s="1"/>
  <c r="AJ197" i="2" s="1"/>
  <c r="AH94" i="2"/>
  <c r="AI94" i="2" s="1"/>
  <c r="AJ94" i="2" s="1"/>
  <c r="AH233" i="2"/>
  <c r="AI233" i="2" s="1"/>
  <c r="AJ233" i="2" s="1"/>
  <c r="AH255" i="2"/>
  <c r="AI255" i="2" s="1"/>
  <c r="AJ255" i="2" s="1"/>
  <c r="AH284" i="2"/>
  <c r="AI284" i="2" s="1"/>
  <c r="AJ284" i="2" s="1"/>
  <c r="AH314" i="2"/>
  <c r="AI314" i="2" s="1"/>
  <c r="AJ314" i="2" s="1"/>
  <c r="AH218" i="2"/>
  <c r="AI218" i="2" s="1"/>
  <c r="AJ218" i="2" s="1"/>
  <c r="AH289" i="2"/>
  <c r="AI289" i="2" s="1"/>
  <c r="AJ289" i="2" s="1"/>
  <c r="AH31" i="2"/>
  <c r="AI31" i="2" s="1"/>
  <c r="AJ31" i="2" s="1"/>
  <c r="AH11" i="2"/>
  <c r="AI11" i="2" s="1"/>
  <c r="AJ11" i="2" s="1"/>
  <c r="AH36" i="2"/>
  <c r="AI36" i="2" s="1"/>
  <c r="AJ36" i="2" s="1"/>
  <c r="AH48" i="2"/>
  <c r="AI48" i="2" s="1"/>
  <c r="AJ48" i="2" s="1"/>
  <c r="AH51" i="2"/>
  <c r="AI51" i="2" s="1"/>
  <c r="AJ51" i="2" s="1"/>
  <c r="AH204" i="2"/>
  <c r="AI204" i="2" s="1"/>
  <c r="AJ204" i="2" s="1"/>
  <c r="AH216" i="2"/>
  <c r="AI216" i="2" s="1"/>
  <c r="AJ216" i="2" s="1"/>
  <c r="AH219" i="2"/>
  <c r="AI219" i="2" s="1"/>
  <c r="AJ219" i="2" s="1"/>
  <c r="AH275" i="2"/>
  <c r="AI275" i="2" s="1"/>
  <c r="AJ275" i="2" s="1"/>
  <c r="AH313" i="2"/>
  <c r="AI313" i="2" s="1"/>
  <c r="AJ313" i="2" s="1"/>
  <c r="AH42" i="2"/>
  <c r="AI42" i="2" s="1"/>
  <c r="AJ42" i="2" s="1"/>
  <c r="AH96" i="2"/>
  <c r="AI96" i="2" s="1"/>
  <c r="AJ96" i="2" s="1"/>
  <c r="AH157" i="2"/>
  <c r="AI157" i="2" s="1"/>
  <c r="AJ157" i="2" s="1"/>
  <c r="AH228" i="2"/>
  <c r="AI228" i="2" s="1"/>
  <c r="AJ228" i="2" s="1"/>
  <c r="AH239" i="2"/>
  <c r="AI239" i="2" s="1"/>
  <c r="AJ239" i="2" s="1"/>
  <c r="AH40" i="2"/>
  <c r="AI40" i="2" s="1"/>
  <c r="AJ40" i="2" s="1"/>
  <c r="AH206" i="2"/>
  <c r="AI206" i="2" s="1"/>
  <c r="AJ206" i="2" s="1"/>
  <c r="AH212" i="2"/>
  <c r="AI212" i="2" s="1"/>
  <c r="AJ212" i="2" s="1"/>
  <c r="AH226" i="2"/>
  <c r="AI226" i="2" s="1"/>
  <c r="AJ226" i="2" s="1"/>
  <c r="AH13" i="2"/>
  <c r="AI13" i="2" s="1"/>
  <c r="AJ13" i="2" s="1"/>
  <c r="AH19" i="2"/>
  <c r="AI19" i="2" s="1"/>
  <c r="AJ19" i="2" s="1"/>
  <c r="AH60" i="2"/>
  <c r="AI60" i="2" s="1"/>
  <c r="AJ60" i="2" s="1"/>
  <c r="AH90" i="2"/>
  <c r="AI90" i="2" s="1"/>
  <c r="AJ90" i="2" s="1"/>
  <c r="AH98" i="2"/>
  <c r="AI98" i="2" s="1"/>
  <c r="AJ98" i="2" s="1"/>
  <c r="AH127" i="2"/>
  <c r="AI127" i="2" s="1"/>
  <c r="AJ127" i="2" s="1"/>
  <c r="AH147" i="2"/>
  <c r="AI147" i="2" s="1"/>
  <c r="AJ147" i="2" s="1"/>
  <c r="AH101" i="2"/>
  <c r="AI101" i="2" s="1"/>
  <c r="AJ101" i="2" s="1"/>
  <c r="AH264" i="2"/>
  <c r="AI264" i="2" s="1"/>
  <c r="AJ264" i="2" s="1"/>
  <c r="AH148" i="2"/>
  <c r="AI148" i="2" s="1"/>
  <c r="AJ148" i="2" s="1"/>
  <c r="AH21" i="2"/>
  <c r="AI21" i="2" s="1"/>
  <c r="AJ21" i="2" s="1"/>
  <c r="AH161" i="2"/>
  <c r="AI161" i="2" s="1"/>
  <c r="AJ161" i="2" s="1"/>
  <c r="AH299" i="2"/>
  <c r="AI299" i="2" s="1"/>
  <c r="AJ299" i="2" s="1"/>
  <c r="AG20" i="2"/>
  <c r="AF20" i="2"/>
  <c r="AB20" i="2"/>
  <c r="AC20" i="2" s="1"/>
  <c r="AD20" i="2" s="1"/>
  <c r="AE20" i="2" s="1"/>
  <c r="AB42" i="2"/>
  <c r="AC42" i="2" s="1"/>
  <c r="AD42" i="2" s="1"/>
  <c r="AE42" i="2" s="1"/>
  <c r="AG9" i="2"/>
  <c r="AF9" i="2"/>
  <c r="AB9" i="2"/>
  <c r="AC9" i="2" s="1"/>
  <c r="AD9" i="2" s="1"/>
  <c r="AE9" i="2" s="1"/>
  <c r="AH25" i="2"/>
  <c r="AI25" i="2" s="1"/>
  <c r="AJ25" i="2" s="1"/>
  <c r="BW26" i="2"/>
  <c r="BW75" i="2"/>
  <c r="BK75" i="2"/>
  <c r="BL75" i="2" s="1"/>
  <c r="BM75" i="2" s="1"/>
  <c r="BN75" i="2" s="1"/>
  <c r="BK14" i="2"/>
  <c r="BL14" i="2" s="1"/>
  <c r="BM14" i="2" s="1"/>
  <c r="BN14" i="2" s="1"/>
  <c r="BK15" i="2"/>
  <c r="BL15" i="2" s="1"/>
  <c r="BM15" i="2" s="1"/>
  <c r="BN15" i="2" s="1"/>
  <c r="BW15" i="2"/>
  <c r="BW45" i="2"/>
  <c r="BW49" i="2"/>
  <c r="BW50" i="2"/>
  <c r="BX50" i="2" s="1"/>
  <c r="BK71" i="2"/>
  <c r="BL71" i="2" s="1"/>
  <c r="BM71" i="2" s="1"/>
  <c r="BN71" i="2" s="1"/>
  <c r="BK2" i="2"/>
  <c r="BL2" i="2" s="1"/>
  <c r="BM2" i="2" s="1"/>
  <c r="BN2" i="2" s="1"/>
  <c r="BK24" i="2"/>
  <c r="BL24" i="2" s="1"/>
  <c r="BM24" i="2" s="1"/>
  <c r="BN24" i="2" s="1"/>
  <c r="AB66" i="2"/>
  <c r="AC66" i="2" s="1"/>
  <c r="AD66" i="2" s="1"/>
  <c r="AE66" i="2" s="1"/>
  <c r="AG66" i="2"/>
  <c r="AF66" i="2"/>
  <c r="AG100" i="2"/>
  <c r="AH100" i="2" s="1"/>
  <c r="AI100" i="2" s="1"/>
  <c r="AJ100" i="2" s="1"/>
  <c r="AB100" i="2"/>
  <c r="AC100" i="2" s="1"/>
  <c r="AD100" i="2" s="1"/>
  <c r="AE100" i="2" s="1"/>
  <c r="BB42" i="2"/>
  <c r="BC42" i="2" s="1"/>
  <c r="BD42" i="2" s="1"/>
  <c r="BW4" i="2"/>
  <c r="BK74" i="2"/>
  <c r="BL74" i="2" s="1"/>
  <c r="BM74" i="2" s="1"/>
  <c r="BN74" i="2" s="1"/>
  <c r="BW41" i="2"/>
  <c r="BK88" i="2"/>
  <c r="BL88" i="2" s="1"/>
  <c r="BM88" i="2" s="1"/>
  <c r="BN88" i="2" s="1"/>
  <c r="BK68" i="2"/>
  <c r="BL68" i="2" s="1"/>
  <c r="BM68" i="2" s="1"/>
  <c r="BN68" i="2" s="1"/>
  <c r="BK89" i="2"/>
  <c r="BL89" i="2" s="1"/>
  <c r="BM89" i="2" s="1"/>
  <c r="BN89" i="2" s="1"/>
  <c r="BW111" i="2"/>
  <c r="BK59" i="2"/>
  <c r="BL59" i="2" s="1"/>
  <c r="BM59" i="2" s="1"/>
  <c r="BN59" i="2" s="1"/>
  <c r="BW47" i="2"/>
  <c r="BK25" i="2"/>
  <c r="BL25" i="2" s="1"/>
  <c r="BM25" i="2" s="1"/>
  <c r="BN25" i="2" s="1"/>
  <c r="BW14" i="2"/>
  <c r="BW8" i="2"/>
  <c r="BX8" i="2" s="1"/>
  <c r="BK116" i="2"/>
  <c r="BL116" i="2" s="1"/>
  <c r="BM116" i="2" s="1"/>
  <c r="BN116" i="2" s="1"/>
  <c r="BW102" i="2"/>
  <c r="BX102" i="2" s="1"/>
  <c r="BW73" i="2"/>
  <c r="BK54" i="2"/>
  <c r="BL54" i="2" s="1"/>
  <c r="BM54" i="2" s="1"/>
  <c r="BN54" i="2" s="1"/>
  <c r="BW18" i="2"/>
  <c r="BW58" i="2"/>
  <c r="BX58" i="2" s="1"/>
  <c r="BW51" i="2"/>
  <c r="BK32" i="2"/>
  <c r="BL32" i="2" s="1"/>
  <c r="BM32" i="2" s="1"/>
  <c r="BN32" i="2" s="1"/>
  <c r="BW136" i="2"/>
  <c r="BK80" i="2"/>
  <c r="BL80" i="2" s="1"/>
  <c r="BM80" i="2" s="1"/>
  <c r="BN80" i="2" s="1"/>
  <c r="BK65" i="2"/>
  <c r="BL65" i="2" s="1"/>
  <c r="BM65" i="2" s="1"/>
  <c r="BN65" i="2" s="1"/>
  <c r="BK58" i="2"/>
  <c r="BL58" i="2" s="1"/>
  <c r="BM58" i="2" s="1"/>
  <c r="BN58" i="2" s="1"/>
  <c r="BK9" i="2"/>
  <c r="BL9" i="2" s="1"/>
  <c r="BM9" i="2" s="1"/>
  <c r="BN9" i="2" s="1"/>
  <c r="BW38" i="2"/>
  <c r="BW68" i="2"/>
  <c r="BW19" i="2"/>
  <c r="BX19" i="2" s="1"/>
  <c r="BW40" i="2"/>
  <c r="BX40" i="2" s="1"/>
  <c r="BW46" i="2"/>
  <c r="BX46" i="2" s="1"/>
  <c r="BW53" i="2"/>
  <c r="BK53" i="2"/>
  <c r="BL53" i="2" s="1"/>
  <c r="BM53" i="2" s="1"/>
  <c r="BN53" i="2" s="1"/>
  <c r="BK4" i="2"/>
  <c r="BL4" i="2" s="1"/>
  <c r="BM4" i="2" s="1"/>
  <c r="BN4" i="2" s="1"/>
  <c r="BK19" i="2"/>
  <c r="BL19" i="2" s="1"/>
  <c r="BM19" i="2" s="1"/>
  <c r="BN19" i="2" s="1"/>
  <c r="BB23" i="2"/>
  <c r="BC23" i="2" s="1"/>
  <c r="BD23" i="2" s="1"/>
  <c r="BW34" i="2"/>
  <c r="BX34" i="2" s="1"/>
  <c r="BK38" i="2"/>
  <c r="BL38" i="2" s="1"/>
  <c r="BM38" i="2" s="1"/>
  <c r="BN38" i="2" s="1"/>
  <c r="BK106" i="2"/>
  <c r="BL106" i="2" s="1"/>
  <c r="BM106" i="2" s="1"/>
  <c r="BN106" i="2" s="1"/>
  <c r="BW92" i="2"/>
  <c r="BW23" i="2"/>
  <c r="BW95" i="2"/>
  <c r="BX95" i="2" s="1"/>
  <c r="BW2" i="2"/>
  <c r="BW35" i="2"/>
  <c r="BX35" i="2" s="1"/>
  <c r="BW99" i="2"/>
  <c r="BW32" i="2"/>
  <c r="BW48" i="2"/>
  <c r="BX48" i="2" s="1"/>
  <c r="BW22" i="2"/>
  <c r="BX22" i="2" s="1"/>
  <c r="BW16" i="2"/>
  <c r="BX16" i="2" s="1"/>
  <c r="BW20" i="2"/>
  <c r="BX20" i="2" s="1"/>
  <c r="BW180" i="2"/>
  <c r="BK41" i="2"/>
  <c r="BL41" i="2" s="1"/>
  <c r="BM41" i="2" s="1"/>
  <c r="BN41" i="2" s="1"/>
  <c r="AG49" i="2"/>
  <c r="AH49" i="2" s="1"/>
  <c r="AI49" i="2" s="1"/>
  <c r="AJ49" i="2" s="1"/>
  <c r="AB49" i="2"/>
  <c r="AC49" i="2" s="1"/>
  <c r="AD49" i="2" s="1"/>
  <c r="AE49" i="2" s="1"/>
  <c r="BW98" i="2"/>
  <c r="BK98" i="2"/>
  <c r="BL98" i="2" s="1"/>
  <c r="BM98" i="2" s="1"/>
  <c r="BN98" i="2" s="1"/>
  <c r="BW12" i="2"/>
  <c r="BK12" i="2"/>
  <c r="BL12" i="2" s="1"/>
  <c r="BM12" i="2" s="1"/>
  <c r="BN12" i="2" s="1"/>
  <c r="AB22" i="2"/>
  <c r="AC22" i="2" s="1"/>
  <c r="AD22" i="2" s="1"/>
  <c r="AE22" i="2" s="1"/>
  <c r="AG22" i="2"/>
  <c r="AF22" i="2"/>
  <c r="BW5" i="2"/>
  <c r="BX5" i="2" s="1"/>
  <c r="BK5" i="2"/>
  <c r="BL5" i="2" s="1"/>
  <c r="BM5" i="2" s="1"/>
  <c r="BN5" i="2" s="1"/>
  <c r="BW30" i="2"/>
  <c r="AG67" i="2"/>
  <c r="AF67" i="2"/>
  <c r="AB67" i="2"/>
  <c r="AC67" i="2" s="1"/>
  <c r="AD67" i="2" s="1"/>
  <c r="AE67" i="2" s="1"/>
  <c r="AF53" i="2"/>
  <c r="AG53" i="2"/>
  <c r="AB53" i="2"/>
  <c r="AC53" i="2" s="1"/>
  <c r="AD53" i="2" s="1"/>
  <c r="AE53" i="2" s="1"/>
  <c r="AF16" i="2"/>
  <c r="AG16" i="2"/>
  <c r="AB16" i="2"/>
  <c r="AC16" i="2" s="1"/>
  <c r="AD16" i="2" s="1"/>
  <c r="AE16" i="2" s="1"/>
  <c r="BK17" i="2"/>
  <c r="BL17" i="2" s="1"/>
  <c r="BM17" i="2" s="1"/>
  <c r="BN17" i="2" s="1"/>
  <c r="BK55" i="2"/>
  <c r="BL55" i="2" s="1"/>
  <c r="BM55" i="2" s="1"/>
  <c r="BN55" i="2" s="1"/>
  <c r="BW55" i="2"/>
  <c r="BX55" i="2" s="1"/>
  <c r="BB6" i="2"/>
  <c r="BC6" i="2" s="1"/>
  <c r="BD6" i="2" s="1"/>
  <c r="AG115" i="2"/>
  <c r="AF115" i="2"/>
  <c r="AB115" i="2"/>
  <c r="AC115" i="2" s="1"/>
  <c r="AD115" i="2" s="1"/>
  <c r="AE115" i="2" s="1"/>
  <c r="AG4" i="2"/>
  <c r="AH4" i="2" s="1"/>
  <c r="AI4" i="2" s="1"/>
  <c r="AJ4" i="2" s="1"/>
  <c r="AB4" i="2"/>
  <c r="AC4" i="2" s="1"/>
  <c r="AD4" i="2" s="1"/>
  <c r="AE4" i="2" s="1"/>
  <c r="BW57" i="2"/>
  <c r="BX57" i="2" s="1"/>
  <c r="BK13" i="2"/>
  <c r="BL13" i="2" s="1"/>
  <c r="BM13" i="2" s="1"/>
  <c r="BN13" i="2" s="1"/>
  <c r="BK82" i="2"/>
  <c r="BL82" i="2" s="1"/>
  <c r="BM82" i="2" s="1"/>
  <c r="BN82" i="2" s="1"/>
  <c r="AG3" i="2"/>
  <c r="AF3" i="2"/>
  <c r="AB3" i="2"/>
  <c r="AC3" i="2" s="1"/>
  <c r="AD3" i="2" s="1"/>
  <c r="AE3" i="2" s="1"/>
  <c r="BW3" i="2"/>
  <c r="BX3" i="2" s="1"/>
  <c r="AG58" i="2"/>
  <c r="AF58" i="2"/>
  <c r="AB58" i="2"/>
  <c r="AC58" i="2" s="1"/>
  <c r="AD58" i="2" s="1"/>
  <c r="AE58" i="2" s="1"/>
  <c r="AG64" i="2"/>
  <c r="AF64" i="2"/>
  <c r="AB64" i="2"/>
  <c r="AC64" i="2" s="1"/>
  <c r="AD64" i="2" s="1"/>
  <c r="AE64" i="2" s="1"/>
  <c r="AG59" i="2"/>
  <c r="AH59" i="2" s="1"/>
  <c r="AI59" i="2" s="1"/>
  <c r="AJ59" i="2" s="1"/>
  <c r="BB22" i="2"/>
  <c r="BC22" i="2" s="1"/>
  <c r="BD22" i="2" s="1"/>
  <c r="BW24" i="2"/>
  <c r="BX24" i="2" s="1"/>
  <c r="AG99" i="2"/>
  <c r="AH99" i="2" s="1"/>
  <c r="AI99" i="2" s="1"/>
  <c r="AJ99" i="2" s="1"/>
  <c r="AB99" i="2"/>
  <c r="AC99" i="2" s="1"/>
  <c r="AD99" i="2" s="1"/>
  <c r="AE99" i="2" s="1"/>
  <c r="BK11" i="2"/>
  <c r="BL11" i="2" s="1"/>
  <c r="BM11" i="2" s="1"/>
  <c r="BN11" i="2" s="1"/>
  <c r="BB14" i="2"/>
  <c r="BC14" i="2" s="1"/>
  <c r="BD14" i="2" s="1"/>
  <c r="BW21" i="2"/>
  <c r="BX21" i="2" s="1"/>
  <c r="BK45" i="2"/>
  <c r="BL45" i="2" s="1"/>
  <c r="BM45" i="2" s="1"/>
  <c r="BN45" i="2" s="1"/>
  <c r="AG83" i="2"/>
  <c r="AF83" i="2"/>
  <c r="AB89" i="2"/>
  <c r="AC89" i="2" s="1"/>
  <c r="AD89" i="2" s="1"/>
  <c r="AE89" i="2" s="1"/>
  <c r="AG89" i="2"/>
  <c r="AF89" i="2"/>
  <c r="BW89" i="2"/>
  <c r="BX89" i="2" s="1"/>
  <c r="AB111" i="2"/>
  <c r="AC111" i="2" s="1"/>
  <c r="AD111" i="2" s="1"/>
  <c r="AE111" i="2" s="1"/>
  <c r="AG111" i="2"/>
  <c r="AH111" i="2" s="1"/>
  <c r="AI111" i="2" s="1"/>
  <c r="AJ111" i="2" s="1"/>
  <c r="BX62" i="2"/>
  <c r="BW64" i="2"/>
  <c r="BW9" i="2"/>
  <c r="BX9" i="2" s="1"/>
  <c r="BK10" i="2"/>
  <c r="BL10" i="2" s="1"/>
  <c r="BM10" i="2" s="1"/>
  <c r="BN10" i="2" s="1"/>
  <c r="BX53" i="2"/>
  <c r="AH56" i="2"/>
  <c r="AI56" i="2" s="1"/>
  <c r="AJ56" i="2" s="1"/>
  <c r="BW65" i="2"/>
  <c r="BX65" i="2" s="1"/>
  <c r="AH68" i="2"/>
  <c r="AI68" i="2" s="1"/>
  <c r="AJ68" i="2" s="1"/>
  <c r="BW80" i="2"/>
  <c r="AH86" i="2"/>
  <c r="AI86" i="2" s="1"/>
  <c r="AJ86" i="2" s="1"/>
  <c r="BW127" i="2"/>
  <c r="BK127" i="2"/>
  <c r="BL127" i="2" s="1"/>
  <c r="BM127" i="2" s="1"/>
  <c r="BN127" i="2" s="1"/>
  <c r="AB10" i="2"/>
  <c r="AC10" i="2" s="1"/>
  <c r="AD10" i="2" s="1"/>
  <c r="AE10" i="2" s="1"/>
  <c r="AG10" i="2"/>
  <c r="AH10" i="2" s="1"/>
  <c r="AI10" i="2" s="1"/>
  <c r="AJ10" i="2" s="1"/>
  <c r="BW13" i="2"/>
  <c r="AF15" i="2"/>
  <c r="BW17" i="2"/>
  <c r="BW33" i="2"/>
  <c r="BX33" i="2" s="1"/>
  <c r="AB34" i="2"/>
  <c r="AC34" i="2" s="1"/>
  <c r="AD34" i="2" s="1"/>
  <c r="AE34" i="2" s="1"/>
  <c r="AG34" i="2"/>
  <c r="AF34" i="2"/>
  <c r="BB36" i="2"/>
  <c r="BC36" i="2" s="1"/>
  <c r="BD36" i="2" s="1"/>
  <c r="BK37" i="2"/>
  <c r="BL37" i="2" s="1"/>
  <c r="BM37" i="2" s="1"/>
  <c r="BN37" i="2" s="1"/>
  <c r="AB45" i="2"/>
  <c r="AC45" i="2" s="1"/>
  <c r="AD45" i="2" s="1"/>
  <c r="AE45" i="2" s="1"/>
  <c r="BX52" i="2"/>
  <c r="BB59" i="2"/>
  <c r="BC59" i="2" s="1"/>
  <c r="BD59" i="2" s="1"/>
  <c r="BW61" i="2"/>
  <c r="BW69" i="2"/>
  <c r="BW71" i="2"/>
  <c r="BX71" i="2" s="1"/>
  <c r="AG84" i="2"/>
  <c r="AF84" i="2"/>
  <c r="AB84" i="2"/>
  <c r="AC84" i="2" s="1"/>
  <c r="AD84" i="2" s="1"/>
  <c r="AE84" i="2" s="1"/>
  <c r="BW85" i="2"/>
  <c r="AB87" i="2"/>
  <c r="AC87" i="2" s="1"/>
  <c r="AD87" i="2" s="1"/>
  <c r="AE87" i="2" s="1"/>
  <c r="AG87" i="2"/>
  <c r="AF87" i="2"/>
  <c r="AG122" i="2"/>
  <c r="AH122" i="2" s="1"/>
  <c r="AI122" i="2" s="1"/>
  <c r="AJ122" i="2" s="1"/>
  <c r="AB122" i="2"/>
  <c r="AC122" i="2" s="1"/>
  <c r="AD122" i="2" s="1"/>
  <c r="AE122" i="2" s="1"/>
  <c r="BW172" i="2"/>
  <c r="BK172" i="2"/>
  <c r="BL172" i="2" s="1"/>
  <c r="BM172" i="2" s="1"/>
  <c r="BN172" i="2" s="1"/>
  <c r="BW7" i="2"/>
  <c r="AB136" i="2"/>
  <c r="AC136" i="2" s="1"/>
  <c r="AD136" i="2" s="1"/>
  <c r="AE136" i="2" s="1"/>
  <c r="AG136" i="2"/>
  <c r="AF136" i="2"/>
  <c r="BK6" i="2"/>
  <c r="BL6" i="2" s="1"/>
  <c r="BM6" i="2" s="1"/>
  <c r="BN6" i="2" s="1"/>
  <c r="BK7" i="2"/>
  <c r="BL7" i="2" s="1"/>
  <c r="BM7" i="2" s="1"/>
  <c r="BN7" i="2" s="1"/>
  <c r="BW10" i="2"/>
  <c r="BX10" i="2" s="1"/>
  <c r="BW11" i="2"/>
  <c r="AB14" i="2"/>
  <c r="AC14" i="2" s="1"/>
  <c r="AD14" i="2" s="1"/>
  <c r="AE14" i="2" s="1"/>
  <c r="AG14" i="2"/>
  <c r="AB23" i="2"/>
  <c r="AC23" i="2" s="1"/>
  <c r="AD23" i="2" s="1"/>
  <c r="AE23" i="2" s="1"/>
  <c r="BB43" i="2"/>
  <c r="BC43" i="2" s="1"/>
  <c r="BD43" i="2" s="1"/>
  <c r="AF45" i="2"/>
  <c r="BB86" i="2"/>
  <c r="BC86" i="2" s="1"/>
  <c r="BD86" i="2" s="1"/>
  <c r="BW93" i="2"/>
  <c r="BX93" i="2" s="1"/>
  <c r="BK93" i="2"/>
  <c r="BL93" i="2" s="1"/>
  <c r="BM93" i="2" s="1"/>
  <c r="BN93" i="2" s="1"/>
  <c r="BB117" i="2"/>
  <c r="BC117" i="2" s="1"/>
  <c r="BD117" i="2" s="1"/>
  <c r="BW130" i="2"/>
  <c r="BX130" i="2" s="1"/>
  <c r="AF8" i="2"/>
  <c r="AG8" i="2"/>
  <c r="AB8" i="2"/>
  <c r="AC8" i="2" s="1"/>
  <c r="AD8" i="2" s="1"/>
  <c r="AE8" i="2" s="1"/>
  <c r="AF12" i="2"/>
  <c r="AH12" i="2" s="1"/>
  <c r="AI12" i="2" s="1"/>
  <c r="AJ12" i="2" s="1"/>
  <c r="AG28" i="2"/>
  <c r="AF28" i="2"/>
  <c r="AB28" i="2"/>
  <c r="AC28" i="2" s="1"/>
  <c r="AD28" i="2" s="1"/>
  <c r="AE28" i="2" s="1"/>
  <c r="BW29" i="2"/>
  <c r="BX29" i="2" s="1"/>
  <c r="AB32" i="2"/>
  <c r="AC32" i="2" s="1"/>
  <c r="AD32" i="2" s="1"/>
  <c r="AE32" i="2" s="1"/>
  <c r="AG45" i="2"/>
  <c r="AG55" i="2"/>
  <c r="AF55" i="2"/>
  <c r="AB55" i="2"/>
  <c r="AC55" i="2" s="1"/>
  <c r="AD55" i="2" s="1"/>
  <c r="AE55" i="2" s="1"/>
  <c r="AF85" i="2"/>
  <c r="AB85" i="2"/>
  <c r="AC85" i="2" s="1"/>
  <c r="AD85" i="2" s="1"/>
  <c r="AE85" i="2" s="1"/>
  <c r="AG85" i="2"/>
  <c r="AB6" i="2"/>
  <c r="AC6" i="2" s="1"/>
  <c r="AD6" i="2" s="1"/>
  <c r="AE6" i="2" s="1"/>
  <c r="AF14" i="2"/>
  <c r="AG15" i="2"/>
  <c r="BW27" i="2"/>
  <c r="BK29" i="2"/>
  <c r="BL29" i="2" s="1"/>
  <c r="BM29" i="2" s="1"/>
  <c r="BN29" i="2" s="1"/>
  <c r="BW36" i="2"/>
  <c r="BW37" i="2"/>
  <c r="BX37" i="2" s="1"/>
  <c r="BK40" i="2"/>
  <c r="BL40" i="2" s="1"/>
  <c r="BM40" i="2" s="1"/>
  <c r="BN40" i="2" s="1"/>
  <c r="BX51" i="2"/>
  <c r="AG69" i="2"/>
  <c r="AB69" i="2"/>
  <c r="AC69" i="2" s="1"/>
  <c r="AD69" i="2" s="1"/>
  <c r="AE69" i="2" s="1"/>
  <c r="AF69" i="2"/>
  <c r="AG75" i="2"/>
  <c r="AF75" i="2"/>
  <c r="AB75" i="2"/>
  <c r="AC75" i="2" s="1"/>
  <c r="AD75" i="2" s="1"/>
  <c r="AE75" i="2" s="1"/>
  <c r="BB3" i="2"/>
  <c r="BC3" i="2" s="1"/>
  <c r="BD3" i="2" s="1"/>
  <c r="BW25" i="2"/>
  <c r="BK27" i="2"/>
  <c r="BL27" i="2" s="1"/>
  <c r="BM27" i="2" s="1"/>
  <c r="BN27" i="2" s="1"/>
  <c r="AH33" i="2"/>
  <c r="AI33" i="2" s="1"/>
  <c r="AJ33" i="2" s="1"/>
  <c r="BX17" i="2"/>
  <c r="BW31" i="2"/>
  <c r="BK31" i="2"/>
  <c r="BL31" i="2" s="1"/>
  <c r="BM31" i="2" s="1"/>
  <c r="BN31" i="2" s="1"/>
  <c r="AG65" i="2"/>
  <c r="AF65" i="2"/>
  <c r="AB65" i="2"/>
  <c r="AC65" i="2" s="1"/>
  <c r="AD65" i="2" s="1"/>
  <c r="AE65" i="2" s="1"/>
  <c r="AB71" i="2"/>
  <c r="AC71" i="2" s="1"/>
  <c r="AD71" i="2" s="1"/>
  <c r="AE71" i="2" s="1"/>
  <c r="BW76" i="2"/>
  <c r="BX76" i="2" s="1"/>
  <c r="BK35" i="2"/>
  <c r="BL35" i="2" s="1"/>
  <c r="BM35" i="2" s="1"/>
  <c r="BN35" i="2" s="1"/>
  <c r="BK187" i="2"/>
  <c r="BL187" i="2" s="1"/>
  <c r="BM187" i="2" s="1"/>
  <c r="BN187" i="2" s="1"/>
  <c r="BK99" i="2"/>
  <c r="BL99" i="2" s="1"/>
  <c r="BM99" i="2" s="1"/>
  <c r="BN99" i="2" s="1"/>
  <c r="BK28" i="2"/>
  <c r="BL28" i="2" s="1"/>
  <c r="BM28" i="2" s="1"/>
  <c r="BN28" i="2" s="1"/>
  <c r="BK22" i="2"/>
  <c r="BL22" i="2" s="1"/>
  <c r="BM22" i="2" s="1"/>
  <c r="BN22" i="2" s="1"/>
  <c r="BK16" i="2"/>
  <c r="BL16" i="2" s="1"/>
  <c r="BM16" i="2" s="1"/>
  <c r="BN16" i="2" s="1"/>
  <c r="BK20" i="2"/>
  <c r="BL20" i="2" s="1"/>
  <c r="BM20" i="2" s="1"/>
  <c r="BN20" i="2" s="1"/>
  <c r="BK92" i="2"/>
  <c r="BL92" i="2" s="1"/>
  <c r="BM92" i="2" s="1"/>
  <c r="BN92" i="2" s="1"/>
  <c r="BW6" i="2"/>
  <c r="BX6" i="2" s="1"/>
  <c r="BW44" i="2"/>
  <c r="AG47" i="2"/>
  <c r="AF47" i="2"/>
  <c r="AB47" i="2"/>
  <c r="AC47" i="2" s="1"/>
  <c r="AD47" i="2" s="1"/>
  <c r="AE47" i="2" s="1"/>
  <c r="AH57" i="2"/>
  <c r="AI57" i="2" s="1"/>
  <c r="AJ57" i="2" s="1"/>
  <c r="AG71" i="2"/>
  <c r="AH71" i="2" s="1"/>
  <c r="AI71" i="2" s="1"/>
  <c r="AJ71" i="2" s="1"/>
  <c r="BK81" i="2"/>
  <c r="BL81" i="2" s="1"/>
  <c r="BM81" i="2" s="1"/>
  <c r="BN81" i="2" s="1"/>
  <c r="AF27" i="2"/>
  <c r="AH27" i="2" s="1"/>
  <c r="AI27" i="2" s="1"/>
  <c r="AJ27" i="2" s="1"/>
  <c r="AF39" i="2"/>
  <c r="AH39" i="2" s="1"/>
  <c r="AI39" i="2" s="1"/>
  <c r="AJ39" i="2" s="1"/>
  <c r="AB39" i="2"/>
  <c r="AC39" i="2" s="1"/>
  <c r="AD39" i="2" s="1"/>
  <c r="AE39" i="2" s="1"/>
  <c r="BW39" i="2"/>
  <c r="AB54" i="2"/>
  <c r="AC54" i="2" s="1"/>
  <c r="AD54" i="2" s="1"/>
  <c r="AE54" i="2" s="1"/>
  <c r="AG54" i="2"/>
  <c r="AH54" i="2" s="1"/>
  <c r="AI54" i="2" s="1"/>
  <c r="AJ54" i="2" s="1"/>
  <c r="AB63" i="2"/>
  <c r="AC63" i="2" s="1"/>
  <c r="AD63" i="2" s="1"/>
  <c r="AE63" i="2" s="1"/>
  <c r="AG63" i="2"/>
  <c r="AH63" i="2" s="1"/>
  <c r="AI63" i="2" s="1"/>
  <c r="AJ63" i="2" s="1"/>
  <c r="BW115" i="2"/>
  <c r="BX115" i="2" s="1"/>
  <c r="BB92" i="2"/>
  <c r="BC92" i="2" s="1"/>
  <c r="BD92" i="2" s="1"/>
  <c r="AG118" i="2"/>
  <c r="AF118" i="2"/>
  <c r="AB118" i="2"/>
  <c r="AC118" i="2" s="1"/>
  <c r="AD118" i="2" s="1"/>
  <c r="AE118" i="2" s="1"/>
  <c r="BK120" i="2"/>
  <c r="BL120" i="2" s="1"/>
  <c r="BM120" i="2" s="1"/>
  <c r="BN120" i="2" s="1"/>
  <c r="BK42" i="2"/>
  <c r="BL42" i="2" s="1"/>
  <c r="BM42" i="2" s="1"/>
  <c r="BN42" i="2" s="1"/>
  <c r="AB59" i="2"/>
  <c r="AC59" i="2" s="1"/>
  <c r="AD59" i="2" s="1"/>
  <c r="AE59" i="2" s="1"/>
  <c r="BW63" i="2"/>
  <c r="BX63" i="2" s="1"/>
  <c r="AF130" i="2"/>
  <c r="AH130" i="2" s="1"/>
  <c r="AI130" i="2" s="1"/>
  <c r="AJ130" i="2" s="1"/>
  <c r="BW150" i="2"/>
  <c r="BW183" i="2"/>
  <c r="BX183" i="2" s="1"/>
  <c r="BK78" i="2"/>
  <c r="BL78" i="2" s="1"/>
  <c r="BM78" i="2" s="1"/>
  <c r="BN78" i="2" s="1"/>
  <c r="BK124" i="2"/>
  <c r="BL124" i="2" s="1"/>
  <c r="BM124" i="2" s="1"/>
  <c r="BN124" i="2" s="1"/>
  <c r="AG26" i="2"/>
  <c r="AF26" i="2"/>
  <c r="BW43" i="2"/>
  <c r="BW87" i="2"/>
  <c r="BX127" i="2"/>
  <c r="BK129" i="2"/>
  <c r="BL129" i="2" s="1"/>
  <c r="BM129" i="2" s="1"/>
  <c r="BN129" i="2" s="1"/>
  <c r="AG138" i="2"/>
  <c r="AF138" i="2"/>
  <c r="AB26" i="2"/>
  <c r="AC26" i="2" s="1"/>
  <c r="AD26" i="2" s="1"/>
  <c r="AE26" i="2" s="1"/>
  <c r="AG30" i="2"/>
  <c r="AB30" i="2"/>
  <c r="AC30" i="2" s="1"/>
  <c r="AD30" i="2" s="1"/>
  <c r="AE30" i="2" s="1"/>
  <c r="BK43" i="2"/>
  <c r="BL43" i="2" s="1"/>
  <c r="BM43" i="2" s="1"/>
  <c r="BN43" i="2" s="1"/>
  <c r="BW54" i="2"/>
  <c r="BX54" i="2" s="1"/>
  <c r="BK56" i="2"/>
  <c r="BL56" i="2" s="1"/>
  <c r="BM56" i="2" s="1"/>
  <c r="BN56" i="2" s="1"/>
  <c r="BW56" i="2"/>
  <c r="BK91" i="2"/>
  <c r="BL91" i="2" s="1"/>
  <c r="BM91" i="2" s="1"/>
  <c r="BN91" i="2" s="1"/>
  <c r="BW91" i="2"/>
  <c r="AB92" i="2"/>
  <c r="AC92" i="2" s="1"/>
  <c r="AD92" i="2" s="1"/>
  <c r="AE92" i="2" s="1"/>
  <c r="AG92" i="2"/>
  <c r="BW106" i="2"/>
  <c r="BW113" i="2"/>
  <c r="BK114" i="2"/>
  <c r="BL114" i="2" s="1"/>
  <c r="BM114" i="2" s="1"/>
  <c r="BN114" i="2" s="1"/>
  <c r="BW114" i="2"/>
  <c r="AG175" i="2"/>
  <c r="AH175" i="2" s="1"/>
  <c r="AI175" i="2" s="1"/>
  <c r="AJ175" i="2" s="1"/>
  <c r="AB175" i="2"/>
  <c r="AC175" i="2" s="1"/>
  <c r="AD175" i="2" s="1"/>
  <c r="AE175" i="2" s="1"/>
  <c r="AF175" i="2"/>
  <c r="AH37" i="2"/>
  <c r="AI37" i="2" s="1"/>
  <c r="AJ37" i="2" s="1"/>
  <c r="BW42" i="2"/>
  <c r="BK47" i="2"/>
  <c r="BL47" i="2" s="1"/>
  <c r="BM47" i="2" s="1"/>
  <c r="BN47" i="2" s="1"/>
  <c r="BW66" i="2"/>
  <c r="AF74" i="2"/>
  <c r="AH81" i="2"/>
  <c r="AI81" i="2" s="1"/>
  <c r="AJ81" i="2" s="1"/>
  <c r="AF91" i="2"/>
  <c r="BW28" i="2"/>
  <c r="AB44" i="2"/>
  <c r="AC44" i="2" s="1"/>
  <c r="AD44" i="2" s="1"/>
  <c r="AE44" i="2" s="1"/>
  <c r="AG44" i="2"/>
  <c r="AH44" i="2" s="1"/>
  <c r="AI44" i="2" s="1"/>
  <c r="AJ44" i="2" s="1"/>
  <c r="AG74" i="2"/>
  <c r="AG91" i="2"/>
  <c r="AB138" i="2"/>
  <c r="AC138" i="2" s="1"/>
  <c r="AD138" i="2" s="1"/>
  <c r="AE138" i="2" s="1"/>
  <c r="BK3" i="2"/>
  <c r="BL3" i="2" s="1"/>
  <c r="BM3" i="2" s="1"/>
  <c r="BN3" i="2" s="1"/>
  <c r="BK133" i="2"/>
  <c r="BL133" i="2" s="1"/>
  <c r="BM133" i="2" s="1"/>
  <c r="BN133" i="2" s="1"/>
  <c r="BW121" i="2"/>
  <c r="BX121" i="2" s="1"/>
  <c r="BW110" i="2"/>
  <c r="BW169" i="2"/>
  <c r="BX169" i="2" s="1"/>
  <c r="BK83" i="2"/>
  <c r="BL83" i="2" s="1"/>
  <c r="BM83" i="2" s="1"/>
  <c r="BN83" i="2" s="1"/>
  <c r="BW104" i="2"/>
  <c r="BK126" i="2"/>
  <c r="BL126" i="2" s="1"/>
  <c r="BM126" i="2" s="1"/>
  <c r="BN126" i="2" s="1"/>
  <c r="BW123" i="2"/>
  <c r="BK100" i="2"/>
  <c r="BL100" i="2" s="1"/>
  <c r="BM100" i="2" s="1"/>
  <c r="BN100" i="2" s="1"/>
  <c r="BW173" i="2"/>
  <c r="BX173" i="2" s="1"/>
  <c r="BW132" i="2"/>
  <c r="BX132" i="2" s="1"/>
  <c r="BW116" i="2"/>
  <c r="BW82" i="2"/>
  <c r="BX82" i="2" s="1"/>
  <c r="BW213" i="2"/>
  <c r="BK144" i="2"/>
  <c r="BL144" i="2" s="1"/>
  <c r="BM144" i="2" s="1"/>
  <c r="BN144" i="2" s="1"/>
  <c r="BK30" i="2"/>
  <c r="BL30" i="2" s="1"/>
  <c r="BM30" i="2" s="1"/>
  <c r="BN30" i="2" s="1"/>
  <c r="AG41" i="2"/>
  <c r="AF41" i="2"/>
  <c r="BK57" i="2"/>
  <c r="BL57" i="2" s="1"/>
  <c r="BM57" i="2" s="1"/>
  <c r="BN57" i="2" s="1"/>
  <c r="BW72" i="2"/>
  <c r="BK72" i="2"/>
  <c r="BL72" i="2" s="1"/>
  <c r="BM72" i="2" s="1"/>
  <c r="BN72" i="2" s="1"/>
  <c r="AF92" i="2"/>
  <c r="BW97" i="2"/>
  <c r="BX97" i="2" s="1"/>
  <c r="BK101" i="2"/>
  <c r="BL101" i="2" s="1"/>
  <c r="BM101" i="2" s="1"/>
  <c r="BN101" i="2" s="1"/>
  <c r="BW103" i="2"/>
  <c r="BW143" i="2"/>
  <c r="BX143" i="2" s="1"/>
  <c r="BK159" i="2"/>
  <c r="BL159" i="2" s="1"/>
  <c r="BM159" i="2" s="1"/>
  <c r="BN159" i="2" s="1"/>
  <c r="AF30" i="2"/>
  <c r="AB38" i="2"/>
  <c r="AC38" i="2" s="1"/>
  <c r="AD38" i="2" s="1"/>
  <c r="AE38" i="2" s="1"/>
  <c r="BK44" i="2"/>
  <c r="BL44" i="2" s="1"/>
  <c r="BM44" i="2" s="1"/>
  <c r="BN44" i="2" s="1"/>
  <c r="BK48" i="2"/>
  <c r="BL48" i="2" s="1"/>
  <c r="BM48" i="2" s="1"/>
  <c r="BN48" i="2" s="1"/>
  <c r="BW74" i="2"/>
  <c r="BX74" i="2" s="1"/>
  <c r="BW77" i="2"/>
  <c r="AH79" i="2"/>
  <c r="AI79" i="2" s="1"/>
  <c r="AJ79" i="2" s="1"/>
  <c r="BW79" i="2"/>
  <c r="BK79" i="2"/>
  <c r="BL79" i="2" s="1"/>
  <c r="BM79" i="2" s="1"/>
  <c r="BN79" i="2" s="1"/>
  <c r="BB112" i="2"/>
  <c r="BC112" i="2" s="1"/>
  <c r="BD112" i="2" s="1"/>
  <c r="BW128" i="2"/>
  <c r="BX128" i="2" s="1"/>
  <c r="AF120" i="2"/>
  <c r="AB120" i="2"/>
  <c r="AC120" i="2" s="1"/>
  <c r="AD120" i="2" s="1"/>
  <c r="AE120" i="2" s="1"/>
  <c r="AG120" i="2"/>
  <c r="BX150" i="2"/>
  <c r="AG265" i="2"/>
  <c r="AH265" i="2" s="1"/>
  <c r="AI265" i="2" s="1"/>
  <c r="AJ265" i="2" s="1"/>
  <c r="AB265" i="2"/>
  <c r="AC265" i="2" s="1"/>
  <c r="AD265" i="2" s="1"/>
  <c r="AE265" i="2" s="1"/>
  <c r="BW86" i="2"/>
  <c r="BX86" i="2" s="1"/>
  <c r="BK108" i="2"/>
  <c r="BL108" i="2" s="1"/>
  <c r="BM108" i="2" s="1"/>
  <c r="BN108" i="2" s="1"/>
  <c r="BW108" i="2"/>
  <c r="BW119" i="2"/>
  <c r="BX119" i="2" s="1"/>
  <c r="BX136" i="2"/>
  <c r="AG154" i="2"/>
  <c r="AF154" i="2"/>
  <c r="AB154" i="2"/>
  <c r="AC154" i="2" s="1"/>
  <c r="AD154" i="2" s="1"/>
  <c r="AE154" i="2" s="1"/>
  <c r="BK62" i="2"/>
  <c r="BL62" i="2" s="1"/>
  <c r="BM62" i="2" s="1"/>
  <c r="BN62" i="2" s="1"/>
  <c r="AB70" i="2"/>
  <c r="AC70" i="2" s="1"/>
  <c r="AD70" i="2" s="1"/>
  <c r="AE70" i="2" s="1"/>
  <c r="AG70" i="2"/>
  <c r="AF70" i="2"/>
  <c r="AH80" i="2"/>
  <c r="AI80" i="2" s="1"/>
  <c r="AJ80" i="2" s="1"/>
  <c r="BW101" i="2"/>
  <c r="BX101" i="2" s="1"/>
  <c r="AB105" i="2"/>
  <c r="AC105" i="2" s="1"/>
  <c r="AD105" i="2" s="1"/>
  <c r="AE105" i="2" s="1"/>
  <c r="AB108" i="2"/>
  <c r="AC108" i="2" s="1"/>
  <c r="AD108" i="2" s="1"/>
  <c r="AE108" i="2" s="1"/>
  <c r="AG108" i="2"/>
  <c r="AF108" i="2"/>
  <c r="AG110" i="2"/>
  <c r="AF110" i="2"/>
  <c r="BK148" i="2"/>
  <c r="BL148" i="2" s="1"/>
  <c r="BM148" i="2" s="1"/>
  <c r="BN148" i="2" s="1"/>
  <c r="AB119" i="2"/>
  <c r="AC119" i="2" s="1"/>
  <c r="AD119" i="2" s="1"/>
  <c r="AE119" i="2" s="1"/>
  <c r="AG119" i="2"/>
  <c r="AH119" i="2" s="1"/>
  <c r="AI119" i="2" s="1"/>
  <c r="AJ119" i="2" s="1"/>
  <c r="AG121" i="2"/>
  <c r="AF121" i="2"/>
  <c r="AB121" i="2"/>
  <c r="AC121" i="2" s="1"/>
  <c r="AD121" i="2" s="1"/>
  <c r="AE121" i="2" s="1"/>
  <c r="BK95" i="2"/>
  <c r="BL95" i="2" s="1"/>
  <c r="BM95" i="2" s="1"/>
  <c r="BN95" i="2" s="1"/>
  <c r="AG105" i="2"/>
  <c r="AH105" i="2" s="1"/>
  <c r="AI105" i="2" s="1"/>
  <c r="AJ105" i="2" s="1"/>
  <c r="AB110" i="2"/>
  <c r="AC110" i="2" s="1"/>
  <c r="AD110" i="2" s="1"/>
  <c r="AE110" i="2" s="1"/>
  <c r="BK111" i="2"/>
  <c r="BL111" i="2" s="1"/>
  <c r="BM111" i="2" s="1"/>
  <c r="BN111" i="2" s="1"/>
  <c r="BW117" i="2"/>
  <c r="BX117" i="2" s="1"/>
  <c r="BK117" i="2"/>
  <c r="BL117" i="2" s="1"/>
  <c r="BM117" i="2" s="1"/>
  <c r="BN117" i="2" s="1"/>
  <c r="BW120" i="2"/>
  <c r="BX120" i="2" s="1"/>
  <c r="AG187" i="2"/>
  <c r="AH187" i="2" s="1"/>
  <c r="AI187" i="2" s="1"/>
  <c r="AJ187" i="2" s="1"/>
  <c r="AB187" i="2"/>
  <c r="AC187" i="2" s="1"/>
  <c r="AD187" i="2" s="1"/>
  <c r="AE187" i="2" s="1"/>
  <c r="AG256" i="2"/>
  <c r="AF256" i="2"/>
  <c r="AB256" i="2"/>
  <c r="AC256" i="2" s="1"/>
  <c r="AD256" i="2" s="1"/>
  <c r="AE256" i="2" s="1"/>
  <c r="AG141" i="2"/>
  <c r="AH141" i="2" s="1"/>
  <c r="AI141" i="2" s="1"/>
  <c r="AJ141" i="2" s="1"/>
  <c r="AF141" i="2"/>
  <c r="AB141" i="2"/>
  <c r="AC141" i="2" s="1"/>
  <c r="AD141" i="2" s="1"/>
  <c r="AE141" i="2" s="1"/>
  <c r="BW107" i="2"/>
  <c r="BX107" i="2" s="1"/>
  <c r="BK107" i="2"/>
  <c r="BL107" i="2" s="1"/>
  <c r="BM107" i="2" s="1"/>
  <c r="BN107" i="2" s="1"/>
  <c r="AH112" i="2"/>
  <c r="AI112" i="2" s="1"/>
  <c r="AJ112" i="2" s="1"/>
  <c r="BW184" i="2"/>
  <c r="AB95" i="2"/>
  <c r="AC95" i="2" s="1"/>
  <c r="AD95" i="2" s="1"/>
  <c r="AE95" i="2" s="1"/>
  <c r="AF95" i="2"/>
  <c r="AH95" i="2" s="1"/>
  <c r="AI95" i="2" s="1"/>
  <c r="AJ95" i="2" s="1"/>
  <c r="BW96" i="2"/>
  <c r="BK97" i="2"/>
  <c r="BL97" i="2" s="1"/>
  <c r="BM97" i="2" s="1"/>
  <c r="BN97" i="2" s="1"/>
  <c r="AB104" i="2"/>
  <c r="AC104" i="2" s="1"/>
  <c r="AD104" i="2" s="1"/>
  <c r="AE104" i="2" s="1"/>
  <c r="AF104" i="2"/>
  <c r="AH104" i="2" s="1"/>
  <c r="AI104" i="2" s="1"/>
  <c r="AJ104" i="2" s="1"/>
  <c r="AG160" i="2"/>
  <c r="AF160" i="2"/>
  <c r="AB160" i="2"/>
  <c r="AC160" i="2" s="1"/>
  <c r="AD160" i="2" s="1"/>
  <c r="AE160" i="2" s="1"/>
  <c r="BW83" i="2"/>
  <c r="BW94" i="2"/>
  <c r="BK96" i="2"/>
  <c r="BL96" i="2" s="1"/>
  <c r="BM96" i="2" s="1"/>
  <c r="BN96" i="2" s="1"/>
  <c r="BK128" i="2"/>
  <c r="BL128" i="2" s="1"/>
  <c r="BM128" i="2" s="1"/>
  <c r="BN128" i="2" s="1"/>
  <c r="AG142" i="2"/>
  <c r="AH142" i="2" s="1"/>
  <c r="AI142" i="2" s="1"/>
  <c r="AJ142" i="2" s="1"/>
  <c r="AB142" i="2"/>
  <c r="AC142" i="2" s="1"/>
  <c r="AD142" i="2" s="1"/>
  <c r="AE142" i="2" s="1"/>
  <c r="BB77" i="2"/>
  <c r="BC77" i="2" s="1"/>
  <c r="BD77" i="2" s="1"/>
  <c r="BK103" i="2"/>
  <c r="BL103" i="2" s="1"/>
  <c r="BM103" i="2" s="1"/>
  <c r="BN103" i="2" s="1"/>
  <c r="BW170" i="2"/>
  <c r="BK170" i="2"/>
  <c r="BL170" i="2" s="1"/>
  <c r="BM170" i="2" s="1"/>
  <c r="BN170" i="2" s="1"/>
  <c r="BK225" i="2"/>
  <c r="BL225" i="2" s="1"/>
  <c r="BM225" i="2" s="1"/>
  <c r="BN225" i="2" s="1"/>
  <c r="AG227" i="2"/>
  <c r="AB227" i="2"/>
  <c r="AC227" i="2" s="1"/>
  <c r="AD227" i="2" s="1"/>
  <c r="AE227" i="2" s="1"/>
  <c r="AF227" i="2"/>
  <c r="BW88" i="2"/>
  <c r="BX88" i="2" s="1"/>
  <c r="BW124" i="2"/>
  <c r="AF131" i="2"/>
  <c r="AH131" i="2" s="1"/>
  <c r="AI131" i="2" s="1"/>
  <c r="AJ131" i="2" s="1"/>
  <c r="AB131" i="2"/>
  <c r="AC131" i="2" s="1"/>
  <c r="AD131" i="2" s="1"/>
  <c r="AE131" i="2" s="1"/>
  <c r="BW137" i="2"/>
  <c r="BK137" i="2"/>
  <c r="BL137" i="2" s="1"/>
  <c r="BM137" i="2" s="1"/>
  <c r="BN137" i="2" s="1"/>
  <c r="BX174" i="2"/>
  <c r="AG190" i="2"/>
  <c r="AH190" i="2" s="1"/>
  <c r="AI190" i="2" s="1"/>
  <c r="AJ190" i="2" s="1"/>
  <c r="AB190" i="2"/>
  <c r="AC190" i="2" s="1"/>
  <c r="AD190" i="2" s="1"/>
  <c r="AE190" i="2" s="1"/>
  <c r="AG137" i="2"/>
  <c r="AF137" i="2"/>
  <c r="AB137" i="2"/>
  <c r="AC137" i="2" s="1"/>
  <c r="AD137" i="2" s="1"/>
  <c r="AE137" i="2" s="1"/>
  <c r="BW140" i="2"/>
  <c r="AG173" i="2"/>
  <c r="AF173" i="2"/>
  <c r="AG109" i="2"/>
  <c r="AF109" i="2"/>
  <c r="BW129" i="2"/>
  <c r="BX129" i="2" s="1"/>
  <c r="BK135" i="2"/>
  <c r="BL135" i="2" s="1"/>
  <c r="BM135" i="2" s="1"/>
  <c r="BN135" i="2" s="1"/>
  <c r="AB140" i="2"/>
  <c r="AC140" i="2" s="1"/>
  <c r="AD140" i="2" s="1"/>
  <c r="AE140" i="2" s="1"/>
  <c r="AG135" i="2"/>
  <c r="AF135" i="2"/>
  <c r="BW164" i="2"/>
  <c r="BW226" i="2"/>
  <c r="BW228" i="2"/>
  <c r="BX228" i="2" s="1"/>
  <c r="BK228" i="2"/>
  <c r="BL228" i="2" s="1"/>
  <c r="BM228" i="2" s="1"/>
  <c r="BN228" i="2" s="1"/>
  <c r="AG77" i="2"/>
  <c r="AF77" i="2"/>
  <c r="BK90" i="2"/>
  <c r="BL90" i="2" s="1"/>
  <c r="BM90" i="2" s="1"/>
  <c r="BN90" i="2" s="1"/>
  <c r="AB102" i="2"/>
  <c r="AC102" i="2" s="1"/>
  <c r="AD102" i="2" s="1"/>
  <c r="AE102" i="2" s="1"/>
  <c r="AG102" i="2"/>
  <c r="AH102" i="2" s="1"/>
  <c r="AI102" i="2" s="1"/>
  <c r="AJ102" i="2" s="1"/>
  <c r="BW105" i="2"/>
  <c r="BX105" i="2" s="1"/>
  <c r="BW109" i="2"/>
  <c r="BX109" i="2" s="1"/>
  <c r="AF128" i="2"/>
  <c r="AB128" i="2"/>
  <c r="AC128" i="2" s="1"/>
  <c r="AD128" i="2" s="1"/>
  <c r="AE128" i="2" s="1"/>
  <c r="AG128" i="2"/>
  <c r="AB135" i="2"/>
  <c r="AC135" i="2" s="1"/>
  <c r="AD135" i="2" s="1"/>
  <c r="AE135" i="2" s="1"/>
  <c r="BW149" i="2"/>
  <c r="BX149" i="2" s="1"/>
  <c r="BK149" i="2"/>
  <c r="BL149" i="2" s="1"/>
  <c r="BM149" i="2" s="1"/>
  <c r="BN149" i="2" s="1"/>
  <c r="BW168" i="2"/>
  <c r="BK168" i="2"/>
  <c r="BL168" i="2" s="1"/>
  <c r="BM168" i="2" s="1"/>
  <c r="BN168" i="2" s="1"/>
  <c r="BK188" i="2"/>
  <c r="BW188" i="2"/>
  <c r="BW191" i="2"/>
  <c r="BX191" i="2" s="1"/>
  <c r="BW208" i="2"/>
  <c r="BX208" i="2" s="1"/>
  <c r="BK23" i="2"/>
  <c r="BL23" i="2" s="1"/>
  <c r="BM23" i="2" s="1"/>
  <c r="BN23" i="2" s="1"/>
  <c r="BW60" i="2"/>
  <c r="AH76" i="2"/>
  <c r="AI76" i="2" s="1"/>
  <c r="AJ76" i="2" s="1"/>
  <c r="AB77" i="2"/>
  <c r="AC77" i="2" s="1"/>
  <c r="AD77" i="2" s="1"/>
  <c r="AE77" i="2" s="1"/>
  <c r="AG78" i="2"/>
  <c r="AF78" i="2"/>
  <c r="BW81" i="2"/>
  <c r="BX81" i="2" s="1"/>
  <c r="BW84" i="2"/>
  <c r="BK105" i="2"/>
  <c r="BL105" i="2" s="1"/>
  <c r="BM105" i="2" s="1"/>
  <c r="BN105" i="2" s="1"/>
  <c r="AG123" i="2"/>
  <c r="AF123" i="2"/>
  <c r="BW134" i="2"/>
  <c r="BX134" i="2" s="1"/>
  <c r="AF140" i="2"/>
  <c r="AG144" i="2"/>
  <c r="AF144" i="2"/>
  <c r="AB144" i="2"/>
  <c r="AC144" i="2" s="1"/>
  <c r="AD144" i="2" s="1"/>
  <c r="AE144" i="2" s="1"/>
  <c r="AH146" i="2"/>
  <c r="AI146" i="2" s="1"/>
  <c r="AJ146" i="2" s="1"/>
  <c r="AF151" i="2"/>
  <c r="AH151" i="2" s="1"/>
  <c r="AI151" i="2" s="1"/>
  <c r="AJ151" i="2" s="1"/>
  <c r="AB151" i="2"/>
  <c r="AC151" i="2" s="1"/>
  <c r="AD151" i="2" s="1"/>
  <c r="AE151" i="2" s="1"/>
  <c r="BW157" i="2"/>
  <c r="AH159" i="2"/>
  <c r="AI159" i="2" s="1"/>
  <c r="AJ159" i="2" s="1"/>
  <c r="BW178" i="2"/>
  <c r="BX178" i="2" s="1"/>
  <c r="AF180" i="2"/>
  <c r="AG180" i="2"/>
  <c r="AB180" i="2"/>
  <c r="AC180" i="2" s="1"/>
  <c r="AD180" i="2" s="1"/>
  <c r="AE180" i="2" s="1"/>
  <c r="AG214" i="2"/>
  <c r="AF214" i="2"/>
  <c r="AB214" i="2"/>
  <c r="AC214" i="2" s="1"/>
  <c r="AD214" i="2" s="1"/>
  <c r="AE214" i="2" s="1"/>
  <c r="BK60" i="2"/>
  <c r="BL60" i="2" s="1"/>
  <c r="BM60" i="2" s="1"/>
  <c r="BN60" i="2" s="1"/>
  <c r="BK66" i="2"/>
  <c r="BL66" i="2" s="1"/>
  <c r="BM66" i="2" s="1"/>
  <c r="BN66" i="2" s="1"/>
  <c r="AF102" i="2"/>
  <c r="AG103" i="2"/>
  <c r="AF103" i="2"/>
  <c r="AB103" i="2"/>
  <c r="AC103" i="2" s="1"/>
  <c r="AD103" i="2" s="1"/>
  <c r="AE103" i="2" s="1"/>
  <c r="AB107" i="2"/>
  <c r="AC107" i="2" s="1"/>
  <c r="AD107" i="2" s="1"/>
  <c r="AE107" i="2" s="1"/>
  <c r="AG107" i="2"/>
  <c r="AH107" i="2" s="1"/>
  <c r="AI107" i="2" s="1"/>
  <c r="AJ107" i="2" s="1"/>
  <c r="BK123" i="2"/>
  <c r="BL123" i="2" s="1"/>
  <c r="BM123" i="2" s="1"/>
  <c r="BN123" i="2" s="1"/>
  <c r="AG140" i="2"/>
  <c r="BK178" i="2"/>
  <c r="BL178" i="2" s="1"/>
  <c r="BM178" i="2" s="1"/>
  <c r="BN178" i="2" s="1"/>
  <c r="AG208" i="2"/>
  <c r="AH208" i="2" s="1"/>
  <c r="AI208" i="2" s="1"/>
  <c r="AJ208" i="2" s="1"/>
  <c r="AF208" i="2"/>
  <c r="AB208" i="2"/>
  <c r="AC208" i="2" s="1"/>
  <c r="AD208" i="2" s="1"/>
  <c r="AE208" i="2" s="1"/>
  <c r="BK318" i="2"/>
  <c r="BL318" i="2" s="1"/>
  <c r="BM318" i="2" s="1"/>
  <c r="BN318" i="2" s="1"/>
  <c r="BW312" i="2"/>
  <c r="BK311" i="2"/>
  <c r="BL311" i="2" s="1"/>
  <c r="BM311" i="2" s="1"/>
  <c r="BN311" i="2" s="1"/>
  <c r="BK309" i="2"/>
  <c r="BL309" i="2" s="1"/>
  <c r="BM309" i="2" s="1"/>
  <c r="BN309" i="2" s="1"/>
  <c r="BK292" i="2"/>
  <c r="BL292" i="2" s="1"/>
  <c r="BM292" i="2" s="1"/>
  <c r="BN292" i="2" s="1"/>
  <c r="BW318" i="2"/>
  <c r="BX318" i="2" s="1"/>
  <c r="BW309" i="2"/>
  <c r="BK294" i="2"/>
  <c r="BL294" i="2" s="1"/>
  <c r="BM294" i="2" s="1"/>
  <c r="BN294" i="2" s="1"/>
  <c r="BW298" i="2"/>
  <c r="BW292" i="2"/>
  <c r="BX292" i="2" s="1"/>
  <c r="BW314" i="2"/>
  <c r="BW319" i="2"/>
  <c r="BX319" i="2" s="1"/>
  <c r="BW316" i="2"/>
  <c r="BX316" i="2" s="1"/>
  <c r="BK312" i="2"/>
  <c r="BL312" i="2" s="1"/>
  <c r="BM312" i="2" s="1"/>
  <c r="BN312" i="2" s="1"/>
  <c r="BW306" i="2"/>
  <c r="BW294" i="2"/>
  <c r="BK281" i="2"/>
  <c r="BL281" i="2" s="1"/>
  <c r="BM281" i="2" s="1"/>
  <c r="BN281" i="2" s="1"/>
  <c r="BK293" i="2"/>
  <c r="BL293" i="2" s="1"/>
  <c r="BM293" i="2" s="1"/>
  <c r="BN293" i="2" s="1"/>
  <c r="BK266" i="2"/>
  <c r="BL266" i="2" s="1"/>
  <c r="BM266" i="2" s="1"/>
  <c r="BN266" i="2" s="1"/>
  <c r="BK261" i="2"/>
  <c r="BL261" i="2" s="1"/>
  <c r="BM261" i="2" s="1"/>
  <c r="BN261" i="2" s="1"/>
  <c r="BK284" i="2"/>
  <c r="BL284" i="2" s="1"/>
  <c r="BM284" i="2" s="1"/>
  <c r="BN284" i="2" s="1"/>
  <c r="BK268" i="2"/>
  <c r="BL268" i="2" s="1"/>
  <c r="BM268" i="2" s="1"/>
  <c r="BN268" i="2" s="1"/>
  <c r="BW261" i="2"/>
  <c r="BX261" i="2" s="1"/>
  <c r="BW311" i="2"/>
  <c r="BX311" i="2" s="1"/>
  <c r="BK270" i="2"/>
  <c r="BL270" i="2" s="1"/>
  <c r="BM270" i="2" s="1"/>
  <c r="BN270" i="2" s="1"/>
  <c r="BW247" i="2"/>
  <c r="BW274" i="2"/>
  <c r="BX274" i="2" s="1"/>
  <c r="BW281" i="2"/>
  <c r="BK279" i="2"/>
  <c r="BL279" i="2" s="1"/>
  <c r="BM279" i="2" s="1"/>
  <c r="BN279" i="2" s="1"/>
  <c r="BW268" i="2"/>
  <c r="BX268" i="2" s="1"/>
  <c r="BK234" i="2"/>
  <c r="BL234" i="2" s="1"/>
  <c r="BM234" i="2" s="1"/>
  <c r="BN234" i="2" s="1"/>
  <c r="BK223" i="2"/>
  <c r="BL223" i="2" s="1"/>
  <c r="BM223" i="2" s="1"/>
  <c r="BN223" i="2" s="1"/>
  <c r="BK212" i="2"/>
  <c r="BL212" i="2" s="1"/>
  <c r="BM212" i="2" s="1"/>
  <c r="BN212" i="2" s="1"/>
  <c r="BW291" i="2"/>
  <c r="BX291" i="2" s="1"/>
  <c r="BK280" i="2"/>
  <c r="BL280" i="2" s="1"/>
  <c r="BM280" i="2" s="1"/>
  <c r="BN280" i="2" s="1"/>
  <c r="BW270" i="2"/>
  <c r="BX270" i="2" s="1"/>
  <c r="BW300" i="2"/>
  <c r="BX300" i="2" s="1"/>
  <c r="BK247" i="2"/>
  <c r="BL247" i="2" s="1"/>
  <c r="BM247" i="2" s="1"/>
  <c r="BN247" i="2" s="1"/>
  <c r="BW307" i="2"/>
  <c r="BX307" i="2" s="1"/>
  <c r="BW322" i="2"/>
  <c r="BX322" i="2" s="1"/>
  <c r="BK267" i="2"/>
  <c r="BL267" i="2" s="1"/>
  <c r="BM267" i="2" s="1"/>
  <c r="BN267" i="2" s="1"/>
  <c r="BK314" i="2"/>
  <c r="BL314" i="2" s="1"/>
  <c r="BM314" i="2" s="1"/>
  <c r="BN314" i="2" s="1"/>
  <c r="BK277" i="2"/>
  <c r="BL277" i="2" s="1"/>
  <c r="BM277" i="2" s="1"/>
  <c r="BN277" i="2" s="1"/>
  <c r="BW259" i="2"/>
  <c r="BX259" i="2" s="1"/>
  <c r="BW242" i="2"/>
  <c r="BX242" i="2" s="1"/>
  <c r="BK238" i="2"/>
  <c r="BL238" i="2" s="1"/>
  <c r="BM238" i="2" s="1"/>
  <c r="BN238" i="2" s="1"/>
  <c r="BW320" i="2"/>
  <c r="BW246" i="2"/>
  <c r="BX246" i="2" s="1"/>
  <c r="BW277" i="2"/>
  <c r="BX277" i="2" s="1"/>
  <c r="BW272" i="2"/>
  <c r="BX272" i="2" s="1"/>
  <c r="BK262" i="2"/>
  <c r="BL262" i="2" s="1"/>
  <c r="BM262" i="2" s="1"/>
  <c r="BN262" i="2" s="1"/>
  <c r="BW266" i="2"/>
  <c r="BX266" i="2" s="1"/>
  <c r="BW264" i="2"/>
  <c r="BX264" i="2" s="1"/>
  <c r="BW284" i="2"/>
  <c r="BW280" i="2"/>
  <c r="BX280" i="2" s="1"/>
  <c r="BK224" i="2"/>
  <c r="BL224" i="2" s="1"/>
  <c r="BM224" i="2" s="1"/>
  <c r="BN224" i="2" s="1"/>
  <c r="BW223" i="2"/>
  <c r="BW254" i="2"/>
  <c r="BX254" i="2" s="1"/>
  <c r="BK209" i="2"/>
  <c r="BL209" i="2" s="1"/>
  <c r="BM209" i="2" s="1"/>
  <c r="BN209" i="2" s="1"/>
  <c r="BK203" i="2"/>
  <c r="BL203" i="2" s="1"/>
  <c r="BM203" i="2" s="1"/>
  <c r="BN203" i="2" s="1"/>
  <c r="BK264" i="2"/>
  <c r="BL264" i="2" s="1"/>
  <c r="BM264" i="2" s="1"/>
  <c r="BN264" i="2" s="1"/>
  <c r="BW253" i="2"/>
  <c r="BX253" i="2" s="1"/>
  <c r="BW207" i="2"/>
  <c r="BX207" i="2" s="1"/>
  <c r="BW199" i="2"/>
  <c r="BX199" i="2" s="1"/>
  <c r="BW194" i="2"/>
  <c r="BW233" i="2"/>
  <c r="BK205" i="2"/>
  <c r="BL205" i="2" s="1"/>
  <c r="BM205" i="2" s="1"/>
  <c r="BN205" i="2" s="1"/>
  <c r="BW185" i="2"/>
  <c r="BX185" i="2" s="1"/>
  <c r="BK316" i="2"/>
  <c r="BL316" i="2" s="1"/>
  <c r="BM316" i="2" s="1"/>
  <c r="BN316" i="2" s="1"/>
  <c r="BW216" i="2"/>
  <c r="BX216" i="2" s="1"/>
  <c r="BW195" i="2"/>
  <c r="BW219" i="2"/>
  <c r="BX219" i="2" s="1"/>
  <c r="BW248" i="2"/>
  <c r="BW273" i="2"/>
  <c r="BX273" i="2" s="1"/>
  <c r="BK301" i="2"/>
  <c r="BL301" i="2" s="1"/>
  <c r="BM301" i="2" s="1"/>
  <c r="BN301" i="2" s="1"/>
  <c r="BW262" i="2"/>
  <c r="BK306" i="2"/>
  <c r="BL306" i="2" s="1"/>
  <c r="BM306" i="2" s="1"/>
  <c r="BN306" i="2" s="1"/>
  <c r="BW225" i="2"/>
  <c r="BX225" i="2" s="1"/>
  <c r="BK153" i="2"/>
  <c r="BL153" i="2" s="1"/>
  <c r="BM153" i="2" s="1"/>
  <c r="BN153" i="2" s="1"/>
  <c r="BW234" i="2"/>
  <c r="BK227" i="2"/>
  <c r="BL227" i="2" s="1"/>
  <c r="BM227" i="2" s="1"/>
  <c r="BN227" i="2" s="1"/>
  <c r="BW187" i="2"/>
  <c r="BX187" i="2" s="1"/>
  <c r="BW212" i="2"/>
  <c r="BX212" i="2" s="1"/>
  <c r="BW175" i="2"/>
  <c r="BX175" i="2" s="1"/>
  <c r="BW245" i="2"/>
  <c r="BK211" i="2"/>
  <c r="BL211" i="2" s="1"/>
  <c r="BM211" i="2" s="1"/>
  <c r="BN211" i="2" s="1"/>
  <c r="BK181" i="2"/>
  <c r="BL181" i="2" s="1"/>
  <c r="BM181" i="2" s="1"/>
  <c r="BN181" i="2" s="1"/>
  <c r="BK176" i="2"/>
  <c r="BL176" i="2" s="1"/>
  <c r="BM176" i="2" s="1"/>
  <c r="BN176" i="2" s="1"/>
  <c r="BK145" i="2"/>
  <c r="BL145" i="2" s="1"/>
  <c r="BM145" i="2" s="1"/>
  <c r="BN145" i="2" s="1"/>
  <c r="BK248" i="2"/>
  <c r="BL248" i="2" s="1"/>
  <c r="BM248" i="2" s="1"/>
  <c r="BN248" i="2" s="1"/>
  <c r="BK276" i="2"/>
  <c r="BL276" i="2" s="1"/>
  <c r="BM276" i="2" s="1"/>
  <c r="BN276" i="2" s="1"/>
  <c r="BW201" i="2"/>
  <c r="BX201" i="2" s="1"/>
  <c r="BW182" i="2"/>
  <c r="BK175" i="2"/>
  <c r="BL175" i="2" s="1"/>
  <c r="BM175" i="2" s="1"/>
  <c r="BN175" i="2" s="1"/>
  <c r="BW237" i="2"/>
  <c r="BK215" i="2"/>
  <c r="BL215" i="2" s="1"/>
  <c r="BM215" i="2" s="1"/>
  <c r="BN215" i="2" s="1"/>
  <c r="BK197" i="2"/>
  <c r="BL197" i="2" s="1"/>
  <c r="BM197" i="2" s="1"/>
  <c r="BN197" i="2" s="1"/>
  <c r="BK190" i="2"/>
  <c r="BL190" i="2" s="1"/>
  <c r="BM190" i="2" s="1"/>
  <c r="BN190" i="2" s="1"/>
  <c r="BW141" i="2"/>
  <c r="BK67" i="2"/>
  <c r="BL67" i="2" s="1"/>
  <c r="BM67" i="2" s="1"/>
  <c r="BN67" i="2" s="1"/>
  <c r="BW200" i="2"/>
  <c r="BX200" i="2" s="1"/>
  <c r="BW148" i="2"/>
  <c r="BW90" i="2"/>
  <c r="BK255" i="2"/>
  <c r="BL255" i="2" s="1"/>
  <c r="BM255" i="2" s="1"/>
  <c r="BN255" i="2" s="1"/>
  <c r="BW209" i="2"/>
  <c r="BW205" i="2"/>
  <c r="BW160" i="2"/>
  <c r="BW220" i="2"/>
  <c r="BK155" i="2"/>
  <c r="BL155" i="2" s="1"/>
  <c r="BM155" i="2" s="1"/>
  <c r="BN155" i="2" s="1"/>
  <c r="BW153" i="2"/>
  <c r="BW144" i="2"/>
  <c r="BX144" i="2" s="1"/>
  <c r="BW135" i="2"/>
  <c r="BX135" i="2" s="1"/>
  <c r="BW252" i="2"/>
  <c r="BX252" i="2" s="1"/>
  <c r="BW181" i="2"/>
  <c r="BX181" i="2" s="1"/>
  <c r="BW171" i="2"/>
  <c r="BK216" i="2"/>
  <c r="BL216" i="2" s="1"/>
  <c r="BM216" i="2" s="1"/>
  <c r="BN216" i="2" s="1"/>
  <c r="BK185" i="2"/>
  <c r="BL185" i="2" s="1"/>
  <c r="BM185" i="2" s="1"/>
  <c r="BN185" i="2" s="1"/>
  <c r="BW229" i="2"/>
  <c r="BK147" i="2"/>
  <c r="BL147" i="2" s="1"/>
  <c r="BM147" i="2" s="1"/>
  <c r="BN147" i="2" s="1"/>
  <c r="BW179" i="2"/>
  <c r="BX179" i="2" s="1"/>
  <c r="BW155" i="2"/>
  <c r="BX155" i="2" s="1"/>
  <c r="BW139" i="2"/>
  <c r="BW59" i="2"/>
  <c r="BW227" i="2"/>
  <c r="BX227" i="2" s="1"/>
  <c r="BW196" i="2"/>
  <c r="BX196" i="2" s="1"/>
  <c r="BK154" i="2"/>
  <c r="BL154" i="2" s="1"/>
  <c r="BM154" i="2" s="1"/>
  <c r="BN154" i="2" s="1"/>
  <c r="BW122" i="2"/>
  <c r="BW210" i="2"/>
  <c r="BX210" i="2" s="1"/>
  <c r="BW189" i="2"/>
  <c r="BK182" i="2"/>
  <c r="BL182" i="2" s="1"/>
  <c r="BM182" i="2" s="1"/>
  <c r="BN182" i="2" s="1"/>
  <c r="BW255" i="2"/>
  <c r="BW224" i="2"/>
  <c r="BK199" i="2"/>
  <c r="BL199" i="2" s="1"/>
  <c r="BM199" i="2" s="1"/>
  <c r="BN199" i="2" s="1"/>
  <c r="BW165" i="2"/>
  <c r="BX165" i="2" s="1"/>
  <c r="BW145" i="2"/>
  <c r="BW142" i="2"/>
  <c r="BK218" i="2"/>
  <c r="BL218" i="2" s="1"/>
  <c r="BM218" i="2" s="1"/>
  <c r="BN218" i="2" s="1"/>
  <c r="BK186" i="2"/>
  <c r="BL186" i="2" s="1"/>
  <c r="BM186" i="2" s="1"/>
  <c r="BN186" i="2" s="1"/>
  <c r="BW174" i="2"/>
  <c r="BW78" i="2"/>
  <c r="BW70" i="2"/>
  <c r="BW163" i="2"/>
  <c r="BX163" i="2" s="1"/>
  <c r="BW159" i="2"/>
  <c r="BX159" i="2" s="1"/>
  <c r="BK174" i="2"/>
  <c r="BL174" i="2" s="1"/>
  <c r="BM174" i="2" s="1"/>
  <c r="BN174" i="2" s="1"/>
  <c r="BW249" i="2"/>
  <c r="BX249" i="2" s="1"/>
  <c r="AB13" i="2"/>
  <c r="AC13" i="2" s="1"/>
  <c r="AD13" i="2" s="1"/>
  <c r="AE13" i="2" s="1"/>
  <c r="BK26" i="2"/>
  <c r="BL26" i="2" s="1"/>
  <c r="BM26" i="2" s="1"/>
  <c r="BN26" i="2" s="1"/>
  <c r="BK73" i="2"/>
  <c r="BL73" i="2" s="1"/>
  <c r="BM73" i="2" s="1"/>
  <c r="BN73" i="2" s="1"/>
  <c r="AF106" i="2"/>
  <c r="AH106" i="2" s="1"/>
  <c r="AI106" i="2" s="1"/>
  <c r="AJ106" i="2" s="1"/>
  <c r="BW112" i="2"/>
  <c r="BX112" i="2" s="1"/>
  <c r="BK118" i="2"/>
  <c r="BL118" i="2" s="1"/>
  <c r="BM118" i="2" s="1"/>
  <c r="BN118" i="2" s="1"/>
  <c r="BW118" i="2"/>
  <c r="BK122" i="2"/>
  <c r="BL122" i="2" s="1"/>
  <c r="BM122" i="2" s="1"/>
  <c r="BN122" i="2" s="1"/>
  <c r="BK125" i="2"/>
  <c r="BL125" i="2" s="1"/>
  <c r="BM125" i="2" s="1"/>
  <c r="BN125" i="2" s="1"/>
  <c r="BK132" i="2"/>
  <c r="BL132" i="2" s="1"/>
  <c r="BM132" i="2" s="1"/>
  <c r="BN132" i="2" s="1"/>
  <c r="AG133" i="2"/>
  <c r="AH133" i="2" s="1"/>
  <c r="AI133" i="2" s="1"/>
  <c r="AJ133" i="2" s="1"/>
  <c r="AB133" i="2"/>
  <c r="AC133" i="2" s="1"/>
  <c r="AD133" i="2" s="1"/>
  <c r="AE133" i="2" s="1"/>
  <c r="BW138" i="2"/>
  <c r="AB146" i="2"/>
  <c r="AC146" i="2" s="1"/>
  <c r="AD146" i="2" s="1"/>
  <c r="AE146" i="2" s="1"/>
  <c r="BK206" i="2"/>
  <c r="BL206" i="2" s="1"/>
  <c r="BM206" i="2" s="1"/>
  <c r="BN206" i="2" s="1"/>
  <c r="AF196" i="2"/>
  <c r="AG196" i="2"/>
  <c r="BX213" i="2"/>
  <c r="BK222" i="2"/>
  <c r="BL222" i="2" s="1"/>
  <c r="BM222" i="2" s="1"/>
  <c r="BN222" i="2" s="1"/>
  <c r="BW222" i="2"/>
  <c r="BX222" i="2" s="1"/>
  <c r="AG224" i="2"/>
  <c r="AH224" i="2" s="1"/>
  <c r="AI224" i="2" s="1"/>
  <c r="AJ224" i="2" s="1"/>
  <c r="AB224" i="2"/>
  <c r="AC224" i="2" s="1"/>
  <c r="AD224" i="2" s="1"/>
  <c r="AE224" i="2" s="1"/>
  <c r="BK250" i="2"/>
  <c r="BL250" i="2" s="1"/>
  <c r="BM250" i="2" s="1"/>
  <c r="BN250" i="2" s="1"/>
  <c r="BW250" i="2"/>
  <c r="BX250" i="2" s="1"/>
  <c r="BW166" i="2"/>
  <c r="BX166" i="2" s="1"/>
  <c r="AG163" i="2"/>
  <c r="AF163" i="2"/>
  <c r="AB163" i="2"/>
  <c r="AC163" i="2" s="1"/>
  <c r="AD163" i="2" s="1"/>
  <c r="AE163" i="2" s="1"/>
  <c r="AB166" i="2"/>
  <c r="AC166" i="2" s="1"/>
  <c r="AD166" i="2" s="1"/>
  <c r="AE166" i="2" s="1"/>
  <c r="BL188" i="2"/>
  <c r="BM188" i="2" s="1"/>
  <c r="BN188" i="2" s="1"/>
  <c r="AF194" i="2"/>
  <c r="AG194" i="2"/>
  <c r="AB194" i="2"/>
  <c r="AC194" i="2" s="1"/>
  <c r="AD194" i="2" s="1"/>
  <c r="AE194" i="2" s="1"/>
  <c r="AG145" i="2"/>
  <c r="AF145" i="2"/>
  <c r="AB145" i="2"/>
  <c r="AC145" i="2" s="1"/>
  <c r="AD145" i="2" s="1"/>
  <c r="AE145" i="2" s="1"/>
  <c r="BK146" i="2"/>
  <c r="BL146" i="2" s="1"/>
  <c r="BM146" i="2" s="1"/>
  <c r="BN146" i="2" s="1"/>
  <c r="BX180" i="2"/>
  <c r="BK220" i="2"/>
  <c r="BL220" i="2" s="1"/>
  <c r="BM220" i="2" s="1"/>
  <c r="BN220" i="2" s="1"/>
  <c r="AG97" i="2"/>
  <c r="AF97" i="2"/>
  <c r="BW133" i="2"/>
  <c r="BW152" i="2"/>
  <c r="BX152" i="2" s="1"/>
  <c r="AF168" i="2"/>
  <c r="AG168" i="2"/>
  <c r="AH168" i="2" s="1"/>
  <c r="AI168" i="2" s="1"/>
  <c r="AJ168" i="2" s="1"/>
  <c r="AF231" i="2"/>
  <c r="AG231" i="2"/>
  <c r="BW317" i="2"/>
  <c r="BK317" i="2"/>
  <c r="BL317" i="2" s="1"/>
  <c r="BM317" i="2" s="1"/>
  <c r="BN317" i="2" s="1"/>
  <c r="BX172" i="2"/>
  <c r="AG244" i="2"/>
  <c r="AH244" i="2" s="1"/>
  <c r="AI244" i="2" s="1"/>
  <c r="AJ244" i="2" s="1"/>
  <c r="AB244" i="2"/>
  <c r="AC244" i="2" s="1"/>
  <c r="AD244" i="2" s="1"/>
  <c r="AE244" i="2" s="1"/>
  <c r="BK164" i="2"/>
  <c r="BL164" i="2" s="1"/>
  <c r="BM164" i="2" s="1"/>
  <c r="BN164" i="2" s="1"/>
  <c r="BW167" i="2"/>
  <c r="BX167" i="2" s="1"/>
  <c r="BW161" i="2"/>
  <c r="BK161" i="2"/>
  <c r="BL161" i="2" s="1"/>
  <c r="BM161" i="2" s="1"/>
  <c r="BN161" i="2" s="1"/>
  <c r="AH165" i="2"/>
  <c r="AI165" i="2" s="1"/>
  <c r="AJ165" i="2" s="1"/>
  <c r="BK167" i="2"/>
  <c r="BL167" i="2" s="1"/>
  <c r="BM167" i="2" s="1"/>
  <c r="BN167" i="2" s="1"/>
  <c r="BX189" i="2"/>
  <c r="BW146" i="2"/>
  <c r="BX146" i="2" s="1"/>
  <c r="BW241" i="2"/>
  <c r="BX241" i="2" s="1"/>
  <c r="BK241" i="2"/>
  <c r="BL241" i="2" s="1"/>
  <c r="BM241" i="2" s="1"/>
  <c r="BN241" i="2" s="1"/>
  <c r="BX139" i="2"/>
  <c r="BX140" i="2"/>
  <c r="AF170" i="2"/>
  <c r="BK64" i="2"/>
  <c r="BL64" i="2" s="1"/>
  <c r="BM64" i="2" s="1"/>
  <c r="BN64" i="2" s="1"/>
  <c r="BW100" i="2"/>
  <c r="AG125" i="2"/>
  <c r="AH125" i="2" s="1"/>
  <c r="AI125" i="2" s="1"/>
  <c r="AJ125" i="2" s="1"/>
  <c r="BW125" i="2"/>
  <c r="AG149" i="2"/>
  <c r="AF149" i="2"/>
  <c r="BW151" i="2"/>
  <c r="AG170" i="2"/>
  <c r="AB177" i="2"/>
  <c r="AC177" i="2" s="1"/>
  <c r="AD177" i="2" s="1"/>
  <c r="AE177" i="2" s="1"/>
  <c r="AG177" i="2"/>
  <c r="AF177" i="2"/>
  <c r="BW186" i="2"/>
  <c r="AG202" i="2"/>
  <c r="AF202" i="2"/>
  <c r="BW214" i="2"/>
  <c r="BX214" i="2" s="1"/>
  <c r="BK214" i="2"/>
  <c r="BL214" i="2" s="1"/>
  <c r="BM214" i="2" s="1"/>
  <c r="BN214" i="2" s="1"/>
  <c r="BK177" i="2"/>
  <c r="BL177" i="2" s="1"/>
  <c r="BM177" i="2" s="1"/>
  <c r="BN177" i="2" s="1"/>
  <c r="BW192" i="2"/>
  <c r="AB202" i="2"/>
  <c r="AC202" i="2" s="1"/>
  <c r="AD202" i="2" s="1"/>
  <c r="AE202" i="2" s="1"/>
  <c r="AB217" i="2"/>
  <c r="AC217" i="2" s="1"/>
  <c r="AD217" i="2" s="1"/>
  <c r="AE217" i="2" s="1"/>
  <c r="AF217" i="2"/>
  <c r="AH217" i="2" s="1"/>
  <c r="AI217" i="2" s="1"/>
  <c r="AJ217" i="2" s="1"/>
  <c r="AH249" i="2"/>
  <c r="AI249" i="2" s="1"/>
  <c r="AJ249" i="2" s="1"/>
  <c r="AB257" i="2"/>
  <c r="AC257" i="2" s="1"/>
  <c r="AD257" i="2" s="1"/>
  <c r="AE257" i="2" s="1"/>
  <c r="AG257" i="2"/>
  <c r="AH257" i="2" s="1"/>
  <c r="AI257" i="2" s="1"/>
  <c r="AJ257" i="2" s="1"/>
  <c r="AG282" i="2"/>
  <c r="AF282" i="2"/>
  <c r="AB282" i="2"/>
  <c r="AC282" i="2" s="1"/>
  <c r="AD282" i="2" s="1"/>
  <c r="AE282" i="2" s="1"/>
  <c r="BW154" i="2"/>
  <c r="BK160" i="2"/>
  <c r="BL160" i="2" s="1"/>
  <c r="BM160" i="2" s="1"/>
  <c r="BN160" i="2" s="1"/>
  <c r="AB186" i="2"/>
  <c r="AC186" i="2" s="1"/>
  <c r="AD186" i="2" s="1"/>
  <c r="AE186" i="2" s="1"/>
  <c r="AG186" i="2"/>
  <c r="AH186" i="2" s="1"/>
  <c r="AI186" i="2" s="1"/>
  <c r="AJ186" i="2" s="1"/>
  <c r="BK198" i="2"/>
  <c r="BL198" i="2" s="1"/>
  <c r="BM198" i="2" s="1"/>
  <c r="BN198" i="2" s="1"/>
  <c r="BW162" i="2"/>
  <c r="BX162" i="2" s="1"/>
  <c r="BK162" i="2"/>
  <c r="BL162" i="2" s="1"/>
  <c r="BM162" i="2" s="1"/>
  <c r="BN162" i="2" s="1"/>
  <c r="BK165" i="2"/>
  <c r="BL165" i="2" s="1"/>
  <c r="BM165" i="2" s="1"/>
  <c r="BN165" i="2" s="1"/>
  <c r="BW177" i="2"/>
  <c r="BX177" i="2" s="1"/>
  <c r="AG181" i="2"/>
  <c r="AF181" i="2"/>
  <c r="AG207" i="2"/>
  <c r="AF207" i="2"/>
  <c r="AB207" i="2"/>
  <c r="AC207" i="2" s="1"/>
  <c r="AD207" i="2" s="1"/>
  <c r="AE207" i="2" s="1"/>
  <c r="BX220" i="2"/>
  <c r="AG116" i="2"/>
  <c r="AF116" i="2"/>
  <c r="BK121" i="2"/>
  <c r="BL121" i="2" s="1"/>
  <c r="BM121" i="2" s="1"/>
  <c r="BN121" i="2" s="1"/>
  <c r="AG134" i="2"/>
  <c r="AH134" i="2" s="1"/>
  <c r="AI134" i="2" s="1"/>
  <c r="AJ134" i="2" s="1"/>
  <c r="BW147" i="2"/>
  <c r="AH164" i="2"/>
  <c r="AI164" i="2" s="1"/>
  <c r="AJ164" i="2" s="1"/>
  <c r="AB191" i="2"/>
  <c r="AC191" i="2" s="1"/>
  <c r="AD191" i="2" s="1"/>
  <c r="AE191" i="2" s="1"/>
  <c r="AF191" i="2"/>
  <c r="AH191" i="2" s="1"/>
  <c r="AI191" i="2" s="1"/>
  <c r="AJ191" i="2" s="1"/>
  <c r="BX205" i="2"/>
  <c r="BW131" i="2"/>
  <c r="BX131" i="2" s="1"/>
  <c r="AG150" i="2"/>
  <c r="AF150" i="2"/>
  <c r="AB150" i="2"/>
  <c r="AC150" i="2" s="1"/>
  <c r="AD150" i="2" s="1"/>
  <c r="AE150" i="2" s="1"/>
  <c r="AG162" i="2"/>
  <c r="AF162" i="2"/>
  <c r="AG176" i="2"/>
  <c r="AH176" i="2" s="1"/>
  <c r="AI176" i="2" s="1"/>
  <c r="AJ176" i="2" s="1"/>
  <c r="AB176" i="2"/>
  <c r="AC176" i="2" s="1"/>
  <c r="AD176" i="2" s="1"/>
  <c r="AE176" i="2" s="1"/>
  <c r="AB184" i="2"/>
  <c r="AC184" i="2" s="1"/>
  <c r="AD184" i="2" s="1"/>
  <c r="AE184" i="2" s="1"/>
  <c r="BW257" i="2"/>
  <c r="BX257" i="2" s="1"/>
  <c r="BW67" i="2"/>
  <c r="BK104" i="2"/>
  <c r="BL104" i="2" s="1"/>
  <c r="BM104" i="2" s="1"/>
  <c r="BN104" i="2" s="1"/>
  <c r="BB114" i="2"/>
  <c r="BC114" i="2" s="1"/>
  <c r="BD114" i="2" s="1"/>
  <c r="BK131" i="2"/>
  <c r="BL131" i="2" s="1"/>
  <c r="BM131" i="2" s="1"/>
  <c r="BN131" i="2" s="1"/>
  <c r="AB134" i="2"/>
  <c r="AC134" i="2" s="1"/>
  <c r="AD134" i="2" s="1"/>
  <c r="AE134" i="2" s="1"/>
  <c r="BW156" i="2"/>
  <c r="AB181" i="2"/>
  <c r="AC181" i="2" s="1"/>
  <c r="AD181" i="2" s="1"/>
  <c r="AE181" i="2" s="1"/>
  <c r="BW190" i="2"/>
  <c r="BW197" i="2"/>
  <c r="BX197" i="2" s="1"/>
  <c r="BW198" i="2"/>
  <c r="BX198" i="2" s="1"/>
  <c r="AF200" i="2"/>
  <c r="AH200" i="2" s="1"/>
  <c r="AI200" i="2" s="1"/>
  <c r="AJ200" i="2" s="1"/>
  <c r="AB200" i="2"/>
  <c r="AC200" i="2" s="1"/>
  <c r="AD200" i="2" s="1"/>
  <c r="AE200" i="2" s="1"/>
  <c r="BW215" i="2"/>
  <c r="AG230" i="2"/>
  <c r="AH230" i="2" s="1"/>
  <c r="AI230" i="2" s="1"/>
  <c r="AJ230" i="2" s="1"/>
  <c r="AB230" i="2"/>
  <c r="AC230" i="2" s="1"/>
  <c r="AD230" i="2" s="1"/>
  <c r="AE230" i="2" s="1"/>
  <c r="BK257" i="2"/>
  <c r="BL257" i="2" s="1"/>
  <c r="BM257" i="2" s="1"/>
  <c r="BN257" i="2" s="1"/>
  <c r="BK85" i="2"/>
  <c r="BL85" i="2" s="1"/>
  <c r="BM85" i="2" s="1"/>
  <c r="BN85" i="2" s="1"/>
  <c r="BW126" i="2"/>
  <c r="AG129" i="2"/>
  <c r="AF129" i="2"/>
  <c r="BK134" i="2"/>
  <c r="BL134" i="2" s="1"/>
  <c r="BM134" i="2" s="1"/>
  <c r="BN134" i="2" s="1"/>
  <c r="AH156" i="2"/>
  <c r="AI156" i="2" s="1"/>
  <c r="AJ156" i="2" s="1"/>
  <c r="BW158" i="2"/>
  <c r="BX158" i="2" s="1"/>
  <c r="AB164" i="2"/>
  <c r="AC164" i="2" s="1"/>
  <c r="AD164" i="2" s="1"/>
  <c r="AE164" i="2" s="1"/>
  <c r="BW206" i="2"/>
  <c r="BX206" i="2" s="1"/>
  <c r="BW256" i="2"/>
  <c r="BK256" i="2"/>
  <c r="BL256" i="2" s="1"/>
  <c r="BM256" i="2" s="1"/>
  <c r="BN256" i="2" s="1"/>
  <c r="AG184" i="2"/>
  <c r="AH184" i="2" s="1"/>
  <c r="AI184" i="2" s="1"/>
  <c r="AJ184" i="2" s="1"/>
  <c r="BH184" i="2"/>
  <c r="BI184" i="2" s="1"/>
  <c r="BK193" i="2"/>
  <c r="BL193" i="2" s="1"/>
  <c r="BM193" i="2" s="1"/>
  <c r="BN193" i="2" s="1"/>
  <c r="BX233" i="2"/>
  <c r="AG268" i="2"/>
  <c r="AF268" i="2"/>
  <c r="AB268" i="2"/>
  <c r="AC268" i="2" s="1"/>
  <c r="AD268" i="2" s="1"/>
  <c r="AE268" i="2" s="1"/>
  <c r="AB188" i="2"/>
  <c r="AC188" i="2" s="1"/>
  <c r="AD188" i="2" s="1"/>
  <c r="AE188" i="2" s="1"/>
  <c r="AB205" i="2"/>
  <c r="AC205" i="2" s="1"/>
  <c r="AD205" i="2" s="1"/>
  <c r="AE205" i="2" s="1"/>
  <c r="AF205" i="2"/>
  <c r="AG205" i="2"/>
  <c r="BW218" i="2"/>
  <c r="BX218" i="2" s="1"/>
  <c r="BW232" i="2"/>
  <c r="BK232" i="2"/>
  <c r="BL232" i="2" s="1"/>
  <c r="BM232" i="2" s="1"/>
  <c r="BN232" i="2" s="1"/>
  <c r="BK173" i="2"/>
  <c r="BL173" i="2" s="1"/>
  <c r="BM173" i="2" s="1"/>
  <c r="BN173" i="2" s="1"/>
  <c r="AG203" i="2"/>
  <c r="AF203" i="2"/>
  <c r="BK204" i="2"/>
  <c r="BL204" i="2" s="1"/>
  <c r="BM204" i="2" s="1"/>
  <c r="BN204" i="2" s="1"/>
  <c r="BW204" i="2"/>
  <c r="BX204" i="2" s="1"/>
  <c r="BW176" i="2"/>
  <c r="BX176" i="2" s="1"/>
  <c r="BX192" i="2"/>
  <c r="BW211" i="2"/>
  <c r="AB218" i="2"/>
  <c r="AC218" i="2" s="1"/>
  <c r="AD218" i="2" s="1"/>
  <c r="AE218" i="2" s="1"/>
  <c r="BK229" i="2"/>
  <c r="BL229" i="2" s="1"/>
  <c r="BM229" i="2" s="1"/>
  <c r="BN229" i="2" s="1"/>
  <c r="AG242" i="2"/>
  <c r="AH242" i="2" s="1"/>
  <c r="AI242" i="2" s="1"/>
  <c r="AJ242" i="2" s="1"/>
  <c r="AB242" i="2"/>
  <c r="AC242" i="2" s="1"/>
  <c r="AD242" i="2" s="1"/>
  <c r="AE242" i="2" s="1"/>
  <c r="BB264" i="2"/>
  <c r="BC264" i="2" s="1"/>
  <c r="BD264" i="2" s="1"/>
  <c r="BW193" i="2"/>
  <c r="BW221" i="2"/>
  <c r="AB245" i="2"/>
  <c r="AC245" i="2" s="1"/>
  <c r="AD245" i="2" s="1"/>
  <c r="AE245" i="2" s="1"/>
  <c r="AG245" i="2"/>
  <c r="AF245" i="2"/>
  <c r="AF188" i="2"/>
  <c r="BK189" i="2"/>
  <c r="BL189" i="2" s="1"/>
  <c r="BM189" i="2" s="1"/>
  <c r="BN189" i="2" s="1"/>
  <c r="BX195" i="2"/>
  <c r="AB203" i="2"/>
  <c r="AC203" i="2" s="1"/>
  <c r="AD203" i="2" s="1"/>
  <c r="AE203" i="2" s="1"/>
  <c r="BK210" i="2"/>
  <c r="BL210" i="2" s="1"/>
  <c r="BM210" i="2" s="1"/>
  <c r="BN210" i="2" s="1"/>
  <c r="BX245" i="2"/>
  <c r="BB143" i="2"/>
  <c r="BC143" i="2" s="1"/>
  <c r="BD143" i="2" s="1"/>
  <c r="BX170" i="2"/>
  <c r="BB177" i="2"/>
  <c r="BC177" i="2" s="1"/>
  <c r="BD177" i="2" s="1"/>
  <c r="AG188" i="2"/>
  <c r="AB189" i="2"/>
  <c r="AC189" i="2" s="1"/>
  <c r="AD189" i="2" s="1"/>
  <c r="AE189" i="2" s="1"/>
  <c r="AG195" i="2"/>
  <c r="AH195" i="2" s="1"/>
  <c r="AI195" i="2" s="1"/>
  <c r="AJ195" i="2" s="1"/>
  <c r="AF152" i="2"/>
  <c r="AH152" i="2" s="1"/>
  <c r="AI152" i="2" s="1"/>
  <c r="AJ152" i="2" s="1"/>
  <c r="BK202" i="2"/>
  <c r="BL202" i="2" s="1"/>
  <c r="BM202" i="2" s="1"/>
  <c r="BN202" i="2" s="1"/>
  <c r="BW202" i="2"/>
  <c r="AH240" i="2"/>
  <c r="AI240" i="2" s="1"/>
  <c r="AJ240" i="2" s="1"/>
  <c r="BW217" i="2"/>
  <c r="AB250" i="2"/>
  <c r="AC250" i="2" s="1"/>
  <c r="AD250" i="2" s="1"/>
  <c r="AE250" i="2" s="1"/>
  <c r="AF250" i="2"/>
  <c r="AG250" i="2"/>
  <c r="AB271" i="2"/>
  <c r="AC271" i="2" s="1"/>
  <c r="AD271" i="2" s="1"/>
  <c r="AE271" i="2" s="1"/>
  <c r="AG271" i="2"/>
  <c r="AH271" i="2" s="1"/>
  <c r="AI271" i="2" s="1"/>
  <c r="AJ271" i="2" s="1"/>
  <c r="BW283" i="2"/>
  <c r="BW235" i="2"/>
  <c r="BX235" i="2" s="1"/>
  <c r="BW244" i="2"/>
  <c r="BX244" i="2" s="1"/>
  <c r="BK283" i="2"/>
  <c r="BL283" i="2" s="1"/>
  <c r="BM283" i="2" s="1"/>
  <c r="BN283" i="2" s="1"/>
  <c r="BK235" i="2"/>
  <c r="BL235" i="2" s="1"/>
  <c r="BM235" i="2" s="1"/>
  <c r="BN235" i="2" s="1"/>
  <c r="BK244" i="2"/>
  <c r="BL244" i="2" s="1"/>
  <c r="BM244" i="2" s="1"/>
  <c r="BN244" i="2" s="1"/>
  <c r="BW269" i="2"/>
  <c r="BX269" i="2" s="1"/>
  <c r="BK269" i="2"/>
  <c r="BL269" i="2" s="1"/>
  <c r="BM269" i="2" s="1"/>
  <c r="BN269" i="2" s="1"/>
  <c r="AG158" i="2"/>
  <c r="AH158" i="2" s="1"/>
  <c r="AI158" i="2" s="1"/>
  <c r="AJ158" i="2" s="1"/>
  <c r="BB211" i="2"/>
  <c r="BC211" i="2" s="1"/>
  <c r="BD211" i="2" s="1"/>
  <c r="BK230" i="2"/>
  <c r="BL230" i="2" s="1"/>
  <c r="BM230" i="2" s="1"/>
  <c r="BN230" i="2" s="1"/>
  <c r="BW230" i="2"/>
  <c r="BK231" i="2"/>
  <c r="BL231" i="2" s="1"/>
  <c r="BM231" i="2" s="1"/>
  <c r="BN231" i="2" s="1"/>
  <c r="BW231" i="2"/>
  <c r="BX231" i="2" s="1"/>
  <c r="BW265" i="2"/>
  <c r="BK265" i="2"/>
  <c r="BL265" i="2" s="1"/>
  <c r="BM265" i="2" s="1"/>
  <c r="BN265" i="2" s="1"/>
  <c r="BB207" i="2"/>
  <c r="BC207" i="2" s="1"/>
  <c r="BD207" i="2" s="1"/>
  <c r="BB256" i="2"/>
  <c r="BC256" i="2" s="1"/>
  <c r="BD256" i="2" s="1"/>
  <c r="BK219" i="2"/>
  <c r="BL219" i="2" s="1"/>
  <c r="BM219" i="2" s="1"/>
  <c r="BN219" i="2" s="1"/>
  <c r="BK249" i="2"/>
  <c r="BL249" i="2" s="1"/>
  <c r="BM249" i="2" s="1"/>
  <c r="BN249" i="2" s="1"/>
  <c r="AG287" i="2"/>
  <c r="AF287" i="2"/>
  <c r="AB287" i="2"/>
  <c r="AC287" i="2" s="1"/>
  <c r="AD287" i="2" s="1"/>
  <c r="AE287" i="2" s="1"/>
  <c r="BW302" i="2"/>
  <c r="BX302" i="2" s="1"/>
  <c r="BK180" i="2"/>
  <c r="BL180" i="2" s="1"/>
  <c r="BM180" i="2" s="1"/>
  <c r="BN180" i="2" s="1"/>
  <c r="BK200" i="2"/>
  <c r="BL200" i="2" s="1"/>
  <c r="BM200" i="2" s="1"/>
  <c r="BN200" i="2" s="1"/>
  <c r="BW203" i="2"/>
  <c r="BX203" i="2" s="1"/>
  <c r="AF213" i="2"/>
  <c r="AH213" i="2" s="1"/>
  <c r="AI213" i="2" s="1"/>
  <c r="AJ213" i="2" s="1"/>
  <c r="AB213" i="2"/>
  <c r="AC213" i="2" s="1"/>
  <c r="AD213" i="2" s="1"/>
  <c r="AE213" i="2" s="1"/>
  <c r="BK243" i="2"/>
  <c r="BL243" i="2" s="1"/>
  <c r="BM243" i="2" s="1"/>
  <c r="BN243" i="2" s="1"/>
  <c r="BW243" i="2"/>
  <c r="BX243" i="2" s="1"/>
  <c r="AB247" i="2"/>
  <c r="AC247" i="2" s="1"/>
  <c r="AD247" i="2" s="1"/>
  <c r="AE247" i="2" s="1"/>
  <c r="BB252" i="2"/>
  <c r="BC252" i="2" s="1"/>
  <c r="BD252" i="2" s="1"/>
  <c r="BK195" i="2"/>
  <c r="BL195" i="2" s="1"/>
  <c r="BM195" i="2" s="1"/>
  <c r="BN195" i="2" s="1"/>
  <c r="BB268" i="2"/>
  <c r="BC268" i="2" s="1"/>
  <c r="BD268" i="2" s="1"/>
  <c r="AH269" i="2"/>
  <c r="AI269" i="2" s="1"/>
  <c r="AJ269" i="2" s="1"/>
  <c r="AG260" i="2"/>
  <c r="AF260" i="2"/>
  <c r="BK233" i="2"/>
  <c r="BL233" i="2" s="1"/>
  <c r="BM233" i="2" s="1"/>
  <c r="BN233" i="2" s="1"/>
  <c r="BH236" i="2"/>
  <c r="BI236" i="2" s="1"/>
  <c r="BK226" i="2" s="1"/>
  <c r="BL226" i="2" s="1"/>
  <c r="BM226" i="2" s="1"/>
  <c r="BN226" i="2" s="1"/>
  <c r="AB248" i="2"/>
  <c r="AC248" i="2" s="1"/>
  <c r="AD248" i="2" s="1"/>
  <c r="AE248" i="2" s="1"/>
  <c r="AG248" i="2"/>
  <c r="AH248" i="2" s="1"/>
  <c r="AI248" i="2" s="1"/>
  <c r="AJ248" i="2" s="1"/>
  <c r="AG308" i="2"/>
  <c r="AH308" i="2" s="1"/>
  <c r="AI308" i="2" s="1"/>
  <c r="AJ308" i="2" s="1"/>
  <c r="AB308" i="2"/>
  <c r="AC308" i="2" s="1"/>
  <c r="AD308" i="2" s="1"/>
  <c r="AE308" i="2" s="1"/>
  <c r="BW236" i="2"/>
  <c r="BX236" i="2" s="1"/>
  <c r="BW240" i="2"/>
  <c r="BK240" i="2"/>
  <c r="BL240" i="2" s="1"/>
  <c r="BM240" i="2" s="1"/>
  <c r="BN240" i="2" s="1"/>
  <c r="BK258" i="2"/>
  <c r="BL258" i="2" s="1"/>
  <c r="BM258" i="2" s="1"/>
  <c r="BN258" i="2" s="1"/>
  <c r="BW258" i="2"/>
  <c r="BW263" i="2"/>
  <c r="BX263" i="2" s="1"/>
  <c r="AG237" i="2"/>
  <c r="AF237" i="2"/>
  <c r="AB237" i="2"/>
  <c r="AC237" i="2" s="1"/>
  <c r="AD237" i="2" s="1"/>
  <c r="AE237" i="2" s="1"/>
  <c r="BW239" i="2"/>
  <c r="BX239" i="2" s="1"/>
  <c r="AG241" i="2"/>
  <c r="AH241" i="2" s="1"/>
  <c r="AI241" i="2" s="1"/>
  <c r="AJ241" i="2" s="1"/>
  <c r="BK253" i="2"/>
  <c r="BL253" i="2" s="1"/>
  <c r="BM253" i="2" s="1"/>
  <c r="BN253" i="2" s="1"/>
  <c r="BW260" i="2"/>
  <c r="BK260" i="2"/>
  <c r="BL260" i="2" s="1"/>
  <c r="BM260" i="2" s="1"/>
  <c r="BN260" i="2" s="1"/>
  <c r="AH315" i="2"/>
  <c r="AI315" i="2" s="1"/>
  <c r="AJ315" i="2" s="1"/>
  <c r="AF272" i="2"/>
  <c r="AB272" i="2"/>
  <c r="AC272" i="2" s="1"/>
  <c r="AD272" i="2" s="1"/>
  <c r="AE272" i="2" s="1"/>
  <c r="AG272" i="2"/>
  <c r="AB290" i="2"/>
  <c r="AC290" i="2" s="1"/>
  <c r="AD290" i="2" s="1"/>
  <c r="AE290" i="2" s="1"/>
  <c r="AG290" i="2"/>
  <c r="AH290" i="2" s="1"/>
  <c r="AI290" i="2" s="1"/>
  <c r="AJ290" i="2" s="1"/>
  <c r="BK259" i="2"/>
  <c r="BL259" i="2" s="1"/>
  <c r="BM259" i="2" s="1"/>
  <c r="BN259" i="2" s="1"/>
  <c r="BW275" i="2"/>
  <c r="BW288" i="2"/>
  <c r="BX288" i="2" s="1"/>
  <c r="BK288" i="2"/>
  <c r="BL288" i="2" s="1"/>
  <c r="BM288" i="2" s="1"/>
  <c r="BN288" i="2" s="1"/>
  <c r="BW308" i="2"/>
  <c r="BX308" i="2" s="1"/>
  <c r="BX320" i="2"/>
  <c r="AF270" i="2"/>
  <c r="AH270" i="2" s="1"/>
  <c r="AI270" i="2" s="1"/>
  <c r="AJ270" i="2" s="1"/>
  <c r="AB270" i="2"/>
  <c r="AC270" i="2" s="1"/>
  <c r="AD270" i="2" s="1"/>
  <c r="AE270" i="2" s="1"/>
  <c r="BK275" i="2"/>
  <c r="AB283" i="2"/>
  <c r="AC283" i="2" s="1"/>
  <c r="AD283" i="2" s="1"/>
  <c r="AE283" i="2" s="1"/>
  <c r="BW238" i="2"/>
  <c r="AH223" i="2"/>
  <c r="AI223" i="2" s="1"/>
  <c r="AJ223" i="2" s="1"/>
  <c r="AH302" i="2"/>
  <c r="AI302" i="2" s="1"/>
  <c r="AJ302" i="2" s="1"/>
  <c r="BK286" i="2"/>
  <c r="BL286" i="2" s="1"/>
  <c r="BM286" i="2" s="1"/>
  <c r="BN286" i="2" s="1"/>
  <c r="BW286" i="2"/>
  <c r="AB297" i="2"/>
  <c r="AC297" i="2" s="1"/>
  <c r="AD297" i="2" s="1"/>
  <c r="AE297" i="2" s="1"/>
  <c r="AG297" i="2"/>
  <c r="AH297" i="2" s="1"/>
  <c r="AI297" i="2" s="1"/>
  <c r="AJ297" i="2" s="1"/>
  <c r="BB305" i="2"/>
  <c r="BC305" i="2" s="1"/>
  <c r="BD305" i="2" s="1"/>
  <c r="BK274" i="2"/>
  <c r="BL274" i="2" s="1"/>
  <c r="BM274" i="2" s="1"/>
  <c r="BN274" i="2" s="1"/>
  <c r="BW305" i="2"/>
  <c r="BX305" i="2" s="1"/>
  <c r="BB262" i="2"/>
  <c r="BC262" i="2" s="1"/>
  <c r="BD262" i="2" s="1"/>
  <c r="BK271" i="2"/>
  <c r="BL271" i="2" s="1"/>
  <c r="BM271" i="2" s="1"/>
  <c r="BN271" i="2" s="1"/>
  <c r="BX306" i="2"/>
  <c r="BW251" i="2"/>
  <c r="BW267" i="2"/>
  <c r="BW315" i="2"/>
  <c r="BK319" i="2"/>
  <c r="BL319" i="2" s="1"/>
  <c r="BM319" i="2" s="1"/>
  <c r="BN319" i="2" s="1"/>
  <c r="AB251" i="2"/>
  <c r="AC251" i="2" s="1"/>
  <c r="AD251" i="2" s="1"/>
  <c r="AE251" i="2" s="1"/>
  <c r="AF262" i="2"/>
  <c r="AG262" i="2"/>
  <c r="AB262" i="2"/>
  <c r="AC262" i="2" s="1"/>
  <c r="AD262" i="2" s="1"/>
  <c r="AE262" i="2" s="1"/>
  <c r="BK278" i="2"/>
  <c r="BL278" i="2" s="1"/>
  <c r="BM278" i="2" s="1"/>
  <c r="BN278" i="2" s="1"/>
  <c r="BW278" i="2"/>
  <c r="AG318" i="2"/>
  <c r="AF318" i="2"/>
  <c r="BW271" i="2"/>
  <c r="BX271" i="2" s="1"/>
  <c r="BW282" i="2"/>
  <c r="BW303" i="2"/>
  <c r="AG307" i="2"/>
  <c r="AF307" i="2"/>
  <c r="AB307" i="2"/>
  <c r="AC307" i="2" s="1"/>
  <c r="AD307" i="2" s="1"/>
  <c r="AE307" i="2" s="1"/>
  <c r="AG321" i="2"/>
  <c r="AF321" i="2"/>
  <c r="AG252" i="2"/>
  <c r="AH252" i="2" s="1"/>
  <c r="AI252" i="2" s="1"/>
  <c r="AJ252" i="2" s="1"/>
  <c r="AB252" i="2"/>
  <c r="AC252" i="2" s="1"/>
  <c r="AD252" i="2" s="1"/>
  <c r="AE252" i="2" s="1"/>
  <c r="BW279" i="2"/>
  <c r="BX279" i="2" s="1"/>
  <c r="BK287" i="2"/>
  <c r="BL287" i="2" s="1"/>
  <c r="BM287" i="2" s="1"/>
  <c r="BN287" i="2" s="1"/>
  <c r="BW287" i="2"/>
  <c r="BX287" i="2" s="1"/>
  <c r="BW299" i="2"/>
  <c r="BX299" i="2" s="1"/>
  <c r="AG300" i="2"/>
  <c r="AH300" i="2" s="1"/>
  <c r="AI300" i="2" s="1"/>
  <c r="AJ300" i="2" s="1"/>
  <c r="AB318" i="2"/>
  <c r="AC318" i="2" s="1"/>
  <c r="AD318" i="2" s="1"/>
  <c r="AE318" i="2" s="1"/>
  <c r="AB321" i="2"/>
  <c r="AC321" i="2" s="1"/>
  <c r="AD321" i="2" s="1"/>
  <c r="AE321" i="2" s="1"/>
  <c r="AG254" i="2"/>
  <c r="AF254" i="2"/>
  <c r="BB292" i="2"/>
  <c r="BC292" i="2" s="1"/>
  <c r="BD292" i="2" s="1"/>
  <c r="AG273" i="2"/>
  <c r="AF273" i="2"/>
  <c r="AG277" i="2"/>
  <c r="AF277" i="2"/>
  <c r="BW285" i="2"/>
  <c r="BK254" i="2"/>
  <c r="BL254" i="2" s="1"/>
  <c r="BM254" i="2" s="1"/>
  <c r="BN254" i="2" s="1"/>
  <c r="AB273" i="2"/>
  <c r="AC273" i="2" s="1"/>
  <c r="AD273" i="2" s="1"/>
  <c r="AE273" i="2" s="1"/>
  <c r="AB277" i="2"/>
  <c r="AC277" i="2" s="1"/>
  <c r="AD277" i="2" s="1"/>
  <c r="AE277" i="2" s="1"/>
  <c r="BK285" i="2"/>
  <c r="BL285" i="2" s="1"/>
  <c r="BM285" i="2" s="1"/>
  <c r="BN285" i="2" s="1"/>
  <c r="BK291" i="2"/>
  <c r="BL291" i="2" s="1"/>
  <c r="BM291" i="2" s="1"/>
  <c r="BN291" i="2" s="1"/>
  <c r="AG295" i="2"/>
  <c r="AF295" i="2"/>
  <c r="BW276" i="2"/>
  <c r="BX276" i="2" s="1"/>
  <c r="AG285" i="2"/>
  <c r="AH285" i="2" s="1"/>
  <c r="AI285" i="2" s="1"/>
  <c r="AJ285" i="2" s="1"/>
  <c r="BX317" i="2"/>
  <c r="BW297" i="2"/>
  <c r="AH259" i="2"/>
  <c r="AI259" i="2" s="1"/>
  <c r="AJ259" i="2" s="1"/>
  <c r="BW301" i="2"/>
  <c r="AG309" i="2"/>
  <c r="AF309" i="2"/>
  <c r="AB322" i="2"/>
  <c r="AC322" i="2" s="1"/>
  <c r="AD322" i="2" s="1"/>
  <c r="AE322" i="2" s="1"/>
  <c r="AG322" i="2"/>
  <c r="AH322" i="2" s="1"/>
  <c r="AI322" i="2" s="1"/>
  <c r="AJ322" i="2" s="1"/>
  <c r="BW304" i="2"/>
  <c r="BX304" i="2" s="1"/>
  <c r="BW295" i="2"/>
  <c r="BX295" i="2" s="1"/>
  <c r="BK304" i="2"/>
  <c r="BL304" i="2" s="1"/>
  <c r="BM304" i="2" s="1"/>
  <c r="BN304" i="2" s="1"/>
  <c r="AG305" i="2"/>
  <c r="AF305" i="2"/>
  <c r="AB305" i="2"/>
  <c r="AC305" i="2" s="1"/>
  <c r="AD305" i="2" s="1"/>
  <c r="AE305" i="2" s="1"/>
  <c r="AB281" i="2"/>
  <c r="AC281" i="2" s="1"/>
  <c r="AD281" i="2" s="1"/>
  <c r="AE281" i="2" s="1"/>
  <c r="BB285" i="2"/>
  <c r="BC285" i="2" s="1"/>
  <c r="BD285" i="2" s="1"/>
  <c r="BW290" i="2"/>
  <c r="BK295" i="2"/>
  <c r="BL295" i="2" s="1"/>
  <c r="BM295" i="2" s="1"/>
  <c r="BN295" i="2" s="1"/>
  <c r="AB317" i="2"/>
  <c r="AC317" i="2" s="1"/>
  <c r="AD317" i="2" s="1"/>
  <c r="AE317" i="2" s="1"/>
  <c r="BW321" i="2"/>
  <c r="BX321" i="2" s="1"/>
  <c r="BW313" i="2"/>
  <c r="AH278" i="2"/>
  <c r="AI278" i="2" s="1"/>
  <c r="AJ278" i="2" s="1"/>
  <c r="BX296" i="2"/>
  <c r="BB306" i="2"/>
  <c r="BC306" i="2" s="1"/>
  <c r="BD306" i="2" s="1"/>
  <c r="AG312" i="2"/>
  <c r="AF312" i="2"/>
  <c r="AB267" i="2"/>
  <c r="AC267" i="2" s="1"/>
  <c r="AD267" i="2" s="1"/>
  <c r="AE267" i="2" s="1"/>
  <c r="AH274" i="2"/>
  <c r="AI274" i="2" s="1"/>
  <c r="AJ274" i="2" s="1"/>
  <c r="AH286" i="2"/>
  <c r="AI286" i="2" s="1"/>
  <c r="AJ286" i="2" s="1"/>
  <c r="BW293" i="2"/>
  <c r="AB310" i="2"/>
  <c r="AC310" i="2" s="1"/>
  <c r="AD310" i="2" s="1"/>
  <c r="AE310" i="2" s="1"/>
  <c r="AF319" i="2"/>
  <c r="BX314" i="2"/>
  <c r="AB319" i="2"/>
  <c r="AC319" i="2" s="1"/>
  <c r="AD319" i="2" s="1"/>
  <c r="AE319" i="2" s="1"/>
  <c r="BW289" i="2"/>
  <c r="AG320" i="2"/>
  <c r="AF320" i="2"/>
  <c r="AB320" i="2"/>
  <c r="AC320" i="2" s="1"/>
  <c r="AD320" i="2" s="1"/>
  <c r="AE320" i="2" s="1"/>
  <c r="BK289" i="2"/>
  <c r="BL289" i="2" s="1"/>
  <c r="BM289" i="2" s="1"/>
  <c r="BN289" i="2" s="1"/>
  <c r="BK300" i="2"/>
  <c r="BL300" i="2" s="1"/>
  <c r="BM300" i="2" s="1"/>
  <c r="BN300" i="2" s="1"/>
  <c r="AF292" i="2"/>
  <c r="AG292" i="2"/>
  <c r="BW296" i="2"/>
  <c r="AB303" i="2"/>
  <c r="AC303" i="2" s="1"/>
  <c r="AD303" i="2" s="1"/>
  <c r="AE303" i="2" s="1"/>
  <c r="BW310" i="2"/>
  <c r="BB291" i="2"/>
  <c r="BC291" i="2" s="1"/>
  <c r="BD291" i="2" s="1"/>
  <c r="BK320" i="2"/>
  <c r="BL320" i="2" s="1"/>
  <c r="BM320" i="2" s="1"/>
  <c r="BN320" i="2" s="1"/>
  <c r="BK249" i="1"/>
  <c r="BL249" i="1" s="1"/>
  <c r="BM249" i="1" s="1"/>
  <c r="BN249" i="1" s="1"/>
  <c r="BK276" i="1"/>
  <c r="BL276" i="1" s="1"/>
  <c r="BM276" i="1" s="1"/>
  <c r="BN276" i="1" s="1"/>
  <c r="BW225" i="1"/>
  <c r="BW122" i="1"/>
  <c r="BX122" i="1" s="1"/>
  <c r="BW41" i="1"/>
  <c r="BX41" i="1" s="1"/>
  <c r="BW232" i="1"/>
  <c r="BX232" i="1" s="1"/>
  <c r="BK106" i="1"/>
  <c r="BL106" i="1" s="1"/>
  <c r="BM106" i="1" s="1"/>
  <c r="BN106" i="1" s="1"/>
  <c r="BK127" i="1"/>
  <c r="BL127" i="1" s="1"/>
  <c r="BM127" i="1" s="1"/>
  <c r="BN127" i="1" s="1"/>
  <c r="BW155" i="1"/>
  <c r="BW42" i="1"/>
  <c r="BX42" i="1" s="1"/>
  <c r="AG320" i="1"/>
  <c r="AH320" i="1" s="1"/>
  <c r="AI320" i="1" s="1"/>
  <c r="AJ320" i="1" s="1"/>
  <c r="AF320" i="1"/>
  <c r="AB320" i="1"/>
  <c r="AC320" i="1" s="1"/>
  <c r="AD320" i="1" s="1"/>
  <c r="AE320" i="1" s="1"/>
  <c r="BK238" i="1"/>
  <c r="BL238" i="1" s="1"/>
  <c r="BM238" i="1" s="1"/>
  <c r="BN238" i="1" s="1"/>
  <c r="BW188" i="1"/>
  <c r="BX188" i="1" s="1"/>
  <c r="BK286" i="1"/>
  <c r="BL286" i="1" s="1"/>
  <c r="BM286" i="1" s="1"/>
  <c r="BN286" i="1" s="1"/>
  <c r="BW286" i="1"/>
  <c r="AB288" i="1"/>
  <c r="AC288" i="1" s="1"/>
  <c r="AD288" i="1" s="1"/>
  <c r="AE288" i="1" s="1"/>
  <c r="AG288" i="1"/>
  <c r="AF288" i="1"/>
  <c r="BW296" i="1"/>
  <c r="BX296" i="1" s="1"/>
  <c r="BK296" i="1"/>
  <c r="BL296" i="1" s="1"/>
  <c r="BM296" i="1" s="1"/>
  <c r="BN296" i="1" s="1"/>
  <c r="BK310" i="1"/>
  <c r="BL310" i="1" s="1"/>
  <c r="BM310" i="1" s="1"/>
  <c r="BN310" i="1" s="1"/>
  <c r="BW130" i="1"/>
  <c r="BX130" i="1" s="1"/>
  <c r="AG267" i="1"/>
  <c r="AF267" i="1"/>
  <c r="AB267" i="1"/>
  <c r="AC267" i="1" s="1"/>
  <c r="AD267" i="1" s="1"/>
  <c r="AE267" i="1" s="1"/>
  <c r="AG230" i="1"/>
  <c r="AF230" i="1"/>
  <c r="AB230" i="1"/>
  <c r="AC230" i="1" s="1"/>
  <c r="AD230" i="1" s="1"/>
  <c r="AE230" i="1" s="1"/>
  <c r="AG275" i="1"/>
  <c r="AF275" i="1"/>
  <c r="AG182" i="1"/>
  <c r="AH182" i="1" s="1"/>
  <c r="AI182" i="1" s="1"/>
  <c r="AJ182" i="1" s="1"/>
  <c r="AB182" i="1"/>
  <c r="AC182" i="1" s="1"/>
  <c r="AD182" i="1" s="1"/>
  <c r="AE182" i="1" s="1"/>
  <c r="BK130" i="1"/>
  <c r="BL130" i="1" s="1"/>
  <c r="BM130" i="1" s="1"/>
  <c r="BN130" i="1" s="1"/>
  <c r="AF304" i="1"/>
  <c r="AC304" i="1"/>
  <c r="AD304" i="1" s="1"/>
  <c r="AE304" i="1" s="1"/>
  <c r="AG304" i="1"/>
  <c r="AF106" i="1"/>
  <c r="AH106" i="1" s="1"/>
  <c r="AI106" i="1" s="1"/>
  <c r="AJ106" i="1" s="1"/>
  <c r="AB275" i="1"/>
  <c r="AC275" i="1" s="1"/>
  <c r="AD275" i="1" s="1"/>
  <c r="AE275" i="1" s="1"/>
  <c r="BK65" i="1"/>
  <c r="BL65" i="1" s="1"/>
  <c r="BM65" i="1" s="1"/>
  <c r="BN65" i="1" s="1"/>
  <c r="BW65" i="1"/>
  <c r="BX65" i="1" s="1"/>
  <c r="BW167" i="1"/>
  <c r="BX167" i="1" s="1"/>
  <c r="BK167" i="1"/>
  <c r="BL167" i="1" s="1"/>
  <c r="BM167" i="1" s="1"/>
  <c r="BN167" i="1" s="1"/>
  <c r="BW46" i="1"/>
  <c r="BW186" i="1"/>
  <c r="BX186" i="1" s="1"/>
  <c r="BK186" i="1"/>
  <c r="BL186" i="1" s="1"/>
  <c r="BM186" i="1" s="1"/>
  <c r="BN186" i="1" s="1"/>
  <c r="AG177" i="1"/>
  <c r="AF177" i="1"/>
  <c r="AB177" i="1"/>
  <c r="AC177" i="1" s="1"/>
  <c r="AD177" i="1" s="1"/>
  <c r="AE177" i="1" s="1"/>
  <c r="AG249" i="1"/>
  <c r="AH249" i="1" s="1"/>
  <c r="AI249" i="1" s="1"/>
  <c r="AJ249" i="1" s="1"/>
  <c r="BW257" i="1"/>
  <c r="BX257" i="1" s="1"/>
  <c r="AG274" i="1"/>
  <c r="AF274" i="1"/>
  <c r="AB274" i="1"/>
  <c r="AC274" i="1" s="1"/>
  <c r="AD274" i="1" s="1"/>
  <c r="AE274" i="1" s="1"/>
  <c r="AG314" i="1"/>
  <c r="AH314" i="1" s="1"/>
  <c r="AI314" i="1" s="1"/>
  <c r="AJ314" i="1" s="1"/>
  <c r="AB314" i="1"/>
  <c r="AC314" i="1" s="1"/>
  <c r="AD314" i="1" s="1"/>
  <c r="AE314" i="1" s="1"/>
  <c r="BK268" i="1"/>
  <c r="BL268" i="1" s="1"/>
  <c r="BM268" i="1" s="1"/>
  <c r="BN268" i="1" s="1"/>
  <c r="AF74" i="1"/>
  <c r="AB74" i="1"/>
  <c r="AC74" i="1" s="1"/>
  <c r="AD74" i="1" s="1"/>
  <c r="AE74" i="1" s="1"/>
  <c r="AG74" i="1"/>
  <c r="AB249" i="1"/>
  <c r="AC249" i="1" s="1"/>
  <c r="AD249" i="1" s="1"/>
  <c r="AE249" i="1" s="1"/>
  <c r="AF181" i="1"/>
  <c r="AG181" i="1"/>
  <c r="AB101" i="1"/>
  <c r="AC101" i="1" s="1"/>
  <c r="AD101" i="1" s="1"/>
  <c r="AE101" i="1" s="1"/>
  <c r="AG101" i="1"/>
  <c r="AF101" i="1"/>
  <c r="AG260" i="1"/>
  <c r="AF260" i="1"/>
  <c r="BK257" i="1"/>
  <c r="BL257" i="1" s="1"/>
  <c r="BM257" i="1" s="1"/>
  <c r="BN257" i="1" s="1"/>
  <c r="AG127" i="1"/>
  <c r="AF127" i="1"/>
  <c r="BK28" i="1"/>
  <c r="BL28" i="1" s="1"/>
  <c r="BM28" i="1" s="1"/>
  <c r="BN28" i="1" s="1"/>
  <c r="BW74" i="1"/>
  <c r="BX74" i="1" s="1"/>
  <c r="BW96" i="1"/>
  <c r="AF170" i="1"/>
  <c r="AB181" i="1"/>
  <c r="AC181" i="1" s="1"/>
  <c r="AD181" i="1" s="1"/>
  <c r="AE181" i="1" s="1"/>
  <c r="BW134" i="1"/>
  <c r="BX134" i="1" s="1"/>
  <c r="BK272" i="1"/>
  <c r="BL272" i="1" s="1"/>
  <c r="BM272" i="1" s="1"/>
  <c r="BN272" i="1" s="1"/>
  <c r="AF175" i="1"/>
  <c r="AG175" i="1"/>
  <c r="AB175" i="1"/>
  <c r="AC175" i="1" s="1"/>
  <c r="AD175" i="1" s="1"/>
  <c r="AE175" i="1" s="1"/>
  <c r="BK53" i="1"/>
  <c r="BL53" i="1" s="1"/>
  <c r="BM53" i="1" s="1"/>
  <c r="BN53" i="1" s="1"/>
  <c r="AG170" i="1"/>
  <c r="BW261" i="1"/>
  <c r="BX261" i="1" s="1"/>
  <c r="BW313" i="1"/>
  <c r="BX313" i="1" s="1"/>
  <c r="BW176" i="1"/>
  <c r="AB260" i="1"/>
  <c r="AC260" i="1" s="1"/>
  <c r="AD260" i="1" s="1"/>
  <c r="AE260" i="1" s="1"/>
  <c r="BW268" i="1"/>
  <c r="AG149" i="1"/>
  <c r="BK313" i="1"/>
  <c r="BL313" i="1" s="1"/>
  <c r="BM313" i="1" s="1"/>
  <c r="BN313" i="1" s="1"/>
  <c r="AG42" i="1"/>
  <c r="AH42" i="1" s="1"/>
  <c r="AI42" i="1" s="1"/>
  <c r="AJ42" i="1" s="1"/>
  <c r="AB42" i="1"/>
  <c r="AC42" i="1" s="1"/>
  <c r="AD42" i="1" s="1"/>
  <c r="AE42" i="1" s="1"/>
  <c r="BW278" i="1"/>
  <c r="BX278" i="1" s="1"/>
  <c r="BK278" i="1"/>
  <c r="BL278" i="1" s="1"/>
  <c r="BM278" i="1" s="1"/>
  <c r="BN278" i="1" s="1"/>
  <c r="BW14" i="1"/>
  <c r="BW265" i="1"/>
  <c r="BW310" i="1"/>
  <c r="BX310" i="1" s="1"/>
  <c r="BW182" i="1"/>
  <c r="BW288" i="1"/>
  <c r="BW189" i="1"/>
  <c r="BX189" i="1" s="1"/>
  <c r="BW211" i="1"/>
  <c r="BX211" i="1" s="1"/>
  <c r="BW266" i="1"/>
  <c r="BW121" i="1"/>
  <c r="BX121" i="1" s="1"/>
  <c r="BW260" i="1"/>
  <c r="BW63" i="1"/>
  <c r="BX63" i="1" s="1"/>
  <c r="AF184" i="1"/>
  <c r="AG184" i="1"/>
  <c r="BK259" i="1"/>
  <c r="BL259" i="1" s="1"/>
  <c r="BM259" i="1" s="1"/>
  <c r="BN259" i="1" s="1"/>
  <c r="AG280" i="1"/>
  <c r="AF280" i="1"/>
  <c r="AF134" i="1"/>
  <c r="BW178" i="1"/>
  <c r="BX178" i="1" s="1"/>
  <c r="BK178" i="1"/>
  <c r="BL178" i="1" s="1"/>
  <c r="BM178" i="1" s="1"/>
  <c r="BN178" i="1" s="1"/>
  <c r="BW321" i="1"/>
  <c r="BK120" i="1"/>
  <c r="BL120" i="1" s="1"/>
  <c r="BM120" i="1" s="1"/>
  <c r="BN120" i="1" s="1"/>
  <c r="BW105" i="1"/>
  <c r="AH235" i="1"/>
  <c r="AI235" i="1" s="1"/>
  <c r="AJ235" i="1" s="1"/>
  <c r="BW26" i="1"/>
  <c r="BX26" i="1" s="1"/>
  <c r="BK295" i="1"/>
  <c r="BL295" i="1" s="1"/>
  <c r="BM295" i="1" s="1"/>
  <c r="BN295" i="1" s="1"/>
  <c r="AH186" i="1"/>
  <c r="AI186" i="1" s="1"/>
  <c r="AJ186" i="1" s="1"/>
  <c r="BK155" i="1"/>
  <c r="BL155" i="1" s="1"/>
  <c r="BM155" i="1" s="1"/>
  <c r="BN155" i="1" s="1"/>
  <c r="BW320" i="1"/>
  <c r="BX320" i="1" s="1"/>
  <c r="AB184" i="1"/>
  <c r="AC184" i="1" s="1"/>
  <c r="AD184" i="1" s="1"/>
  <c r="AE184" i="1" s="1"/>
  <c r="BW220" i="1"/>
  <c r="BK158" i="1"/>
  <c r="BL158" i="1" s="1"/>
  <c r="BM158" i="1" s="1"/>
  <c r="BN158" i="1" s="1"/>
  <c r="BW158" i="1"/>
  <c r="BX158" i="1" s="1"/>
  <c r="BK119" i="1"/>
  <c r="BL119" i="1" s="1"/>
  <c r="BM119" i="1" s="1"/>
  <c r="BN119" i="1" s="1"/>
  <c r="BW162" i="1"/>
  <c r="BW32" i="1"/>
  <c r="BW290" i="1"/>
  <c r="BX290" i="1" s="1"/>
  <c r="AH307" i="1"/>
  <c r="AI307" i="1" s="1"/>
  <c r="AJ307" i="1" s="1"/>
  <c r="BW181" i="1"/>
  <c r="BX181" i="1" s="1"/>
  <c r="BW106" i="1"/>
  <c r="AF167" i="1"/>
  <c r="AB167" i="1"/>
  <c r="AC167" i="1" s="1"/>
  <c r="AD167" i="1" s="1"/>
  <c r="AE167" i="1" s="1"/>
  <c r="AG167" i="1"/>
  <c r="BB238" i="1"/>
  <c r="BC238" i="1" s="1"/>
  <c r="BD238" i="1" s="1"/>
  <c r="AB280" i="1"/>
  <c r="AC280" i="1" s="1"/>
  <c r="AD280" i="1" s="1"/>
  <c r="AE280" i="1" s="1"/>
  <c r="AF270" i="1"/>
  <c r="AB270" i="1"/>
  <c r="AC270" i="1" s="1"/>
  <c r="AD270" i="1" s="1"/>
  <c r="AE270" i="1" s="1"/>
  <c r="AG270" i="1"/>
  <c r="BK287" i="1"/>
  <c r="BL287" i="1" s="1"/>
  <c r="BM287" i="1" s="1"/>
  <c r="BN287" i="1" s="1"/>
  <c r="BW309" i="1"/>
  <c r="BX309" i="1" s="1"/>
  <c r="BW229" i="1"/>
  <c r="BX229" i="1" s="1"/>
  <c r="BW292" i="1"/>
  <c r="BX292" i="1" s="1"/>
  <c r="AF20" i="1"/>
  <c r="AB20" i="1"/>
  <c r="AC20" i="1" s="1"/>
  <c r="AD20" i="1" s="1"/>
  <c r="AE20" i="1" s="1"/>
  <c r="BB248" i="1"/>
  <c r="BC248" i="1" s="1"/>
  <c r="BD248" i="1" s="1"/>
  <c r="BK288" i="1"/>
  <c r="BL288" i="1" s="1"/>
  <c r="BM288" i="1" s="1"/>
  <c r="BN288" i="1" s="1"/>
  <c r="BK230" i="1"/>
  <c r="BL230" i="1" s="1"/>
  <c r="BM230" i="1" s="1"/>
  <c r="BN230" i="1" s="1"/>
  <c r="BW149" i="1"/>
  <c r="BX149" i="1" s="1"/>
  <c r="BW125" i="1"/>
  <c r="BX125" i="1" s="1"/>
  <c r="BW73" i="1"/>
  <c r="BX73" i="1" s="1"/>
  <c r="BW177" i="1"/>
  <c r="BW113" i="1"/>
  <c r="BX113" i="1" s="1"/>
  <c r="BK225" i="1"/>
  <c r="BL225" i="1" s="1"/>
  <c r="BM225" i="1" s="1"/>
  <c r="BN225" i="1" s="1"/>
  <c r="BK280" i="1"/>
  <c r="BL280" i="1" s="1"/>
  <c r="BM280" i="1" s="1"/>
  <c r="BN280" i="1" s="1"/>
  <c r="BW123" i="1"/>
  <c r="BX123" i="1" s="1"/>
  <c r="BK271" i="1"/>
  <c r="BL271" i="1" s="1"/>
  <c r="BM271" i="1" s="1"/>
  <c r="BN271" i="1" s="1"/>
  <c r="BW30" i="1"/>
  <c r="BW108" i="1"/>
  <c r="BK124" i="1"/>
  <c r="BL124" i="1" s="1"/>
  <c r="BM124" i="1" s="1"/>
  <c r="BN124" i="1" s="1"/>
  <c r="BW85" i="1"/>
  <c r="BW272" i="1"/>
  <c r="BX272" i="1" s="1"/>
  <c r="BW230" i="1"/>
  <c r="BX230" i="1" s="1"/>
  <c r="BW91" i="1"/>
  <c r="BX91" i="1" s="1"/>
  <c r="BK317" i="1"/>
  <c r="BL317" i="1" s="1"/>
  <c r="BM317" i="1" s="1"/>
  <c r="BN317" i="1" s="1"/>
  <c r="BW195" i="1"/>
  <c r="BW102" i="1"/>
  <c r="BX102" i="1" s="1"/>
  <c r="BK251" i="1"/>
  <c r="BL251" i="1" s="1"/>
  <c r="BM251" i="1" s="1"/>
  <c r="BN251" i="1" s="1"/>
  <c r="BW92" i="1"/>
  <c r="BX92" i="1" s="1"/>
  <c r="BK179" i="1"/>
  <c r="BL179" i="1" s="1"/>
  <c r="BM179" i="1" s="1"/>
  <c r="BN179" i="1" s="1"/>
  <c r="BW249" i="1"/>
  <c r="BX249" i="1" s="1"/>
  <c r="BW115" i="1"/>
  <c r="BX115" i="1" s="1"/>
  <c r="BW120" i="1"/>
  <c r="BW124" i="1"/>
  <c r="BX124" i="1" s="1"/>
  <c r="BW53" i="1"/>
  <c r="BX53" i="1" s="1"/>
  <c r="BW221" i="1"/>
  <c r="BK306" i="1"/>
  <c r="BL306" i="1" s="1"/>
  <c r="BM306" i="1" s="1"/>
  <c r="BN306" i="1" s="1"/>
  <c r="AB178" i="1"/>
  <c r="AC178" i="1" s="1"/>
  <c r="AD178" i="1" s="1"/>
  <c r="AE178" i="1" s="1"/>
  <c r="BK44" i="1"/>
  <c r="BL44" i="1" s="1"/>
  <c r="BM44" i="1" s="1"/>
  <c r="BN44" i="1" s="1"/>
  <c r="AG28" i="1"/>
  <c r="AH28" i="1" s="1"/>
  <c r="AI28" i="1" s="1"/>
  <c r="AJ28" i="1" s="1"/>
  <c r="AH161" i="1"/>
  <c r="AI161" i="1" s="1"/>
  <c r="AJ161" i="1" s="1"/>
  <c r="BW235" i="1"/>
  <c r="BX235" i="1" s="1"/>
  <c r="AH225" i="1"/>
  <c r="AI225" i="1" s="1"/>
  <c r="AJ225" i="1" s="1"/>
  <c r="BK39" i="1"/>
  <c r="BL39" i="1" s="1"/>
  <c r="BM39" i="1" s="1"/>
  <c r="BN39" i="1" s="1"/>
  <c r="BW305" i="1"/>
  <c r="BX305" i="1" s="1"/>
  <c r="BW4" i="1"/>
  <c r="BX4" i="1" s="1"/>
  <c r="BW282" i="1"/>
  <c r="BX282" i="1" s="1"/>
  <c r="BW109" i="1"/>
  <c r="BX109" i="1" s="1"/>
  <c r="BK122" i="1"/>
  <c r="BL122" i="1" s="1"/>
  <c r="BM122" i="1" s="1"/>
  <c r="BN122" i="1" s="1"/>
  <c r="AH321" i="1"/>
  <c r="AI321" i="1" s="1"/>
  <c r="AJ321" i="1" s="1"/>
  <c r="AG73" i="1"/>
  <c r="AF73" i="1"/>
  <c r="BK73" i="1"/>
  <c r="BL73" i="1" s="1"/>
  <c r="BM73" i="1" s="1"/>
  <c r="BN73" i="1" s="1"/>
  <c r="BW191" i="1"/>
  <c r="BX191" i="1" s="1"/>
  <c r="AG120" i="1"/>
  <c r="AF120" i="1"/>
  <c r="AB120" i="1"/>
  <c r="AC120" i="1" s="1"/>
  <c r="AD120" i="1" s="1"/>
  <c r="AE120" i="1" s="1"/>
  <c r="BW50" i="1"/>
  <c r="BX50" i="1" s="1"/>
  <c r="AB278" i="1"/>
  <c r="AC278" i="1" s="1"/>
  <c r="AD278" i="1" s="1"/>
  <c r="AE278" i="1" s="1"/>
  <c r="AF178" i="1"/>
  <c r="AB162" i="1"/>
  <c r="AC162" i="1" s="1"/>
  <c r="AD162" i="1" s="1"/>
  <c r="AE162" i="1" s="1"/>
  <c r="AG162" i="1"/>
  <c r="AH162" i="1" s="1"/>
  <c r="AI162" i="1" s="1"/>
  <c r="AJ162" i="1" s="1"/>
  <c r="BW319" i="1"/>
  <c r="BX319" i="1" s="1"/>
  <c r="BK319" i="1"/>
  <c r="BL319" i="1" s="1"/>
  <c r="BM319" i="1" s="1"/>
  <c r="BN319" i="1" s="1"/>
  <c r="BK50" i="1"/>
  <c r="BL50" i="1" s="1"/>
  <c r="BM50" i="1" s="1"/>
  <c r="BN50" i="1" s="1"/>
  <c r="BW246" i="1"/>
  <c r="AG178" i="1"/>
  <c r="BW287" i="1"/>
  <c r="BX287" i="1" s="1"/>
  <c r="AG271" i="1"/>
  <c r="AF271" i="1"/>
  <c r="AB73" i="1"/>
  <c r="AC73" i="1" s="1"/>
  <c r="AD73" i="1" s="1"/>
  <c r="AE73" i="1" s="1"/>
  <c r="BW187" i="1"/>
  <c r="BX187" i="1" s="1"/>
  <c r="BW25" i="1"/>
  <c r="BX25" i="1" s="1"/>
  <c r="BW60" i="1"/>
  <c r="BX60" i="1" s="1"/>
  <c r="AB96" i="1"/>
  <c r="AC96" i="1" s="1"/>
  <c r="AD96" i="1" s="1"/>
  <c r="AE96" i="1" s="1"/>
  <c r="AG238" i="1"/>
  <c r="AF238" i="1"/>
  <c r="AB238" i="1"/>
  <c r="AC238" i="1" s="1"/>
  <c r="AD238" i="1" s="1"/>
  <c r="AE238" i="1" s="1"/>
  <c r="BK246" i="1"/>
  <c r="BL246" i="1" s="1"/>
  <c r="BM246" i="1" s="1"/>
  <c r="BN246" i="1" s="1"/>
  <c r="BW243" i="1"/>
  <c r="BX243" i="1" s="1"/>
  <c r="BK243" i="1"/>
  <c r="BL243" i="1" s="1"/>
  <c r="BM243" i="1" s="1"/>
  <c r="BN243" i="1" s="1"/>
  <c r="BK129" i="1"/>
  <c r="BL129" i="1" s="1"/>
  <c r="BM129" i="1" s="1"/>
  <c r="BN129" i="1" s="1"/>
  <c r="BW306" i="1"/>
  <c r="BX306" i="1" s="1"/>
  <c r="BW54" i="1"/>
  <c r="BX54" i="1" s="1"/>
  <c r="AB44" i="1"/>
  <c r="AC44" i="1" s="1"/>
  <c r="AD44" i="1" s="1"/>
  <c r="AE44" i="1" s="1"/>
  <c r="AB36" i="1"/>
  <c r="AC36" i="1" s="1"/>
  <c r="AD36" i="1" s="1"/>
  <c r="AE36" i="1" s="1"/>
  <c r="BW236" i="1"/>
  <c r="BX236" i="1" s="1"/>
  <c r="BK236" i="1"/>
  <c r="BL236" i="1" s="1"/>
  <c r="BM236" i="1" s="1"/>
  <c r="BN236" i="1" s="1"/>
  <c r="AF162" i="1"/>
  <c r="BW119" i="1"/>
  <c r="AB271" i="1"/>
  <c r="AC271" i="1" s="1"/>
  <c r="AD271" i="1" s="1"/>
  <c r="AE271" i="1" s="1"/>
  <c r="BW259" i="1"/>
  <c r="AG50" i="1"/>
  <c r="AH50" i="1" s="1"/>
  <c r="AI50" i="1" s="1"/>
  <c r="AJ50" i="1" s="1"/>
  <c r="AB50" i="1"/>
  <c r="AC50" i="1" s="1"/>
  <c r="AD50" i="1" s="1"/>
  <c r="AE50" i="1" s="1"/>
  <c r="BW10" i="1"/>
  <c r="BX10" i="1" s="1"/>
  <c r="BK221" i="1"/>
  <c r="BL221" i="1" s="1"/>
  <c r="BM221" i="1" s="1"/>
  <c r="BN221" i="1" s="1"/>
  <c r="BK170" i="1"/>
  <c r="BL170" i="1" s="1"/>
  <c r="BM170" i="1" s="1"/>
  <c r="BN170" i="1" s="1"/>
  <c r="BW170" i="1"/>
  <c r="BX170" i="1" s="1"/>
  <c r="BW27" i="1"/>
  <c r="BX27" i="1" s="1"/>
  <c r="BW218" i="1"/>
  <c r="BW43" i="1"/>
  <c r="AF96" i="1"/>
  <c r="AH96" i="1" s="1"/>
  <c r="AI96" i="1" s="1"/>
  <c r="AJ96" i="1" s="1"/>
  <c r="AG9" i="1"/>
  <c r="AB9" i="1"/>
  <c r="AC9" i="1" s="1"/>
  <c r="AD9" i="1" s="1"/>
  <c r="AE9" i="1" s="1"/>
  <c r="AF9" i="1"/>
  <c r="BW175" i="1"/>
  <c r="BW12" i="1"/>
  <c r="BX12" i="1" s="1"/>
  <c r="BK173" i="1"/>
  <c r="BL173" i="1" s="1"/>
  <c r="BM173" i="1" s="1"/>
  <c r="BN173" i="1" s="1"/>
  <c r="BK182" i="1"/>
  <c r="BL182" i="1" s="1"/>
  <c r="BM182" i="1" s="1"/>
  <c r="BN182" i="1" s="1"/>
  <c r="AG259" i="1"/>
  <c r="AF259" i="1"/>
  <c r="BW276" i="1"/>
  <c r="BX276" i="1" s="1"/>
  <c r="BK311" i="1"/>
  <c r="BL311" i="1" s="1"/>
  <c r="BM311" i="1" s="1"/>
  <c r="BN311" i="1" s="1"/>
  <c r="BW311" i="1"/>
  <c r="BX311" i="1" s="1"/>
  <c r="BW173" i="1"/>
  <c r="AG134" i="1"/>
  <c r="BB9" i="1"/>
  <c r="BC9" i="1" s="1"/>
  <c r="BD9" i="1" s="1"/>
  <c r="AG130" i="1"/>
  <c r="AH130" i="1" s="1"/>
  <c r="AI130" i="1" s="1"/>
  <c r="AJ130" i="1" s="1"/>
  <c r="AB130" i="1"/>
  <c r="AC130" i="1" s="1"/>
  <c r="AD130" i="1" s="1"/>
  <c r="AE130" i="1" s="1"/>
  <c r="AF277" i="1"/>
  <c r="AB277" i="1"/>
  <c r="AC277" i="1" s="1"/>
  <c r="AD277" i="1" s="1"/>
  <c r="AE277" i="1" s="1"/>
  <c r="AG277" i="1"/>
  <c r="AG131" i="1"/>
  <c r="AF131" i="1"/>
  <c r="BK177" i="1"/>
  <c r="BL177" i="1" s="1"/>
  <c r="BM177" i="1" s="1"/>
  <c r="BN177" i="1" s="1"/>
  <c r="BW271" i="1"/>
  <c r="BX271" i="1" s="1"/>
  <c r="BK36" i="1"/>
  <c r="BL36" i="1" s="1"/>
  <c r="BM36" i="1" s="1"/>
  <c r="BN36" i="1" s="1"/>
  <c r="BK161" i="1"/>
  <c r="BL161" i="1" s="1"/>
  <c r="BM161" i="1" s="1"/>
  <c r="BN161" i="1" s="1"/>
  <c r="AF246" i="1"/>
  <c r="AG246" i="1"/>
  <c r="BW9" i="1"/>
  <c r="BX9" i="1" s="1"/>
  <c r="BW301" i="1"/>
  <c r="BX301" i="1" s="1"/>
  <c r="AG226" i="1"/>
  <c r="AH226" i="1" s="1"/>
  <c r="AI226" i="1" s="1"/>
  <c r="AJ226" i="1" s="1"/>
  <c r="AB226" i="1"/>
  <c r="AC226" i="1" s="1"/>
  <c r="AD226" i="1" s="1"/>
  <c r="AE226" i="1" s="1"/>
  <c r="BW275" i="1"/>
  <c r="AB221" i="1"/>
  <c r="AC221" i="1" s="1"/>
  <c r="AD221" i="1" s="1"/>
  <c r="AE221" i="1" s="1"/>
  <c r="BW258" i="1"/>
  <c r="BK258" i="1"/>
  <c r="BL258" i="1" s="1"/>
  <c r="BM258" i="1" s="1"/>
  <c r="BN258" i="1" s="1"/>
  <c r="BW198" i="1"/>
  <c r="AH272" i="1"/>
  <c r="AI272" i="1" s="1"/>
  <c r="AJ272" i="1" s="1"/>
  <c r="BW197" i="1"/>
  <c r="BX197" i="1" s="1"/>
  <c r="AF125" i="1"/>
  <c r="AG125" i="1"/>
  <c r="AB125" i="1"/>
  <c r="AC125" i="1" s="1"/>
  <c r="AD125" i="1" s="1"/>
  <c r="AE125" i="1" s="1"/>
  <c r="BK198" i="1"/>
  <c r="BL198" i="1" s="1"/>
  <c r="BM198" i="1" s="1"/>
  <c r="BN198" i="1" s="1"/>
  <c r="BK25" i="1"/>
  <c r="BL25" i="1" s="1"/>
  <c r="BM25" i="1" s="1"/>
  <c r="BN25" i="1" s="1"/>
  <c r="AH305" i="1"/>
  <c r="AI305" i="1" s="1"/>
  <c r="AJ305" i="1" s="1"/>
  <c r="BW20" i="1"/>
  <c r="BW44" i="1"/>
  <c r="BX44" i="1" s="1"/>
  <c r="AF243" i="1"/>
  <c r="AG243" i="1"/>
  <c r="AB243" i="1"/>
  <c r="AC243" i="1" s="1"/>
  <c r="AD243" i="1" s="1"/>
  <c r="AE243" i="1" s="1"/>
  <c r="BW82" i="1"/>
  <c r="BX82" i="1" s="1"/>
  <c r="AB258" i="1"/>
  <c r="AC258" i="1" s="1"/>
  <c r="AD258" i="1" s="1"/>
  <c r="AE258" i="1" s="1"/>
  <c r="AF258" i="1"/>
  <c r="AH258" i="1" s="1"/>
  <c r="AI258" i="1" s="1"/>
  <c r="AJ258" i="1" s="1"/>
  <c r="AB241" i="1"/>
  <c r="AC241" i="1" s="1"/>
  <c r="AD241" i="1" s="1"/>
  <c r="AE241" i="1" s="1"/>
  <c r="AB198" i="1"/>
  <c r="AC198" i="1" s="1"/>
  <c r="AD198" i="1" s="1"/>
  <c r="AE198" i="1" s="1"/>
  <c r="AB25" i="1"/>
  <c r="AC25" i="1" s="1"/>
  <c r="AD25" i="1" s="1"/>
  <c r="AE25" i="1" s="1"/>
  <c r="AG293" i="1"/>
  <c r="AF293" i="1"/>
  <c r="AG108" i="1"/>
  <c r="AF108" i="1"/>
  <c r="AB108" i="1"/>
  <c r="AC108" i="1" s="1"/>
  <c r="AD108" i="1" s="1"/>
  <c r="AE108" i="1" s="1"/>
  <c r="BW146" i="1"/>
  <c r="AG256" i="1"/>
  <c r="AB256" i="1"/>
  <c r="AC256" i="1" s="1"/>
  <c r="AD256" i="1" s="1"/>
  <c r="AE256" i="1" s="1"/>
  <c r="AF256" i="1"/>
  <c r="AG92" i="1"/>
  <c r="AF92" i="1"/>
  <c r="AB92" i="1"/>
  <c r="AC92" i="1" s="1"/>
  <c r="AD92" i="1" s="1"/>
  <c r="AE92" i="1" s="1"/>
  <c r="BK304" i="1"/>
  <c r="BL304" i="1" s="1"/>
  <c r="BM304" i="1" s="1"/>
  <c r="BN304" i="1" s="1"/>
  <c r="BW304" i="1"/>
  <c r="BW156" i="1"/>
  <c r="BX156" i="1" s="1"/>
  <c r="AG296" i="1"/>
  <c r="AF296" i="1"/>
  <c r="BB26" i="1"/>
  <c r="BC26" i="1" s="1"/>
  <c r="BD26" i="1" s="1"/>
  <c r="AB63" i="1"/>
  <c r="AC63" i="1" s="1"/>
  <c r="AD63" i="1" s="1"/>
  <c r="AE63" i="1" s="1"/>
  <c r="BW280" i="1"/>
  <c r="BX280" i="1" s="1"/>
  <c r="AG287" i="1"/>
  <c r="AF287" i="1"/>
  <c r="AG310" i="1"/>
  <c r="AF310" i="1"/>
  <c r="BW293" i="1"/>
  <c r="BW129" i="1"/>
  <c r="AH122" i="1"/>
  <c r="AI122" i="1" s="1"/>
  <c r="AJ122" i="1" s="1"/>
  <c r="BW36" i="1"/>
  <c r="BX36" i="1" s="1"/>
  <c r="BW135" i="1"/>
  <c r="BX135" i="1" s="1"/>
  <c r="AG319" i="1"/>
  <c r="AH319" i="1" s="1"/>
  <c r="AI319" i="1" s="1"/>
  <c r="AJ319" i="1" s="1"/>
  <c r="BW161" i="1"/>
  <c r="BX161" i="1" s="1"/>
  <c r="AG30" i="1"/>
  <c r="AF30" i="1"/>
  <c r="BB158" i="1"/>
  <c r="BC158" i="1" s="1"/>
  <c r="BD158" i="1" s="1"/>
  <c r="AF113" i="1"/>
  <c r="AB113" i="1"/>
  <c r="AC113" i="1" s="1"/>
  <c r="AD113" i="1" s="1"/>
  <c r="AE113" i="1" s="1"/>
  <c r="AG113" i="1"/>
  <c r="AH113" i="1" s="1"/>
  <c r="AI113" i="1" s="1"/>
  <c r="AJ113" i="1" s="1"/>
  <c r="AG77" i="1"/>
  <c r="AH77" i="1" s="1"/>
  <c r="AI77" i="1" s="1"/>
  <c r="AJ77" i="1" s="1"/>
  <c r="AB77" i="1"/>
  <c r="AC77" i="1" s="1"/>
  <c r="AD77" i="1" s="1"/>
  <c r="AE77" i="1" s="1"/>
  <c r="AB276" i="1"/>
  <c r="AC276" i="1" s="1"/>
  <c r="AD276" i="1" s="1"/>
  <c r="AE276" i="1" s="1"/>
  <c r="AG276" i="1"/>
  <c r="AH276" i="1" s="1"/>
  <c r="AI276" i="1" s="1"/>
  <c r="AJ276" i="1" s="1"/>
  <c r="AB122" i="1"/>
  <c r="AC122" i="1" s="1"/>
  <c r="AD122" i="1" s="1"/>
  <c r="AE122" i="1" s="1"/>
  <c r="BW307" i="1"/>
  <c r="BK135" i="1"/>
  <c r="BL135" i="1" s="1"/>
  <c r="BM135" i="1" s="1"/>
  <c r="BN135" i="1" s="1"/>
  <c r="AF241" i="1"/>
  <c r="AH241" i="1" s="1"/>
  <c r="AI241" i="1" s="1"/>
  <c r="AJ241" i="1" s="1"/>
  <c r="BW127" i="1"/>
  <c r="BX127" i="1" s="1"/>
  <c r="AG292" i="1"/>
  <c r="AF292" i="1"/>
  <c r="BB134" i="1"/>
  <c r="BC134" i="1" s="1"/>
  <c r="BD134" i="1" s="1"/>
  <c r="AG89" i="1"/>
  <c r="AF89" i="1"/>
  <c r="AB89" i="1"/>
  <c r="AC89" i="1" s="1"/>
  <c r="AD89" i="1" s="1"/>
  <c r="AE89" i="1" s="1"/>
  <c r="AG35" i="1"/>
  <c r="AH35" i="1" s="1"/>
  <c r="AI35" i="1" s="1"/>
  <c r="AJ35" i="1" s="1"/>
  <c r="BK101" i="1"/>
  <c r="BL101" i="1" s="1"/>
  <c r="BM101" i="1" s="1"/>
  <c r="BN101" i="1" s="1"/>
  <c r="BW262" i="1"/>
  <c r="BX262" i="1" s="1"/>
  <c r="BK262" i="1"/>
  <c r="BL262" i="1" s="1"/>
  <c r="BM262" i="1" s="1"/>
  <c r="BN262" i="1" s="1"/>
  <c r="BB12" i="1"/>
  <c r="BC12" i="1" s="1"/>
  <c r="BD12" i="1" s="1"/>
  <c r="BW160" i="1"/>
  <c r="BK223" i="1"/>
  <c r="BL223" i="1" s="1"/>
  <c r="BM223" i="1" s="1"/>
  <c r="BN223" i="1" s="1"/>
  <c r="BW251" i="1"/>
  <c r="BX251" i="1" s="1"/>
  <c r="BW238" i="1"/>
  <c r="BX238" i="1" s="1"/>
  <c r="BW183" i="1"/>
  <c r="BX183" i="1" s="1"/>
  <c r="AG52" i="1"/>
  <c r="AH52" i="1" s="1"/>
  <c r="AI52" i="1" s="1"/>
  <c r="AJ52" i="1" s="1"/>
  <c r="BW31" i="1"/>
  <c r="BX31" i="1" s="1"/>
  <c r="BW33" i="1"/>
  <c r="BX33" i="1" s="1"/>
  <c r="BW248" i="1"/>
  <c r="BX248" i="1" s="1"/>
  <c r="BK108" i="1"/>
  <c r="BL108" i="1" s="1"/>
  <c r="BM108" i="1" s="1"/>
  <c r="BN108" i="1" s="1"/>
  <c r="AG188" i="1"/>
  <c r="AH188" i="1" s="1"/>
  <c r="AI188" i="1" s="1"/>
  <c r="AJ188" i="1" s="1"/>
  <c r="AB188" i="1"/>
  <c r="AC188" i="1" s="1"/>
  <c r="AD188" i="1" s="1"/>
  <c r="AE188" i="1" s="1"/>
  <c r="AG132" i="1"/>
  <c r="AF132" i="1"/>
  <c r="BW254" i="1"/>
  <c r="BX254" i="1" s="1"/>
  <c r="BW157" i="1"/>
  <c r="BX157" i="1" s="1"/>
  <c r="BW56" i="1"/>
  <c r="BX56" i="1" s="1"/>
  <c r="BW23" i="1"/>
  <c r="BW111" i="1"/>
  <c r="BX111" i="1" s="1"/>
  <c r="BK302" i="1"/>
  <c r="BL302" i="1" s="1"/>
  <c r="BM302" i="1" s="1"/>
  <c r="BN302" i="1" s="1"/>
  <c r="BW318" i="1"/>
  <c r="BX318" i="1" s="1"/>
  <c r="BW76" i="1"/>
  <c r="BX76" i="1" s="1"/>
  <c r="BW201" i="1"/>
  <c r="BK75" i="1"/>
  <c r="BK316" i="1"/>
  <c r="BL316" i="1" s="1"/>
  <c r="BM316" i="1" s="1"/>
  <c r="BN316" i="1" s="1"/>
  <c r="BK171" i="1"/>
  <c r="BL171" i="1" s="1"/>
  <c r="BM171" i="1" s="1"/>
  <c r="BN171" i="1" s="1"/>
  <c r="BW302" i="1"/>
  <c r="BW213" i="1"/>
  <c r="BX213" i="1" s="1"/>
  <c r="BW86" i="1"/>
  <c r="BW147" i="1"/>
  <c r="BX147" i="1" s="1"/>
  <c r="BW45" i="1"/>
  <c r="BX45" i="1" s="1"/>
  <c r="BW13" i="1"/>
  <c r="BX13" i="1" s="1"/>
  <c r="BK16" i="1"/>
  <c r="BL16" i="1" s="1"/>
  <c r="BM16" i="1" s="1"/>
  <c r="BN16" i="1" s="1"/>
  <c r="BW80" i="1"/>
  <c r="BX80" i="1" s="1"/>
  <c r="BK166" i="1"/>
  <c r="BL166" i="1" s="1"/>
  <c r="BM166" i="1" s="1"/>
  <c r="BN166" i="1" s="1"/>
  <c r="BW66" i="1"/>
  <c r="BX66" i="1" s="1"/>
  <c r="BK147" i="1"/>
  <c r="BL147" i="1" s="1"/>
  <c r="BM147" i="1" s="1"/>
  <c r="BN147" i="1" s="1"/>
  <c r="BW112" i="1"/>
  <c r="BX112" i="1" s="1"/>
  <c r="BK72" i="1"/>
  <c r="BL72" i="1" s="1"/>
  <c r="BM72" i="1" s="1"/>
  <c r="BN72" i="1" s="1"/>
  <c r="BK99" i="1"/>
  <c r="BL99" i="1" s="1"/>
  <c r="BM99" i="1" s="1"/>
  <c r="BN99" i="1" s="1"/>
  <c r="BW140" i="1"/>
  <c r="BX140" i="1" s="1"/>
  <c r="BW322" i="1"/>
  <c r="BX322" i="1" s="1"/>
  <c r="BW279" i="1"/>
  <c r="BW62" i="1"/>
  <c r="BX62" i="1" s="1"/>
  <c r="BW205" i="1"/>
  <c r="BX205" i="1" s="1"/>
  <c r="BW298" i="1"/>
  <c r="BX298" i="1" s="1"/>
  <c r="BW142" i="1"/>
  <c r="BK201" i="1"/>
  <c r="BL201" i="1" s="1"/>
  <c r="BM201" i="1" s="1"/>
  <c r="BN201" i="1" s="1"/>
  <c r="BK112" i="1"/>
  <c r="BL112" i="1" s="1"/>
  <c r="BM112" i="1" s="1"/>
  <c r="BN112" i="1" s="1"/>
  <c r="BK234" i="1"/>
  <c r="BL234" i="1" s="1"/>
  <c r="BM234" i="1" s="1"/>
  <c r="BN234" i="1" s="1"/>
  <c r="BW94" i="1"/>
  <c r="BX94" i="1" s="1"/>
  <c r="BK239" i="1"/>
  <c r="BL239" i="1" s="1"/>
  <c r="BM239" i="1" s="1"/>
  <c r="BN239" i="1" s="1"/>
  <c r="BW150" i="1"/>
  <c r="BX150" i="1" s="1"/>
  <c r="BW38" i="1"/>
  <c r="BW100" i="1"/>
  <c r="BX100" i="1" s="1"/>
  <c r="BK148" i="1"/>
  <c r="BL148" i="1" s="1"/>
  <c r="BM148" i="1" s="1"/>
  <c r="BN148" i="1" s="1"/>
  <c r="BK159" i="1"/>
  <c r="BL159" i="1" s="1"/>
  <c r="BM159" i="1" s="1"/>
  <c r="BN159" i="1" s="1"/>
  <c r="BW93" i="1"/>
  <c r="BW269" i="1"/>
  <c r="BK205" i="1"/>
  <c r="BL205" i="1" s="1"/>
  <c r="BM205" i="1" s="1"/>
  <c r="BN205" i="1" s="1"/>
  <c r="BK133" i="1"/>
  <c r="BL133" i="1" s="1"/>
  <c r="BM133" i="1" s="1"/>
  <c r="BN133" i="1" s="1"/>
  <c r="BW141" i="1"/>
  <c r="BX141" i="1" s="1"/>
  <c r="BK228" i="1"/>
  <c r="BL228" i="1" s="1"/>
  <c r="BM228" i="1" s="1"/>
  <c r="BN228" i="1" s="1"/>
  <c r="BW107" i="1"/>
  <c r="BX107" i="1" s="1"/>
  <c r="BW83" i="1"/>
  <c r="BX83" i="1" s="1"/>
  <c r="BK298" i="1"/>
  <c r="BL298" i="1" s="1"/>
  <c r="BM298" i="1" s="1"/>
  <c r="BN298" i="1" s="1"/>
  <c r="BW316" i="1"/>
  <c r="BX316" i="1" s="1"/>
  <c r="BW16" i="1"/>
  <c r="BX16" i="1" s="1"/>
  <c r="BK62" i="1"/>
  <c r="BL62" i="1" s="1"/>
  <c r="BM62" i="1" s="1"/>
  <c r="BN62" i="1" s="1"/>
  <c r="BW22" i="1"/>
  <c r="BX22" i="1" s="1"/>
  <c r="BW5" i="1"/>
  <c r="BX5" i="1" s="1"/>
  <c r="BW164" i="1"/>
  <c r="BX164" i="1" s="1"/>
  <c r="BW59" i="1"/>
  <c r="BX59" i="1" s="1"/>
  <c r="BK116" i="1"/>
  <c r="BL116" i="1" s="1"/>
  <c r="BM116" i="1" s="1"/>
  <c r="BN116" i="1" s="1"/>
  <c r="BK216" i="1"/>
  <c r="BL216" i="1" s="1"/>
  <c r="BM216" i="1" s="1"/>
  <c r="BN216" i="1" s="1"/>
  <c r="BW204" i="1"/>
  <c r="BX204" i="1" s="1"/>
  <c r="BW81" i="1"/>
  <c r="BX81" i="1" s="1"/>
  <c r="BW299" i="1"/>
  <c r="BX299" i="1" s="1"/>
  <c r="BW263" i="1"/>
  <c r="BX263" i="1" s="1"/>
  <c r="BW75" i="1"/>
  <c r="BX75" i="1" s="1"/>
  <c r="BW97" i="1"/>
  <c r="BW207" i="1"/>
  <c r="BK103" i="1"/>
  <c r="BL103" i="1" s="1"/>
  <c r="BM103" i="1" s="1"/>
  <c r="BN103" i="1" s="1"/>
  <c r="BW217" i="1"/>
  <c r="BX217" i="1" s="1"/>
  <c r="BK29" i="1"/>
  <c r="BL29" i="1" s="1"/>
  <c r="BM29" i="1" s="1"/>
  <c r="BN29" i="1" s="1"/>
  <c r="BK80" i="1"/>
  <c r="BL80" i="1" s="1"/>
  <c r="BM80" i="1" s="1"/>
  <c r="BN80" i="1" s="1"/>
  <c r="BK185" i="1"/>
  <c r="BL185" i="1" s="1"/>
  <c r="BM185" i="1" s="1"/>
  <c r="BN185" i="1" s="1"/>
  <c r="BK231" i="1"/>
  <c r="BL231" i="1" s="1"/>
  <c r="BM231" i="1" s="1"/>
  <c r="BN231" i="1" s="1"/>
  <c r="BW69" i="1"/>
  <c r="BX69" i="1" s="1"/>
  <c r="BW11" i="1"/>
  <c r="BW239" i="1"/>
  <c r="BW200" i="1"/>
  <c r="BX200" i="1" s="1"/>
  <c r="BW15" i="1"/>
  <c r="BX15" i="1" s="1"/>
  <c r="BW227" i="1"/>
  <c r="BX227" i="1" s="1"/>
  <c r="BW223" i="1"/>
  <c r="BW245" i="1"/>
  <c r="BX245" i="1" s="1"/>
  <c r="BK303" i="1"/>
  <c r="BL303" i="1" s="1"/>
  <c r="BM303" i="1" s="1"/>
  <c r="BN303" i="1" s="1"/>
  <c r="BW233" i="1"/>
  <c r="BX233" i="1" s="1"/>
  <c r="BW132" i="1"/>
  <c r="BX132" i="1" s="1"/>
  <c r="BK315" i="1"/>
  <c r="BL315" i="1" s="1"/>
  <c r="BM315" i="1" s="1"/>
  <c r="BN315" i="1" s="1"/>
  <c r="BW168" i="1"/>
  <c r="BX168" i="1" s="1"/>
  <c r="BW47" i="1"/>
  <c r="BX47" i="1" s="1"/>
  <c r="BW216" i="1"/>
  <c r="BW202" i="1"/>
  <c r="BX202" i="1" s="1"/>
  <c r="BK100" i="1"/>
  <c r="BL100" i="1" s="1"/>
  <c r="BM100" i="1" s="1"/>
  <c r="BN100" i="1" s="1"/>
  <c r="BK114" i="1"/>
  <c r="BL114" i="1" s="1"/>
  <c r="BM114" i="1" s="1"/>
  <c r="BN114" i="1" s="1"/>
  <c r="BK131" i="1"/>
  <c r="BL131" i="1" s="1"/>
  <c r="BM131" i="1" s="1"/>
  <c r="BN131" i="1" s="1"/>
  <c r="BW315" i="1"/>
  <c r="BW222" i="1"/>
  <c r="BK291" i="1"/>
  <c r="BL291" i="1" s="1"/>
  <c r="BM291" i="1" s="1"/>
  <c r="BN291" i="1" s="1"/>
  <c r="BK113" i="1"/>
  <c r="BL113" i="1" s="1"/>
  <c r="BM113" i="1" s="1"/>
  <c r="BN113" i="1" s="1"/>
  <c r="BK160" i="1"/>
  <c r="BL160" i="1" s="1"/>
  <c r="BM160" i="1" s="1"/>
  <c r="BN160" i="1" s="1"/>
  <c r="BK207" i="1"/>
  <c r="BL207" i="1" s="1"/>
  <c r="BM207" i="1" s="1"/>
  <c r="BN207" i="1" s="1"/>
  <c r="BW226" i="1"/>
  <c r="BX226" i="1" s="1"/>
  <c r="BW163" i="1"/>
  <c r="BX163" i="1" s="1"/>
  <c r="BW128" i="1"/>
  <c r="BX128" i="1" s="1"/>
  <c r="BK200" i="1"/>
  <c r="BL200" i="1" s="1"/>
  <c r="BM200" i="1" s="1"/>
  <c r="BN200" i="1" s="1"/>
  <c r="BW159" i="1"/>
  <c r="BW209" i="1"/>
  <c r="BK267" i="1"/>
  <c r="BL267" i="1" s="1"/>
  <c r="BM267" i="1" s="1"/>
  <c r="BN267" i="1" s="1"/>
  <c r="BW224" i="1"/>
  <c r="BX224" i="1" s="1"/>
  <c r="BW295" i="1"/>
  <c r="BX295" i="1" s="1"/>
  <c r="BW169" i="1"/>
  <c r="BX169" i="1" s="1"/>
  <c r="BK245" i="1"/>
  <c r="BL245" i="1" s="1"/>
  <c r="BM245" i="1" s="1"/>
  <c r="BN245" i="1" s="1"/>
  <c r="BK102" i="1"/>
  <c r="BL102" i="1" s="1"/>
  <c r="BM102" i="1" s="1"/>
  <c r="BN102" i="1" s="1"/>
  <c r="BK67" i="1"/>
  <c r="BL67" i="1" s="1"/>
  <c r="BM67" i="1" s="1"/>
  <c r="BN67" i="1" s="1"/>
  <c r="BK217" i="1"/>
  <c r="BL217" i="1" s="1"/>
  <c r="BM217" i="1" s="1"/>
  <c r="BN217" i="1" s="1"/>
  <c r="BK248" i="1"/>
  <c r="BL248" i="1" s="1"/>
  <c r="BM248" i="1" s="1"/>
  <c r="BN248" i="1" s="1"/>
  <c r="BW256" i="1"/>
  <c r="BW190" i="1"/>
  <c r="BW40" i="1"/>
  <c r="BX40" i="1" s="1"/>
  <c r="BK145" i="1"/>
  <c r="BL145" i="1" s="1"/>
  <c r="BM145" i="1" s="1"/>
  <c r="BN145" i="1" s="1"/>
  <c r="BW255" i="1"/>
  <c r="BX255" i="1" s="1"/>
  <c r="BW133" i="1"/>
  <c r="BX133" i="1" s="1"/>
  <c r="BW101" i="1"/>
  <c r="BX101" i="1" s="1"/>
  <c r="BW285" i="1"/>
  <c r="BK232" i="1"/>
  <c r="BL232" i="1" s="1"/>
  <c r="BM232" i="1" s="1"/>
  <c r="BN232" i="1" s="1"/>
  <c r="BK183" i="1"/>
  <c r="BL183" i="1" s="1"/>
  <c r="BM183" i="1" s="1"/>
  <c r="BN183" i="1" s="1"/>
  <c r="BK134" i="1"/>
  <c r="BL134" i="1" s="1"/>
  <c r="BM134" i="1" s="1"/>
  <c r="BN134" i="1" s="1"/>
  <c r="BK247" i="1"/>
  <c r="BL247" i="1" s="1"/>
  <c r="BM247" i="1" s="1"/>
  <c r="BN247" i="1" s="1"/>
  <c r="BW277" i="1"/>
  <c r="BW131" i="1"/>
  <c r="BX131" i="1" s="1"/>
  <c r="BW64" i="1"/>
  <c r="BW58" i="1"/>
  <c r="BX58" i="1" s="1"/>
  <c r="BK88" i="1"/>
  <c r="BL88" i="1" s="1"/>
  <c r="BM88" i="1" s="1"/>
  <c r="BN88" i="1" s="1"/>
  <c r="BW8" i="1"/>
  <c r="BX8" i="1" s="1"/>
  <c r="BK175" i="1"/>
  <c r="BL175" i="1" s="1"/>
  <c r="BM175" i="1" s="1"/>
  <c r="BN175" i="1" s="1"/>
  <c r="BW179" i="1"/>
  <c r="BK193" i="1"/>
  <c r="BL193" i="1" s="1"/>
  <c r="BM193" i="1" s="1"/>
  <c r="BN193" i="1" s="1"/>
  <c r="BW185" i="1"/>
  <c r="BK68" i="1"/>
  <c r="BL68" i="1" s="1"/>
  <c r="BM68" i="1" s="1"/>
  <c r="BN68" i="1" s="1"/>
  <c r="BK190" i="1"/>
  <c r="BL190" i="1" s="1"/>
  <c r="BM190" i="1" s="1"/>
  <c r="BN190" i="1" s="1"/>
  <c r="BW39" i="1"/>
  <c r="BW231" i="1"/>
  <c r="BX231" i="1" s="1"/>
  <c r="BK125" i="1"/>
  <c r="BL125" i="1" s="1"/>
  <c r="BM125" i="1" s="1"/>
  <c r="BN125" i="1" s="1"/>
  <c r="BW241" i="1"/>
  <c r="BW89" i="1"/>
  <c r="BW300" i="1"/>
  <c r="BX300" i="1" s="1"/>
  <c r="BW174" i="1"/>
  <c r="AG158" i="1"/>
  <c r="AH158" i="1" s="1"/>
  <c r="AI158" i="1" s="1"/>
  <c r="AJ158" i="1" s="1"/>
  <c r="AB158" i="1"/>
  <c r="AC158" i="1" s="1"/>
  <c r="AD158" i="1" s="1"/>
  <c r="AE158" i="1" s="1"/>
  <c r="AG31" i="1"/>
  <c r="AH31" i="1" s="1"/>
  <c r="AI31" i="1" s="1"/>
  <c r="AJ31" i="1" s="1"/>
  <c r="AB6" i="1"/>
  <c r="AC6" i="1" s="1"/>
  <c r="AD6" i="1" s="1"/>
  <c r="AE6" i="1" s="1"/>
  <c r="AG6" i="1"/>
  <c r="AH6" i="1" s="1"/>
  <c r="AI6" i="1" s="1"/>
  <c r="AJ6" i="1" s="1"/>
  <c r="BK117" i="1"/>
  <c r="BL117" i="1" s="1"/>
  <c r="BM117" i="1" s="1"/>
  <c r="BN117" i="1" s="1"/>
  <c r="BW117" i="1"/>
  <c r="BX117" i="1" s="1"/>
  <c r="AF60" i="1"/>
  <c r="AH60" i="1" s="1"/>
  <c r="AI60" i="1" s="1"/>
  <c r="AJ60" i="1" s="1"/>
  <c r="BK300" i="1"/>
  <c r="BL300" i="1" s="1"/>
  <c r="BM300" i="1" s="1"/>
  <c r="BN300" i="1" s="1"/>
  <c r="AG237" i="1"/>
  <c r="AH237" i="1" s="1"/>
  <c r="AI237" i="1" s="1"/>
  <c r="AJ237" i="1" s="1"/>
  <c r="BW237" i="1"/>
  <c r="BK237" i="1"/>
  <c r="BL237" i="1" s="1"/>
  <c r="BM237" i="1" s="1"/>
  <c r="BN237" i="1" s="1"/>
  <c r="BW57" i="1"/>
  <c r="BX57" i="1" s="1"/>
  <c r="BW68" i="1"/>
  <c r="BW253" i="1"/>
  <c r="AB132" i="1"/>
  <c r="AC132" i="1" s="1"/>
  <c r="AD132" i="1" s="1"/>
  <c r="AE132" i="1" s="1"/>
  <c r="AG69" i="1"/>
  <c r="AH69" i="1" s="1"/>
  <c r="AI69" i="1" s="1"/>
  <c r="AJ69" i="1" s="1"/>
  <c r="BK195" i="1"/>
  <c r="BL195" i="1" s="1"/>
  <c r="BM195" i="1" s="1"/>
  <c r="BN195" i="1" s="1"/>
  <c r="BK123" i="1"/>
  <c r="BL123" i="1" s="1"/>
  <c r="BM123" i="1" s="1"/>
  <c r="BN123" i="1" s="1"/>
  <c r="BW203" i="1"/>
  <c r="BW35" i="1"/>
  <c r="BK149" i="1"/>
  <c r="BL149" i="1" s="1"/>
  <c r="BM149" i="1" s="1"/>
  <c r="BN149" i="1" s="1"/>
  <c r="AG285" i="1"/>
  <c r="AF285" i="1"/>
  <c r="AG12" i="1"/>
  <c r="AB12" i="1"/>
  <c r="AC12" i="1" s="1"/>
  <c r="AD12" i="1" s="1"/>
  <c r="AE12" i="1" s="1"/>
  <c r="AF12" i="1"/>
  <c r="BW3" i="1"/>
  <c r="AB71" i="1"/>
  <c r="AC71" i="1" s="1"/>
  <c r="AD71" i="1" s="1"/>
  <c r="AE71" i="1" s="1"/>
  <c r="AG71" i="1"/>
  <c r="AF71" i="1"/>
  <c r="BK60" i="1"/>
  <c r="BL60" i="1" s="1"/>
  <c r="BM60" i="1" s="1"/>
  <c r="BN60" i="1" s="1"/>
  <c r="BK203" i="1"/>
  <c r="BL203" i="1" s="1"/>
  <c r="BM203" i="1" s="1"/>
  <c r="BN203" i="1" s="1"/>
  <c r="BW61" i="1"/>
  <c r="BX61" i="1" s="1"/>
  <c r="BK35" i="1"/>
  <c r="BL35" i="1" s="1"/>
  <c r="BM35" i="1" s="1"/>
  <c r="BN35" i="1" s="1"/>
  <c r="AB285" i="1"/>
  <c r="AC285" i="1" s="1"/>
  <c r="AD285" i="1" s="1"/>
  <c r="AE285" i="1" s="1"/>
  <c r="AG67" i="1"/>
  <c r="AH67" i="1" s="1"/>
  <c r="AI67" i="1" s="1"/>
  <c r="AJ67" i="1" s="1"/>
  <c r="AB67" i="1"/>
  <c r="AC67" i="1" s="1"/>
  <c r="AD67" i="1" s="1"/>
  <c r="AE67" i="1" s="1"/>
  <c r="AF117" i="1"/>
  <c r="AG117" i="1"/>
  <c r="AH117" i="1" s="1"/>
  <c r="AI117" i="1" s="1"/>
  <c r="AJ117" i="1" s="1"/>
  <c r="BW52" i="1"/>
  <c r="BK52" i="1"/>
  <c r="BL52" i="1" s="1"/>
  <c r="BM52" i="1" s="1"/>
  <c r="BN52" i="1" s="1"/>
  <c r="AH295" i="1"/>
  <c r="AI295" i="1" s="1"/>
  <c r="AJ295" i="1" s="1"/>
  <c r="AG283" i="1"/>
  <c r="AF283" i="1"/>
  <c r="AB163" i="1"/>
  <c r="AC163" i="1" s="1"/>
  <c r="AD163" i="1" s="1"/>
  <c r="AE163" i="1" s="1"/>
  <c r="AF163" i="1"/>
  <c r="AG163" i="1"/>
  <c r="AG24" i="1"/>
  <c r="AF24" i="1"/>
  <c r="BW71" i="1"/>
  <c r="BX71" i="1" s="1"/>
  <c r="BK71" i="1"/>
  <c r="BL71" i="1" s="1"/>
  <c r="BM71" i="1" s="1"/>
  <c r="BN71" i="1" s="1"/>
  <c r="BW137" i="1"/>
  <c r="BW210" i="1"/>
  <c r="AH4" i="1"/>
  <c r="AI4" i="1" s="1"/>
  <c r="AJ4" i="1" s="1"/>
  <c r="AG3" i="1"/>
  <c r="AF3" i="1"/>
  <c r="AB24" i="1"/>
  <c r="AC24" i="1" s="1"/>
  <c r="AD24" i="1" s="1"/>
  <c r="AE24" i="1" s="1"/>
  <c r="BK143" i="1"/>
  <c r="BL143" i="1" s="1"/>
  <c r="BM143" i="1" s="1"/>
  <c r="BN143" i="1" s="1"/>
  <c r="BW143" i="1"/>
  <c r="BX143" i="1" s="1"/>
  <c r="BK137" i="1"/>
  <c r="BL137" i="1" s="1"/>
  <c r="BM137" i="1" s="1"/>
  <c r="BN137" i="1" s="1"/>
  <c r="AB183" i="1"/>
  <c r="AC183" i="1" s="1"/>
  <c r="AD183" i="1" s="1"/>
  <c r="AE183" i="1" s="1"/>
  <c r="BK210" i="1"/>
  <c r="BL210" i="1" s="1"/>
  <c r="BM210" i="1" s="1"/>
  <c r="BN210" i="1" s="1"/>
  <c r="BW88" i="1"/>
  <c r="BX88" i="1" s="1"/>
  <c r="AB283" i="1"/>
  <c r="AC283" i="1" s="1"/>
  <c r="AD283" i="1" s="1"/>
  <c r="AE283" i="1" s="1"/>
  <c r="BW273" i="1"/>
  <c r="BK273" i="1"/>
  <c r="BL273" i="1" s="1"/>
  <c r="BM273" i="1" s="1"/>
  <c r="BN273" i="1" s="1"/>
  <c r="AF185" i="1"/>
  <c r="AB185" i="1"/>
  <c r="AC185" i="1" s="1"/>
  <c r="AD185" i="1" s="1"/>
  <c r="AE185" i="1" s="1"/>
  <c r="BW270" i="1"/>
  <c r="AB174" i="1"/>
  <c r="AC174" i="1" s="1"/>
  <c r="AD174" i="1" s="1"/>
  <c r="AE174" i="1" s="1"/>
  <c r="BK115" i="1"/>
  <c r="BL115" i="1" s="1"/>
  <c r="BM115" i="1" s="1"/>
  <c r="BN115" i="1" s="1"/>
  <c r="AF190" i="1"/>
  <c r="BW274" i="1"/>
  <c r="BX274" i="1" s="1"/>
  <c r="BK274" i="1"/>
  <c r="BL274" i="1" s="1"/>
  <c r="BM274" i="1" s="1"/>
  <c r="BN274" i="1" s="1"/>
  <c r="BK270" i="1"/>
  <c r="BL270" i="1" s="1"/>
  <c r="BM270" i="1" s="1"/>
  <c r="BN270" i="1" s="1"/>
  <c r="AB14" i="1"/>
  <c r="AC14" i="1" s="1"/>
  <c r="AD14" i="1" s="1"/>
  <c r="AE14" i="1" s="1"/>
  <c r="AB210" i="1"/>
  <c r="AC210" i="1" s="1"/>
  <c r="AD210" i="1" s="1"/>
  <c r="AE210" i="1" s="1"/>
  <c r="AH262" i="1"/>
  <c r="AI262" i="1" s="1"/>
  <c r="AJ262" i="1" s="1"/>
  <c r="AB3" i="1"/>
  <c r="AC3" i="1" s="1"/>
  <c r="AD3" i="1" s="1"/>
  <c r="AE3" i="1" s="1"/>
  <c r="AF37" i="1"/>
  <c r="AG37" i="1"/>
  <c r="AF183" i="1"/>
  <c r="AH183" i="1" s="1"/>
  <c r="AI183" i="1" s="1"/>
  <c r="AJ183" i="1" s="1"/>
  <c r="AF232" i="1"/>
  <c r="AH232" i="1" s="1"/>
  <c r="AI232" i="1" s="1"/>
  <c r="AJ232" i="1" s="1"/>
  <c r="AF200" i="1"/>
  <c r="AH200" i="1" s="1"/>
  <c r="AI200" i="1" s="1"/>
  <c r="AJ200" i="1" s="1"/>
  <c r="AB200" i="1"/>
  <c r="AC200" i="1" s="1"/>
  <c r="AD200" i="1" s="1"/>
  <c r="AE200" i="1" s="1"/>
  <c r="AB152" i="1"/>
  <c r="AC152" i="1" s="1"/>
  <c r="AD152" i="1" s="1"/>
  <c r="AE152" i="1" s="1"/>
  <c r="AG185" i="1"/>
  <c r="BW317" i="1"/>
  <c r="BW6" i="1"/>
  <c r="AB19" i="1"/>
  <c r="AC19" i="1" s="1"/>
  <c r="AD19" i="1" s="1"/>
  <c r="AE19" i="1" s="1"/>
  <c r="AG19" i="1"/>
  <c r="AH19" i="1" s="1"/>
  <c r="AI19" i="1" s="1"/>
  <c r="AJ19" i="1" s="1"/>
  <c r="AG5" i="1"/>
  <c r="AH5" i="1" s="1"/>
  <c r="AI5" i="1" s="1"/>
  <c r="AJ5" i="1" s="1"/>
  <c r="AB5" i="1"/>
  <c r="AC5" i="1" s="1"/>
  <c r="AD5" i="1" s="1"/>
  <c r="AE5" i="1" s="1"/>
  <c r="AB52" i="1"/>
  <c r="AC52" i="1" s="1"/>
  <c r="AD52" i="1" s="1"/>
  <c r="AE52" i="1" s="1"/>
  <c r="AG151" i="1"/>
  <c r="AF151" i="1"/>
  <c r="BB283" i="1"/>
  <c r="BC283" i="1" s="1"/>
  <c r="BD283" i="1" s="1"/>
  <c r="BW18" i="1"/>
  <c r="BX18" i="1" s="1"/>
  <c r="AG265" i="1"/>
  <c r="AB265" i="1"/>
  <c r="AC265" i="1" s="1"/>
  <c r="AD265" i="1" s="1"/>
  <c r="AE265" i="1" s="1"/>
  <c r="AF265" i="1"/>
  <c r="BW67" i="1"/>
  <c r="AB160" i="1"/>
  <c r="AC160" i="1" s="1"/>
  <c r="AD160" i="1" s="1"/>
  <c r="AE160" i="1" s="1"/>
  <c r="AG160" i="1"/>
  <c r="AF160" i="1"/>
  <c r="AB102" i="1"/>
  <c r="AC102" i="1" s="1"/>
  <c r="AD102" i="1" s="1"/>
  <c r="AE102" i="1" s="1"/>
  <c r="AF102" i="1"/>
  <c r="AH102" i="1" s="1"/>
  <c r="AI102" i="1" s="1"/>
  <c r="AJ102" i="1" s="1"/>
  <c r="BW284" i="1"/>
  <c r="BX284" i="1" s="1"/>
  <c r="BK64" i="1"/>
  <c r="BL64" i="1" s="1"/>
  <c r="BM64" i="1" s="1"/>
  <c r="BN64" i="1" s="1"/>
  <c r="BW215" i="1"/>
  <c r="BX215" i="1" s="1"/>
  <c r="BK285" i="1"/>
  <c r="BL285" i="1" s="1"/>
  <c r="BM285" i="1" s="1"/>
  <c r="BN285" i="1" s="1"/>
  <c r="AB58" i="1"/>
  <c r="AC58" i="1" s="1"/>
  <c r="AD58" i="1" s="1"/>
  <c r="AE58" i="1" s="1"/>
  <c r="AG104" i="1"/>
  <c r="AH104" i="1" s="1"/>
  <c r="AI104" i="1" s="1"/>
  <c r="AJ104" i="1" s="1"/>
  <c r="AB104" i="1"/>
  <c r="AC104" i="1" s="1"/>
  <c r="AD104" i="1" s="1"/>
  <c r="AE104" i="1" s="1"/>
  <c r="BW267" i="1"/>
  <c r="AG313" i="1"/>
  <c r="AF313" i="1"/>
  <c r="BK215" i="1"/>
  <c r="BL215" i="1" s="1"/>
  <c r="BM215" i="1" s="1"/>
  <c r="BN215" i="1" s="1"/>
  <c r="BW78" i="1"/>
  <c r="BX78" i="1" s="1"/>
  <c r="BK78" i="1"/>
  <c r="BL78" i="1" s="1"/>
  <c r="BM78" i="1" s="1"/>
  <c r="BN78" i="1" s="1"/>
  <c r="AG39" i="1"/>
  <c r="AH39" i="1" s="1"/>
  <c r="AI39" i="1" s="1"/>
  <c r="AJ39" i="1" s="1"/>
  <c r="BW314" i="1"/>
  <c r="BX314" i="1" s="1"/>
  <c r="BK283" i="1"/>
  <c r="BL283" i="1" s="1"/>
  <c r="BM283" i="1" s="1"/>
  <c r="BN283" i="1" s="1"/>
  <c r="BW283" i="1"/>
  <c r="BX283" i="1" s="1"/>
  <c r="BW19" i="1"/>
  <c r="AG169" i="1"/>
  <c r="AH169" i="1" s="1"/>
  <c r="AI169" i="1" s="1"/>
  <c r="AJ169" i="1" s="1"/>
  <c r="AB169" i="1"/>
  <c r="AC169" i="1" s="1"/>
  <c r="AD169" i="1" s="1"/>
  <c r="AE169" i="1" s="1"/>
  <c r="BK256" i="1"/>
  <c r="BL256" i="1" s="1"/>
  <c r="BM256" i="1" s="1"/>
  <c r="BN256" i="1" s="1"/>
  <c r="BK8" i="1"/>
  <c r="BL8" i="1" s="1"/>
  <c r="BM8" i="1" s="1"/>
  <c r="BN8" i="1" s="1"/>
  <c r="BK314" i="1"/>
  <c r="BL314" i="1" s="1"/>
  <c r="BM314" i="1" s="1"/>
  <c r="BN314" i="1" s="1"/>
  <c r="BK153" i="1"/>
  <c r="BL153" i="1" s="1"/>
  <c r="BM153" i="1" s="1"/>
  <c r="BN153" i="1" s="1"/>
  <c r="BW153" i="1"/>
  <c r="BX153" i="1" s="1"/>
  <c r="AF222" i="1"/>
  <c r="AG64" i="1"/>
  <c r="AH64" i="1" s="1"/>
  <c r="AI64" i="1" s="1"/>
  <c r="AJ64" i="1" s="1"/>
  <c r="AB64" i="1"/>
  <c r="AC64" i="1" s="1"/>
  <c r="AD64" i="1" s="1"/>
  <c r="AE64" i="1" s="1"/>
  <c r="AB209" i="1"/>
  <c r="AC209" i="1" s="1"/>
  <c r="AD209" i="1" s="1"/>
  <c r="AE209" i="1" s="1"/>
  <c r="AF209" i="1"/>
  <c r="AH209" i="1" s="1"/>
  <c r="AI209" i="1" s="1"/>
  <c r="AJ209" i="1" s="1"/>
  <c r="BK253" i="1"/>
  <c r="BL253" i="1" s="1"/>
  <c r="BM253" i="1" s="1"/>
  <c r="BN253" i="1" s="1"/>
  <c r="BW294" i="1"/>
  <c r="AH284" i="1"/>
  <c r="AI284" i="1" s="1"/>
  <c r="AJ284" i="1" s="1"/>
  <c r="BW139" i="1"/>
  <c r="BX139" i="1" s="1"/>
  <c r="BK126" i="1"/>
  <c r="BL126" i="1" s="1"/>
  <c r="BM126" i="1" s="1"/>
  <c r="BN126" i="1" s="1"/>
  <c r="BW126" i="1"/>
  <c r="BW193" i="1"/>
  <c r="BW152" i="1"/>
  <c r="BX152" i="1" s="1"/>
  <c r="AG40" i="1"/>
  <c r="AF40" i="1"/>
  <c r="AB40" i="1"/>
  <c r="AC40" i="1" s="1"/>
  <c r="AD40" i="1" s="1"/>
  <c r="AE40" i="1" s="1"/>
  <c r="BW219" i="1"/>
  <c r="BK219" i="1"/>
  <c r="BL219" i="1" s="1"/>
  <c r="BM219" i="1" s="1"/>
  <c r="BN219" i="1" s="1"/>
  <c r="AG97" i="1"/>
  <c r="AH97" i="1" s="1"/>
  <c r="AI97" i="1" s="1"/>
  <c r="AJ97" i="1" s="1"/>
  <c r="AB97" i="1"/>
  <c r="AC97" i="1" s="1"/>
  <c r="AD97" i="1" s="1"/>
  <c r="AE97" i="1" s="1"/>
  <c r="BK209" i="1"/>
  <c r="BL209" i="1" s="1"/>
  <c r="BM209" i="1" s="1"/>
  <c r="BN209" i="1" s="1"/>
  <c r="AH95" i="1"/>
  <c r="AI95" i="1" s="1"/>
  <c r="AJ95" i="1" s="1"/>
  <c r="AG107" i="1"/>
  <c r="AF107" i="1"/>
  <c r="AG148" i="1"/>
  <c r="AH148" i="1" s="1"/>
  <c r="AI148" i="1" s="1"/>
  <c r="AJ148" i="1" s="1"/>
  <c r="AB148" i="1"/>
  <c r="AC148" i="1" s="1"/>
  <c r="AD148" i="1" s="1"/>
  <c r="AE148" i="1" s="1"/>
  <c r="AB88" i="1"/>
  <c r="AC88" i="1" s="1"/>
  <c r="AD88" i="1" s="1"/>
  <c r="AE88" i="1" s="1"/>
  <c r="BW291" i="1"/>
  <c r="BX291" i="1" s="1"/>
  <c r="AF294" i="1"/>
  <c r="AG294" i="1"/>
  <c r="AB294" i="1"/>
  <c r="AC294" i="1" s="1"/>
  <c r="AD294" i="1" s="1"/>
  <c r="AE294" i="1" s="1"/>
  <c r="BW24" i="1"/>
  <c r="BX24" i="1" s="1"/>
  <c r="AH211" i="1"/>
  <c r="AI211" i="1" s="1"/>
  <c r="AJ211" i="1" s="1"/>
  <c r="AG199" i="1"/>
  <c r="AF199" i="1"/>
  <c r="AF291" i="1"/>
  <c r="AG291" i="1"/>
  <c r="AF208" i="1"/>
  <c r="AH208" i="1" s="1"/>
  <c r="AI208" i="1" s="1"/>
  <c r="AJ208" i="1" s="1"/>
  <c r="AB208" i="1"/>
  <c r="AC208" i="1" s="1"/>
  <c r="AD208" i="1" s="1"/>
  <c r="AE208" i="1" s="1"/>
  <c r="BW114" i="1"/>
  <c r="BX114" i="1" s="1"/>
  <c r="AB199" i="1"/>
  <c r="AC199" i="1" s="1"/>
  <c r="AD199" i="1" s="1"/>
  <c r="AE199" i="1" s="1"/>
  <c r="AH240" i="1"/>
  <c r="AI240" i="1" s="1"/>
  <c r="AJ240" i="1" s="1"/>
  <c r="AB107" i="1"/>
  <c r="AC107" i="1" s="1"/>
  <c r="AD107" i="1" s="1"/>
  <c r="AE107" i="1" s="1"/>
  <c r="BW289" i="1"/>
  <c r="BX289" i="1" s="1"/>
  <c r="BK192" i="1"/>
  <c r="BL192" i="1" s="1"/>
  <c r="BM192" i="1" s="1"/>
  <c r="BN192" i="1" s="1"/>
  <c r="BW192" i="1"/>
  <c r="BX192" i="1" s="1"/>
  <c r="BK104" i="1"/>
  <c r="BL104" i="1" s="1"/>
  <c r="BM104" i="1" s="1"/>
  <c r="BN104" i="1" s="1"/>
  <c r="BW104" i="1"/>
  <c r="AF233" i="1"/>
  <c r="AH233" i="1" s="1"/>
  <c r="AI233" i="1" s="1"/>
  <c r="AJ233" i="1" s="1"/>
  <c r="AB233" i="1"/>
  <c r="AC233" i="1" s="1"/>
  <c r="AD233" i="1" s="1"/>
  <c r="AE233" i="1" s="1"/>
  <c r="BW49" i="1"/>
  <c r="BX49" i="1" s="1"/>
  <c r="AB139" i="1"/>
  <c r="AC139" i="1" s="1"/>
  <c r="AD139" i="1" s="1"/>
  <c r="AE139" i="1" s="1"/>
  <c r="AF139" i="1"/>
  <c r="AG139" i="1"/>
  <c r="AB194" i="1"/>
  <c r="AC194" i="1" s="1"/>
  <c r="AD194" i="1" s="1"/>
  <c r="AE194" i="1" s="1"/>
  <c r="AG194" i="1"/>
  <c r="AF194" i="1"/>
  <c r="BX97" i="1"/>
  <c r="AG48" i="1"/>
  <c r="AH48" i="1" s="1"/>
  <c r="AI48" i="1" s="1"/>
  <c r="AJ48" i="1" s="1"/>
  <c r="AB48" i="1"/>
  <c r="AC48" i="1" s="1"/>
  <c r="AD48" i="1" s="1"/>
  <c r="AE48" i="1" s="1"/>
  <c r="BW308" i="1"/>
  <c r="BX308" i="1" s="1"/>
  <c r="BW165" i="1"/>
  <c r="BX165" i="1" s="1"/>
  <c r="BK91" i="1"/>
  <c r="BL91" i="1" s="1"/>
  <c r="BM91" i="1" s="1"/>
  <c r="BN91" i="1" s="1"/>
  <c r="BW264" i="1"/>
  <c r="BW154" i="1"/>
  <c r="BX154" i="1" s="1"/>
  <c r="BK154" i="1"/>
  <c r="BL154" i="1" s="1"/>
  <c r="BM154" i="1" s="1"/>
  <c r="BN154" i="1" s="1"/>
  <c r="BW77" i="1"/>
  <c r="AB308" i="1"/>
  <c r="AC308" i="1" s="1"/>
  <c r="AD308" i="1" s="1"/>
  <c r="AE308" i="1" s="1"/>
  <c r="BK308" i="1"/>
  <c r="BL308" i="1" s="1"/>
  <c r="BM308" i="1" s="1"/>
  <c r="BN308" i="1" s="1"/>
  <c r="AG315" i="1"/>
  <c r="AH315" i="1" s="1"/>
  <c r="AI315" i="1" s="1"/>
  <c r="AJ315" i="1" s="1"/>
  <c r="BW37" i="1"/>
  <c r="BX37" i="1" s="1"/>
  <c r="BK37" i="1"/>
  <c r="BL37" i="1" s="1"/>
  <c r="BM37" i="1" s="1"/>
  <c r="BN37" i="1" s="1"/>
  <c r="AG81" i="1"/>
  <c r="AH81" i="1" s="1"/>
  <c r="AI81" i="1" s="1"/>
  <c r="AJ81" i="1" s="1"/>
  <c r="AB81" i="1"/>
  <c r="AC81" i="1" s="1"/>
  <c r="AD81" i="1" s="1"/>
  <c r="AE81" i="1" s="1"/>
  <c r="BW208" i="1"/>
  <c r="AB252" i="1"/>
  <c r="AC252" i="1" s="1"/>
  <c r="AD252" i="1" s="1"/>
  <c r="AE252" i="1" s="1"/>
  <c r="AF49" i="1"/>
  <c r="BW303" i="1"/>
  <c r="BW214" i="1"/>
  <c r="BK40" i="1"/>
  <c r="BL40" i="1" s="1"/>
  <c r="BM40" i="1" s="1"/>
  <c r="BN40" i="1" s="1"/>
  <c r="AB244" i="1"/>
  <c r="AC244" i="1" s="1"/>
  <c r="AD244" i="1" s="1"/>
  <c r="AE244" i="1" s="1"/>
  <c r="AG244" i="1"/>
  <c r="AH244" i="1" s="1"/>
  <c r="AI244" i="1" s="1"/>
  <c r="AJ244" i="1" s="1"/>
  <c r="BW48" i="1"/>
  <c r="BX48" i="1" s="1"/>
  <c r="AG49" i="1"/>
  <c r="AB303" i="1"/>
  <c r="AC303" i="1" s="1"/>
  <c r="AD303" i="1" s="1"/>
  <c r="AE303" i="1" s="1"/>
  <c r="BW247" i="1"/>
  <c r="BX247" i="1" s="1"/>
  <c r="BW240" i="1"/>
  <c r="BK136" i="1"/>
  <c r="BL136" i="1" s="1"/>
  <c r="BM136" i="1" s="1"/>
  <c r="BN136" i="1" s="1"/>
  <c r="BW136" i="1"/>
  <c r="AF15" i="1"/>
  <c r="AH15" i="1" s="1"/>
  <c r="AI15" i="1" s="1"/>
  <c r="AJ15" i="1" s="1"/>
  <c r="BW118" i="1"/>
  <c r="BK48" i="1"/>
  <c r="BL48" i="1" s="1"/>
  <c r="BM48" i="1" s="1"/>
  <c r="BN48" i="1" s="1"/>
  <c r="BW79" i="1"/>
  <c r="BK224" i="1"/>
  <c r="BL224" i="1" s="1"/>
  <c r="BM224" i="1" s="1"/>
  <c r="BN224" i="1" s="1"/>
  <c r="BW95" i="1"/>
  <c r="BK95" i="1"/>
  <c r="BL95" i="1" s="1"/>
  <c r="BM95" i="1" s="1"/>
  <c r="BN95" i="1" s="1"/>
  <c r="AG103" i="1"/>
  <c r="AF103" i="1"/>
  <c r="BW151" i="1"/>
  <c r="BX151" i="1" s="1"/>
  <c r="BK79" i="1"/>
  <c r="BL79" i="1" s="1"/>
  <c r="BM79" i="1" s="1"/>
  <c r="BN79" i="1" s="1"/>
  <c r="BK128" i="1"/>
  <c r="BL128" i="1" s="1"/>
  <c r="BM128" i="1" s="1"/>
  <c r="BN128" i="1" s="1"/>
  <c r="BW145" i="1"/>
  <c r="BX145" i="1" s="1"/>
  <c r="AF231" i="1"/>
  <c r="AH231" i="1" s="1"/>
  <c r="AI231" i="1" s="1"/>
  <c r="AJ231" i="1" s="1"/>
  <c r="AB231" i="1"/>
  <c r="AC231" i="1" s="1"/>
  <c r="AD231" i="1" s="1"/>
  <c r="AE231" i="1" s="1"/>
  <c r="AG223" i="1"/>
  <c r="BB136" i="1"/>
  <c r="BC136" i="1" s="1"/>
  <c r="BD136" i="1" s="1"/>
  <c r="AG192" i="1"/>
  <c r="AH192" i="1" s="1"/>
  <c r="AI192" i="1" s="1"/>
  <c r="AJ192" i="1" s="1"/>
  <c r="AB192" i="1"/>
  <c r="AC192" i="1" s="1"/>
  <c r="AD192" i="1" s="1"/>
  <c r="AE192" i="1" s="1"/>
  <c r="AH228" i="1"/>
  <c r="AI228" i="1" s="1"/>
  <c r="AJ228" i="1" s="1"/>
  <c r="AG22" i="1"/>
  <c r="AH22" i="1" s="1"/>
  <c r="AI22" i="1" s="1"/>
  <c r="AJ22" i="1" s="1"/>
  <c r="AB22" i="1"/>
  <c r="AC22" i="1" s="1"/>
  <c r="AD22" i="1" s="1"/>
  <c r="AE22" i="1" s="1"/>
  <c r="BW29" i="1"/>
  <c r="BX29" i="1" s="1"/>
  <c r="AB223" i="1"/>
  <c r="AC223" i="1" s="1"/>
  <c r="AD223" i="1" s="1"/>
  <c r="AE223" i="1" s="1"/>
  <c r="BW103" i="1"/>
  <c r="BW252" i="1"/>
  <c r="BX252" i="1" s="1"/>
  <c r="AB18" i="1"/>
  <c r="AC18" i="1" s="1"/>
  <c r="AD18" i="1" s="1"/>
  <c r="AE18" i="1" s="1"/>
  <c r="BK252" i="1"/>
  <c r="BL252" i="1" s="1"/>
  <c r="BM252" i="1" s="1"/>
  <c r="BN252" i="1" s="1"/>
  <c r="BW199" i="1"/>
  <c r="BX199" i="1" s="1"/>
  <c r="BW110" i="1"/>
  <c r="BK110" i="1"/>
  <c r="BL110" i="1" s="1"/>
  <c r="BM110" i="1" s="1"/>
  <c r="BN110" i="1" s="1"/>
  <c r="AG264" i="1"/>
  <c r="AF264" i="1"/>
  <c r="AB38" i="1"/>
  <c r="AC38" i="1" s="1"/>
  <c r="AD38" i="1" s="1"/>
  <c r="AE38" i="1" s="1"/>
  <c r="AB245" i="1"/>
  <c r="AC245" i="1" s="1"/>
  <c r="AD245" i="1" s="1"/>
  <c r="AE245" i="1" s="1"/>
  <c r="AF159" i="1"/>
  <c r="AG159" i="1"/>
  <c r="AB29" i="1"/>
  <c r="AC29" i="1" s="1"/>
  <c r="AD29" i="1" s="1"/>
  <c r="AE29" i="1" s="1"/>
  <c r="AG29" i="1"/>
  <c r="AH29" i="1" s="1"/>
  <c r="AI29" i="1" s="1"/>
  <c r="AJ29" i="1" s="1"/>
  <c r="BW98" i="1"/>
  <c r="BX98" i="1" s="1"/>
  <c r="AH239" i="1"/>
  <c r="AI239" i="1" s="1"/>
  <c r="AJ239" i="1" s="1"/>
  <c r="BK45" i="1"/>
  <c r="BL45" i="1" s="1"/>
  <c r="BM45" i="1" s="1"/>
  <c r="BN45" i="1" s="1"/>
  <c r="AH204" i="1"/>
  <c r="AI204" i="1" s="1"/>
  <c r="AJ204" i="1" s="1"/>
  <c r="BW84" i="1"/>
  <c r="BX84" i="1" s="1"/>
  <c r="AB211" i="1"/>
  <c r="AC211" i="1" s="1"/>
  <c r="AD211" i="1" s="1"/>
  <c r="AE211" i="1" s="1"/>
  <c r="AB142" i="1"/>
  <c r="AC142" i="1" s="1"/>
  <c r="AD142" i="1" s="1"/>
  <c r="AE142" i="1" s="1"/>
  <c r="AG142" i="1"/>
  <c r="AF142" i="1"/>
  <c r="AH144" i="1"/>
  <c r="AI144" i="1" s="1"/>
  <c r="AJ144" i="1" s="1"/>
  <c r="BK84" i="1"/>
  <c r="BL84" i="1" s="1"/>
  <c r="BM84" i="1" s="1"/>
  <c r="BN84" i="1" s="1"/>
  <c r="AG136" i="1"/>
  <c r="AH193" i="1"/>
  <c r="AI193" i="1" s="1"/>
  <c r="AJ193" i="1" s="1"/>
  <c r="BB116" i="1"/>
  <c r="BC116" i="1" s="1"/>
  <c r="BD116" i="1" s="1"/>
  <c r="AH78" i="1"/>
  <c r="AI78" i="1" s="1"/>
  <c r="AJ78" i="1" s="1"/>
  <c r="BW144" i="1"/>
  <c r="BX144" i="1" s="1"/>
  <c r="BW21" i="1"/>
  <c r="BW34" i="1"/>
  <c r="BX34" i="1" s="1"/>
  <c r="AG59" i="1"/>
  <c r="AH59" i="1" s="1"/>
  <c r="AI59" i="1" s="1"/>
  <c r="AJ59" i="1" s="1"/>
  <c r="AB59" i="1"/>
  <c r="AC59" i="1" s="1"/>
  <c r="AD59" i="1" s="1"/>
  <c r="AE59" i="1" s="1"/>
  <c r="BW212" i="1"/>
  <c r="BX212" i="1" s="1"/>
  <c r="BK144" i="1"/>
  <c r="BL144" i="1" s="1"/>
  <c r="BM144" i="1" s="1"/>
  <c r="BN144" i="1" s="1"/>
  <c r="BW90" i="1"/>
  <c r="BX90" i="1" s="1"/>
  <c r="AB263" i="1"/>
  <c r="AC263" i="1" s="1"/>
  <c r="AD263" i="1" s="1"/>
  <c r="AE263" i="1" s="1"/>
  <c r="AG263" i="1"/>
  <c r="AH263" i="1" s="1"/>
  <c r="AI263" i="1" s="1"/>
  <c r="AJ263" i="1" s="1"/>
  <c r="BK69" i="1"/>
  <c r="BL69" i="1" s="1"/>
  <c r="BM69" i="1" s="1"/>
  <c r="BN69" i="1" s="1"/>
  <c r="BW228" i="1"/>
  <c r="BX228" i="1" s="1"/>
  <c r="BK212" i="1"/>
  <c r="BL212" i="1" s="1"/>
  <c r="BM212" i="1" s="1"/>
  <c r="BN212" i="1" s="1"/>
  <c r="BK204" i="1"/>
  <c r="BL204" i="1" s="1"/>
  <c r="BM204" i="1" s="1"/>
  <c r="BN204" i="1" s="1"/>
  <c r="BK90" i="1"/>
  <c r="BL90" i="1" s="1"/>
  <c r="BM90" i="1" s="1"/>
  <c r="BN90" i="1" s="1"/>
  <c r="BK196" i="1"/>
  <c r="BL196" i="1" s="1"/>
  <c r="BM196" i="1" s="1"/>
  <c r="BN196" i="1" s="1"/>
  <c r="BW196" i="1"/>
  <c r="AH110" i="1"/>
  <c r="AI110" i="1" s="1"/>
  <c r="AJ110" i="1" s="1"/>
  <c r="AH133" i="1"/>
  <c r="AI133" i="1" s="1"/>
  <c r="AJ133" i="1" s="1"/>
  <c r="BK97" i="1"/>
  <c r="BL97" i="1" s="1"/>
  <c r="BM97" i="1" s="1"/>
  <c r="BN97" i="1" s="1"/>
  <c r="BW281" i="1"/>
  <c r="BX281" i="1" s="1"/>
  <c r="BW148" i="1"/>
  <c r="BX148" i="1" s="1"/>
  <c r="AG141" i="1"/>
  <c r="AH141" i="1" s="1"/>
  <c r="AI141" i="1" s="1"/>
  <c r="AJ141" i="1" s="1"/>
  <c r="AB141" i="1"/>
  <c r="AC141" i="1" s="1"/>
  <c r="AD141" i="1" s="1"/>
  <c r="AE141" i="1" s="1"/>
  <c r="AB286" i="1"/>
  <c r="AC286" i="1" s="1"/>
  <c r="AD286" i="1" s="1"/>
  <c r="AE286" i="1" s="1"/>
  <c r="AG286" i="1"/>
  <c r="AF286" i="1"/>
  <c r="BK227" i="1"/>
  <c r="BL227" i="1" s="1"/>
  <c r="BM227" i="1" s="1"/>
  <c r="BN227" i="1" s="1"/>
  <c r="BW116" i="1"/>
  <c r="BX116" i="1" s="1"/>
  <c r="AG11" i="1"/>
  <c r="AF11" i="1"/>
  <c r="BW51" i="1"/>
  <c r="BX51" i="1" s="1"/>
  <c r="BK299" i="1"/>
  <c r="BL299" i="1" s="1"/>
  <c r="BM299" i="1" s="1"/>
  <c r="BN299" i="1" s="1"/>
  <c r="AH93" i="1"/>
  <c r="AI93" i="1" s="1"/>
  <c r="AJ93" i="1" s="1"/>
  <c r="AB11" i="1"/>
  <c r="AC11" i="1" s="1"/>
  <c r="AD11" i="1" s="1"/>
  <c r="AE11" i="1" s="1"/>
  <c r="BX142" i="1"/>
  <c r="AB299" i="1"/>
  <c r="AC299" i="1" s="1"/>
  <c r="AD299" i="1" s="1"/>
  <c r="AE299" i="1" s="1"/>
  <c r="BK312" i="1"/>
  <c r="BL312" i="1" s="1"/>
  <c r="BM312" i="1" s="1"/>
  <c r="BN312" i="1" s="1"/>
  <c r="BW312" i="1"/>
  <c r="BX312" i="1" s="1"/>
  <c r="AH168" i="1"/>
  <c r="AI168" i="1" s="1"/>
  <c r="AJ168" i="1" s="1"/>
  <c r="BK93" i="1"/>
  <c r="BL93" i="1" s="1"/>
  <c r="BM93" i="1" s="1"/>
  <c r="BN93" i="1" s="1"/>
  <c r="AB7" i="1"/>
  <c r="AC7" i="1" s="1"/>
  <c r="AD7" i="1" s="1"/>
  <c r="AE7" i="1" s="1"/>
  <c r="BK38" i="1"/>
  <c r="BL38" i="1" s="1"/>
  <c r="BM38" i="1" s="1"/>
  <c r="BN38" i="1" s="1"/>
  <c r="BW70" i="1"/>
  <c r="BW172" i="1"/>
  <c r="BX172" i="1" s="1"/>
  <c r="BW87" i="1"/>
  <c r="BX87" i="1" s="1"/>
  <c r="AB281" i="1"/>
  <c r="AC281" i="1" s="1"/>
  <c r="AD281" i="1" s="1"/>
  <c r="AE281" i="1" s="1"/>
  <c r="AG281" i="1"/>
  <c r="BK297" i="1"/>
  <c r="BL297" i="1" s="1"/>
  <c r="BM297" i="1" s="1"/>
  <c r="BN297" i="1" s="1"/>
  <c r="BW297" i="1"/>
  <c r="BX297" i="1" s="1"/>
  <c r="BK172" i="1"/>
  <c r="BL172" i="1" s="1"/>
  <c r="BM172" i="1" s="1"/>
  <c r="BN172" i="1" s="1"/>
  <c r="AB157" i="1"/>
  <c r="AC157" i="1" s="1"/>
  <c r="AD157" i="1" s="1"/>
  <c r="AE157" i="1" s="1"/>
  <c r="AF157" i="1"/>
  <c r="AH157" i="1" s="1"/>
  <c r="AI157" i="1" s="1"/>
  <c r="AJ157" i="1" s="1"/>
  <c r="BW2" i="1"/>
  <c r="BW244" i="1"/>
  <c r="BX244" i="1" s="1"/>
  <c r="AF281" i="1"/>
  <c r="BK164" i="1"/>
  <c r="BL164" i="1" s="1"/>
  <c r="BM164" i="1" s="1"/>
  <c r="BN164" i="1" s="1"/>
  <c r="BW234" i="1"/>
  <c r="AG45" i="1"/>
  <c r="AF45" i="1"/>
  <c r="BW55" i="1"/>
  <c r="BX55" i="1" s="1"/>
  <c r="BW194" i="1"/>
  <c r="AF297" i="1"/>
  <c r="AG297" i="1"/>
  <c r="BW72" i="1"/>
  <c r="BX72" i="1" s="1"/>
  <c r="BK194" i="1"/>
  <c r="BL194" i="1" s="1"/>
  <c r="BM194" i="1" s="1"/>
  <c r="BN194" i="1" s="1"/>
  <c r="BB75" i="1"/>
  <c r="BC75" i="1" s="1"/>
  <c r="BD75" i="1" s="1"/>
  <c r="BX269" i="1"/>
  <c r="BL75" i="1"/>
  <c r="BM75" i="1" s="1"/>
  <c r="BN75" i="1" s="1"/>
  <c r="AG98" i="1"/>
  <c r="AH98" i="1" s="1"/>
  <c r="AI98" i="1" s="1"/>
  <c r="AJ98" i="1" s="1"/>
  <c r="BW206" i="1"/>
  <c r="BW17" i="1"/>
  <c r="BK206" i="1"/>
  <c r="BL206" i="1" s="1"/>
  <c r="BM206" i="1" s="1"/>
  <c r="BN206" i="1" s="1"/>
  <c r="AH76" i="1"/>
  <c r="AI76" i="1" s="1"/>
  <c r="AJ76" i="1" s="1"/>
  <c r="AF55" i="1"/>
  <c r="AH55" i="1" s="1"/>
  <c r="AI55" i="1" s="1"/>
  <c r="AJ55" i="1" s="1"/>
  <c r="AB55" i="1"/>
  <c r="AC55" i="1" s="1"/>
  <c r="AD55" i="1" s="1"/>
  <c r="AE55" i="1" s="1"/>
  <c r="AG206" i="1"/>
  <c r="AH206" i="1" s="1"/>
  <c r="AI206" i="1" s="1"/>
  <c r="AJ206" i="1" s="1"/>
  <c r="AB206" i="1"/>
  <c r="AC206" i="1" s="1"/>
  <c r="AD206" i="1" s="1"/>
  <c r="AE206" i="1" s="1"/>
  <c r="BB254" i="1"/>
  <c r="BC254" i="1" s="1"/>
  <c r="BD254" i="1" s="1"/>
  <c r="AF128" i="1"/>
  <c r="BW99" i="1"/>
  <c r="AG128" i="1"/>
  <c r="AH75" i="1"/>
  <c r="AI75" i="1" s="1"/>
  <c r="AJ75" i="1" s="1"/>
  <c r="BK269" i="1"/>
  <c r="BL269" i="1" s="1"/>
  <c r="BM269" i="1" s="1"/>
  <c r="BN269" i="1" s="1"/>
  <c r="BW7" i="1"/>
  <c r="BX7" i="1" s="1"/>
  <c r="BK7" i="1"/>
  <c r="BL7" i="1" s="1"/>
  <c r="BM7" i="1" s="1"/>
  <c r="BN7" i="1" s="1"/>
  <c r="BW171" i="1"/>
  <c r="BX171" i="1" s="1"/>
  <c r="AB180" i="1"/>
  <c r="AC180" i="1" s="1"/>
  <c r="AD180" i="1" s="1"/>
  <c r="AE180" i="1" s="1"/>
  <c r="AG86" i="1"/>
  <c r="AB75" i="1"/>
  <c r="AC75" i="1" s="1"/>
  <c r="AD75" i="1" s="1"/>
  <c r="AE75" i="1" s="1"/>
  <c r="AG180" i="1"/>
  <c r="AH180" i="1" s="1"/>
  <c r="AI180" i="1" s="1"/>
  <c r="AJ180" i="1" s="1"/>
  <c r="AB172" i="1"/>
  <c r="AC172" i="1" s="1"/>
  <c r="AD172" i="1" s="1"/>
  <c r="AE172" i="1" s="1"/>
  <c r="AG112" i="1"/>
  <c r="AF112" i="1"/>
  <c r="BB138" i="1"/>
  <c r="BC138" i="1" s="1"/>
  <c r="BD138" i="1" s="1"/>
  <c r="BK250" i="1"/>
  <c r="BL250" i="1" s="1"/>
  <c r="BM250" i="1" s="1"/>
  <c r="BN250" i="1" s="1"/>
  <c r="AG17" i="1"/>
  <c r="AH17" i="1" s="1"/>
  <c r="AI17" i="1" s="1"/>
  <c r="AJ17" i="1" s="1"/>
  <c r="AB17" i="1"/>
  <c r="AC17" i="1" s="1"/>
  <c r="AD17" i="1" s="1"/>
  <c r="AE17" i="1" s="1"/>
  <c r="AF111" i="1"/>
  <c r="AB111" i="1"/>
  <c r="AC111" i="1" s="1"/>
  <c r="AD111" i="1" s="1"/>
  <c r="AE111" i="1" s="1"/>
  <c r="AG111" i="1"/>
  <c r="BW180" i="1"/>
  <c r="BK66" i="1"/>
  <c r="BL66" i="1" s="1"/>
  <c r="BM66" i="1" s="1"/>
  <c r="BN66" i="1" s="1"/>
  <c r="BW138" i="1"/>
  <c r="AG318" i="1"/>
  <c r="AB318" i="1"/>
  <c r="AC318" i="1" s="1"/>
  <c r="AD318" i="1" s="1"/>
  <c r="AE318" i="1" s="1"/>
  <c r="AG250" i="1"/>
  <c r="AH250" i="1" s="1"/>
  <c r="AI250" i="1" s="1"/>
  <c r="AJ250" i="1" s="1"/>
  <c r="BB98" i="1"/>
  <c r="BC98" i="1" s="1"/>
  <c r="BD98" i="1" s="1"/>
  <c r="AF318" i="1"/>
  <c r="AG254" i="1"/>
  <c r="AH254" i="1" s="1"/>
  <c r="AI254" i="1" s="1"/>
  <c r="AJ254" i="1" s="1"/>
  <c r="BK242" i="1"/>
  <c r="BL242" i="1" s="1"/>
  <c r="BM242" i="1" s="1"/>
  <c r="BN242" i="1" s="1"/>
  <c r="AB23" i="1"/>
  <c r="AC23" i="1" s="1"/>
  <c r="AD23" i="1" s="1"/>
  <c r="AE23" i="1" s="1"/>
  <c r="AB302" i="1"/>
  <c r="AC302" i="1" s="1"/>
  <c r="AD302" i="1" s="1"/>
  <c r="AE302" i="1" s="1"/>
  <c r="BW250" i="1"/>
  <c r="BX250" i="1" s="1"/>
  <c r="BW242" i="1"/>
  <c r="AB70" i="1"/>
  <c r="AC70" i="1" s="1"/>
  <c r="AD70" i="1" s="1"/>
  <c r="AE70" i="1" s="1"/>
  <c r="AB171" i="1"/>
  <c r="AC171" i="1" s="1"/>
  <c r="AD171" i="1" s="1"/>
  <c r="AE171" i="1" s="1"/>
  <c r="AB242" i="1"/>
  <c r="AC242" i="1" s="1"/>
  <c r="AD242" i="1" s="1"/>
  <c r="AE242" i="1" s="1"/>
  <c r="BW166" i="1"/>
  <c r="BX166" i="1" s="1"/>
  <c r="AF171" i="1"/>
  <c r="AH171" i="1" s="1"/>
  <c r="AI171" i="1" s="1"/>
  <c r="AJ171" i="1" s="1"/>
  <c r="BK9" i="1" l="1"/>
  <c r="BL9" i="1" s="1"/>
  <c r="BM9" i="1" s="1"/>
  <c r="BN9" i="1" s="1"/>
  <c r="AH260" i="1"/>
  <c r="AI260" i="1" s="1"/>
  <c r="AJ260" i="1" s="1"/>
  <c r="BK21" i="1"/>
  <c r="BL21" i="1" s="1"/>
  <c r="BM21" i="1" s="1"/>
  <c r="BN21" i="1" s="1"/>
  <c r="AH178" i="1"/>
  <c r="AI178" i="1" s="1"/>
  <c r="AJ178" i="1" s="1"/>
  <c r="AH159" i="1"/>
  <c r="AI159" i="1" s="1"/>
  <c r="AJ159" i="1" s="1"/>
  <c r="BK22" i="1"/>
  <c r="BL22" i="1" s="1"/>
  <c r="BM22" i="1" s="1"/>
  <c r="BN22" i="1" s="1"/>
  <c r="AH134" i="1"/>
  <c r="AI134" i="1" s="1"/>
  <c r="AJ134" i="1" s="1"/>
  <c r="AH124" i="1"/>
  <c r="AI124" i="1" s="1"/>
  <c r="AJ124" i="1" s="1"/>
  <c r="AH179" i="1"/>
  <c r="AI179" i="1" s="1"/>
  <c r="AJ179" i="1" s="1"/>
  <c r="AH119" i="1"/>
  <c r="AI119" i="1" s="1"/>
  <c r="AJ119" i="1" s="1"/>
  <c r="AH91" i="1"/>
  <c r="AI91" i="1" s="1"/>
  <c r="AJ91" i="1" s="1"/>
  <c r="AH203" i="1"/>
  <c r="AI203" i="1" s="1"/>
  <c r="AJ203" i="1" s="1"/>
  <c r="AH92" i="1"/>
  <c r="AI92" i="1" s="1"/>
  <c r="AJ92" i="1" s="1"/>
  <c r="AH125" i="1"/>
  <c r="AI125" i="1" s="1"/>
  <c r="AJ125" i="1" s="1"/>
  <c r="AH70" i="1"/>
  <c r="AI70" i="1" s="1"/>
  <c r="AJ70" i="1" s="1"/>
  <c r="AH65" i="1"/>
  <c r="AI65" i="1" s="1"/>
  <c r="AJ65" i="1" s="1"/>
  <c r="AH174" i="1"/>
  <c r="AI174" i="1" s="1"/>
  <c r="AJ174" i="1" s="1"/>
  <c r="AH261" i="1"/>
  <c r="AI261" i="1" s="1"/>
  <c r="AJ261" i="1" s="1"/>
  <c r="AH61" i="1"/>
  <c r="AI61" i="1" s="1"/>
  <c r="AJ61" i="1" s="1"/>
  <c r="BK96" i="1"/>
  <c r="BL96" i="1" s="1"/>
  <c r="BM96" i="1" s="1"/>
  <c r="BN96" i="1" s="1"/>
  <c r="BK94" i="1"/>
  <c r="BL94" i="1" s="1"/>
  <c r="BM94" i="1" s="1"/>
  <c r="BN94" i="1" s="1"/>
  <c r="BK43" i="1"/>
  <c r="BL43" i="1" s="1"/>
  <c r="BM43" i="1" s="1"/>
  <c r="BN43" i="1" s="1"/>
  <c r="BK180" i="1"/>
  <c r="BL180" i="1" s="1"/>
  <c r="BM180" i="1" s="1"/>
  <c r="BN180" i="1" s="1"/>
  <c r="BK191" i="1"/>
  <c r="BL191" i="1" s="1"/>
  <c r="BM191" i="1" s="1"/>
  <c r="BN191" i="1" s="1"/>
  <c r="BK301" i="1"/>
  <c r="BL301" i="1" s="1"/>
  <c r="BM301" i="1" s="1"/>
  <c r="BN301" i="1" s="1"/>
  <c r="BK189" i="1"/>
  <c r="BL189" i="1" s="1"/>
  <c r="BM189" i="1" s="1"/>
  <c r="BN189" i="1" s="1"/>
  <c r="AH149" i="1"/>
  <c r="AI149" i="1" s="1"/>
  <c r="AJ149" i="1" s="1"/>
  <c r="AH108" i="2"/>
  <c r="AI108" i="2" s="1"/>
  <c r="AJ108" i="2" s="1"/>
  <c r="AH137" i="1"/>
  <c r="AI137" i="1" s="1"/>
  <c r="AJ137" i="1" s="1"/>
  <c r="BK208" i="1"/>
  <c r="BL208" i="1" s="1"/>
  <c r="BM208" i="1" s="1"/>
  <c r="BN208" i="1" s="1"/>
  <c r="BK318" i="1"/>
  <c r="BL318" i="1" s="1"/>
  <c r="BM318" i="1" s="1"/>
  <c r="BN318" i="1" s="1"/>
  <c r="BK320" i="1"/>
  <c r="BL320" i="1" s="1"/>
  <c r="BM320" i="1" s="1"/>
  <c r="BN320" i="1" s="1"/>
  <c r="BK293" i="1"/>
  <c r="BL293" i="1" s="1"/>
  <c r="BM293" i="1" s="1"/>
  <c r="BN293" i="1" s="1"/>
  <c r="BK42" i="1"/>
  <c r="BL42" i="1" s="1"/>
  <c r="BM42" i="1" s="1"/>
  <c r="BN42" i="1" s="1"/>
  <c r="AH256" i="2"/>
  <c r="AI256" i="2" s="1"/>
  <c r="AJ256" i="2" s="1"/>
  <c r="AH105" i="1"/>
  <c r="AI105" i="1" s="1"/>
  <c r="AJ105" i="1" s="1"/>
  <c r="AH282" i="1"/>
  <c r="AI282" i="1" s="1"/>
  <c r="AJ282" i="1" s="1"/>
  <c r="BK3" i="1"/>
  <c r="BL3" i="1" s="1"/>
  <c r="BM3" i="1" s="1"/>
  <c r="BN3" i="1" s="1"/>
  <c r="BK240" i="1"/>
  <c r="BL240" i="1" s="1"/>
  <c r="BM240" i="1" s="1"/>
  <c r="BN240" i="1" s="1"/>
  <c r="BK23" i="1"/>
  <c r="BL23" i="1" s="1"/>
  <c r="BM23" i="1" s="1"/>
  <c r="BN23" i="1" s="1"/>
  <c r="AH243" i="1"/>
  <c r="AI243" i="1" s="1"/>
  <c r="AJ243" i="1" s="1"/>
  <c r="BK6" i="1"/>
  <c r="BL6" i="1" s="1"/>
  <c r="BM6" i="1" s="1"/>
  <c r="BN6" i="1" s="1"/>
  <c r="AH103" i="1"/>
  <c r="AI103" i="1" s="1"/>
  <c r="AJ103" i="1" s="1"/>
  <c r="BK18" i="1"/>
  <c r="BL18" i="1" s="1"/>
  <c r="BM18" i="1" s="1"/>
  <c r="BN18" i="1" s="1"/>
  <c r="AH16" i="2"/>
  <c r="AI16" i="2" s="1"/>
  <c r="AJ16" i="2" s="1"/>
  <c r="AH202" i="1"/>
  <c r="AI202" i="1" s="1"/>
  <c r="AJ202" i="1" s="1"/>
  <c r="BK13" i="1"/>
  <c r="BL13" i="1" s="1"/>
  <c r="BM13" i="1" s="1"/>
  <c r="BN13" i="1" s="1"/>
  <c r="BK17" i="1"/>
  <c r="BL17" i="1" s="1"/>
  <c r="BM17" i="1" s="1"/>
  <c r="BN17" i="1" s="1"/>
  <c r="BK11" i="1"/>
  <c r="BL11" i="1" s="1"/>
  <c r="BM11" i="1" s="1"/>
  <c r="BN11" i="1" s="1"/>
  <c r="AH222" i="1"/>
  <c r="AI222" i="1" s="1"/>
  <c r="AJ222" i="1" s="1"/>
  <c r="BK169" i="1"/>
  <c r="BL169" i="1" s="1"/>
  <c r="BM169" i="1" s="1"/>
  <c r="BN169" i="1" s="1"/>
  <c r="AH283" i="1"/>
  <c r="AI283" i="1" s="1"/>
  <c r="AJ283" i="1" s="1"/>
  <c r="BK121" i="1"/>
  <c r="BL121" i="1" s="1"/>
  <c r="BM121" i="1" s="1"/>
  <c r="BN121" i="1" s="1"/>
  <c r="BK132" i="1"/>
  <c r="BL132" i="1" s="1"/>
  <c r="BM132" i="1" s="1"/>
  <c r="BN132" i="1" s="1"/>
  <c r="BK254" i="1"/>
  <c r="BL254" i="1" s="1"/>
  <c r="BM254" i="1" s="1"/>
  <c r="BN254" i="1" s="1"/>
  <c r="BK197" i="1"/>
  <c r="BL197" i="1" s="1"/>
  <c r="BM197" i="1" s="1"/>
  <c r="BN197" i="1" s="1"/>
  <c r="BK109" i="1"/>
  <c r="BL109" i="1" s="1"/>
  <c r="BM109" i="1" s="1"/>
  <c r="BN109" i="1" s="1"/>
  <c r="AH167" i="1"/>
  <c r="AI167" i="1" s="1"/>
  <c r="AJ167" i="1" s="1"/>
  <c r="BK74" i="1"/>
  <c r="BL74" i="1" s="1"/>
  <c r="BM74" i="1" s="1"/>
  <c r="BN74" i="1" s="1"/>
  <c r="AH245" i="2"/>
  <c r="AI245" i="2" s="1"/>
  <c r="AJ245" i="2" s="1"/>
  <c r="AH86" i="1"/>
  <c r="AI86" i="1" s="1"/>
  <c r="AJ86" i="1" s="1"/>
  <c r="AH223" i="1"/>
  <c r="AI223" i="1" s="1"/>
  <c r="AJ223" i="1" s="1"/>
  <c r="BK51" i="1"/>
  <c r="BL51" i="1" s="1"/>
  <c r="BM51" i="1" s="1"/>
  <c r="BN51" i="1" s="1"/>
  <c r="BK244" i="1"/>
  <c r="BL244" i="1" s="1"/>
  <c r="BM244" i="1" s="1"/>
  <c r="BN244" i="1" s="1"/>
  <c r="BK20" i="1"/>
  <c r="BL20" i="1" s="1"/>
  <c r="BM20" i="1" s="1"/>
  <c r="BN20" i="1" s="1"/>
  <c r="BK184" i="1"/>
  <c r="BL184" i="1" s="1"/>
  <c r="BM184" i="1" s="1"/>
  <c r="BN184" i="1" s="1"/>
  <c r="BK26" i="1"/>
  <c r="BL26" i="1" s="1"/>
  <c r="BM26" i="1" s="1"/>
  <c r="BN26" i="1" s="1"/>
  <c r="BK235" i="1"/>
  <c r="BL235" i="1" s="1"/>
  <c r="BM235" i="1" s="1"/>
  <c r="BN235" i="1" s="1"/>
  <c r="AH262" i="2"/>
  <c r="AI262" i="2" s="1"/>
  <c r="AJ262" i="2" s="1"/>
  <c r="AH247" i="1"/>
  <c r="AI247" i="1" s="1"/>
  <c r="AJ247" i="1" s="1"/>
  <c r="AH205" i="1"/>
  <c r="AI205" i="1" s="1"/>
  <c r="AJ205" i="1" s="1"/>
  <c r="BK260" i="1"/>
  <c r="BL260" i="1" s="1"/>
  <c r="BM260" i="1" s="1"/>
  <c r="BN260" i="1" s="1"/>
  <c r="BK46" i="1"/>
  <c r="BL46" i="1" s="1"/>
  <c r="BM46" i="1" s="1"/>
  <c r="BN46" i="1" s="1"/>
  <c r="BL275" i="2"/>
  <c r="BM275" i="2" s="1"/>
  <c r="BN275" i="2" s="1"/>
  <c r="BK4" i="1"/>
  <c r="BL4" i="1" s="1"/>
  <c r="BM4" i="1" s="1"/>
  <c r="BN4" i="1" s="1"/>
  <c r="AH285" i="1"/>
  <c r="AI285" i="1" s="1"/>
  <c r="AJ285" i="1" s="1"/>
  <c r="BK5" i="1"/>
  <c r="BL5" i="1" s="1"/>
  <c r="BM5" i="1" s="1"/>
  <c r="BN5" i="1" s="1"/>
  <c r="BK27" i="1"/>
  <c r="BL27" i="1" s="1"/>
  <c r="BM27" i="1" s="1"/>
  <c r="BN27" i="1" s="1"/>
  <c r="BK241" i="1"/>
  <c r="BL241" i="1" s="1"/>
  <c r="BM241" i="1" s="1"/>
  <c r="BN241" i="1" s="1"/>
  <c r="AH120" i="1"/>
  <c r="AI120" i="1" s="1"/>
  <c r="AJ120" i="1" s="1"/>
  <c r="BK63" i="1"/>
  <c r="BL63" i="1" s="1"/>
  <c r="BM63" i="1" s="1"/>
  <c r="BN63" i="1" s="1"/>
  <c r="BK181" i="1"/>
  <c r="BL181" i="1" s="1"/>
  <c r="BM181" i="1" s="1"/>
  <c r="BN181" i="1" s="1"/>
  <c r="BK150" i="1"/>
  <c r="BL150" i="1" s="1"/>
  <c r="BM150" i="1" s="1"/>
  <c r="BN150" i="1" s="1"/>
  <c r="AH136" i="1"/>
  <c r="AI136" i="1" s="1"/>
  <c r="AJ136" i="1" s="1"/>
  <c r="BK81" i="1"/>
  <c r="BL81" i="1" s="1"/>
  <c r="BM81" i="1" s="1"/>
  <c r="BN81" i="1" s="1"/>
  <c r="AH3" i="1"/>
  <c r="AI3" i="1" s="1"/>
  <c r="AJ3" i="1" s="1"/>
  <c r="BK284" i="1"/>
  <c r="BL284" i="1" s="1"/>
  <c r="BM284" i="1" s="1"/>
  <c r="BN284" i="1" s="1"/>
  <c r="BK15" i="1"/>
  <c r="BL15" i="1" s="1"/>
  <c r="BM15" i="1" s="1"/>
  <c r="BN15" i="1" s="1"/>
  <c r="BK14" i="1"/>
  <c r="BL14" i="1" s="1"/>
  <c r="BM14" i="1" s="1"/>
  <c r="BN14" i="1" s="1"/>
  <c r="BK263" i="1"/>
  <c r="BL263" i="1" s="1"/>
  <c r="BM263" i="1" s="1"/>
  <c r="BN263" i="1" s="1"/>
  <c r="BK24" i="1"/>
  <c r="BL24" i="1" s="1"/>
  <c r="BM24" i="1" s="1"/>
  <c r="BN24" i="1" s="1"/>
  <c r="AH190" i="1"/>
  <c r="AI190" i="1" s="1"/>
  <c r="AJ190" i="1" s="1"/>
  <c r="BK165" i="1"/>
  <c r="BL165" i="1" s="1"/>
  <c r="BM165" i="1" s="1"/>
  <c r="BN165" i="1" s="1"/>
  <c r="BK265" i="1"/>
  <c r="BL265" i="1" s="1"/>
  <c r="BM265" i="1" s="1"/>
  <c r="BN265" i="1" s="1"/>
  <c r="BK76" i="1"/>
  <c r="BL76" i="1" s="1"/>
  <c r="BM76" i="1" s="1"/>
  <c r="BN76" i="1" s="1"/>
  <c r="AH162" i="2"/>
  <c r="AI162" i="2" s="1"/>
  <c r="AJ162" i="2" s="1"/>
  <c r="AH128" i="2"/>
  <c r="AI128" i="2" s="1"/>
  <c r="AJ128" i="2" s="1"/>
  <c r="AH274" i="1"/>
  <c r="AI274" i="1" s="1"/>
  <c r="AJ274" i="1" s="1"/>
  <c r="BK34" i="1"/>
  <c r="BL34" i="1" s="1"/>
  <c r="BM34" i="1" s="1"/>
  <c r="BN34" i="1" s="1"/>
  <c r="BK152" i="1"/>
  <c r="BL152" i="1" s="1"/>
  <c r="BM152" i="1" s="1"/>
  <c r="BN152" i="1" s="1"/>
  <c r="BK211" i="1"/>
  <c r="BL211" i="1" s="1"/>
  <c r="BM211" i="1" s="1"/>
  <c r="BN211" i="1" s="1"/>
  <c r="BK168" i="1"/>
  <c r="BL168" i="1" s="1"/>
  <c r="BM168" i="1" s="1"/>
  <c r="BN168" i="1" s="1"/>
  <c r="BK10" i="1"/>
  <c r="BL10" i="1" s="1"/>
  <c r="BM10" i="1" s="1"/>
  <c r="BN10" i="1" s="1"/>
  <c r="BK142" i="1"/>
  <c r="BL142" i="1" s="1"/>
  <c r="BM142" i="1" s="1"/>
  <c r="BN142" i="1" s="1"/>
  <c r="BK19" i="1"/>
  <c r="BL19" i="1" s="1"/>
  <c r="BM19" i="1" s="1"/>
  <c r="BN19" i="1" s="1"/>
  <c r="BK279" i="1"/>
  <c r="BL279" i="1" s="1"/>
  <c r="BM279" i="1" s="1"/>
  <c r="BN279" i="1" s="1"/>
  <c r="AH287" i="1"/>
  <c r="AI287" i="1" s="1"/>
  <c r="AJ287" i="1" s="1"/>
  <c r="BK12" i="1"/>
  <c r="BL12" i="1" s="1"/>
  <c r="BM12" i="1" s="1"/>
  <c r="BN12" i="1" s="1"/>
  <c r="AH20" i="1"/>
  <c r="AI20" i="1" s="1"/>
  <c r="AJ20" i="1" s="1"/>
  <c r="AH288" i="1"/>
  <c r="AI288" i="1" s="1"/>
  <c r="AJ288" i="1" s="1"/>
  <c r="AH255" i="1"/>
  <c r="AI255" i="1" s="1"/>
  <c r="AJ255" i="1" s="1"/>
  <c r="BK41" i="1"/>
  <c r="BL41" i="1" s="1"/>
  <c r="BM41" i="1" s="1"/>
  <c r="BN41" i="1" s="1"/>
  <c r="BK266" i="1"/>
  <c r="BL266" i="1" s="1"/>
  <c r="BM266" i="1" s="1"/>
  <c r="BN266" i="1" s="1"/>
  <c r="BK176" i="1"/>
  <c r="BL176" i="1" s="1"/>
  <c r="BM176" i="1" s="1"/>
  <c r="BN176" i="1" s="1"/>
  <c r="BK61" i="1"/>
  <c r="BL61" i="1" s="1"/>
  <c r="BM61" i="1" s="1"/>
  <c r="BN61" i="1" s="1"/>
  <c r="BK307" i="1"/>
  <c r="BL307" i="1" s="1"/>
  <c r="BM307" i="1" s="1"/>
  <c r="BN307" i="1" s="1"/>
  <c r="AH45" i="2"/>
  <c r="AI45" i="2" s="1"/>
  <c r="AJ45" i="2" s="1"/>
  <c r="AH153" i="1"/>
  <c r="AI153" i="1" s="1"/>
  <c r="AJ153" i="1" s="1"/>
  <c r="BK33" i="1"/>
  <c r="BL33" i="1" s="1"/>
  <c r="BM33" i="1" s="1"/>
  <c r="BN33" i="1" s="1"/>
  <c r="BK213" i="1"/>
  <c r="BL213" i="1" s="1"/>
  <c r="BM213" i="1" s="1"/>
  <c r="BN213" i="1" s="1"/>
  <c r="AH160" i="1"/>
  <c r="AI160" i="1" s="1"/>
  <c r="AJ160" i="1" s="1"/>
  <c r="AH138" i="2"/>
  <c r="AI138" i="2" s="1"/>
  <c r="AJ138" i="2" s="1"/>
  <c r="AH146" i="1"/>
  <c r="AI146" i="1" s="1"/>
  <c r="AJ146" i="1" s="1"/>
  <c r="BK111" i="1"/>
  <c r="BL111" i="1" s="1"/>
  <c r="BM111" i="1" s="1"/>
  <c r="BN111" i="1" s="1"/>
  <c r="BK157" i="1"/>
  <c r="BL157" i="1" s="1"/>
  <c r="BM157" i="1" s="1"/>
  <c r="BN157" i="1" s="1"/>
  <c r="BK309" i="1"/>
  <c r="BL309" i="1" s="1"/>
  <c r="BM309" i="1" s="1"/>
  <c r="BN309" i="1" s="1"/>
  <c r="BK31" i="1"/>
  <c r="BL31" i="1" s="1"/>
  <c r="BM31" i="1" s="1"/>
  <c r="BN31" i="1" s="1"/>
  <c r="BK92" i="1"/>
  <c r="BL92" i="1" s="1"/>
  <c r="BM92" i="1" s="1"/>
  <c r="BN92" i="1" s="1"/>
  <c r="BK282" i="1"/>
  <c r="BL282" i="1" s="1"/>
  <c r="BM282" i="1" s="1"/>
  <c r="BN282" i="1" s="1"/>
  <c r="BK229" i="1"/>
  <c r="BL229" i="1" s="1"/>
  <c r="BM229" i="1" s="1"/>
  <c r="BN229" i="1" s="1"/>
  <c r="BK140" i="1"/>
  <c r="BL140" i="1" s="1"/>
  <c r="BM140" i="1" s="1"/>
  <c r="BN140" i="1" s="1"/>
  <c r="BK322" i="1"/>
  <c r="BL322" i="1" s="1"/>
  <c r="BM322" i="1" s="1"/>
  <c r="BN322" i="1" s="1"/>
  <c r="BK187" i="1"/>
  <c r="BL187" i="1" s="1"/>
  <c r="BM187" i="1" s="1"/>
  <c r="BN187" i="1" s="1"/>
  <c r="BK277" i="1"/>
  <c r="BL277" i="1" s="1"/>
  <c r="BM277" i="1" s="1"/>
  <c r="BN277" i="1" s="1"/>
  <c r="BK305" i="1"/>
  <c r="BL305" i="1" s="1"/>
  <c r="BM305" i="1" s="1"/>
  <c r="BN305" i="1" s="1"/>
  <c r="BK151" i="1"/>
  <c r="BL151" i="1" s="1"/>
  <c r="BM151" i="1" s="1"/>
  <c r="BN151" i="1" s="1"/>
  <c r="BK82" i="1"/>
  <c r="BL82" i="1" s="1"/>
  <c r="BM82" i="1" s="1"/>
  <c r="BN82" i="1" s="1"/>
  <c r="BK199" i="1"/>
  <c r="BL199" i="1" s="1"/>
  <c r="BM199" i="1" s="1"/>
  <c r="BN199" i="1" s="1"/>
  <c r="BK292" i="1"/>
  <c r="BL292" i="1" s="1"/>
  <c r="BM292" i="1" s="1"/>
  <c r="BN292" i="1" s="1"/>
  <c r="BK98" i="1"/>
  <c r="BL98" i="1" s="1"/>
  <c r="BM98" i="1" s="1"/>
  <c r="BN98" i="1" s="1"/>
  <c r="BK54" i="1"/>
  <c r="BL54" i="1" s="1"/>
  <c r="BM54" i="1" s="1"/>
  <c r="BN54" i="1" s="1"/>
  <c r="BK85" i="1"/>
  <c r="BL85" i="1" s="1"/>
  <c r="BM85" i="1" s="1"/>
  <c r="BN85" i="1" s="1"/>
  <c r="BK321" i="1"/>
  <c r="BL321" i="1" s="1"/>
  <c r="BM321" i="1" s="1"/>
  <c r="BN321" i="1" s="1"/>
  <c r="BK174" i="1"/>
  <c r="BL174" i="1" s="1"/>
  <c r="BM174" i="1" s="1"/>
  <c r="BN174" i="1" s="1"/>
  <c r="BK226" i="1"/>
  <c r="BL226" i="1" s="1"/>
  <c r="BM226" i="1" s="1"/>
  <c r="BN226" i="1" s="1"/>
  <c r="BK294" i="1"/>
  <c r="BL294" i="1" s="1"/>
  <c r="BM294" i="1" s="1"/>
  <c r="BN294" i="1" s="1"/>
  <c r="BK118" i="1"/>
  <c r="BL118" i="1" s="1"/>
  <c r="BM118" i="1" s="1"/>
  <c r="BN118" i="1" s="1"/>
  <c r="BK138" i="1"/>
  <c r="BL138" i="1" s="1"/>
  <c r="BM138" i="1" s="1"/>
  <c r="BN138" i="1" s="1"/>
  <c r="BK156" i="1"/>
  <c r="BL156" i="1" s="1"/>
  <c r="BM156" i="1" s="1"/>
  <c r="BN156" i="1" s="1"/>
  <c r="BK222" i="1"/>
  <c r="BL222" i="1" s="1"/>
  <c r="BM222" i="1" s="1"/>
  <c r="BN222" i="1" s="1"/>
  <c r="BK55" i="1"/>
  <c r="BL55" i="1" s="1"/>
  <c r="BM55" i="1" s="1"/>
  <c r="BN55" i="1" s="1"/>
  <c r="BK30" i="1"/>
  <c r="BL30" i="1" s="1"/>
  <c r="BM30" i="1" s="1"/>
  <c r="BN30" i="1" s="1"/>
  <c r="BK261" i="1"/>
  <c r="BL261" i="1" s="1"/>
  <c r="BM261" i="1" s="1"/>
  <c r="BN261" i="1" s="1"/>
  <c r="BK214" i="1"/>
  <c r="BL214" i="1" s="1"/>
  <c r="BM214" i="1" s="1"/>
  <c r="BN214" i="1" s="1"/>
  <c r="BK89" i="1"/>
  <c r="BL89" i="1" s="1"/>
  <c r="BM89" i="1" s="1"/>
  <c r="BN89" i="1" s="1"/>
  <c r="BK289" i="1"/>
  <c r="BL289" i="1" s="1"/>
  <c r="BM289" i="1" s="1"/>
  <c r="BN289" i="1" s="1"/>
  <c r="BK86" i="1"/>
  <c r="BL86" i="1" s="1"/>
  <c r="BM86" i="1" s="1"/>
  <c r="BN86" i="1" s="1"/>
  <c r="BK57" i="1"/>
  <c r="BL57" i="1" s="1"/>
  <c r="BM57" i="1" s="1"/>
  <c r="BN57" i="1" s="1"/>
  <c r="BK202" i="1"/>
  <c r="BL202" i="1" s="1"/>
  <c r="BM202" i="1" s="1"/>
  <c r="BN202" i="1" s="1"/>
  <c r="BK281" i="1"/>
  <c r="BL281" i="1" s="1"/>
  <c r="BM281" i="1" s="1"/>
  <c r="BN281" i="1" s="1"/>
  <c r="BK87" i="1"/>
  <c r="BL87" i="1" s="1"/>
  <c r="BM87" i="1" s="1"/>
  <c r="BN87" i="1" s="1"/>
  <c r="BK163" i="1"/>
  <c r="BL163" i="1" s="1"/>
  <c r="BM163" i="1" s="1"/>
  <c r="BN163" i="1" s="1"/>
  <c r="BK105" i="1"/>
  <c r="BL105" i="1" s="1"/>
  <c r="BM105" i="1" s="1"/>
  <c r="BN105" i="1" s="1"/>
  <c r="BK264" i="1"/>
  <c r="BL264" i="1" s="1"/>
  <c r="BM264" i="1" s="1"/>
  <c r="BN264" i="1" s="1"/>
  <c r="BK146" i="1"/>
  <c r="BL146" i="1" s="1"/>
  <c r="BM146" i="1" s="1"/>
  <c r="BN146" i="1" s="1"/>
  <c r="BK58" i="1"/>
  <c r="BL58" i="1" s="1"/>
  <c r="BM58" i="1" s="1"/>
  <c r="BN58" i="1" s="1"/>
  <c r="BK70" i="1"/>
  <c r="BL70" i="1" s="1"/>
  <c r="BM70" i="1" s="1"/>
  <c r="BN70" i="1" s="1"/>
  <c r="BK47" i="1"/>
  <c r="BL47" i="1" s="1"/>
  <c r="BM47" i="1" s="1"/>
  <c r="BN47" i="1" s="1"/>
  <c r="BK255" i="1"/>
  <c r="BL255" i="1" s="1"/>
  <c r="BM255" i="1" s="1"/>
  <c r="BN255" i="1" s="1"/>
  <c r="BK107" i="1"/>
  <c r="BL107" i="1" s="1"/>
  <c r="BM107" i="1" s="1"/>
  <c r="BN107" i="1" s="1"/>
  <c r="BK220" i="1"/>
  <c r="BL220" i="1" s="1"/>
  <c r="BM220" i="1" s="1"/>
  <c r="BN220" i="1" s="1"/>
  <c r="BK49" i="1"/>
  <c r="BL49" i="1" s="1"/>
  <c r="BM49" i="1" s="1"/>
  <c r="BN49" i="1" s="1"/>
  <c r="BK141" i="1"/>
  <c r="BL141" i="1" s="1"/>
  <c r="BM141" i="1" s="1"/>
  <c r="BN141" i="1" s="1"/>
  <c r="BK77" i="1"/>
  <c r="BL77" i="1" s="1"/>
  <c r="BM77" i="1" s="1"/>
  <c r="BN77" i="1" s="1"/>
  <c r="BK139" i="1"/>
  <c r="BL139" i="1" s="1"/>
  <c r="BM139" i="1" s="1"/>
  <c r="BN139" i="1" s="1"/>
  <c r="BK83" i="1"/>
  <c r="BL83" i="1" s="1"/>
  <c r="BM83" i="1" s="1"/>
  <c r="BN83" i="1" s="1"/>
  <c r="BK56" i="1"/>
  <c r="BL56" i="1" s="1"/>
  <c r="BM56" i="1" s="1"/>
  <c r="BN56" i="1" s="1"/>
  <c r="BK218" i="1"/>
  <c r="BL218" i="1" s="1"/>
  <c r="BM218" i="1" s="1"/>
  <c r="BN218" i="1" s="1"/>
  <c r="BK275" i="1"/>
  <c r="BL275" i="1" s="1"/>
  <c r="BM275" i="1" s="1"/>
  <c r="BN275" i="1" s="1"/>
  <c r="BK32" i="1"/>
  <c r="BL32" i="1" s="1"/>
  <c r="BM32" i="1" s="1"/>
  <c r="BN32" i="1" s="1"/>
  <c r="BK59" i="1"/>
  <c r="BL59" i="1" s="1"/>
  <c r="BM59" i="1" s="1"/>
  <c r="BN59" i="1" s="1"/>
  <c r="BK188" i="1"/>
  <c r="BL188" i="1" s="1"/>
  <c r="BM188" i="1" s="1"/>
  <c r="BN188" i="1" s="1"/>
  <c r="BK233" i="1"/>
  <c r="BL233" i="1" s="1"/>
  <c r="BM233" i="1" s="1"/>
  <c r="BN233" i="1" s="1"/>
  <c r="AH270" i="1"/>
  <c r="AI270" i="1" s="1"/>
  <c r="AJ270" i="1" s="1"/>
  <c r="AH111" i="1"/>
  <c r="AI111" i="1" s="1"/>
  <c r="AJ111" i="1" s="1"/>
  <c r="AH49" i="1"/>
  <c r="AI49" i="1" s="1"/>
  <c r="AJ49" i="1" s="1"/>
  <c r="AH293" i="1"/>
  <c r="AI293" i="1" s="1"/>
  <c r="AJ293" i="1" s="1"/>
  <c r="AH271" i="1"/>
  <c r="AI271" i="1" s="1"/>
  <c r="AJ271" i="1" s="1"/>
  <c r="AH67" i="2"/>
  <c r="AI67" i="2" s="1"/>
  <c r="AJ67" i="2" s="1"/>
  <c r="AH299" i="1"/>
  <c r="AI299" i="1" s="1"/>
  <c r="AJ299" i="1" s="1"/>
  <c r="AH118" i="1"/>
  <c r="AI118" i="1" s="1"/>
  <c r="AJ118" i="1" s="1"/>
  <c r="AH132" i="1"/>
  <c r="AI132" i="1" s="1"/>
  <c r="AJ132" i="1" s="1"/>
  <c r="AH296" i="1"/>
  <c r="AI296" i="1" s="1"/>
  <c r="AJ296" i="1" s="1"/>
  <c r="AH277" i="2"/>
  <c r="AI277" i="2" s="1"/>
  <c r="AJ277" i="2" s="1"/>
  <c r="AH236" i="1"/>
  <c r="AI236" i="1" s="1"/>
  <c r="AJ236" i="1" s="1"/>
  <c r="AH128" i="1"/>
  <c r="AI128" i="1" s="1"/>
  <c r="AJ128" i="1" s="1"/>
  <c r="AH294" i="1"/>
  <c r="AI294" i="1" s="1"/>
  <c r="AJ294" i="1" s="1"/>
  <c r="AH30" i="1"/>
  <c r="AI30" i="1" s="1"/>
  <c r="AJ30" i="1" s="1"/>
  <c r="AH188" i="2"/>
  <c r="AI188" i="2" s="1"/>
  <c r="AJ188" i="2" s="1"/>
  <c r="AH218" i="1"/>
  <c r="AI218" i="1" s="1"/>
  <c r="AJ218" i="1" s="1"/>
  <c r="AH292" i="2"/>
  <c r="AI292" i="2" s="1"/>
  <c r="AJ292" i="2" s="1"/>
  <c r="AH37" i="1"/>
  <c r="AI37" i="1" s="1"/>
  <c r="AJ37" i="1" s="1"/>
  <c r="AH121" i="1"/>
  <c r="AI121" i="1" s="1"/>
  <c r="AJ121" i="1" s="1"/>
  <c r="AH292" i="1"/>
  <c r="AI292" i="1" s="1"/>
  <c r="AJ292" i="1" s="1"/>
  <c r="AH230" i="1"/>
  <c r="AI230" i="1" s="1"/>
  <c r="AJ230" i="1" s="1"/>
  <c r="AH254" i="2"/>
  <c r="AI254" i="2" s="1"/>
  <c r="AJ254" i="2" s="1"/>
  <c r="AH201" i="1"/>
  <c r="AI201" i="1" s="1"/>
  <c r="AJ201" i="1" s="1"/>
  <c r="AH195" i="1"/>
  <c r="AI195" i="1" s="1"/>
  <c r="AJ195" i="1" s="1"/>
  <c r="AH112" i="1"/>
  <c r="AI112" i="1" s="1"/>
  <c r="AJ112" i="1" s="1"/>
  <c r="AH175" i="1"/>
  <c r="AI175" i="1" s="1"/>
  <c r="AJ175" i="1" s="1"/>
  <c r="AH66" i="2"/>
  <c r="AI66" i="2" s="1"/>
  <c r="AJ66" i="2" s="1"/>
  <c r="AH11" i="1"/>
  <c r="AI11" i="1" s="1"/>
  <c r="AJ11" i="1" s="1"/>
  <c r="AH170" i="2"/>
  <c r="AI170" i="2" s="1"/>
  <c r="AJ170" i="2" s="1"/>
  <c r="AH257" i="1"/>
  <c r="AI257" i="1" s="1"/>
  <c r="AJ257" i="1" s="1"/>
  <c r="AH291" i="1"/>
  <c r="AI291" i="1" s="1"/>
  <c r="AJ291" i="1" s="1"/>
  <c r="AH242" i="1"/>
  <c r="AI242" i="1" s="1"/>
  <c r="AJ242" i="1" s="1"/>
  <c r="BK290" i="1"/>
  <c r="BL290" i="1" s="1"/>
  <c r="BM290" i="1" s="1"/>
  <c r="BN290" i="1" s="1"/>
  <c r="AH109" i="2"/>
  <c r="AI109" i="2" s="1"/>
  <c r="AJ109" i="2" s="1"/>
  <c r="AH295" i="2"/>
  <c r="AI295" i="2" s="1"/>
  <c r="AJ295" i="2" s="1"/>
  <c r="AH70" i="2"/>
  <c r="AI70" i="2" s="1"/>
  <c r="AJ70" i="2" s="1"/>
  <c r="AH118" i="2"/>
  <c r="AI118" i="2" s="1"/>
  <c r="AJ118" i="2" s="1"/>
  <c r="AH47" i="2"/>
  <c r="AI47" i="2" s="1"/>
  <c r="AJ47" i="2" s="1"/>
  <c r="AH177" i="2"/>
  <c r="AI177" i="2" s="1"/>
  <c r="AJ177" i="2" s="1"/>
  <c r="AH173" i="2"/>
  <c r="AI173" i="2" s="1"/>
  <c r="AJ173" i="2" s="1"/>
  <c r="AH207" i="2"/>
  <c r="AI207" i="2" s="1"/>
  <c r="AJ207" i="2" s="1"/>
  <c r="AH140" i="2"/>
  <c r="AI140" i="2" s="1"/>
  <c r="AJ140" i="2" s="1"/>
  <c r="AH77" i="2"/>
  <c r="AI77" i="2" s="1"/>
  <c r="AJ77" i="2" s="1"/>
  <c r="AH312" i="2"/>
  <c r="AI312" i="2" s="1"/>
  <c r="AJ312" i="2" s="1"/>
  <c r="AH137" i="2"/>
  <c r="AI137" i="2" s="1"/>
  <c r="AJ137" i="2" s="1"/>
  <c r="AH154" i="2"/>
  <c r="AI154" i="2" s="1"/>
  <c r="AJ154" i="2" s="1"/>
  <c r="AH75" i="2"/>
  <c r="AI75" i="2" s="1"/>
  <c r="AJ75" i="2" s="1"/>
  <c r="AH55" i="2"/>
  <c r="AI55" i="2" s="1"/>
  <c r="AJ55" i="2" s="1"/>
  <c r="AH203" i="2"/>
  <c r="AI203" i="2" s="1"/>
  <c r="AJ203" i="2" s="1"/>
  <c r="AH144" i="2"/>
  <c r="AI144" i="2" s="1"/>
  <c r="AJ144" i="2" s="1"/>
  <c r="AH103" i="2"/>
  <c r="AI103" i="2" s="1"/>
  <c r="AJ103" i="2" s="1"/>
  <c r="AH89" i="2"/>
  <c r="AI89" i="2" s="1"/>
  <c r="AJ89" i="2" s="1"/>
  <c r="AH58" i="2"/>
  <c r="AI58" i="2" s="1"/>
  <c r="AJ58" i="2" s="1"/>
  <c r="AH110" i="2"/>
  <c r="AI110" i="2" s="1"/>
  <c r="AJ110" i="2" s="1"/>
  <c r="AH22" i="2"/>
  <c r="AI22" i="2" s="1"/>
  <c r="AJ22" i="2" s="1"/>
  <c r="AH83" i="2"/>
  <c r="AI83" i="2" s="1"/>
  <c r="AJ83" i="2" s="1"/>
  <c r="AH9" i="2"/>
  <c r="AI9" i="2" s="1"/>
  <c r="AJ9" i="2" s="1"/>
  <c r="AH214" i="2"/>
  <c r="AI214" i="2" s="1"/>
  <c r="AJ214" i="2" s="1"/>
  <c r="BK70" i="2"/>
  <c r="BL70" i="2" s="1"/>
  <c r="BM70" i="2" s="1"/>
  <c r="BN70" i="2" s="1"/>
  <c r="BK69" i="2"/>
  <c r="BL69" i="2" s="1"/>
  <c r="BM69" i="2" s="1"/>
  <c r="BN69" i="2" s="1"/>
  <c r="BK49" i="2"/>
  <c r="BL49" i="2" s="1"/>
  <c r="BM49" i="2" s="1"/>
  <c r="BN49" i="2" s="1"/>
  <c r="BK191" i="2"/>
  <c r="BL191" i="2" s="1"/>
  <c r="BM191" i="2" s="1"/>
  <c r="BN191" i="2" s="1"/>
  <c r="BK237" i="2"/>
  <c r="BL237" i="2" s="1"/>
  <c r="BM237" i="2" s="1"/>
  <c r="BN237" i="2" s="1"/>
  <c r="BK139" i="2"/>
  <c r="BL139" i="2" s="1"/>
  <c r="BM139" i="2" s="1"/>
  <c r="BN139" i="2" s="1"/>
  <c r="BK152" i="2"/>
  <c r="BL152" i="2" s="1"/>
  <c r="BM152" i="2" s="1"/>
  <c r="BN152" i="2" s="1"/>
  <c r="BK52" i="2"/>
  <c r="BL52" i="2" s="1"/>
  <c r="BM52" i="2" s="1"/>
  <c r="BN52" i="2" s="1"/>
  <c r="BK272" i="2"/>
  <c r="BL272" i="2" s="1"/>
  <c r="BM272" i="2" s="1"/>
  <c r="BN272" i="2" s="1"/>
  <c r="BK171" i="2"/>
  <c r="BL171" i="2" s="1"/>
  <c r="BM171" i="2" s="1"/>
  <c r="BN171" i="2" s="1"/>
  <c r="BK34" i="2"/>
  <c r="BL34" i="2" s="1"/>
  <c r="BM34" i="2" s="1"/>
  <c r="BN34" i="2" s="1"/>
  <c r="BK18" i="2"/>
  <c r="BL18" i="2" s="1"/>
  <c r="BM18" i="2" s="1"/>
  <c r="BN18" i="2" s="1"/>
  <c r="BK50" i="2"/>
  <c r="BL50" i="2" s="1"/>
  <c r="BM50" i="2" s="1"/>
  <c r="BN50" i="2" s="1"/>
  <c r="BK115" i="2"/>
  <c r="BL115" i="2" s="1"/>
  <c r="BM115" i="2" s="1"/>
  <c r="BN115" i="2" s="1"/>
  <c r="BK33" i="2"/>
  <c r="BL33" i="2" s="1"/>
  <c r="BM33" i="2" s="1"/>
  <c r="BN33" i="2" s="1"/>
  <c r="BK140" i="2"/>
  <c r="BL140" i="2" s="1"/>
  <c r="BM140" i="2" s="1"/>
  <c r="BN140" i="2" s="1"/>
  <c r="BK273" i="2"/>
  <c r="BL273" i="2" s="1"/>
  <c r="BM273" i="2" s="1"/>
  <c r="BN273" i="2" s="1"/>
  <c r="BK119" i="2"/>
  <c r="BL119" i="2" s="1"/>
  <c r="BM119" i="2" s="1"/>
  <c r="BN119" i="2" s="1"/>
  <c r="BK158" i="2"/>
  <c r="BL158" i="2" s="1"/>
  <c r="BM158" i="2" s="1"/>
  <c r="BN158" i="2" s="1"/>
  <c r="BK112" i="2"/>
  <c r="BL112" i="2" s="1"/>
  <c r="BM112" i="2" s="1"/>
  <c r="BN112" i="2" s="1"/>
  <c r="BK217" i="2"/>
  <c r="BL217" i="2" s="1"/>
  <c r="BM217" i="2" s="1"/>
  <c r="BN217" i="2" s="1"/>
  <c r="BK251" i="2"/>
  <c r="BL251" i="2" s="1"/>
  <c r="BM251" i="2" s="1"/>
  <c r="BN251" i="2" s="1"/>
  <c r="BK94" i="2"/>
  <c r="BL94" i="2" s="1"/>
  <c r="BM94" i="2" s="1"/>
  <c r="BN94" i="2" s="1"/>
  <c r="BK77" i="2"/>
  <c r="BL77" i="2" s="1"/>
  <c r="BM77" i="2" s="1"/>
  <c r="BN77" i="2" s="1"/>
  <c r="BK61" i="2"/>
  <c r="BL61" i="2" s="1"/>
  <c r="BM61" i="2" s="1"/>
  <c r="BN61" i="2" s="1"/>
  <c r="BK109" i="2"/>
  <c r="BL109" i="2" s="1"/>
  <c r="BM109" i="2" s="1"/>
  <c r="BN109" i="2" s="1"/>
  <c r="BK151" i="2"/>
  <c r="BL151" i="2" s="1"/>
  <c r="BM151" i="2" s="1"/>
  <c r="BN151" i="2" s="1"/>
  <c r="BK184" i="2"/>
  <c r="BL184" i="2" s="1"/>
  <c r="BM184" i="2" s="1"/>
  <c r="BN184" i="2" s="1"/>
  <c r="BK21" i="2"/>
  <c r="BL21" i="2" s="1"/>
  <c r="BM21" i="2" s="1"/>
  <c r="BN21" i="2" s="1"/>
  <c r="BK239" i="2"/>
  <c r="BL239" i="2" s="1"/>
  <c r="BM239" i="2" s="1"/>
  <c r="BN239" i="2" s="1"/>
  <c r="BK183" i="2"/>
  <c r="BL183" i="2" s="1"/>
  <c r="BM183" i="2" s="1"/>
  <c r="BN183" i="2" s="1"/>
  <c r="BK302" i="2"/>
  <c r="BL302" i="2" s="1"/>
  <c r="BM302" i="2" s="1"/>
  <c r="BN302" i="2" s="1"/>
  <c r="BK245" i="2"/>
  <c r="BL245" i="2" s="1"/>
  <c r="BM245" i="2" s="1"/>
  <c r="BN245" i="2" s="1"/>
  <c r="BK315" i="2"/>
  <c r="BL315" i="2" s="1"/>
  <c r="BM315" i="2" s="1"/>
  <c r="BN315" i="2" s="1"/>
  <c r="BK113" i="2"/>
  <c r="BL113" i="2" s="1"/>
  <c r="BM113" i="2" s="1"/>
  <c r="BN113" i="2" s="1"/>
  <c r="BK213" i="2"/>
  <c r="BL213" i="2" s="1"/>
  <c r="BM213" i="2" s="1"/>
  <c r="BN213" i="2" s="1"/>
  <c r="BK296" i="2"/>
  <c r="BL296" i="2" s="1"/>
  <c r="BM296" i="2" s="1"/>
  <c r="BN296" i="2" s="1"/>
  <c r="BK86" i="2"/>
  <c r="BL86" i="2" s="1"/>
  <c r="BM86" i="2" s="1"/>
  <c r="BN86" i="2" s="1"/>
  <c r="BK305" i="2"/>
  <c r="BL305" i="2" s="1"/>
  <c r="BM305" i="2" s="1"/>
  <c r="BN305" i="2" s="1"/>
  <c r="BK192" i="2"/>
  <c r="BL192" i="2" s="1"/>
  <c r="BM192" i="2" s="1"/>
  <c r="BN192" i="2" s="1"/>
  <c r="BK201" i="2"/>
  <c r="BL201" i="2" s="1"/>
  <c r="BM201" i="2" s="1"/>
  <c r="BN201" i="2" s="1"/>
  <c r="BK138" i="2"/>
  <c r="BL138" i="2" s="1"/>
  <c r="BM138" i="2" s="1"/>
  <c r="BN138" i="2" s="1"/>
  <c r="BK169" i="2"/>
  <c r="BL169" i="2" s="1"/>
  <c r="BM169" i="2" s="1"/>
  <c r="BN169" i="2" s="1"/>
  <c r="BK263" i="2"/>
  <c r="BL263" i="2" s="1"/>
  <c r="BM263" i="2" s="1"/>
  <c r="BN263" i="2" s="1"/>
  <c r="BK242" i="2"/>
  <c r="BL242" i="2" s="1"/>
  <c r="BM242" i="2" s="1"/>
  <c r="BN242" i="2" s="1"/>
  <c r="BK51" i="2"/>
  <c r="BL51" i="2" s="1"/>
  <c r="BM51" i="2" s="1"/>
  <c r="BN51" i="2" s="1"/>
  <c r="BK282" i="2"/>
  <c r="BL282" i="2" s="1"/>
  <c r="BM282" i="2" s="1"/>
  <c r="BN282" i="2" s="1"/>
  <c r="BK321" i="2"/>
  <c r="BL321" i="2" s="1"/>
  <c r="BM321" i="2" s="1"/>
  <c r="BN321" i="2" s="1"/>
  <c r="BK196" i="2"/>
  <c r="BL196" i="2" s="1"/>
  <c r="BM196" i="2" s="1"/>
  <c r="BN196" i="2" s="1"/>
  <c r="BK221" i="2"/>
  <c r="BL221" i="2" s="1"/>
  <c r="BM221" i="2" s="1"/>
  <c r="BN221" i="2" s="1"/>
  <c r="BK84" i="2"/>
  <c r="BL84" i="2" s="1"/>
  <c r="BM84" i="2" s="1"/>
  <c r="BN84" i="2" s="1"/>
  <c r="BK39" i="2"/>
  <c r="BL39" i="2" s="1"/>
  <c r="BM39" i="2" s="1"/>
  <c r="BN39" i="2" s="1"/>
  <c r="BK156" i="2"/>
  <c r="BL156" i="2" s="1"/>
  <c r="BM156" i="2" s="1"/>
  <c r="BN156" i="2" s="1"/>
  <c r="BK166" i="2"/>
  <c r="BL166" i="2" s="1"/>
  <c r="BM166" i="2" s="1"/>
  <c r="BN166" i="2" s="1"/>
  <c r="BK150" i="2"/>
  <c r="BL150" i="2" s="1"/>
  <c r="BM150" i="2" s="1"/>
  <c r="BN150" i="2" s="1"/>
  <c r="BK307" i="2"/>
  <c r="BL307" i="2" s="1"/>
  <c r="BM307" i="2" s="1"/>
  <c r="BN307" i="2" s="1"/>
  <c r="BK299" i="2"/>
  <c r="BL299" i="2" s="1"/>
  <c r="BM299" i="2" s="1"/>
  <c r="BN299" i="2" s="1"/>
  <c r="BK313" i="2"/>
  <c r="BL313" i="2" s="1"/>
  <c r="BM313" i="2" s="1"/>
  <c r="BN313" i="2" s="1"/>
  <c r="BK110" i="2"/>
  <c r="BL110" i="2" s="1"/>
  <c r="BM110" i="2" s="1"/>
  <c r="BN110" i="2" s="1"/>
  <c r="BK163" i="2"/>
  <c r="BL163" i="2" s="1"/>
  <c r="BM163" i="2" s="1"/>
  <c r="BN163" i="2" s="1"/>
  <c r="BK303" i="2"/>
  <c r="BL303" i="2" s="1"/>
  <c r="BM303" i="2" s="1"/>
  <c r="BN303" i="2" s="1"/>
  <c r="BK87" i="2"/>
  <c r="BL87" i="2" s="1"/>
  <c r="BM87" i="2" s="1"/>
  <c r="BN87" i="2" s="1"/>
  <c r="BK157" i="2"/>
  <c r="BL157" i="2" s="1"/>
  <c r="BM157" i="2" s="1"/>
  <c r="BN157" i="2" s="1"/>
  <c r="BX141" i="2"/>
  <c r="BX66" i="2"/>
  <c r="BX36" i="2"/>
  <c r="BX12" i="2"/>
  <c r="BX301" i="2"/>
  <c r="AH307" i="2"/>
  <c r="AI307" i="2" s="1"/>
  <c r="AJ307" i="2" s="1"/>
  <c r="BX260" i="2"/>
  <c r="BK252" i="2"/>
  <c r="BL252" i="2" s="1"/>
  <c r="BM252" i="2" s="1"/>
  <c r="BN252" i="2" s="1"/>
  <c r="BK207" i="2"/>
  <c r="BL207" i="2" s="1"/>
  <c r="BM207" i="2" s="1"/>
  <c r="BN207" i="2" s="1"/>
  <c r="AH149" i="2"/>
  <c r="AI149" i="2" s="1"/>
  <c r="AJ149" i="2" s="1"/>
  <c r="BX70" i="2"/>
  <c r="BX262" i="2"/>
  <c r="BX11" i="2"/>
  <c r="BX41" i="2"/>
  <c r="BX15" i="2"/>
  <c r="BX240" i="2"/>
  <c r="BX78" i="2"/>
  <c r="BX122" i="2"/>
  <c r="BK136" i="2"/>
  <c r="BL136" i="2" s="1"/>
  <c r="BM136" i="2" s="1"/>
  <c r="BN136" i="2" s="1"/>
  <c r="BK297" i="2"/>
  <c r="BL297" i="2" s="1"/>
  <c r="BM297" i="2" s="1"/>
  <c r="BN297" i="2" s="1"/>
  <c r="BX234" i="2"/>
  <c r="BX27" i="2"/>
  <c r="BX157" i="2"/>
  <c r="BX226" i="2"/>
  <c r="AH53" i="2"/>
  <c r="AI53" i="2" s="1"/>
  <c r="AJ53" i="2" s="1"/>
  <c r="BX25" i="2"/>
  <c r="BX4" i="2"/>
  <c r="BX161" i="2"/>
  <c r="BX69" i="2"/>
  <c r="BX310" i="2"/>
  <c r="BX193" i="2"/>
  <c r="AH305" i="2"/>
  <c r="AI305" i="2" s="1"/>
  <c r="AJ305" i="2" s="1"/>
  <c r="AH272" i="2"/>
  <c r="AI272" i="2" s="1"/>
  <c r="AJ272" i="2" s="1"/>
  <c r="BX297" i="2"/>
  <c r="BX282" i="2"/>
  <c r="BX153" i="2"/>
  <c r="BX75" i="2"/>
  <c r="BX251" i="2"/>
  <c r="BX285" i="2"/>
  <c r="AH318" i="2"/>
  <c r="AI318" i="2" s="1"/>
  <c r="AJ318" i="2" s="1"/>
  <c r="BX286" i="2"/>
  <c r="AH237" i="2"/>
  <c r="AI237" i="2" s="1"/>
  <c r="AJ237" i="2" s="1"/>
  <c r="AH260" i="2"/>
  <c r="AI260" i="2" s="1"/>
  <c r="AJ260" i="2" s="1"/>
  <c r="BX202" i="2"/>
  <c r="BX190" i="2"/>
  <c r="BX100" i="2"/>
  <c r="AH231" i="2"/>
  <c r="AI231" i="2" s="1"/>
  <c r="AJ231" i="2" s="1"/>
  <c r="AH145" i="2"/>
  <c r="AI145" i="2" s="1"/>
  <c r="AJ145" i="2" s="1"/>
  <c r="BX61" i="2"/>
  <c r="BX73" i="2"/>
  <c r="BX145" i="2"/>
  <c r="BX278" i="2"/>
  <c r="BX290" i="2"/>
  <c r="AH287" i="2"/>
  <c r="AI287" i="2" s="1"/>
  <c r="AJ287" i="2" s="1"/>
  <c r="BX217" i="2"/>
  <c r="AH163" i="2"/>
  <c r="AI163" i="2" s="1"/>
  <c r="AJ163" i="2" s="1"/>
  <c r="BX184" i="2"/>
  <c r="BX309" i="2"/>
  <c r="BX265" i="2"/>
  <c r="AH273" i="2"/>
  <c r="AI273" i="2" s="1"/>
  <c r="AJ273" i="2" s="1"/>
  <c r="AG319" i="2"/>
  <c r="AH319" i="2" s="1"/>
  <c r="AI319" i="2" s="1"/>
  <c r="AJ319" i="2" s="1"/>
  <c r="AH116" i="2"/>
  <c r="AI116" i="2" s="1"/>
  <c r="AJ116" i="2" s="1"/>
  <c r="BX154" i="2"/>
  <c r="BX221" i="2"/>
  <c r="BX224" i="2"/>
  <c r="BX182" i="2"/>
  <c r="BX284" i="2"/>
  <c r="BX106" i="2"/>
  <c r="BX171" i="2"/>
  <c r="BX237" i="2"/>
  <c r="BX113" i="2"/>
  <c r="BX267" i="2"/>
  <c r="BX248" i="2"/>
  <c r="BX30" i="2"/>
  <c r="BX67" i="2"/>
  <c r="BX186" i="2"/>
  <c r="BX255" i="2"/>
  <c r="BX283" i="2"/>
  <c r="BX215" i="2"/>
  <c r="AH150" i="2"/>
  <c r="AI150" i="2" s="1"/>
  <c r="AJ150" i="2" s="1"/>
  <c r="BX209" i="2"/>
  <c r="BX281" i="2"/>
  <c r="AH123" i="2"/>
  <c r="AI123" i="2" s="1"/>
  <c r="AJ123" i="2" s="1"/>
  <c r="BX147" i="2"/>
  <c r="BX43" i="2"/>
  <c r="BX68" i="2"/>
  <c r="BX313" i="2"/>
  <c r="BK308" i="2"/>
  <c r="BL308" i="2" s="1"/>
  <c r="BM308" i="2" s="1"/>
  <c r="BN308" i="2" s="1"/>
  <c r="BK130" i="2"/>
  <c r="BL130" i="2" s="1"/>
  <c r="BM130" i="2" s="1"/>
  <c r="BN130" i="2" s="1"/>
  <c r="BK102" i="2"/>
  <c r="BL102" i="2" s="1"/>
  <c r="BM102" i="2" s="1"/>
  <c r="BN102" i="2" s="1"/>
  <c r="BK236" i="2"/>
  <c r="BL236" i="2" s="1"/>
  <c r="BM236" i="2" s="1"/>
  <c r="BN236" i="2" s="1"/>
  <c r="BK63" i="2"/>
  <c r="BL63" i="2" s="1"/>
  <c r="BM63" i="2" s="1"/>
  <c r="BN63" i="2" s="1"/>
  <c r="BK141" i="2"/>
  <c r="BL141" i="2" s="1"/>
  <c r="BM141" i="2" s="1"/>
  <c r="BN141" i="2" s="1"/>
  <c r="BK8" i="2"/>
  <c r="BL8" i="2" s="1"/>
  <c r="BM8" i="2" s="1"/>
  <c r="BN8" i="2" s="1"/>
  <c r="BK310" i="2"/>
  <c r="BL310" i="2" s="1"/>
  <c r="BM310" i="2" s="1"/>
  <c r="BN310" i="2" s="1"/>
  <c r="BK179" i="2"/>
  <c r="BL179" i="2" s="1"/>
  <c r="BM179" i="2" s="1"/>
  <c r="BN179" i="2" s="1"/>
  <c r="BK143" i="2"/>
  <c r="BL143" i="2" s="1"/>
  <c r="BM143" i="2" s="1"/>
  <c r="BN143" i="2" s="1"/>
  <c r="BK246" i="2"/>
  <c r="BL246" i="2" s="1"/>
  <c r="BM246" i="2" s="1"/>
  <c r="BN246" i="2" s="1"/>
  <c r="BK142" i="2"/>
  <c r="BL142" i="2" s="1"/>
  <c r="BM142" i="2" s="1"/>
  <c r="BN142" i="2" s="1"/>
  <c r="BK290" i="2"/>
  <c r="BL290" i="2" s="1"/>
  <c r="BM290" i="2" s="1"/>
  <c r="BN290" i="2" s="1"/>
  <c r="BK46" i="2"/>
  <c r="BL46" i="2" s="1"/>
  <c r="BM46" i="2" s="1"/>
  <c r="BN46" i="2" s="1"/>
  <c r="BK76" i="2"/>
  <c r="BL76" i="2" s="1"/>
  <c r="BM76" i="2" s="1"/>
  <c r="BN76" i="2" s="1"/>
  <c r="BX232" i="2"/>
  <c r="BX230" i="2"/>
  <c r="BX211" i="2"/>
  <c r="AH194" i="2"/>
  <c r="AI194" i="2" s="1"/>
  <c r="AJ194" i="2" s="1"/>
  <c r="BX168" i="2"/>
  <c r="BX156" i="2"/>
  <c r="BX91" i="2"/>
  <c r="BX32" i="2"/>
  <c r="BX293" i="2"/>
  <c r="BX256" i="2"/>
  <c r="AH268" i="2"/>
  <c r="AI268" i="2" s="1"/>
  <c r="AJ268" i="2" s="1"/>
  <c r="BX188" i="2"/>
  <c r="BX123" i="2"/>
  <c r="BX99" i="2"/>
  <c r="BX38" i="2"/>
  <c r="AH20" i="2"/>
  <c r="AI20" i="2" s="1"/>
  <c r="AJ20" i="2" s="1"/>
  <c r="BX133" i="2"/>
  <c r="BX138" i="2"/>
  <c r="BX229" i="2"/>
  <c r="BX90" i="2"/>
  <c r="BX194" i="2"/>
  <c r="BX84" i="2"/>
  <c r="BX103" i="2"/>
  <c r="BX118" i="2"/>
  <c r="BX303" i="2"/>
  <c r="BX160" i="2"/>
  <c r="BX298" i="2"/>
  <c r="BK208" i="2"/>
  <c r="BL208" i="2" s="1"/>
  <c r="BM208" i="2" s="1"/>
  <c r="BN208" i="2" s="1"/>
  <c r="AH320" i="2"/>
  <c r="AI320" i="2" s="1"/>
  <c r="AJ320" i="2" s="1"/>
  <c r="AH309" i="2"/>
  <c r="AI309" i="2" s="1"/>
  <c r="AJ309" i="2" s="1"/>
  <c r="BX258" i="2"/>
  <c r="BK194" i="2"/>
  <c r="BL194" i="2" s="1"/>
  <c r="BM194" i="2" s="1"/>
  <c r="BN194" i="2" s="1"/>
  <c r="BK298" i="2"/>
  <c r="BL298" i="2" s="1"/>
  <c r="BM298" i="2" s="1"/>
  <c r="BN298" i="2" s="1"/>
  <c r="AH180" i="2"/>
  <c r="AI180" i="2" s="1"/>
  <c r="AJ180" i="2" s="1"/>
  <c r="AH121" i="2"/>
  <c r="AI121" i="2" s="1"/>
  <c r="AJ121" i="2" s="1"/>
  <c r="BX2" i="2"/>
  <c r="BX45" i="2"/>
  <c r="BX289" i="2"/>
  <c r="BX315" i="2"/>
  <c r="BX238" i="2"/>
  <c r="BX275" i="2"/>
  <c r="BX151" i="2"/>
  <c r="BX148" i="2"/>
  <c r="BK322" i="2"/>
  <c r="BL322" i="2" s="1"/>
  <c r="BM322" i="2" s="1"/>
  <c r="BN322" i="2" s="1"/>
  <c r="BX94" i="2"/>
  <c r="BX104" i="2"/>
  <c r="BK36" i="2"/>
  <c r="BL36" i="2" s="1"/>
  <c r="BM36" i="2" s="1"/>
  <c r="BN36" i="2" s="1"/>
  <c r="AH41" i="2"/>
  <c r="AI41" i="2" s="1"/>
  <c r="AJ41" i="2" s="1"/>
  <c r="AH92" i="2"/>
  <c r="AI92" i="2" s="1"/>
  <c r="AJ92" i="2" s="1"/>
  <c r="AH26" i="2"/>
  <c r="AI26" i="2" s="1"/>
  <c r="AJ26" i="2" s="1"/>
  <c r="AH14" i="2"/>
  <c r="AI14" i="2" s="1"/>
  <c r="AJ14" i="2" s="1"/>
  <c r="BX116" i="2"/>
  <c r="AH64" i="2"/>
  <c r="AI64" i="2" s="1"/>
  <c r="AJ64" i="2" s="1"/>
  <c r="AH227" i="2"/>
  <c r="AI227" i="2" s="1"/>
  <c r="AJ227" i="2" s="1"/>
  <c r="BX87" i="2"/>
  <c r="AH15" i="2"/>
  <c r="AI15" i="2" s="1"/>
  <c r="AJ15" i="2" s="1"/>
  <c r="BX83" i="2"/>
  <c r="BX26" i="2"/>
  <c r="BX108" i="2"/>
  <c r="BX98" i="2"/>
  <c r="BX23" i="2"/>
  <c r="BX92" i="2"/>
  <c r="AH78" i="2"/>
  <c r="AI78" i="2" s="1"/>
  <c r="AJ78" i="2" s="1"/>
  <c r="AH120" i="2"/>
  <c r="AI120" i="2" s="1"/>
  <c r="AJ120" i="2" s="1"/>
  <c r="BX77" i="2"/>
  <c r="AH91" i="2"/>
  <c r="AI91" i="2" s="1"/>
  <c r="AJ91" i="2" s="1"/>
  <c r="BX39" i="2"/>
  <c r="AH136" i="2"/>
  <c r="AI136" i="2" s="1"/>
  <c r="AJ136" i="2" s="1"/>
  <c r="AH115" i="2"/>
  <c r="AI115" i="2" s="1"/>
  <c r="AJ115" i="2" s="1"/>
  <c r="BX47" i="2"/>
  <c r="BX137" i="2"/>
  <c r="AH74" i="2"/>
  <c r="AI74" i="2" s="1"/>
  <c r="AJ74" i="2" s="1"/>
  <c r="AH65" i="2"/>
  <c r="AI65" i="2" s="1"/>
  <c r="AJ65" i="2" s="1"/>
  <c r="AH69" i="2"/>
  <c r="AI69" i="2" s="1"/>
  <c r="AJ69" i="2" s="1"/>
  <c r="AH87" i="2"/>
  <c r="AI87" i="2" s="1"/>
  <c r="AJ87" i="2" s="1"/>
  <c r="BX31" i="2"/>
  <c r="BX111" i="2"/>
  <c r="BX14" i="2"/>
  <c r="AH321" i="2"/>
  <c r="AI321" i="2" s="1"/>
  <c r="AJ321" i="2" s="1"/>
  <c r="AH202" i="2"/>
  <c r="AI202" i="2" s="1"/>
  <c r="AJ202" i="2" s="1"/>
  <c r="BX125" i="2"/>
  <c r="AH196" i="2"/>
  <c r="AI196" i="2" s="1"/>
  <c r="AJ196" i="2" s="1"/>
  <c r="BX294" i="2"/>
  <c r="BX44" i="2"/>
  <c r="AH34" i="2"/>
  <c r="AI34" i="2" s="1"/>
  <c r="AJ34" i="2" s="1"/>
  <c r="BX79" i="2"/>
  <c r="BX60" i="2"/>
  <c r="BX312" i="2"/>
  <c r="BX96" i="2"/>
  <c r="BX164" i="2"/>
  <c r="BX13" i="2"/>
  <c r="BX85" i="2"/>
  <c r="BX7" i="2"/>
  <c r="BX49" i="2"/>
  <c r="BX110" i="2"/>
  <c r="AH28" i="2"/>
  <c r="AI28" i="2" s="1"/>
  <c r="AJ28" i="2" s="1"/>
  <c r="BX247" i="2"/>
  <c r="BX80" i="2"/>
  <c r="BX64" i="2"/>
  <c r="AH97" i="2"/>
  <c r="AI97" i="2" s="1"/>
  <c r="AJ97" i="2" s="1"/>
  <c r="BX142" i="2"/>
  <c r="BX223" i="2"/>
  <c r="AH135" i="2"/>
  <c r="AI135" i="2" s="1"/>
  <c r="AJ135" i="2" s="1"/>
  <c r="BX126" i="2"/>
  <c r="AH160" i="2"/>
  <c r="AI160" i="2" s="1"/>
  <c r="AJ160" i="2" s="1"/>
  <c r="BX72" i="2"/>
  <c r="BX28" i="2"/>
  <c r="AH30" i="2"/>
  <c r="AI30" i="2" s="1"/>
  <c r="AJ30" i="2" s="1"/>
  <c r="AH85" i="2"/>
  <c r="AI85" i="2" s="1"/>
  <c r="AJ85" i="2" s="1"/>
  <c r="AH84" i="2"/>
  <c r="AI84" i="2" s="1"/>
  <c r="AJ84" i="2" s="1"/>
  <c r="AH3" i="2"/>
  <c r="AI3" i="2" s="1"/>
  <c r="AJ3" i="2" s="1"/>
  <c r="BX59" i="2"/>
  <c r="BX18" i="2"/>
  <c r="AH129" i="2"/>
  <c r="AI129" i="2" s="1"/>
  <c r="AJ129" i="2" s="1"/>
  <c r="AH181" i="2"/>
  <c r="AI181" i="2" s="1"/>
  <c r="AJ181" i="2" s="1"/>
  <c r="AH282" i="2"/>
  <c r="AI282" i="2" s="1"/>
  <c r="AJ282" i="2" s="1"/>
  <c r="BX124" i="2"/>
  <c r="BX56" i="2"/>
  <c r="BX42" i="2"/>
  <c r="BX114" i="2"/>
  <c r="AH250" i="2"/>
  <c r="AI250" i="2" s="1"/>
  <c r="AJ250" i="2" s="1"/>
  <c r="AH205" i="2"/>
  <c r="AI205" i="2" s="1"/>
  <c r="AJ205" i="2" s="1"/>
  <c r="AH8" i="2"/>
  <c r="AI8" i="2" s="1"/>
  <c r="AJ8" i="2" s="1"/>
  <c r="BX258" i="1"/>
  <c r="BX207" i="1"/>
  <c r="AH71" i="1"/>
  <c r="AI71" i="1" s="1"/>
  <c r="AJ71" i="1" s="1"/>
  <c r="BX201" i="1"/>
  <c r="AH89" i="1"/>
  <c r="AI89" i="1" s="1"/>
  <c r="AJ89" i="1" s="1"/>
  <c r="AH101" i="1"/>
  <c r="AI101" i="1" s="1"/>
  <c r="AJ101" i="1" s="1"/>
  <c r="AH275" i="1"/>
  <c r="AI275" i="1" s="1"/>
  <c r="AJ275" i="1" s="1"/>
  <c r="BX303" i="1"/>
  <c r="BX196" i="1"/>
  <c r="AH40" i="1"/>
  <c r="AI40" i="1" s="1"/>
  <c r="AJ40" i="1" s="1"/>
  <c r="AH24" i="1"/>
  <c r="AI24" i="1" s="1"/>
  <c r="AJ24" i="1" s="1"/>
  <c r="BX19" i="1"/>
  <c r="BX129" i="1"/>
  <c r="AH256" i="1"/>
  <c r="AI256" i="1" s="1"/>
  <c r="AJ256" i="1" s="1"/>
  <c r="BX120" i="1"/>
  <c r="AH280" i="1"/>
  <c r="AI280" i="1" s="1"/>
  <c r="AJ280" i="1" s="1"/>
  <c r="BX70" i="1"/>
  <c r="BX138" i="1"/>
  <c r="AH286" i="1"/>
  <c r="AI286" i="1" s="1"/>
  <c r="AJ286" i="1" s="1"/>
  <c r="AH107" i="1"/>
  <c r="AI107" i="1" s="1"/>
  <c r="AJ107" i="1" s="1"/>
  <c r="AH185" i="1"/>
  <c r="AI185" i="1" s="1"/>
  <c r="AJ185" i="1" s="1"/>
  <c r="BX240" i="1"/>
  <c r="BX190" i="1"/>
  <c r="AH127" i="1"/>
  <c r="AI127" i="1" s="1"/>
  <c r="AJ127" i="1" s="1"/>
  <c r="BX279" i="1"/>
  <c r="BX99" i="1"/>
  <c r="AH142" i="1"/>
  <c r="AI142" i="1" s="1"/>
  <c r="AJ142" i="1" s="1"/>
  <c r="AH139" i="1"/>
  <c r="AI139" i="1" s="1"/>
  <c r="AJ139" i="1" s="1"/>
  <c r="BX95" i="1"/>
  <c r="BX3" i="1"/>
  <c r="BX293" i="1"/>
  <c r="AH238" i="1"/>
  <c r="AI238" i="1" s="1"/>
  <c r="AJ238" i="1" s="1"/>
  <c r="BX185" i="1"/>
  <c r="BX108" i="1"/>
  <c r="AH170" i="1"/>
  <c r="AI170" i="1" s="1"/>
  <c r="AJ170" i="1" s="1"/>
  <c r="BX266" i="1"/>
  <c r="AH181" i="1"/>
  <c r="AI181" i="1" s="1"/>
  <c r="AJ181" i="1" s="1"/>
  <c r="AH281" i="1"/>
  <c r="AI281" i="1" s="1"/>
  <c r="AJ281" i="1" s="1"/>
  <c r="BX77" i="1"/>
  <c r="BX277" i="1"/>
  <c r="BX30" i="1"/>
  <c r="BX265" i="1"/>
  <c r="BX93" i="1"/>
  <c r="BX68" i="1"/>
  <c r="BX180" i="1"/>
  <c r="BX234" i="1"/>
  <c r="BX110" i="1"/>
  <c r="AH264" i="1"/>
  <c r="AI264" i="1" s="1"/>
  <c r="AJ264" i="1" s="1"/>
  <c r="AH199" i="1"/>
  <c r="AI199" i="1" s="1"/>
  <c r="AJ199" i="1" s="1"/>
  <c r="AH313" i="1"/>
  <c r="AI313" i="1" s="1"/>
  <c r="AJ313" i="1" s="1"/>
  <c r="AH265" i="1"/>
  <c r="AI265" i="1" s="1"/>
  <c r="AJ265" i="1" s="1"/>
  <c r="AH163" i="1"/>
  <c r="AI163" i="1" s="1"/>
  <c r="AJ163" i="1" s="1"/>
  <c r="BX222" i="1"/>
  <c r="BX38" i="1"/>
  <c r="AH310" i="1"/>
  <c r="AI310" i="1" s="1"/>
  <c r="AJ310" i="1" s="1"/>
  <c r="AH73" i="1"/>
  <c r="AI73" i="1" s="1"/>
  <c r="AJ73" i="1" s="1"/>
  <c r="BX321" i="1"/>
  <c r="BX46" i="1"/>
  <c r="BX146" i="1"/>
  <c r="BX288" i="1"/>
  <c r="BX225" i="1"/>
  <c r="AH45" i="1"/>
  <c r="AI45" i="1" s="1"/>
  <c r="AJ45" i="1" s="1"/>
  <c r="BX17" i="1"/>
  <c r="BX194" i="1"/>
  <c r="BX214" i="1"/>
  <c r="BX203" i="1"/>
  <c r="BX237" i="1"/>
  <c r="BX315" i="1"/>
  <c r="BX239" i="1"/>
  <c r="BX307" i="1"/>
  <c r="BX195" i="1"/>
  <c r="AH267" i="1"/>
  <c r="AI267" i="1" s="1"/>
  <c r="AJ267" i="1" s="1"/>
  <c r="BX174" i="1"/>
  <c r="BX21" i="1"/>
  <c r="BX267" i="1"/>
  <c r="BX160" i="1"/>
  <c r="BX241" i="1"/>
  <c r="AH108" i="1"/>
  <c r="AI108" i="1" s="1"/>
  <c r="AJ108" i="1" s="1"/>
  <c r="BX173" i="1"/>
  <c r="BX23" i="1"/>
  <c r="AH246" i="1"/>
  <c r="AI246" i="1" s="1"/>
  <c r="AJ246" i="1" s="1"/>
  <c r="BX246" i="1"/>
  <c r="BX220" i="1"/>
  <c r="BX14" i="1"/>
  <c r="AH74" i="1"/>
  <c r="AI74" i="1" s="1"/>
  <c r="AJ74" i="1" s="1"/>
  <c r="AH304" i="1"/>
  <c r="AI304" i="1" s="1"/>
  <c r="AJ304" i="1" s="1"/>
  <c r="BX268" i="1"/>
  <c r="BX182" i="1"/>
  <c r="BX273" i="1"/>
  <c r="BX193" i="1"/>
  <c r="BX256" i="1"/>
  <c r="BX118" i="1"/>
  <c r="BX294" i="1"/>
  <c r="BX11" i="1"/>
  <c r="AH184" i="1"/>
  <c r="AI184" i="1" s="1"/>
  <c r="AJ184" i="1" s="1"/>
  <c r="BX96" i="1"/>
  <c r="BX126" i="1"/>
  <c r="BX270" i="1"/>
  <c r="BX86" i="1"/>
  <c r="BX67" i="1"/>
  <c r="BX175" i="1"/>
  <c r="BX64" i="1"/>
  <c r="BX253" i="1"/>
  <c r="AH259" i="1"/>
  <c r="AI259" i="1" s="1"/>
  <c r="AJ259" i="1" s="1"/>
  <c r="BX35" i="1"/>
  <c r="BX32" i="1"/>
  <c r="BX317" i="1"/>
  <c r="BX89" i="1"/>
  <c r="BX302" i="1"/>
  <c r="BX218" i="1"/>
  <c r="BX242" i="1"/>
  <c r="AH177" i="1"/>
  <c r="AI177" i="1" s="1"/>
  <c r="AJ177" i="1" s="1"/>
  <c r="BX155" i="1"/>
  <c r="AH194" i="1"/>
  <c r="AI194" i="1" s="1"/>
  <c r="AJ194" i="1" s="1"/>
  <c r="BX6" i="1"/>
  <c r="BX2" i="1"/>
  <c r="AH12" i="1"/>
  <c r="AI12" i="1" s="1"/>
  <c r="AJ12" i="1" s="1"/>
  <c r="BX285" i="1"/>
  <c r="BX304" i="1"/>
  <c r="BX104" i="1"/>
  <c r="BX275" i="1"/>
  <c r="AH9" i="1"/>
  <c r="AI9" i="1" s="1"/>
  <c r="AJ9" i="1" s="1"/>
  <c r="BX43" i="1"/>
  <c r="BX159" i="1"/>
  <c r="BX176" i="1"/>
  <c r="BX216" i="1"/>
  <c r="BX208" i="1"/>
  <c r="BX179" i="1"/>
  <c r="BX103" i="1"/>
  <c r="BX105" i="1"/>
  <c r="BX260" i="1"/>
  <c r="BX221" i="1"/>
  <c r="BX137" i="1"/>
  <c r="BX223" i="1"/>
  <c r="BX206" i="1"/>
  <c r="BX264" i="1"/>
  <c r="BX136" i="1"/>
  <c r="AH151" i="1"/>
  <c r="AI151" i="1" s="1"/>
  <c r="AJ151" i="1" s="1"/>
  <c r="BX210" i="1"/>
  <c r="BX79" i="1"/>
  <c r="BX20" i="1"/>
  <c r="AH131" i="1"/>
  <c r="AI131" i="1" s="1"/>
  <c r="AJ131" i="1" s="1"/>
  <c r="BX85" i="1"/>
  <c r="BX177" i="1"/>
  <c r="BX259" i="1"/>
  <c r="BX119" i="1"/>
  <c r="BX286" i="1"/>
  <c r="AH297" i="1"/>
  <c r="AI297" i="1" s="1"/>
  <c r="AJ297" i="1" s="1"/>
  <c r="BX219" i="1"/>
  <c r="BX52" i="1"/>
  <c r="BX198" i="1"/>
  <c r="AH277" i="1"/>
  <c r="AI277" i="1" s="1"/>
  <c r="AJ277" i="1" s="1"/>
  <c r="BX39" i="1"/>
  <c r="BX162" i="1"/>
  <c r="AH318" i="1"/>
  <c r="AI318" i="1" s="1"/>
  <c r="AJ318" i="1" s="1"/>
  <c r="BX209" i="1"/>
  <c r="BX106" i="1"/>
  <c r="BY65" i="2" l="1"/>
  <c r="BZ65" i="2" s="1"/>
  <c r="CA65" i="2" s="1"/>
  <c r="CB65" i="2" s="1"/>
  <c r="CW65" i="2" s="1"/>
  <c r="BY19" i="1"/>
  <c r="BZ19" i="1" s="1"/>
  <c r="CA19" i="1" s="1"/>
  <c r="CB19" i="1" s="1"/>
  <c r="CW19" i="1" s="1"/>
  <c r="BY46" i="2"/>
  <c r="BZ46" i="2" s="1"/>
  <c r="CA46" i="2" s="1"/>
  <c r="CB46" i="2" s="1"/>
  <c r="BY236" i="1"/>
  <c r="BZ236" i="1" s="1"/>
  <c r="CA236" i="1" s="1"/>
  <c r="CB236" i="1" s="1"/>
  <c r="CW236" i="1" s="1"/>
  <c r="BY227" i="2"/>
  <c r="BZ227" i="2" s="1"/>
  <c r="CA227" i="2" s="1"/>
  <c r="CB227" i="2" s="1"/>
  <c r="CW227" i="2" s="1"/>
  <c r="BY111" i="1"/>
  <c r="BZ111" i="1" s="1"/>
  <c r="CA111" i="1" s="1"/>
  <c r="CB111" i="1" s="1"/>
  <c r="CW111" i="1" s="1"/>
  <c r="BY15" i="1"/>
  <c r="BZ15" i="1" s="1"/>
  <c r="CA15" i="1" s="1"/>
  <c r="CB15" i="1" s="1"/>
  <c r="CW15" i="1" s="1"/>
  <c r="BY24" i="1"/>
  <c r="BZ24" i="1" s="1"/>
  <c r="CA24" i="1" s="1"/>
  <c r="CB24" i="1" s="1"/>
  <c r="CW24" i="1" s="1"/>
  <c r="BY288" i="1"/>
  <c r="BZ288" i="1" s="1"/>
  <c r="CA288" i="1" s="1"/>
  <c r="CB288" i="1" s="1"/>
  <c r="CW288" i="1" s="1"/>
  <c r="BY21" i="1"/>
  <c r="BZ21" i="1" s="1"/>
  <c r="CA21" i="1" s="1"/>
  <c r="CB21" i="1" s="1"/>
  <c r="CW21" i="1" s="1"/>
  <c r="BY257" i="1"/>
  <c r="BZ257" i="1" s="1"/>
  <c r="CA257" i="1" s="1"/>
  <c r="CB257" i="1" s="1"/>
  <c r="CW257" i="1" s="1"/>
  <c r="BY6" i="1"/>
  <c r="BZ6" i="1" s="1"/>
  <c r="CA6" i="1" s="1"/>
  <c r="CB6" i="1" s="1"/>
  <c r="CW6" i="1" s="1"/>
  <c r="BY61" i="1"/>
  <c r="BZ61" i="1" s="1"/>
  <c r="CA61" i="1" s="1"/>
  <c r="CB61" i="1" s="1"/>
  <c r="CW61" i="1" s="1"/>
  <c r="BY26" i="1"/>
  <c r="BZ26" i="1" s="1"/>
  <c r="CA26" i="1" s="1"/>
  <c r="CB26" i="1" s="1"/>
  <c r="CW26" i="1" s="1"/>
  <c r="BY209" i="1"/>
  <c r="BZ209" i="1" s="1"/>
  <c r="CA209" i="1" s="1"/>
  <c r="CB209" i="1" s="1"/>
  <c r="CW209" i="1" s="1"/>
  <c r="BY170" i="2"/>
  <c r="BZ170" i="2" s="1"/>
  <c r="CA170" i="2" s="1"/>
  <c r="CB170" i="2" s="1"/>
  <c r="CW170" i="2" s="1"/>
  <c r="BY164" i="2"/>
  <c r="BZ164" i="2" s="1"/>
  <c r="CA164" i="2" s="1"/>
  <c r="CB164" i="2" s="1"/>
  <c r="CW164" i="2" s="1"/>
  <c r="BY231" i="2"/>
  <c r="BZ231" i="2" s="1"/>
  <c r="CA231" i="2" s="1"/>
  <c r="CB231" i="2" s="1"/>
  <c r="BY82" i="2"/>
  <c r="BZ82" i="2" s="1"/>
  <c r="CA82" i="2" s="1"/>
  <c r="CB82" i="2" s="1"/>
  <c r="CW82" i="2" s="1"/>
  <c r="BY104" i="2"/>
  <c r="BZ104" i="2" s="1"/>
  <c r="CA104" i="2" s="1"/>
  <c r="CB104" i="2" s="1"/>
  <c r="CW104" i="2" s="1"/>
  <c r="BY66" i="2"/>
  <c r="BZ66" i="2" s="1"/>
  <c r="CA66" i="2" s="1"/>
  <c r="CB66" i="2" s="1"/>
  <c r="CW66" i="2" s="1"/>
  <c r="BY122" i="2"/>
  <c r="BZ122" i="2" s="1"/>
  <c r="CA122" i="2" s="1"/>
  <c r="CB122" i="2" s="1"/>
  <c r="CW122" i="2" s="1"/>
  <c r="BY291" i="2"/>
  <c r="BZ291" i="2" s="1"/>
  <c r="CA291" i="2" s="1"/>
  <c r="CB291" i="2" s="1"/>
  <c r="CW291" i="2" s="1"/>
  <c r="BY214" i="2"/>
  <c r="BZ214" i="2" s="1"/>
  <c r="CA214" i="2" s="1"/>
  <c r="CB214" i="2" s="1"/>
  <c r="CW214" i="2" s="1"/>
  <c r="BY132" i="2"/>
  <c r="BZ132" i="2" s="1"/>
  <c r="CA132" i="2" s="1"/>
  <c r="CB132" i="2" s="1"/>
  <c r="CW132" i="2" s="1"/>
  <c r="BY172" i="2"/>
  <c r="BZ172" i="2" s="1"/>
  <c r="CA172" i="2" s="1"/>
  <c r="CB172" i="2" s="1"/>
  <c r="CW172" i="2" s="1"/>
  <c r="BY285" i="2"/>
  <c r="BZ285" i="2" s="1"/>
  <c r="CA285" i="2" s="1"/>
  <c r="CB285" i="2" s="1"/>
  <c r="CW285" i="2" s="1"/>
  <c r="BY280" i="2"/>
  <c r="BZ280" i="2" s="1"/>
  <c r="CA280" i="2" s="1"/>
  <c r="CB280" i="2" s="1"/>
  <c r="CW280" i="2" s="1"/>
  <c r="BY267" i="2"/>
  <c r="BZ267" i="2" s="1"/>
  <c r="CA267" i="2" s="1"/>
  <c r="CB267" i="2" s="1"/>
  <c r="CW267" i="2" s="1"/>
  <c r="BY232" i="2"/>
  <c r="BZ232" i="2" s="1"/>
  <c r="CA232" i="2" s="1"/>
  <c r="CB232" i="2" s="1"/>
  <c r="CW232" i="2" s="1"/>
  <c r="BY269" i="2"/>
  <c r="BZ269" i="2" s="1"/>
  <c r="CA269" i="2" s="1"/>
  <c r="CB269" i="2" s="1"/>
  <c r="CW269" i="2" s="1"/>
  <c r="BY178" i="2"/>
  <c r="BZ178" i="2" s="1"/>
  <c r="CA178" i="2" s="1"/>
  <c r="CB178" i="2" s="1"/>
  <c r="CW178" i="2" s="1"/>
  <c r="BY283" i="2"/>
  <c r="BZ283" i="2" s="1"/>
  <c r="CA283" i="2" s="1"/>
  <c r="CB283" i="2" s="1"/>
  <c r="CW283" i="2" s="1"/>
  <c r="BY153" i="2"/>
  <c r="BZ153" i="2" s="1"/>
  <c r="CA153" i="2" s="1"/>
  <c r="CB153" i="2" s="1"/>
  <c r="CW153" i="2" s="1"/>
  <c r="BY159" i="2"/>
  <c r="BZ159" i="2" s="1"/>
  <c r="CA159" i="2" s="1"/>
  <c r="CB159" i="2" s="1"/>
  <c r="CW159" i="2" s="1"/>
  <c r="BY125" i="2"/>
  <c r="BZ125" i="2" s="1"/>
  <c r="CA125" i="2" s="1"/>
  <c r="CB125" i="2" s="1"/>
  <c r="CW125" i="2" s="1"/>
  <c r="BY144" i="2"/>
  <c r="BZ144" i="2" s="1"/>
  <c r="CA144" i="2" s="1"/>
  <c r="CB144" i="2" s="1"/>
  <c r="CW144" i="2" s="1"/>
  <c r="BY88" i="2"/>
  <c r="BZ88" i="2" s="1"/>
  <c r="CA88" i="2" s="1"/>
  <c r="CB88" i="2" s="1"/>
  <c r="CW88" i="2" s="1"/>
  <c r="BY145" i="2"/>
  <c r="BZ145" i="2" s="1"/>
  <c r="CA145" i="2" s="1"/>
  <c r="CB145" i="2" s="1"/>
  <c r="CW145" i="2" s="1"/>
  <c r="BY264" i="2"/>
  <c r="BZ264" i="2" s="1"/>
  <c r="CA264" i="2" s="1"/>
  <c r="CB264" i="2" s="1"/>
  <c r="CW264" i="2" s="1"/>
  <c r="BY284" i="2"/>
  <c r="BZ284" i="2" s="1"/>
  <c r="CA284" i="2" s="1"/>
  <c r="CB284" i="2" s="1"/>
  <c r="CW284" i="2" s="1"/>
  <c r="BY238" i="2"/>
  <c r="BZ238" i="2" s="1"/>
  <c r="CA238" i="2" s="1"/>
  <c r="CB238" i="2" s="1"/>
  <c r="CW238" i="2" s="1"/>
  <c r="BY128" i="2"/>
  <c r="BZ128" i="2" s="1"/>
  <c r="CA128" i="2" s="1"/>
  <c r="CB128" i="2" s="1"/>
  <c r="CW128" i="2" s="1"/>
  <c r="BY186" i="2"/>
  <c r="BZ186" i="2" s="1"/>
  <c r="CA186" i="2" s="1"/>
  <c r="CB186" i="2" s="1"/>
  <c r="CW186" i="2" s="1"/>
  <c r="BY103" i="2"/>
  <c r="BZ103" i="2" s="1"/>
  <c r="CA103" i="2" s="1"/>
  <c r="CB103" i="2" s="1"/>
  <c r="CW103" i="2" s="1"/>
  <c r="BY126" i="2"/>
  <c r="BZ126" i="2" s="1"/>
  <c r="CA126" i="2" s="1"/>
  <c r="CB126" i="2" s="1"/>
  <c r="CW126" i="2" s="1"/>
  <c r="BY318" i="2"/>
  <c r="BZ318" i="2" s="1"/>
  <c r="CA318" i="2" s="1"/>
  <c r="CB318" i="2" s="1"/>
  <c r="CW318" i="2" s="1"/>
  <c r="BY111" i="2"/>
  <c r="BZ111" i="2" s="1"/>
  <c r="CA111" i="2" s="1"/>
  <c r="CB111" i="2" s="1"/>
  <c r="CW111" i="2" s="1"/>
  <c r="BY89" i="2"/>
  <c r="BZ89" i="2" s="1"/>
  <c r="CA89" i="2" s="1"/>
  <c r="CB89" i="2" s="1"/>
  <c r="CW89" i="2" s="1"/>
  <c r="BY274" i="2"/>
  <c r="BZ274" i="2" s="1"/>
  <c r="CA274" i="2" s="1"/>
  <c r="CB274" i="2" s="1"/>
  <c r="CW274" i="2" s="1"/>
  <c r="CW46" i="2"/>
  <c r="BY174" i="2"/>
  <c r="BZ174" i="2" s="1"/>
  <c r="CA174" i="2" s="1"/>
  <c r="CB174" i="2" s="1"/>
  <c r="CW174" i="2" s="1"/>
  <c r="BY60" i="2"/>
  <c r="BZ60" i="2" s="1"/>
  <c r="CA60" i="2" s="1"/>
  <c r="CB60" i="2" s="1"/>
  <c r="CW60" i="2" s="1"/>
  <c r="BY110" i="2"/>
  <c r="BZ110" i="2" s="1"/>
  <c r="CA110" i="2" s="1"/>
  <c r="CB110" i="2" s="1"/>
  <c r="CW110" i="2" s="1"/>
  <c r="BY213" i="2"/>
  <c r="BZ213" i="2" s="1"/>
  <c r="CA213" i="2" s="1"/>
  <c r="CB213" i="2" s="1"/>
  <c r="CW213" i="2" s="1"/>
  <c r="BY299" i="2"/>
  <c r="BZ299" i="2" s="1"/>
  <c r="CA299" i="2" s="1"/>
  <c r="CB299" i="2" s="1"/>
  <c r="CW299" i="2" s="1"/>
  <c r="BY77" i="2"/>
  <c r="BZ77" i="2" s="1"/>
  <c r="CA77" i="2" s="1"/>
  <c r="CB77" i="2" s="1"/>
  <c r="CW77" i="2" s="1"/>
  <c r="BY150" i="2"/>
  <c r="BZ150" i="2" s="1"/>
  <c r="CA150" i="2" s="1"/>
  <c r="CB150" i="2" s="1"/>
  <c r="CW150" i="2" s="1"/>
  <c r="BY183" i="2"/>
  <c r="BZ183" i="2" s="1"/>
  <c r="CA183" i="2" s="1"/>
  <c r="CB183" i="2" s="1"/>
  <c r="CW183" i="2" s="1"/>
  <c r="BY303" i="2"/>
  <c r="BZ303" i="2" s="1"/>
  <c r="CA303" i="2" s="1"/>
  <c r="CB303" i="2" s="1"/>
  <c r="CW303" i="2" s="1"/>
  <c r="BY296" i="2"/>
  <c r="BZ296" i="2" s="1"/>
  <c r="CA296" i="2" s="1"/>
  <c r="CB296" i="2" s="1"/>
  <c r="CW296" i="2" s="1"/>
  <c r="BY50" i="2"/>
  <c r="BZ50" i="2" s="1"/>
  <c r="CA50" i="2" s="1"/>
  <c r="CB50" i="2" s="1"/>
  <c r="CW50" i="2" s="1"/>
  <c r="BY140" i="2"/>
  <c r="BZ140" i="2" s="1"/>
  <c r="CA140" i="2" s="1"/>
  <c r="CB140" i="2" s="1"/>
  <c r="CW140" i="2" s="1"/>
  <c r="BY34" i="2"/>
  <c r="BZ34" i="2" s="1"/>
  <c r="CA34" i="2" s="1"/>
  <c r="CB34" i="2" s="1"/>
  <c r="CW34" i="2" s="1"/>
  <c r="BY138" i="2"/>
  <c r="BZ138" i="2" s="1"/>
  <c r="CA138" i="2" s="1"/>
  <c r="CB138" i="2" s="1"/>
  <c r="CW138" i="2" s="1"/>
  <c r="BY166" i="2"/>
  <c r="BZ166" i="2" s="1"/>
  <c r="CA166" i="2" s="1"/>
  <c r="CB166" i="2" s="1"/>
  <c r="CW166" i="2" s="1"/>
  <c r="BY21" i="2"/>
  <c r="BZ21" i="2" s="1"/>
  <c r="CA21" i="2" s="1"/>
  <c r="CB21" i="2" s="1"/>
  <c r="CW21" i="2" s="1"/>
  <c r="BY33" i="2"/>
  <c r="BZ33" i="2" s="1"/>
  <c r="CA33" i="2" s="1"/>
  <c r="CB33" i="2" s="1"/>
  <c r="CW33" i="2" s="1"/>
  <c r="BY51" i="2"/>
  <c r="BZ51" i="2" s="1"/>
  <c r="CA51" i="2" s="1"/>
  <c r="CB51" i="2" s="1"/>
  <c r="BY115" i="2"/>
  <c r="BZ115" i="2" s="1"/>
  <c r="CA115" i="2" s="1"/>
  <c r="CB115" i="2" s="1"/>
  <c r="CW115" i="2" s="1"/>
  <c r="BY245" i="2"/>
  <c r="BZ245" i="2" s="1"/>
  <c r="CA245" i="2" s="1"/>
  <c r="CB245" i="2" s="1"/>
  <c r="CW245" i="2" s="1"/>
  <c r="BY52" i="2"/>
  <c r="BZ52" i="2" s="1"/>
  <c r="CA52" i="2" s="1"/>
  <c r="CB52" i="2" s="1"/>
  <c r="CW52" i="2" s="1"/>
  <c r="BY237" i="2"/>
  <c r="BZ237" i="2" s="1"/>
  <c r="CA237" i="2" s="1"/>
  <c r="CB237" i="2" s="1"/>
  <c r="CW237" i="2" s="1"/>
  <c r="BY113" i="2"/>
  <c r="BZ113" i="2" s="1"/>
  <c r="CA113" i="2" s="1"/>
  <c r="CB113" i="2" s="1"/>
  <c r="CW113" i="2" s="1"/>
  <c r="BY86" i="2"/>
  <c r="BZ86" i="2" s="1"/>
  <c r="CA86" i="2" s="1"/>
  <c r="CB86" i="2" s="1"/>
  <c r="CW86" i="2" s="1"/>
  <c r="BY94" i="2"/>
  <c r="BZ94" i="2" s="1"/>
  <c r="CA94" i="2" s="1"/>
  <c r="CB94" i="2" s="1"/>
  <c r="BY39" i="2"/>
  <c r="BZ39" i="2" s="1"/>
  <c r="CA39" i="2" s="1"/>
  <c r="CB39" i="2" s="1"/>
  <c r="CW39" i="2" s="1"/>
  <c r="BY18" i="2"/>
  <c r="BZ18" i="2" s="1"/>
  <c r="CA18" i="2" s="1"/>
  <c r="CB18" i="2" s="1"/>
  <c r="CW18" i="2" s="1"/>
  <c r="BY70" i="2"/>
  <c r="BZ70" i="2" s="1"/>
  <c r="CA70" i="2" s="1"/>
  <c r="CB70" i="2" s="1"/>
  <c r="CW70" i="2" s="1"/>
  <c r="BY119" i="2"/>
  <c r="BZ119" i="2" s="1"/>
  <c r="CA119" i="2" s="1"/>
  <c r="CB119" i="2" s="1"/>
  <c r="CW119" i="2" s="1"/>
  <c r="BY184" i="2"/>
  <c r="BZ184" i="2" s="1"/>
  <c r="CA184" i="2" s="1"/>
  <c r="CB184" i="2" s="1"/>
  <c r="CW184" i="2" s="1"/>
  <c r="BY196" i="2"/>
  <c r="BZ196" i="2" s="1"/>
  <c r="CA196" i="2" s="1"/>
  <c r="CB196" i="2" s="1"/>
  <c r="CW196" i="2" s="1"/>
  <c r="BY163" i="2"/>
  <c r="BZ163" i="2" s="1"/>
  <c r="CA163" i="2" s="1"/>
  <c r="CB163" i="2" s="1"/>
  <c r="CW163" i="2" s="1"/>
  <c r="BY151" i="2"/>
  <c r="BZ151" i="2" s="1"/>
  <c r="CA151" i="2" s="1"/>
  <c r="CB151" i="2" s="1"/>
  <c r="CW151" i="2" s="1"/>
  <c r="BY305" i="2"/>
  <c r="BZ305" i="2" s="1"/>
  <c r="CA305" i="2" s="1"/>
  <c r="CB305" i="2" s="1"/>
  <c r="CW305" i="2" s="1"/>
  <c r="BY61" i="2"/>
  <c r="BZ61" i="2" s="1"/>
  <c r="CA61" i="2" s="1"/>
  <c r="CB61" i="2" s="1"/>
  <c r="CW61" i="2" s="1"/>
  <c r="BY239" i="2"/>
  <c r="BZ239" i="2" s="1"/>
  <c r="CA239" i="2" s="1"/>
  <c r="CB239" i="2" s="1"/>
  <c r="CW239" i="2" s="1"/>
  <c r="BY158" i="2"/>
  <c r="BZ158" i="2" s="1"/>
  <c r="CA158" i="2" s="1"/>
  <c r="CB158" i="2" s="1"/>
  <c r="BY152" i="2"/>
  <c r="BZ152" i="2" s="1"/>
  <c r="CA152" i="2" s="1"/>
  <c r="CB152" i="2" s="1"/>
  <c r="CW152" i="2" s="1"/>
  <c r="BY201" i="2"/>
  <c r="BZ201" i="2" s="1"/>
  <c r="CA201" i="2" s="1"/>
  <c r="CB201" i="2" s="1"/>
  <c r="BY321" i="2"/>
  <c r="BZ321" i="2" s="1"/>
  <c r="CA321" i="2" s="1"/>
  <c r="CB321" i="2" s="1"/>
  <c r="CW321" i="2" s="1"/>
  <c r="BY242" i="2"/>
  <c r="BZ242" i="2" s="1"/>
  <c r="CA242" i="2" s="1"/>
  <c r="CB242" i="2" s="1"/>
  <c r="CW242" i="2" s="1"/>
  <c r="BY263" i="2"/>
  <c r="BZ263" i="2" s="1"/>
  <c r="CA263" i="2" s="1"/>
  <c r="CB263" i="2" s="1"/>
  <c r="CW263" i="2" s="1"/>
  <c r="BY313" i="2"/>
  <c r="BZ313" i="2" s="1"/>
  <c r="CA313" i="2" s="1"/>
  <c r="CB313" i="2" s="1"/>
  <c r="CW313" i="2" s="1"/>
  <c r="BY221" i="2"/>
  <c r="BZ221" i="2" s="1"/>
  <c r="CA221" i="2" s="1"/>
  <c r="CB221" i="2" s="1"/>
  <c r="CW221" i="2" s="1"/>
  <c r="BY157" i="2"/>
  <c r="BZ157" i="2" s="1"/>
  <c r="CA157" i="2" s="1"/>
  <c r="CB157" i="2" s="1"/>
  <c r="BY84" i="2"/>
  <c r="BZ84" i="2" s="1"/>
  <c r="CA84" i="2" s="1"/>
  <c r="CB84" i="2" s="1"/>
  <c r="CW84" i="2" s="1"/>
  <c r="BY169" i="2"/>
  <c r="BZ169" i="2" s="1"/>
  <c r="CA169" i="2" s="1"/>
  <c r="CB169" i="2" s="1"/>
  <c r="BY191" i="2"/>
  <c r="BZ191" i="2" s="1"/>
  <c r="CA191" i="2" s="1"/>
  <c r="CB191" i="2" s="1"/>
  <c r="CW191" i="2" s="1"/>
  <c r="BY192" i="2"/>
  <c r="BZ192" i="2" s="1"/>
  <c r="CA192" i="2" s="1"/>
  <c r="CB192" i="2" s="1"/>
  <c r="CW192" i="2" s="1"/>
  <c r="BY139" i="2"/>
  <c r="BZ139" i="2" s="1"/>
  <c r="CA139" i="2" s="1"/>
  <c r="CB139" i="2" s="1"/>
  <c r="CW139" i="2" s="1"/>
  <c r="BY109" i="2"/>
  <c r="BZ109" i="2" s="1"/>
  <c r="CA109" i="2" s="1"/>
  <c r="CB109" i="2" s="1"/>
  <c r="CW109" i="2" s="1"/>
  <c r="BY69" i="2"/>
  <c r="BZ69" i="2" s="1"/>
  <c r="CA69" i="2" s="1"/>
  <c r="CB69" i="2" s="1"/>
  <c r="CW69" i="2" s="1"/>
  <c r="BY272" i="2"/>
  <c r="BZ272" i="2" s="1"/>
  <c r="CA272" i="2" s="1"/>
  <c r="CB272" i="2" s="1"/>
  <c r="CW272" i="2" s="1"/>
  <c r="BY112" i="2"/>
  <c r="BZ112" i="2" s="1"/>
  <c r="CA112" i="2" s="1"/>
  <c r="CB112" i="2" s="1"/>
  <c r="CW112" i="2" s="1"/>
  <c r="BY251" i="2"/>
  <c r="BZ251" i="2" s="1"/>
  <c r="CA251" i="2" s="1"/>
  <c r="CB251" i="2" s="1"/>
  <c r="CW251" i="2" s="1"/>
  <c r="BY156" i="2"/>
  <c r="BZ156" i="2" s="1"/>
  <c r="CA156" i="2" s="1"/>
  <c r="CB156" i="2" s="1"/>
  <c r="CW156" i="2" s="1"/>
  <c r="BY171" i="2"/>
  <c r="BZ171" i="2" s="1"/>
  <c r="CA171" i="2" s="1"/>
  <c r="CB171" i="2" s="1"/>
  <c r="CW171" i="2" s="1"/>
  <c r="BY302" i="2"/>
  <c r="BZ302" i="2" s="1"/>
  <c r="CA302" i="2" s="1"/>
  <c r="CB302" i="2" s="1"/>
  <c r="CW302" i="2" s="1"/>
  <c r="BY273" i="2"/>
  <c r="BZ273" i="2" s="1"/>
  <c r="CA273" i="2" s="1"/>
  <c r="CB273" i="2" s="1"/>
  <c r="CW273" i="2" s="1"/>
  <c r="BY49" i="2"/>
  <c r="BZ49" i="2" s="1"/>
  <c r="CA49" i="2" s="1"/>
  <c r="CB49" i="2" s="1"/>
  <c r="CW49" i="2" s="1"/>
  <c r="BY307" i="2"/>
  <c r="BZ307" i="2" s="1"/>
  <c r="CA307" i="2" s="1"/>
  <c r="CB307" i="2" s="1"/>
  <c r="CW307" i="2" s="1"/>
  <c r="BY87" i="2"/>
  <c r="BZ87" i="2" s="1"/>
  <c r="CA87" i="2" s="1"/>
  <c r="CB87" i="2" s="1"/>
  <c r="CW87" i="2" s="1"/>
  <c r="BY217" i="2"/>
  <c r="BZ217" i="2" s="1"/>
  <c r="CA217" i="2" s="1"/>
  <c r="CB217" i="2" s="1"/>
  <c r="CW217" i="2" s="1"/>
  <c r="BY282" i="2"/>
  <c r="BZ282" i="2" s="1"/>
  <c r="CA282" i="2" s="1"/>
  <c r="CB282" i="2" s="1"/>
  <c r="CW282" i="2" s="1"/>
  <c r="BY315" i="2"/>
  <c r="BZ315" i="2" s="1"/>
  <c r="CA315" i="2" s="1"/>
  <c r="CB315" i="2" s="1"/>
  <c r="CW315" i="2" s="1"/>
  <c r="BY72" i="2"/>
  <c r="BZ72" i="2" s="1"/>
  <c r="CA72" i="2" s="1"/>
  <c r="CB72" i="2" s="1"/>
  <c r="CW72" i="2" s="1"/>
  <c r="BY64" i="2"/>
  <c r="BZ64" i="2" s="1"/>
  <c r="CA64" i="2" s="1"/>
  <c r="CB64" i="2" s="1"/>
  <c r="CW64" i="2" s="1"/>
  <c r="BY91" i="2"/>
  <c r="BZ91" i="2" s="1"/>
  <c r="CA91" i="2" s="1"/>
  <c r="CB91" i="2" s="1"/>
  <c r="CW91" i="2" s="1"/>
  <c r="BY9" i="2"/>
  <c r="BZ9" i="2" s="1"/>
  <c r="CA9" i="2" s="1"/>
  <c r="CB9" i="2" s="1"/>
  <c r="CW9" i="2" s="1"/>
  <c r="BY47" i="2"/>
  <c r="BZ47" i="2" s="1"/>
  <c r="CA47" i="2" s="1"/>
  <c r="CB47" i="2" s="1"/>
  <c r="CW47" i="2" s="1"/>
  <c r="BY19" i="2"/>
  <c r="BZ19" i="2" s="1"/>
  <c r="CA19" i="2" s="1"/>
  <c r="CB19" i="2" s="1"/>
  <c r="CW19" i="2" s="1"/>
  <c r="BY205" i="2"/>
  <c r="BZ205" i="2" s="1"/>
  <c r="CA205" i="2" s="1"/>
  <c r="CB205" i="2" s="1"/>
  <c r="CW205" i="2" s="1"/>
  <c r="BY107" i="2"/>
  <c r="BZ107" i="2" s="1"/>
  <c r="CA107" i="2" s="1"/>
  <c r="CB107" i="2" s="1"/>
  <c r="CW107" i="2" s="1"/>
  <c r="BY250" i="2"/>
  <c r="BZ250" i="2" s="1"/>
  <c r="CA250" i="2" s="1"/>
  <c r="CB250" i="2" s="1"/>
  <c r="CW250" i="2" s="1"/>
  <c r="BY79" i="2"/>
  <c r="BZ79" i="2" s="1"/>
  <c r="CA79" i="2" s="1"/>
  <c r="CB79" i="2" s="1"/>
  <c r="CW79" i="2" s="1"/>
  <c r="BY219" i="2"/>
  <c r="BZ219" i="2" s="1"/>
  <c r="CA219" i="2" s="1"/>
  <c r="CB219" i="2" s="1"/>
  <c r="CW219" i="2" s="1"/>
  <c r="BY25" i="2"/>
  <c r="BZ25" i="2" s="1"/>
  <c r="CA25" i="2" s="1"/>
  <c r="CB25" i="2" s="1"/>
  <c r="CW25" i="2" s="1"/>
  <c r="BY234" i="2"/>
  <c r="BZ234" i="2" s="1"/>
  <c r="CA234" i="2" s="1"/>
  <c r="CB234" i="2" s="1"/>
  <c r="CW234" i="2" s="1"/>
  <c r="BY31" i="2"/>
  <c r="BZ31" i="2" s="1"/>
  <c r="CA31" i="2" s="1"/>
  <c r="CB31" i="2" s="1"/>
  <c r="CW31" i="2" s="1"/>
  <c r="BY257" i="2"/>
  <c r="BZ257" i="2" s="1"/>
  <c r="CA257" i="2" s="1"/>
  <c r="CB257" i="2" s="1"/>
  <c r="CW257" i="2" s="1"/>
  <c r="BY314" i="2"/>
  <c r="BZ314" i="2" s="1"/>
  <c r="CA314" i="2" s="1"/>
  <c r="CB314" i="2" s="1"/>
  <c r="CW314" i="2" s="1"/>
  <c r="BY37" i="2"/>
  <c r="BZ37" i="2" s="1"/>
  <c r="CA37" i="2" s="1"/>
  <c r="CB37" i="2" s="1"/>
  <c r="CW37" i="2" s="1"/>
  <c r="BY73" i="2"/>
  <c r="BZ73" i="2" s="1"/>
  <c r="CA73" i="2" s="1"/>
  <c r="CB73" i="2" s="1"/>
  <c r="CW73" i="2" s="1"/>
  <c r="BY270" i="2"/>
  <c r="BZ270" i="2" s="1"/>
  <c r="CA270" i="2" s="1"/>
  <c r="CB270" i="2" s="1"/>
  <c r="CW270" i="2" s="1"/>
  <c r="BY268" i="2"/>
  <c r="BZ268" i="2" s="1"/>
  <c r="CA268" i="2" s="1"/>
  <c r="CB268" i="2" s="1"/>
  <c r="CW268" i="2" s="1"/>
  <c r="BY59" i="2"/>
  <c r="BZ59" i="2" s="1"/>
  <c r="CA59" i="2" s="1"/>
  <c r="CB59" i="2" s="1"/>
  <c r="CW59" i="2" s="1"/>
  <c r="BY85" i="2"/>
  <c r="BZ85" i="2" s="1"/>
  <c r="CA85" i="2" s="1"/>
  <c r="CB85" i="2" s="1"/>
  <c r="CW85" i="2" s="1"/>
  <c r="BY247" i="2"/>
  <c r="BZ247" i="2" s="1"/>
  <c r="CA247" i="2" s="1"/>
  <c r="CB247" i="2" s="1"/>
  <c r="CW247" i="2" s="1"/>
  <c r="BY108" i="2"/>
  <c r="BZ108" i="2" s="1"/>
  <c r="CA108" i="2" s="1"/>
  <c r="CB108" i="2" s="1"/>
  <c r="CW108" i="2" s="1"/>
  <c r="BY244" i="2"/>
  <c r="BZ244" i="2" s="1"/>
  <c r="CA244" i="2" s="1"/>
  <c r="CB244" i="2" s="1"/>
  <c r="CW244" i="2" s="1"/>
  <c r="BY261" i="2"/>
  <c r="BZ261" i="2" s="1"/>
  <c r="CA261" i="2" s="1"/>
  <c r="CB261" i="2" s="1"/>
  <c r="CW261" i="2" s="1"/>
  <c r="BY75" i="2"/>
  <c r="BZ75" i="2" s="1"/>
  <c r="CA75" i="2" s="1"/>
  <c r="CB75" i="2" s="1"/>
  <c r="CW75" i="2" s="1"/>
  <c r="BY168" i="2"/>
  <c r="BZ168" i="2" s="1"/>
  <c r="CA168" i="2" s="1"/>
  <c r="CB168" i="2" s="1"/>
  <c r="CW168" i="2" s="1"/>
  <c r="BY146" i="2"/>
  <c r="BZ146" i="2" s="1"/>
  <c r="CA146" i="2" s="1"/>
  <c r="CB146" i="2" s="1"/>
  <c r="CW146" i="2" s="1"/>
  <c r="BY116" i="2"/>
  <c r="BZ116" i="2" s="1"/>
  <c r="CA116" i="2" s="1"/>
  <c r="CB116" i="2" s="1"/>
  <c r="CW116" i="2" s="1"/>
  <c r="CW157" i="2"/>
  <c r="CW169" i="2"/>
  <c r="CW94" i="2"/>
  <c r="BY210" i="2"/>
  <c r="BZ210" i="2" s="1"/>
  <c r="CA210" i="2" s="1"/>
  <c r="CB210" i="2" s="1"/>
  <c r="CW210" i="2" s="1"/>
  <c r="BY161" i="2"/>
  <c r="BZ161" i="2" s="1"/>
  <c r="CA161" i="2" s="1"/>
  <c r="CB161" i="2" s="1"/>
  <c r="CW161" i="2" s="1"/>
  <c r="BY93" i="2"/>
  <c r="BZ93" i="2" s="1"/>
  <c r="CA93" i="2" s="1"/>
  <c r="CB93" i="2" s="1"/>
  <c r="CW93" i="2" s="1"/>
  <c r="BY24" i="2"/>
  <c r="BZ24" i="2" s="1"/>
  <c r="CA24" i="2" s="1"/>
  <c r="CB24" i="2" s="1"/>
  <c r="CW24" i="2" s="1"/>
  <c r="BY57" i="2"/>
  <c r="BZ57" i="2" s="1"/>
  <c r="CA57" i="2" s="1"/>
  <c r="CB57" i="2" s="1"/>
  <c r="CW57" i="2" s="1"/>
  <c r="BY278" i="2"/>
  <c r="BZ278" i="2" s="1"/>
  <c r="CA278" i="2" s="1"/>
  <c r="CB278" i="2" s="1"/>
  <c r="CW278" i="2" s="1"/>
  <c r="BY203" i="2"/>
  <c r="BZ203" i="2" s="1"/>
  <c r="CA203" i="2" s="1"/>
  <c r="CB203" i="2" s="1"/>
  <c r="CW203" i="2" s="1"/>
  <c r="BY80" i="2"/>
  <c r="BZ80" i="2" s="1"/>
  <c r="CA80" i="2" s="1"/>
  <c r="CB80" i="2" s="1"/>
  <c r="CW80" i="2" s="1"/>
  <c r="BY6" i="2"/>
  <c r="BZ6" i="2" s="1"/>
  <c r="CA6" i="2" s="1"/>
  <c r="CB6" i="2" s="1"/>
  <c r="CW6" i="2" s="1"/>
  <c r="BY155" i="2"/>
  <c r="BZ155" i="2" s="1"/>
  <c r="CA155" i="2" s="1"/>
  <c r="CB155" i="2" s="1"/>
  <c r="CW155" i="2" s="1"/>
  <c r="BY162" i="2"/>
  <c r="BZ162" i="2" s="1"/>
  <c r="CA162" i="2" s="1"/>
  <c r="CB162" i="2" s="1"/>
  <c r="CW162" i="2" s="1"/>
  <c r="BY2" i="2"/>
  <c r="BZ2" i="2" s="1"/>
  <c r="CA2" i="2" s="1"/>
  <c r="CB2" i="2" s="1"/>
  <c r="CW2" i="2" s="1"/>
  <c r="BY95" i="2"/>
  <c r="BZ95" i="2" s="1"/>
  <c r="CA95" i="2" s="1"/>
  <c r="CB95" i="2" s="1"/>
  <c r="CW95" i="2" s="1"/>
  <c r="BY67" i="2"/>
  <c r="BZ67" i="2" s="1"/>
  <c r="CA67" i="2" s="1"/>
  <c r="CB67" i="2" s="1"/>
  <c r="CW67" i="2" s="1"/>
  <c r="BY62" i="2"/>
  <c r="BZ62" i="2" s="1"/>
  <c r="CA62" i="2" s="1"/>
  <c r="CB62" i="2" s="1"/>
  <c r="CW62" i="2" s="1"/>
  <c r="BY22" i="2"/>
  <c r="BZ22" i="2" s="1"/>
  <c r="CA22" i="2" s="1"/>
  <c r="CB22" i="2" s="1"/>
  <c r="CW22" i="2" s="1"/>
  <c r="BY16" i="2"/>
  <c r="BZ16" i="2" s="1"/>
  <c r="CA16" i="2" s="1"/>
  <c r="CB16" i="2" s="1"/>
  <c r="CW16" i="2" s="1"/>
  <c r="BY20" i="2"/>
  <c r="BZ20" i="2" s="1"/>
  <c r="CA20" i="2" s="1"/>
  <c r="CB20" i="2" s="1"/>
  <c r="CW20" i="2" s="1"/>
  <c r="BY114" i="2"/>
  <c r="BZ114" i="2" s="1"/>
  <c r="CA114" i="2" s="1"/>
  <c r="CB114" i="2" s="1"/>
  <c r="CW114" i="2" s="1"/>
  <c r="BY99" i="2"/>
  <c r="BZ99" i="2" s="1"/>
  <c r="CA99" i="2" s="1"/>
  <c r="CB99" i="2" s="1"/>
  <c r="CW99" i="2" s="1"/>
  <c r="BY23" i="2"/>
  <c r="BZ23" i="2" s="1"/>
  <c r="CA23" i="2" s="1"/>
  <c r="CB23" i="2" s="1"/>
  <c r="CW23" i="2" s="1"/>
  <c r="BY28" i="2"/>
  <c r="BZ28" i="2" s="1"/>
  <c r="CA28" i="2" s="1"/>
  <c r="CB28" i="2" s="1"/>
  <c r="CW28" i="2" s="1"/>
  <c r="BY32" i="2"/>
  <c r="BZ32" i="2" s="1"/>
  <c r="CA32" i="2" s="1"/>
  <c r="CB32" i="2" s="1"/>
  <c r="CW32" i="2" s="1"/>
  <c r="BY17" i="2"/>
  <c r="BZ17" i="2" s="1"/>
  <c r="CA17" i="2" s="1"/>
  <c r="CB17" i="2" s="1"/>
  <c r="CW17" i="2" s="1"/>
  <c r="BY43" i="2"/>
  <c r="BZ43" i="2" s="1"/>
  <c r="CA43" i="2" s="1"/>
  <c r="CB43" i="2" s="1"/>
  <c r="CW43" i="2" s="1"/>
  <c r="BY48" i="2"/>
  <c r="BZ48" i="2" s="1"/>
  <c r="CA48" i="2" s="1"/>
  <c r="CB48" i="2" s="1"/>
  <c r="CW48" i="2" s="1"/>
  <c r="BY187" i="2"/>
  <c r="BZ187" i="2" s="1"/>
  <c r="CA187" i="2" s="1"/>
  <c r="CB187" i="2" s="1"/>
  <c r="CW187" i="2" s="1"/>
  <c r="BY218" i="2"/>
  <c r="BZ218" i="2" s="1"/>
  <c r="CA218" i="2" s="1"/>
  <c r="CB218" i="2" s="1"/>
  <c r="CW218" i="2" s="1"/>
  <c r="BY295" i="2"/>
  <c r="BZ295" i="2" s="1"/>
  <c r="CA295" i="2" s="1"/>
  <c r="CB295" i="2" s="1"/>
  <c r="CW295" i="2" s="1"/>
  <c r="BY71" i="2"/>
  <c r="BZ71" i="2" s="1"/>
  <c r="CA71" i="2" s="1"/>
  <c r="CB71" i="2" s="1"/>
  <c r="CW71" i="2" s="1"/>
  <c r="BY7" i="2"/>
  <c r="BZ7" i="2" s="1"/>
  <c r="CA7" i="2" s="1"/>
  <c r="CB7" i="2" s="1"/>
  <c r="CW7" i="2" s="1"/>
  <c r="BY180" i="2"/>
  <c r="BZ180" i="2" s="1"/>
  <c r="CA180" i="2" s="1"/>
  <c r="CB180" i="2" s="1"/>
  <c r="CW180" i="2" s="1"/>
  <c r="BY4" i="2"/>
  <c r="BZ4" i="2" s="1"/>
  <c r="CA4" i="2" s="1"/>
  <c r="CB4" i="2" s="1"/>
  <c r="CW4" i="2" s="1"/>
  <c r="BY35" i="2"/>
  <c r="BZ35" i="2" s="1"/>
  <c r="CA35" i="2" s="1"/>
  <c r="CB35" i="2" s="1"/>
  <c r="CW35" i="2" s="1"/>
  <c r="BY223" i="2"/>
  <c r="BZ223" i="2" s="1"/>
  <c r="CA223" i="2" s="1"/>
  <c r="CB223" i="2" s="1"/>
  <c r="CW223" i="2" s="1"/>
  <c r="BY137" i="2"/>
  <c r="BZ137" i="2" s="1"/>
  <c r="CA137" i="2" s="1"/>
  <c r="CB137" i="2" s="1"/>
  <c r="CW137" i="2" s="1"/>
  <c r="BY29" i="2"/>
  <c r="BZ29" i="2" s="1"/>
  <c r="CA29" i="2" s="1"/>
  <c r="CB29" i="2" s="1"/>
  <c r="CW29" i="2" s="1"/>
  <c r="BY56" i="2"/>
  <c r="BZ56" i="2" s="1"/>
  <c r="CA56" i="2" s="1"/>
  <c r="CB56" i="2" s="1"/>
  <c r="CW56" i="2" s="1"/>
  <c r="BY55" i="2"/>
  <c r="BZ55" i="2" s="1"/>
  <c r="CA55" i="2" s="1"/>
  <c r="CB55" i="2" s="1"/>
  <c r="CW55" i="2" s="1"/>
  <c r="BY10" i="2"/>
  <c r="BZ10" i="2" s="1"/>
  <c r="CA10" i="2" s="1"/>
  <c r="CB10" i="2" s="1"/>
  <c r="CW10" i="2" s="1"/>
  <c r="BY98" i="2"/>
  <c r="BZ98" i="2" s="1"/>
  <c r="CA98" i="2" s="1"/>
  <c r="CB98" i="2" s="1"/>
  <c r="CW98" i="2" s="1"/>
  <c r="BY11" i="2"/>
  <c r="BZ11" i="2" s="1"/>
  <c r="CA11" i="2" s="1"/>
  <c r="CB11" i="2" s="1"/>
  <c r="CW11" i="2" s="1"/>
  <c r="BY92" i="2"/>
  <c r="BZ92" i="2" s="1"/>
  <c r="CA92" i="2" s="1"/>
  <c r="CB92" i="2" s="1"/>
  <c r="CW92" i="2" s="1"/>
  <c r="BY53" i="2"/>
  <c r="BZ53" i="2" s="1"/>
  <c r="CA53" i="2" s="1"/>
  <c r="CB53" i="2" s="1"/>
  <c r="CW53" i="2" s="1"/>
  <c r="BY27" i="2"/>
  <c r="BZ27" i="2" s="1"/>
  <c r="CA27" i="2" s="1"/>
  <c r="CB27" i="2" s="1"/>
  <c r="CW27" i="2" s="1"/>
  <c r="BY81" i="2"/>
  <c r="BZ81" i="2" s="1"/>
  <c r="CA81" i="2" s="1"/>
  <c r="CB81" i="2" s="1"/>
  <c r="CW81" i="2" s="1"/>
  <c r="BY149" i="2"/>
  <c r="BZ149" i="2" s="1"/>
  <c r="CA149" i="2" s="1"/>
  <c r="CB149" i="2" s="1"/>
  <c r="CW149" i="2" s="1"/>
  <c r="BY135" i="2"/>
  <c r="BZ135" i="2" s="1"/>
  <c r="CA135" i="2" s="1"/>
  <c r="CB135" i="2" s="1"/>
  <c r="CW135" i="2" s="1"/>
  <c r="BY42" i="2"/>
  <c r="BZ42" i="2" s="1"/>
  <c r="CA42" i="2" s="1"/>
  <c r="CB42" i="2" s="1"/>
  <c r="CW42" i="2" s="1"/>
  <c r="BY240" i="2"/>
  <c r="BZ240" i="2" s="1"/>
  <c r="CA240" i="2" s="1"/>
  <c r="CB240" i="2" s="1"/>
  <c r="CW240" i="2" s="1"/>
  <c r="BY276" i="2"/>
  <c r="BZ276" i="2" s="1"/>
  <c r="CA276" i="2" s="1"/>
  <c r="CB276" i="2" s="1"/>
  <c r="CW276" i="2" s="1"/>
  <c r="BY241" i="2"/>
  <c r="BZ241" i="2" s="1"/>
  <c r="CA241" i="2" s="1"/>
  <c r="CB241" i="2" s="1"/>
  <c r="CW241" i="2" s="1"/>
  <c r="BY294" i="2"/>
  <c r="BZ294" i="2" s="1"/>
  <c r="CA294" i="2" s="1"/>
  <c r="CB294" i="2" s="1"/>
  <c r="CW294" i="2" s="1"/>
  <c r="BY175" i="2"/>
  <c r="BZ175" i="2" s="1"/>
  <c r="CA175" i="2" s="1"/>
  <c r="CB175" i="2" s="1"/>
  <c r="CW175" i="2" s="1"/>
  <c r="BY212" i="2"/>
  <c r="BZ212" i="2" s="1"/>
  <c r="CA212" i="2" s="1"/>
  <c r="CB212" i="2" s="1"/>
  <c r="CW212" i="2" s="1"/>
  <c r="BY288" i="2"/>
  <c r="BZ288" i="2" s="1"/>
  <c r="CA288" i="2" s="1"/>
  <c r="CB288" i="2" s="1"/>
  <c r="CW288" i="2" s="1"/>
  <c r="BY300" i="2"/>
  <c r="BZ300" i="2" s="1"/>
  <c r="CA300" i="2" s="1"/>
  <c r="CB300" i="2" s="1"/>
  <c r="CW300" i="2" s="1"/>
  <c r="BY289" i="2"/>
  <c r="BZ289" i="2" s="1"/>
  <c r="CA289" i="2" s="1"/>
  <c r="CB289" i="2" s="1"/>
  <c r="CW289" i="2" s="1"/>
  <c r="BY248" i="2"/>
  <c r="BZ248" i="2" s="1"/>
  <c r="CA248" i="2" s="1"/>
  <c r="CB248" i="2" s="1"/>
  <c r="CW248" i="2" s="1"/>
  <c r="BY309" i="2"/>
  <c r="BZ309" i="2" s="1"/>
  <c r="CA309" i="2" s="1"/>
  <c r="CB309" i="2" s="1"/>
  <c r="CW309" i="2" s="1"/>
  <c r="BY165" i="2"/>
  <c r="BZ165" i="2" s="1"/>
  <c r="CA165" i="2" s="1"/>
  <c r="CB165" i="2" s="1"/>
  <c r="CW165" i="2" s="1"/>
  <c r="BY249" i="2"/>
  <c r="BZ249" i="2" s="1"/>
  <c r="CA249" i="2" s="1"/>
  <c r="CB249" i="2" s="1"/>
  <c r="CW249" i="2" s="1"/>
  <c r="BY311" i="2"/>
  <c r="BZ311" i="2" s="1"/>
  <c r="CA311" i="2" s="1"/>
  <c r="CB311" i="2" s="1"/>
  <c r="CW311" i="2" s="1"/>
  <c r="BY202" i="2"/>
  <c r="BZ202" i="2" s="1"/>
  <c r="CA202" i="2" s="1"/>
  <c r="CB202" i="2" s="1"/>
  <c r="CW202" i="2" s="1"/>
  <c r="BY216" i="2"/>
  <c r="BZ216" i="2" s="1"/>
  <c r="CA216" i="2" s="1"/>
  <c r="CB216" i="2" s="1"/>
  <c r="CW216" i="2" s="1"/>
  <c r="BY215" i="2"/>
  <c r="BZ215" i="2" s="1"/>
  <c r="CA215" i="2" s="1"/>
  <c r="CB215" i="2" s="1"/>
  <c r="CW215" i="2" s="1"/>
  <c r="BY167" i="2"/>
  <c r="BZ167" i="2" s="1"/>
  <c r="CA167" i="2" s="1"/>
  <c r="CB167" i="2" s="1"/>
  <c r="CW167" i="2" s="1"/>
  <c r="BY286" i="2"/>
  <c r="BZ286" i="2" s="1"/>
  <c r="CA286" i="2" s="1"/>
  <c r="CB286" i="2" s="1"/>
  <c r="CW286" i="2" s="1"/>
  <c r="BY304" i="2"/>
  <c r="BZ304" i="2" s="1"/>
  <c r="CA304" i="2" s="1"/>
  <c r="CB304" i="2" s="1"/>
  <c r="CW304" i="2" s="1"/>
  <c r="BY181" i="2"/>
  <c r="BZ181" i="2" s="1"/>
  <c r="CA181" i="2" s="1"/>
  <c r="CB181" i="2" s="1"/>
  <c r="CW181" i="2" s="1"/>
  <c r="BY206" i="2"/>
  <c r="BZ206" i="2" s="1"/>
  <c r="CA206" i="2" s="1"/>
  <c r="CB206" i="2" s="1"/>
  <c r="CW206" i="2" s="1"/>
  <c r="BY281" i="2"/>
  <c r="BZ281" i="2" s="1"/>
  <c r="CA281" i="2" s="1"/>
  <c r="CB281" i="2" s="1"/>
  <c r="CW281" i="2" s="1"/>
  <c r="BY235" i="2"/>
  <c r="BZ235" i="2" s="1"/>
  <c r="CA235" i="2" s="1"/>
  <c r="CB235" i="2" s="1"/>
  <c r="CW235" i="2" s="1"/>
  <c r="BY306" i="2"/>
  <c r="BZ306" i="2" s="1"/>
  <c r="CA306" i="2" s="1"/>
  <c r="CB306" i="2" s="1"/>
  <c r="CW306" i="2" s="1"/>
  <c r="BY262" i="2"/>
  <c r="BZ262" i="2" s="1"/>
  <c r="CA262" i="2" s="1"/>
  <c r="CB262" i="2" s="1"/>
  <c r="CW262" i="2" s="1"/>
  <c r="BY317" i="2"/>
  <c r="BZ317" i="2" s="1"/>
  <c r="CA317" i="2" s="1"/>
  <c r="CB317" i="2" s="1"/>
  <c r="CW317" i="2" s="1"/>
  <c r="BY198" i="2"/>
  <c r="BZ198" i="2" s="1"/>
  <c r="CA198" i="2" s="1"/>
  <c r="CB198" i="2" s="1"/>
  <c r="CW198" i="2" s="1"/>
  <c r="BY256" i="2"/>
  <c r="BZ256" i="2" s="1"/>
  <c r="CA256" i="2" s="1"/>
  <c r="CB256" i="2" s="1"/>
  <c r="CW256" i="2" s="1"/>
  <c r="BY312" i="2"/>
  <c r="BZ312" i="2" s="1"/>
  <c r="CA312" i="2" s="1"/>
  <c r="CB312" i="2" s="1"/>
  <c r="CW312" i="2" s="1"/>
  <c r="BY243" i="2"/>
  <c r="BZ243" i="2" s="1"/>
  <c r="CA243" i="2" s="1"/>
  <c r="CB243" i="2" s="1"/>
  <c r="CW243" i="2" s="1"/>
  <c r="BY224" i="2"/>
  <c r="BZ224" i="2" s="1"/>
  <c r="CA224" i="2" s="1"/>
  <c r="CB224" i="2" s="1"/>
  <c r="CW224" i="2" s="1"/>
  <c r="BY211" i="2"/>
  <c r="BZ211" i="2" s="1"/>
  <c r="CA211" i="2" s="1"/>
  <c r="CB211" i="2" s="1"/>
  <c r="CW211" i="2" s="1"/>
  <c r="BY177" i="2"/>
  <c r="BZ177" i="2" s="1"/>
  <c r="CA177" i="2" s="1"/>
  <c r="CB177" i="2" s="1"/>
  <c r="CW177" i="2" s="1"/>
  <c r="BY176" i="2"/>
  <c r="BZ176" i="2" s="1"/>
  <c r="CA176" i="2" s="1"/>
  <c r="CB176" i="2" s="1"/>
  <c r="CW176" i="2" s="1"/>
  <c r="BY222" i="2"/>
  <c r="BZ222" i="2" s="1"/>
  <c r="CA222" i="2" s="1"/>
  <c r="CB222" i="2" s="1"/>
  <c r="CW222" i="2" s="1"/>
  <c r="BY259" i="2"/>
  <c r="BZ259" i="2" s="1"/>
  <c r="CA259" i="2" s="1"/>
  <c r="CB259" i="2" s="1"/>
  <c r="CW259" i="2" s="1"/>
  <c r="BY193" i="2"/>
  <c r="BZ193" i="2" s="1"/>
  <c r="CA193" i="2" s="1"/>
  <c r="CB193" i="2" s="1"/>
  <c r="CW193" i="2" s="1"/>
  <c r="BY301" i="2"/>
  <c r="BZ301" i="2" s="1"/>
  <c r="CA301" i="2" s="1"/>
  <c r="CB301" i="2" s="1"/>
  <c r="CW301" i="2" s="1"/>
  <c r="BY96" i="2"/>
  <c r="BZ96" i="2" s="1"/>
  <c r="CA96" i="2" s="1"/>
  <c r="CB96" i="2" s="1"/>
  <c r="CW96" i="2" s="1"/>
  <c r="BY45" i="2"/>
  <c r="BZ45" i="2" s="1"/>
  <c r="CA45" i="2" s="1"/>
  <c r="CB45" i="2" s="1"/>
  <c r="CW45" i="2" s="1"/>
  <c r="BY308" i="2"/>
  <c r="BZ308" i="2" s="1"/>
  <c r="CA308" i="2" s="1"/>
  <c r="CB308" i="2" s="1"/>
  <c r="CW308" i="2" s="1"/>
  <c r="BY136" i="2"/>
  <c r="BZ136" i="2" s="1"/>
  <c r="CA136" i="2" s="1"/>
  <c r="CB136" i="2" s="1"/>
  <c r="CW136" i="2" s="1"/>
  <c r="BY121" i="2"/>
  <c r="BZ121" i="2" s="1"/>
  <c r="CA121" i="2" s="1"/>
  <c r="CB121" i="2" s="1"/>
  <c r="CW121" i="2" s="1"/>
  <c r="BY298" i="2"/>
  <c r="BZ298" i="2" s="1"/>
  <c r="CA298" i="2" s="1"/>
  <c r="CB298" i="2" s="1"/>
  <c r="CW298" i="2" s="1"/>
  <c r="BY63" i="2"/>
  <c r="BZ63" i="2" s="1"/>
  <c r="CA63" i="2" s="1"/>
  <c r="CB63" i="2" s="1"/>
  <c r="CW63" i="2" s="1"/>
  <c r="BY76" i="2"/>
  <c r="BZ76" i="2" s="1"/>
  <c r="CA76" i="2" s="1"/>
  <c r="CB76" i="2" s="1"/>
  <c r="CW76" i="2" s="1"/>
  <c r="BY226" i="2"/>
  <c r="BZ226" i="2" s="1"/>
  <c r="CA226" i="2" s="1"/>
  <c r="CB226" i="2" s="1"/>
  <c r="CW226" i="2" s="1"/>
  <c r="BY36" i="2"/>
  <c r="BZ36" i="2" s="1"/>
  <c r="CA36" i="2" s="1"/>
  <c r="CB36" i="2" s="1"/>
  <c r="CW36" i="2" s="1"/>
  <c r="BY143" i="2"/>
  <c r="BZ143" i="2" s="1"/>
  <c r="CA143" i="2" s="1"/>
  <c r="CB143" i="2" s="1"/>
  <c r="CW143" i="2" s="1"/>
  <c r="BY236" i="2"/>
  <c r="BZ236" i="2" s="1"/>
  <c r="CA236" i="2" s="1"/>
  <c r="CB236" i="2" s="1"/>
  <c r="CW236" i="2" s="1"/>
  <c r="BY141" i="2"/>
  <c r="BZ141" i="2" s="1"/>
  <c r="CA141" i="2" s="1"/>
  <c r="CB141" i="2" s="1"/>
  <c r="CW141" i="2" s="1"/>
  <c r="BY322" i="2"/>
  <c r="BZ322" i="2" s="1"/>
  <c r="CA322" i="2" s="1"/>
  <c r="CB322" i="2" s="1"/>
  <c r="CW322" i="2" s="1"/>
  <c r="BY246" i="2"/>
  <c r="BZ246" i="2" s="1"/>
  <c r="CA246" i="2" s="1"/>
  <c r="CB246" i="2" s="1"/>
  <c r="CW246" i="2" s="1"/>
  <c r="BY252" i="2"/>
  <c r="BZ252" i="2" s="1"/>
  <c r="CA252" i="2" s="1"/>
  <c r="CB252" i="2" s="1"/>
  <c r="CW252" i="2" s="1"/>
  <c r="BY208" i="2"/>
  <c r="BZ208" i="2" s="1"/>
  <c r="CA208" i="2" s="1"/>
  <c r="CB208" i="2" s="1"/>
  <c r="CW208" i="2" s="1"/>
  <c r="BY179" i="2"/>
  <c r="BZ179" i="2" s="1"/>
  <c r="CA179" i="2" s="1"/>
  <c r="CB179" i="2" s="1"/>
  <c r="CW179" i="2" s="1"/>
  <c r="BY142" i="2"/>
  <c r="BZ142" i="2" s="1"/>
  <c r="CA142" i="2" s="1"/>
  <c r="CB142" i="2" s="1"/>
  <c r="CW142" i="2" s="1"/>
  <c r="BY130" i="2"/>
  <c r="BZ130" i="2" s="1"/>
  <c r="CA130" i="2" s="1"/>
  <c r="CB130" i="2" s="1"/>
  <c r="CW130" i="2" s="1"/>
  <c r="BY194" i="2"/>
  <c r="BZ194" i="2" s="1"/>
  <c r="CA194" i="2" s="1"/>
  <c r="CB194" i="2" s="1"/>
  <c r="CW194" i="2" s="1"/>
  <c r="BY207" i="2"/>
  <c r="BZ207" i="2" s="1"/>
  <c r="CA207" i="2" s="1"/>
  <c r="CB207" i="2" s="1"/>
  <c r="CW207" i="2" s="1"/>
  <c r="BY297" i="2"/>
  <c r="BZ297" i="2" s="1"/>
  <c r="CA297" i="2" s="1"/>
  <c r="CB297" i="2" s="1"/>
  <c r="CW297" i="2" s="1"/>
  <c r="BY310" i="2"/>
  <c r="BZ310" i="2" s="1"/>
  <c r="CA310" i="2" s="1"/>
  <c r="CB310" i="2" s="1"/>
  <c r="CW310" i="2" s="1"/>
  <c r="BY290" i="2"/>
  <c r="BZ290" i="2" s="1"/>
  <c r="CA290" i="2" s="1"/>
  <c r="CB290" i="2" s="1"/>
  <c r="CW290" i="2" s="1"/>
  <c r="BY102" i="2"/>
  <c r="BZ102" i="2" s="1"/>
  <c r="CA102" i="2" s="1"/>
  <c r="CB102" i="2" s="1"/>
  <c r="CW102" i="2" s="1"/>
  <c r="BY38" i="2"/>
  <c r="BZ38" i="2" s="1"/>
  <c r="CA38" i="2" s="1"/>
  <c r="CB38" i="2" s="1"/>
  <c r="CW38" i="2" s="1"/>
  <c r="CW51" i="2"/>
  <c r="BY68" i="2"/>
  <c r="BZ68" i="2" s="1"/>
  <c r="CA68" i="2" s="1"/>
  <c r="CB68" i="2" s="1"/>
  <c r="CW68" i="2" s="1"/>
  <c r="BY200" i="2"/>
  <c r="BZ200" i="2" s="1"/>
  <c r="CA200" i="2" s="1"/>
  <c r="CB200" i="2" s="1"/>
  <c r="CW200" i="2" s="1"/>
  <c r="CW201" i="2"/>
  <c r="BY105" i="2"/>
  <c r="BZ105" i="2" s="1"/>
  <c r="CA105" i="2" s="1"/>
  <c r="CB105" i="2" s="1"/>
  <c r="CW105" i="2" s="1"/>
  <c r="BY40" i="2"/>
  <c r="BZ40" i="2" s="1"/>
  <c r="CA40" i="2" s="1"/>
  <c r="CB40" i="2" s="1"/>
  <c r="CW40" i="2" s="1"/>
  <c r="CW231" i="2"/>
  <c r="BY3" i="2"/>
  <c r="BZ3" i="2" s="1"/>
  <c r="CA3" i="2" s="1"/>
  <c r="CB3" i="2" s="1"/>
  <c r="CW3" i="2" s="1"/>
  <c r="BY173" i="2"/>
  <c r="BZ173" i="2" s="1"/>
  <c r="CA173" i="2" s="1"/>
  <c r="CB173" i="2" s="1"/>
  <c r="CW173" i="2" s="1"/>
  <c r="BY118" i="2"/>
  <c r="BZ118" i="2" s="1"/>
  <c r="CA118" i="2" s="1"/>
  <c r="CB118" i="2" s="1"/>
  <c r="CW118" i="2" s="1"/>
  <c r="BY197" i="2"/>
  <c r="BZ197" i="2" s="1"/>
  <c r="CA197" i="2" s="1"/>
  <c r="CB197" i="2" s="1"/>
  <c r="CW197" i="2" s="1"/>
  <c r="BY320" i="2"/>
  <c r="BZ320" i="2" s="1"/>
  <c r="CA320" i="2" s="1"/>
  <c r="CB320" i="2" s="1"/>
  <c r="CW320" i="2" s="1"/>
  <c r="BY258" i="2"/>
  <c r="BZ258" i="2" s="1"/>
  <c r="CA258" i="2" s="1"/>
  <c r="CB258" i="2" s="1"/>
  <c r="CW258" i="2" s="1"/>
  <c r="BY134" i="2"/>
  <c r="BZ134" i="2" s="1"/>
  <c r="CA134" i="2" s="1"/>
  <c r="CB134" i="2" s="1"/>
  <c r="CW134" i="2" s="1"/>
  <c r="BY275" i="2"/>
  <c r="BZ275" i="2" s="1"/>
  <c r="CA275" i="2" s="1"/>
  <c r="CB275" i="2" s="1"/>
  <c r="CW275" i="2" s="1"/>
  <c r="BY124" i="2"/>
  <c r="BZ124" i="2" s="1"/>
  <c r="CA124" i="2" s="1"/>
  <c r="CB124" i="2" s="1"/>
  <c r="CW124" i="2" s="1"/>
  <c r="BY131" i="2"/>
  <c r="BZ131" i="2" s="1"/>
  <c r="CA131" i="2" s="1"/>
  <c r="CB131" i="2" s="1"/>
  <c r="CW131" i="2" s="1"/>
  <c r="BY233" i="2"/>
  <c r="BZ233" i="2" s="1"/>
  <c r="CA233" i="2" s="1"/>
  <c r="CB233" i="2" s="1"/>
  <c r="CW233" i="2" s="1"/>
  <c r="BY204" i="2"/>
  <c r="BZ204" i="2" s="1"/>
  <c r="CA204" i="2" s="1"/>
  <c r="CB204" i="2" s="1"/>
  <c r="CW204" i="2" s="1"/>
  <c r="BY277" i="2"/>
  <c r="BZ277" i="2" s="1"/>
  <c r="CA277" i="2" s="1"/>
  <c r="CB277" i="2" s="1"/>
  <c r="CW277" i="2" s="1"/>
  <c r="BY255" i="2"/>
  <c r="BZ255" i="2" s="1"/>
  <c r="CA255" i="2" s="1"/>
  <c r="CB255" i="2" s="1"/>
  <c r="CW255" i="2" s="1"/>
  <c r="BY266" i="2"/>
  <c r="BZ266" i="2" s="1"/>
  <c r="CA266" i="2" s="1"/>
  <c r="CB266" i="2" s="1"/>
  <c r="CW266" i="2" s="1"/>
  <c r="BY41" i="2"/>
  <c r="BZ41" i="2" s="1"/>
  <c r="CA41" i="2" s="1"/>
  <c r="CB41" i="2" s="1"/>
  <c r="CW41" i="2" s="1"/>
  <c r="BY185" i="2"/>
  <c r="BZ185" i="2" s="1"/>
  <c r="CA185" i="2" s="1"/>
  <c r="CB185" i="2" s="1"/>
  <c r="CW185" i="2" s="1"/>
  <c r="BY188" i="2"/>
  <c r="BZ188" i="2" s="1"/>
  <c r="CA188" i="2" s="1"/>
  <c r="CB188" i="2" s="1"/>
  <c r="CW188" i="2" s="1"/>
  <c r="BY265" i="2"/>
  <c r="BZ265" i="2" s="1"/>
  <c r="CA265" i="2" s="1"/>
  <c r="CB265" i="2" s="1"/>
  <c r="CW265" i="2" s="1"/>
  <c r="BY279" i="2"/>
  <c r="BZ279" i="2" s="1"/>
  <c r="CA279" i="2" s="1"/>
  <c r="CB279" i="2" s="1"/>
  <c r="CW279" i="2" s="1"/>
  <c r="BY292" i="2"/>
  <c r="BZ292" i="2" s="1"/>
  <c r="CA292" i="2" s="1"/>
  <c r="CB292" i="2" s="1"/>
  <c r="CW292" i="2" s="1"/>
  <c r="BY271" i="2"/>
  <c r="BZ271" i="2" s="1"/>
  <c r="CA271" i="2" s="1"/>
  <c r="CB271" i="2" s="1"/>
  <c r="CW271" i="2" s="1"/>
  <c r="BY54" i="2"/>
  <c r="BZ54" i="2" s="1"/>
  <c r="CA54" i="2" s="1"/>
  <c r="CB54" i="2" s="1"/>
  <c r="CW54" i="2" s="1"/>
  <c r="BY182" i="2"/>
  <c r="BZ182" i="2" s="1"/>
  <c r="CA182" i="2" s="1"/>
  <c r="CB182" i="2" s="1"/>
  <c r="CW182" i="2" s="1"/>
  <c r="BY195" i="2"/>
  <c r="BZ195" i="2" s="1"/>
  <c r="CA195" i="2" s="1"/>
  <c r="CB195" i="2" s="1"/>
  <c r="CW195" i="2" s="1"/>
  <c r="BY229" i="2"/>
  <c r="BZ229" i="2" s="1"/>
  <c r="CA229" i="2" s="1"/>
  <c r="CB229" i="2" s="1"/>
  <c r="CW229" i="2" s="1"/>
  <c r="BY287" i="2"/>
  <c r="BZ287" i="2" s="1"/>
  <c r="CA287" i="2" s="1"/>
  <c r="CB287" i="2" s="1"/>
  <c r="CW287" i="2" s="1"/>
  <c r="BY254" i="2"/>
  <c r="BZ254" i="2" s="1"/>
  <c r="CA254" i="2" s="1"/>
  <c r="CB254" i="2" s="1"/>
  <c r="CW254" i="2" s="1"/>
  <c r="BY225" i="2"/>
  <c r="BZ225" i="2" s="1"/>
  <c r="CA225" i="2" s="1"/>
  <c r="CB225" i="2" s="1"/>
  <c r="CW225" i="2" s="1"/>
  <c r="BY253" i="2"/>
  <c r="BZ253" i="2" s="1"/>
  <c r="CA253" i="2" s="1"/>
  <c r="CB253" i="2" s="1"/>
  <c r="CW253" i="2" s="1"/>
  <c r="BY160" i="2"/>
  <c r="BZ160" i="2" s="1"/>
  <c r="CA160" i="2" s="1"/>
  <c r="CB160" i="2" s="1"/>
  <c r="CW160" i="2" s="1"/>
  <c r="BY13" i="2"/>
  <c r="BZ13" i="2" s="1"/>
  <c r="CA13" i="2" s="1"/>
  <c r="CB13" i="2" s="1"/>
  <c r="CW13" i="2" s="1"/>
  <c r="BY129" i="2"/>
  <c r="BZ129" i="2" s="1"/>
  <c r="CA129" i="2" s="1"/>
  <c r="CB129" i="2" s="1"/>
  <c r="CW129" i="2" s="1"/>
  <c r="BY190" i="2"/>
  <c r="BZ190" i="2" s="1"/>
  <c r="CA190" i="2" s="1"/>
  <c r="CB190" i="2" s="1"/>
  <c r="CW190" i="2" s="1"/>
  <c r="BY260" i="2"/>
  <c r="BZ260" i="2" s="1"/>
  <c r="CA260" i="2" s="1"/>
  <c r="CB260" i="2" s="1"/>
  <c r="CW260" i="2" s="1"/>
  <c r="BY12" i="2"/>
  <c r="BZ12" i="2" s="1"/>
  <c r="CA12" i="2" s="1"/>
  <c r="CB12" i="2" s="1"/>
  <c r="CW12" i="2" s="1"/>
  <c r="BY97" i="2"/>
  <c r="BZ97" i="2" s="1"/>
  <c r="CA97" i="2" s="1"/>
  <c r="CB97" i="2" s="1"/>
  <c r="CW97" i="2" s="1"/>
  <c r="BY316" i="2"/>
  <c r="BZ316" i="2" s="1"/>
  <c r="CA316" i="2" s="1"/>
  <c r="CB316" i="2" s="1"/>
  <c r="CW316" i="2" s="1"/>
  <c r="BY123" i="2"/>
  <c r="BZ123" i="2" s="1"/>
  <c r="CA123" i="2" s="1"/>
  <c r="CB123" i="2" s="1"/>
  <c r="CW123" i="2" s="1"/>
  <c r="BY148" i="2"/>
  <c r="BZ148" i="2" s="1"/>
  <c r="CA148" i="2" s="1"/>
  <c r="CB148" i="2" s="1"/>
  <c r="CW148" i="2" s="1"/>
  <c r="BY78" i="2"/>
  <c r="BZ78" i="2" s="1"/>
  <c r="CA78" i="2" s="1"/>
  <c r="CB78" i="2" s="1"/>
  <c r="CW78" i="2" s="1"/>
  <c r="BY293" i="2"/>
  <c r="BZ293" i="2" s="1"/>
  <c r="CA293" i="2" s="1"/>
  <c r="CB293" i="2" s="1"/>
  <c r="CW293" i="2" s="1"/>
  <c r="BY15" i="2"/>
  <c r="BZ15" i="2" s="1"/>
  <c r="CA15" i="2" s="1"/>
  <c r="CB15" i="2" s="1"/>
  <c r="CW15" i="2" s="1"/>
  <c r="BY133" i="2"/>
  <c r="BZ133" i="2" s="1"/>
  <c r="CA133" i="2" s="1"/>
  <c r="CB133" i="2" s="1"/>
  <c r="CW133" i="2" s="1"/>
  <c r="BY44" i="2"/>
  <c r="BZ44" i="2" s="1"/>
  <c r="CA44" i="2" s="1"/>
  <c r="CB44" i="2" s="1"/>
  <c r="CW44" i="2" s="1"/>
  <c r="BY101" i="2"/>
  <c r="BZ101" i="2" s="1"/>
  <c r="CA101" i="2" s="1"/>
  <c r="CB101" i="2" s="1"/>
  <c r="CW101" i="2" s="1"/>
  <c r="BY14" i="2"/>
  <c r="BZ14" i="2" s="1"/>
  <c r="CA14" i="2" s="1"/>
  <c r="CB14" i="2" s="1"/>
  <c r="CW14" i="2" s="1"/>
  <c r="BY5" i="2"/>
  <c r="BZ5" i="2" s="1"/>
  <c r="CA5" i="2" s="1"/>
  <c r="CB5" i="2" s="1"/>
  <c r="CW5" i="2" s="1"/>
  <c r="BY58" i="2"/>
  <c r="BZ58" i="2" s="1"/>
  <c r="CA58" i="2" s="1"/>
  <c r="CB58" i="2" s="1"/>
  <c r="CW58" i="2" s="1"/>
  <c r="BY147" i="2"/>
  <c r="BZ147" i="2" s="1"/>
  <c r="CA147" i="2" s="1"/>
  <c r="CB147" i="2" s="1"/>
  <c r="CW147" i="2" s="1"/>
  <c r="BY230" i="2"/>
  <c r="BZ230" i="2" s="1"/>
  <c r="CA230" i="2" s="1"/>
  <c r="CB230" i="2" s="1"/>
  <c r="CW230" i="2" s="1"/>
  <c r="BY30" i="2"/>
  <c r="BZ30" i="2" s="1"/>
  <c r="CA30" i="2" s="1"/>
  <c r="CB30" i="2" s="1"/>
  <c r="CW30" i="2" s="1"/>
  <c r="BY106" i="2"/>
  <c r="BZ106" i="2" s="1"/>
  <c r="CA106" i="2" s="1"/>
  <c r="CB106" i="2" s="1"/>
  <c r="CW106" i="2" s="1"/>
  <c r="BY199" i="2"/>
  <c r="BZ199" i="2" s="1"/>
  <c r="CA199" i="2" s="1"/>
  <c r="CB199" i="2" s="1"/>
  <c r="CW199" i="2" s="1"/>
  <c r="BY220" i="2"/>
  <c r="BZ220" i="2" s="1"/>
  <c r="CA220" i="2" s="1"/>
  <c r="CB220" i="2" s="1"/>
  <c r="CW220" i="2" s="1"/>
  <c r="BY83" i="2"/>
  <c r="BZ83" i="2" s="1"/>
  <c r="CA83" i="2" s="1"/>
  <c r="CB83" i="2" s="1"/>
  <c r="CW83" i="2" s="1"/>
  <c r="CW158" i="2"/>
  <c r="BY100" i="2"/>
  <c r="BZ100" i="2" s="1"/>
  <c r="CA100" i="2" s="1"/>
  <c r="CB100" i="2" s="1"/>
  <c r="CW100" i="2" s="1"/>
  <c r="BY120" i="2"/>
  <c r="BZ120" i="2" s="1"/>
  <c r="CA120" i="2" s="1"/>
  <c r="CB120" i="2" s="1"/>
  <c r="CW120" i="2" s="1"/>
  <c r="BY90" i="2"/>
  <c r="BZ90" i="2" s="1"/>
  <c r="CA90" i="2" s="1"/>
  <c r="CB90" i="2" s="1"/>
  <c r="CW90" i="2" s="1"/>
  <c r="BY319" i="2"/>
  <c r="BZ319" i="2" s="1"/>
  <c r="CA319" i="2" s="1"/>
  <c r="CB319" i="2" s="1"/>
  <c r="CW319" i="2" s="1"/>
  <c r="BY209" i="2"/>
  <c r="BZ209" i="2" s="1"/>
  <c r="CA209" i="2" s="1"/>
  <c r="CB209" i="2" s="1"/>
  <c r="CW209" i="2" s="1"/>
  <c r="BY189" i="2"/>
  <c r="BZ189" i="2" s="1"/>
  <c r="CA189" i="2" s="1"/>
  <c r="CB189" i="2" s="1"/>
  <c r="CW189" i="2" s="1"/>
  <c r="BY26" i="2"/>
  <c r="BZ26" i="2" s="1"/>
  <c r="CA26" i="2" s="1"/>
  <c r="CB26" i="2" s="1"/>
  <c r="CW26" i="2" s="1"/>
  <c r="BY228" i="2"/>
  <c r="BZ228" i="2" s="1"/>
  <c r="CA228" i="2" s="1"/>
  <c r="CB228" i="2" s="1"/>
  <c r="CW228" i="2" s="1"/>
  <c r="BY127" i="2"/>
  <c r="BZ127" i="2" s="1"/>
  <c r="CA127" i="2" s="1"/>
  <c r="CB127" i="2" s="1"/>
  <c r="CW127" i="2" s="1"/>
  <c r="BY74" i="2"/>
  <c r="BZ74" i="2" s="1"/>
  <c r="CA74" i="2" s="1"/>
  <c r="CB74" i="2" s="1"/>
  <c r="CW74" i="2" s="1"/>
  <c r="BY117" i="2"/>
  <c r="BZ117" i="2" s="1"/>
  <c r="CA117" i="2" s="1"/>
  <c r="CB117" i="2" s="1"/>
  <c r="CW117" i="2" s="1"/>
  <c r="BY8" i="2"/>
  <c r="BZ8" i="2" s="1"/>
  <c r="CA8" i="2" s="1"/>
  <c r="CB8" i="2" s="1"/>
  <c r="CW8" i="2" s="1"/>
  <c r="BY154" i="2"/>
  <c r="BZ154" i="2" s="1"/>
  <c r="CA154" i="2" s="1"/>
  <c r="CB154" i="2" s="1"/>
  <c r="CW154" i="2" s="1"/>
  <c r="BY162" i="1"/>
  <c r="BZ162" i="1" s="1"/>
  <c r="CA162" i="1" s="1"/>
  <c r="CB162" i="1" s="1"/>
  <c r="CW162" i="1" s="1"/>
  <c r="BY41" i="1"/>
  <c r="BZ41" i="1" s="1"/>
  <c r="CA41" i="1" s="1"/>
  <c r="CB41" i="1" s="1"/>
  <c r="CW41" i="1" s="1"/>
  <c r="BY60" i="1"/>
  <c r="BZ60" i="1" s="1"/>
  <c r="CA60" i="1" s="1"/>
  <c r="CB60" i="1" s="1"/>
  <c r="CW60" i="1" s="1"/>
  <c r="BY127" i="1"/>
  <c r="BZ127" i="1" s="1"/>
  <c r="CA127" i="1" s="1"/>
  <c r="CB127" i="1" s="1"/>
  <c r="CW127" i="1" s="1"/>
  <c r="BY3" i="1"/>
  <c r="BZ3" i="1" s="1"/>
  <c r="CA3" i="1" s="1"/>
  <c r="CB3" i="1" s="1"/>
  <c r="CW3" i="1" s="1"/>
  <c r="BY240" i="1"/>
  <c r="BZ240" i="1" s="1"/>
  <c r="CA240" i="1" s="1"/>
  <c r="CB240" i="1" s="1"/>
  <c r="CW240" i="1" s="1"/>
  <c r="BY315" i="1"/>
  <c r="BZ315" i="1" s="1"/>
  <c r="CA315" i="1" s="1"/>
  <c r="CB315" i="1" s="1"/>
  <c r="CW315" i="1" s="1"/>
  <c r="BY293" i="1"/>
  <c r="BZ293" i="1" s="1"/>
  <c r="CA293" i="1" s="1"/>
  <c r="CB293" i="1" s="1"/>
  <c r="CW293" i="1" s="1"/>
  <c r="BY232" i="1"/>
  <c r="BZ232" i="1" s="1"/>
  <c r="CA232" i="1" s="1"/>
  <c r="CB232" i="1" s="1"/>
  <c r="CW232" i="1" s="1"/>
  <c r="BY213" i="1"/>
  <c r="BZ213" i="1" s="1"/>
  <c r="CA213" i="1" s="1"/>
  <c r="CB213" i="1" s="1"/>
  <c r="CW213" i="1" s="1"/>
  <c r="BY165" i="1"/>
  <c r="BZ165" i="1" s="1"/>
  <c r="CA165" i="1" s="1"/>
  <c r="CB165" i="1" s="1"/>
  <c r="CW165" i="1" s="1"/>
  <c r="BY76" i="1"/>
  <c r="BZ76" i="1" s="1"/>
  <c r="CA76" i="1" s="1"/>
  <c r="CB76" i="1" s="1"/>
  <c r="CW76" i="1" s="1"/>
  <c r="BY184" i="1"/>
  <c r="BZ184" i="1" s="1"/>
  <c r="CA184" i="1" s="1"/>
  <c r="CB184" i="1" s="1"/>
  <c r="CW184" i="1" s="1"/>
  <c r="BY36" i="1"/>
  <c r="BZ36" i="1" s="1"/>
  <c r="CA36" i="1" s="1"/>
  <c r="CB36" i="1" s="1"/>
  <c r="CW36" i="1" s="1"/>
  <c r="BY243" i="1"/>
  <c r="BZ243" i="1" s="1"/>
  <c r="CA243" i="1" s="1"/>
  <c r="CB243" i="1" s="1"/>
  <c r="CW243" i="1" s="1"/>
  <c r="BY18" i="1"/>
  <c r="BZ18" i="1" s="1"/>
  <c r="CA18" i="1" s="1"/>
  <c r="CB18" i="1" s="1"/>
  <c r="CW18" i="1" s="1"/>
  <c r="BY258" i="1"/>
  <c r="BZ258" i="1" s="1"/>
  <c r="CA258" i="1" s="1"/>
  <c r="CB258" i="1" s="1"/>
  <c r="CW258" i="1" s="1"/>
  <c r="BY112" i="1"/>
  <c r="BZ112" i="1" s="1"/>
  <c r="CA112" i="1" s="1"/>
  <c r="CB112" i="1" s="1"/>
  <c r="CW112" i="1" s="1"/>
  <c r="BY312" i="1"/>
  <c r="BZ312" i="1" s="1"/>
  <c r="CA312" i="1" s="1"/>
  <c r="CB312" i="1" s="1"/>
  <c r="CW312" i="1" s="1"/>
  <c r="BY4" i="1"/>
  <c r="BZ4" i="1" s="1"/>
  <c r="CA4" i="1" s="1"/>
  <c r="CB4" i="1" s="1"/>
  <c r="CW4" i="1" s="1"/>
  <c r="BY28" i="1"/>
  <c r="BZ28" i="1" s="1"/>
  <c r="CA28" i="1" s="1"/>
  <c r="CB28" i="1" s="1"/>
  <c r="CW28" i="1" s="1"/>
  <c r="BY51" i="1"/>
  <c r="BZ51" i="1" s="1"/>
  <c r="CA51" i="1" s="1"/>
  <c r="CB51" i="1" s="1"/>
  <c r="CW51" i="1" s="1"/>
  <c r="BY20" i="1"/>
  <c r="BZ20" i="1" s="1"/>
  <c r="CA20" i="1" s="1"/>
  <c r="CB20" i="1" s="1"/>
  <c r="CW20" i="1" s="1"/>
  <c r="BY103" i="1"/>
  <c r="BZ103" i="1" s="1"/>
  <c r="CA103" i="1" s="1"/>
  <c r="CB103" i="1" s="1"/>
  <c r="CW103" i="1" s="1"/>
  <c r="BY93" i="1"/>
  <c r="BZ93" i="1" s="1"/>
  <c r="CA93" i="1" s="1"/>
  <c r="CB93" i="1" s="1"/>
  <c r="CW93" i="1" s="1"/>
  <c r="BY136" i="1"/>
  <c r="BZ136" i="1" s="1"/>
  <c r="CA136" i="1" s="1"/>
  <c r="CB136" i="1" s="1"/>
  <c r="CW136" i="1" s="1"/>
  <c r="BY320" i="1"/>
  <c r="BZ320" i="1" s="1"/>
  <c r="CA320" i="1" s="1"/>
  <c r="CB320" i="1" s="1"/>
  <c r="CW320" i="1" s="1"/>
  <c r="BY42" i="1"/>
  <c r="BZ42" i="1" s="1"/>
  <c r="CA42" i="1" s="1"/>
  <c r="CB42" i="1" s="1"/>
  <c r="CW42" i="1" s="1"/>
  <c r="BY23" i="1"/>
  <c r="BZ23" i="1" s="1"/>
  <c r="CA23" i="1" s="1"/>
  <c r="CB23" i="1" s="1"/>
  <c r="CW23" i="1" s="1"/>
  <c r="BY157" i="1"/>
  <c r="BZ157" i="1" s="1"/>
  <c r="CA157" i="1" s="1"/>
  <c r="CB157" i="1" s="1"/>
  <c r="CW157" i="1" s="1"/>
  <c r="BY219" i="1"/>
  <c r="BZ219" i="1" s="1"/>
  <c r="CA219" i="1" s="1"/>
  <c r="CB219" i="1" s="1"/>
  <c r="CW219" i="1" s="1"/>
  <c r="BY189" i="1"/>
  <c r="BZ189" i="1" s="1"/>
  <c r="CA189" i="1" s="1"/>
  <c r="CB189" i="1" s="1"/>
  <c r="CW189" i="1" s="1"/>
  <c r="BY230" i="1"/>
  <c r="BZ230" i="1" s="1"/>
  <c r="CA230" i="1" s="1"/>
  <c r="CB230" i="1" s="1"/>
  <c r="CW230" i="1" s="1"/>
  <c r="BY5" i="1"/>
  <c r="BZ5" i="1" s="1"/>
  <c r="CA5" i="1" s="1"/>
  <c r="CB5" i="1" s="1"/>
  <c r="CW5" i="1" s="1"/>
  <c r="BY10" i="1"/>
  <c r="BZ10" i="1" s="1"/>
  <c r="CA10" i="1" s="1"/>
  <c r="CB10" i="1" s="1"/>
  <c r="CW10" i="1" s="1"/>
  <c r="BY310" i="1"/>
  <c r="BZ310" i="1" s="1"/>
  <c r="CA310" i="1" s="1"/>
  <c r="CB310" i="1" s="1"/>
  <c r="CW310" i="1" s="1"/>
  <c r="BY211" i="1"/>
  <c r="BZ211" i="1" s="1"/>
  <c r="CA211" i="1" s="1"/>
  <c r="CB211" i="1" s="1"/>
  <c r="CW211" i="1" s="1"/>
  <c r="BY304" i="1"/>
  <c r="BZ304" i="1" s="1"/>
  <c r="CA304" i="1" s="1"/>
  <c r="CB304" i="1" s="1"/>
  <c r="CW304" i="1" s="1"/>
  <c r="BY266" i="1"/>
  <c r="BZ266" i="1" s="1"/>
  <c r="CA266" i="1" s="1"/>
  <c r="CB266" i="1" s="1"/>
  <c r="CW266" i="1" s="1"/>
  <c r="BY142" i="1"/>
  <c r="BZ142" i="1" s="1"/>
  <c r="CA142" i="1" s="1"/>
  <c r="CB142" i="1" s="1"/>
  <c r="CW142" i="1" s="1"/>
  <c r="BY192" i="1"/>
  <c r="BZ192" i="1" s="1"/>
  <c r="CA192" i="1" s="1"/>
  <c r="CB192" i="1" s="1"/>
  <c r="CW192" i="1" s="1"/>
  <c r="BY267" i="1"/>
  <c r="BZ267" i="1" s="1"/>
  <c r="CA267" i="1" s="1"/>
  <c r="CB267" i="1" s="1"/>
  <c r="CW267" i="1" s="1"/>
  <c r="BY198" i="1"/>
  <c r="BZ198" i="1" s="1"/>
  <c r="CA198" i="1" s="1"/>
  <c r="CB198" i="1" s="1"/>
  <c r="CW198" i="1" s="1"/>
  <c r="BY259" i="1"/>
  <c r="BZ259" i="1" s="1"/>
  <c r="CA259" i="1" s="1"/>
  <c r="CB259" i="1" s="1"/>
  <c r="CW259" i="1" s="1"/>
  <c r="BY231" i="1"/>
  <c r="BZ231" i="1" s="1"/>
  <c r="CA231" i="1" s="1"/>
  <c r="CB231" i="1" s="1"/>
  <c r="CW231" i="1" s="1"/>
  <c r="BY102" i="1"/>
  <c r="BZ102" i="1" s="1"/>
  <c r="CA102" i="1" s="1"/>
  <c r="CB102" i="1" s="1"/>
  <c r="CW102" i="1" s="1"/>
  <c r="BY115" i="1"/>
  <c r="BZ115" i="1" s="1"/>
  <c r="CA115" i="1" s="1"/>
  <c r="CB115" i="1" s="1"/>
  <c r="CW115" i="1" s="1"/>
  <c r="BY248" i="1"/>
  <c r="BZ248" i="1" s="1"/>
  <c r="CA248" i="1" s="1"/>
  <c r="CB248" i="1" s="1"/>
  <c r="CW248" i="1" s="1"/>
  <c r="BY285" i="1"/>
  <c r="BZ285" i="1" s="1"/>
  <c r="CA285" i="1" s="1"/>
  <c r="CB285" i="1" s="1"/>
  <c r="CW285" i="1" s="1"/>
  <c r="BY313" i="1"/>
  <c r="BZ313" i="1" s="1"/>
  <c r="CA313" i="1" s="1"/>
  <c r="CB313" i="1" s="1"/>
  <c r="CW313" i="1" s="1"/>
  <c r="BY135" i="1"/>
  <c r="BZ135" i="1" s="1"/>
  <c r="CA135" i="1" s="1"/>
  <c r="CB135" i="1" s="1"/>
  <c r="CW135" i="1" s="1"/>
  <c r="BY91" i="1"/>
  <c r="BZ91" i="1" s="1"/>
  <c r="CA91" i="1" s="1"/>
  <c r="CB91" i="1" s="1"/>
  <c r="CW91" i="1" s="1"/>
  <c r="BY225" i="1"/>
  <c r="BZ225" i="1" s="1"/>
  <c r="CA225" i="1" s="1"/>
  <c r="CB225" i="1" s="1"/>
  <c r="CW225" i="1" s="1"/>
  <c r="BY319" i="1"/>
  <c r="BZ319" i="1" s="1"/>
  <c r="CA319" i="1" s="1"/>
  <c r="CB319" i="1" s="1"/>
  <c r="CW319" i="1" s="1"/>
  <c r="BY45" i="1"/>
  <c r="BZ45" i="1" s="1"/>
  <c r="CA45" i="1" s="1"/>
  <c r="CB45" i="1" s="1"/>
  <c r="BY72" i="1"/>
  <c r="BZ72" i="1" s="1"/>
  <c r="CA72" i="1" s="1"/>
  <c r="CB72" i="1" s="1"/>
  <c r="CW72" i="1" s="1"/>
  <c r="BY245" i="1"/>
  <c r="BZ245" i="1" s="1"/>
  <c r="CA245" i="1" s="1"/>
  <c r="CB245" i="1" s="1"/>
  <c r="CW245" i="1" s="1"/>
  <c r="BY143" i="1"/>
  <c r="BZ143" i="1" s="1"/>
  <c r="CA143" i="1" s="1"/>
  <c r="CB143" i="1" s="1"/>
  <c r="CW143" i="1" s="1"/>
  <c r="BY286" i="1"/>
  <c r="BZ286" i="1" s="1"/>
  <c r="CA286" i="1" s="1"/>
  <c r="CB286" i="1" s="1"/>
  <c r="CW286" i="1" s="1"/>
  <c r="BY44" i="1"/>
  <c r="BZ44" i="1" s="1"/>
  <c r="CA44" i="1" s="1"/>
  <c r="CB44" i="1" s="1"/>
  <c r="CW44" i="1" s="1"/>
  <c r="BY250" i="1"/>
  <c r="BZ250" i="1" s="1"/>
  <c r="CA250" i="1" s="1"/>
  <c r="CB250" i="1" s="1"/>
  <c r="CW250" i="1" s="1"/>
  <c r="BY131" i="1"/>
  <c r="BZ131" i="1" s="1"/>
  <c r="CA131" i="1" s="1"/>
  <c r="CB131" i="1" s="1"/>
  <c r="CW131" i="1" s="1"/>
  <c r="BY252" i="1"/>
  <c r="BZ252" i="1" s="1"/>
  <c r="CA252" i="1" s="1"/>
  <c r="CB252" i="1" s="1"/>
  <c r="CW252" i="1" s="1"/>
  <c r="BY155" i="1"/>
  <c r="BZ155" i="1" s="1"/>
  <c r="CA155" i="1" s="1"/>
  <c r="CB155" i="1" s="1"/>
  <c r="CW155" i="1" s="1"/>
  <c r="BY278" i="1"/>
  <c r="BZ278" i="1" s="1"/>
  <c r="CA278" i="1" s="1"/>
  <c r="CB278" i="1" s="1"/>
  <c r="CW278" i="1" s="1"/>
  <c r="BY65" i="1"/>
  <c r="BZ65" i="1" s="1"/>
  <c r="CA65" i="1" s="1"/>
  <c r="CB65" i="1" s="1"/>
  <c r="CW65" i="1" s="1"/>
  <c r="BY270" i="1"/>
  <c r="BZ270" i="1" s="1"/>
  <c r="CA270" i="1" s="1"/>
  <c r="CB270" i="1" s="1"/>
  <c r="CW270" i="1" s="1"/>
  <c r="BY272" i="1"/>
  <c r="BZ272" i="1" s="1"/>
  <c r="CA272" i="1" s="1"/>
  <c r="CB272" i="1" s="1"/>
  <c r="CW272" i="1" s="1"/>
  <c r="BY173" i="1"/>
  <c r="BZ173" i="1" s="1"/>
  <c r="CA173" i="1" s="1"/>
  <c r="CB173" i="1" s="1"/>
  <c r="CW173" i="1" s="1"/>
  <c r="BY262" i="1"/>
  <c r="BZ262" i="1" s="1"/>
  <c r="CA262" i="1" s="1"/>
  <c r="CB262" i="1" s="1"/>
  <c r="CW262" i="1" s="1"/>
  <c r="BY303" i="1"/>
  <c r="BZ303" i="1" s="1"/>
  <c r="CA303" i="1" s="1"/>
  <c r="CB303" i="1" s="1"/>
  <c r="CW303" i="1" s="1"/>
  <c r="BY256" i="1"/>
  <c r="BZ256" i="1" s="1"/>
  <c r="CA256" i="1" s="1"/>
  <c r="CB256" i="1" s="1"/>
  <c r="CW256" i="1" s="1"/>
  <c r="BY283" i="1"/>
  <c r="BZ283" i="1" s="1"/>
  <c r="CA283" i="1" s="1"/>
  <c r="CB283" i="1" s="1"/>
  <c r="CW283" i="1" s="1"/>
  <c r="BY246" i="1"/>
  <c r="BZ246" i="1" s="1"/>
  <c r="CA246" i="1" s="1"/>
  <c r="CB246" i="1" s="1"/>
  <c r="CW246" i="1" s="1"/>
  <c r="BY271" i="1"/>
  <c r="BZ271" i="1" s="1"/>
  <c r="CA271" i="1" s="1"/>
  <c r="CB271" i="1" s="1"/>
  <c r="CW271" i="1" s="1"/>
  <c r="BY67" i="1"/>
  <c r="BZ67" i="1" s="1"/>
  <c r="CA67" i="1" s="1"/>
  <c r="CB67" i="1" s="1"/>
  <c r="CW67" i="1" s="1"/>
  <c r="BY69" i="1"/>
  <c r="BZ69" i="1" s="1"/>
  <c r="CA69" i="1" s="1"/>
  <c r="CB69" i="1" s="1"/>
  <c r="CW69" i="1" s="1"/>
  <c r="BY195" i="1"/>
  <c r="BZ195" i="1" s="1"/>
  <c r="CA195" i="1" s="1"/>
  <c r="CB195" i="1" s="1"/>
  <c r="CW195" i="1" s="1"/>
  <c r="BY167" i="1"/>
  <c r="BZ167" i="1" s="1"/>
  <c r="CA167" i="1" s="1"/>
  <c r="CB167" i="1" s="1"/>
  <c r="CW167" i="1" s="1"/>
  <c r="BY268" i="1"/>
  <c r="BZ268" i="1" s="1"/>
  <c r="CA268" i="1" s="1"/>
  <c r="CB268" i="1" s="1"/>
  <c r="CW268" i="1" s="1"/>
  <c r="BY123" i="1"/>
  <c r="BZ123" i="1" s="1"/>
  <c r="CA123" i="1" s="1"/>
  <c r="CB123" i="1" s="1"/>
  <c r="CW123" i="1" s="1"/>
  <c r="BY210" i="1"/>
  <c r="BZ210" i="1" s="1"/>
  <c r="CA210" i="1" s="1"/>
  <c r="CB210" i="1" s="1"/>
  <c r="CW210" i="1" s="1"/>
  <c r="BY125" i="1"/>
  <c r="BZ125" i="1" s="1"/>
  <c r="CA125" i="1" s="1"/>
  <c r="CB125" i="1" s="1"/>
  <c r="CW125" i="1" s="1"/>
  <c r="BY178" i="1"/>
  <c r="BZ178" i="1" s="1"/>
  <c r="CA178" i="1" s="1"/>
  <c r="CB178" i="1" s="1"/>
  <c r="CW178" i="1" s="1"/>
  <c r="BY190" i="1"/>
  <c r="BZ190" i="1" s="1"/>
  <c r="CA190" i="1" s="1"/>
  <c r="CB190" i="1" s="1"/>
  <c r="CW190" i="1" s="1"/>
  <c r="BY84" i="1"/>
  <c r="BZ84" i="1" s="1"/>
  <c r="CA84" i="1" s="1"/>
  <c r="CB84" i="1" s="1"/>
  <c r="CW84" i="1" s="1"/>
  <c r="BY196" i="1"/>
  <c r="BZ196" i="1" s="1"/>
  <c r="CA196" i="1" s="1"/>
  <c r="CB196" i="1" s="1"/>
  <c r="CW196" i="1" s="1"/>
  <c r="BY172" i="1"/>
  <c r="BZ172" i="1" s="1"/>
  <c r="CA172" i="1" s="1"/>
  <c r="CB172" i="1" s="1"/>
  <c r="CW172" i="1" s="1"/>
  <c r="BY130" i="1"/>
  <c r="BZ130" i="1" s="1"/>
  <c r="CA130" i="1" s="1"/>
  <c r="CB130" i="1" s="1"/>
  <c r="CW130" i="1" s="1"/>
  <c r="BY183" i="1"/>
  <c r="BZ183" i="1" s="1"/>
  <c r="CA183" i="1" s="1"/>
  <c r="CB183" i="1" s="1"/>
  <c r="CW183" i="1" s="1"/>
  <c r="BY306" i="1"/>
  <c r="BZ306" i="1" s="1"/>
  <c r="CA306" i="1" s="1"/>
  <c r="CB306" i="1" s="1"/>
  <c r="CW306" i="1" s="1"/>
  <c r="BY101" i="1"/>
  <c r="BZ101" i="1" s="1"/>
  <c r="CA101" i="1" s="1"/>
  <c r="CB101" i="1" s="1"/>
  <c r="CW101" i="1" s="1"/>
  <c r="BY124" i="1"/>
  <c r="BZ124" i="1" s="1"/>
  <c r="CA124" i="1" s="1"/>
  <c r="CB124" i="1" s="1"/>
  <c r="CW124" i="1" s="1"/>
  <c r="BY316" i="1"/>
  <c r="BZ316" i="1" s="1"/>
  <c r="CA316" i="1" s="1"/>
  <c r="CB316" i="1" s="1"/>
  <c r="CW316" i="1" s="1"/>
  <c r="BY154" i="1"/>
  <c r="BZ154" i="1" s="1"/>
  <c r="CA154" i="1" s="1"/>
  <c r="CB154" i="1" s="1"/>
  <c r="CW154" i="1" s="1"/>
  <c r="BY194" i="1"/>
  <c r="BZ194" i="1" s="1"/>
  <c r="CA194" i="1" s="1"/>
  <c r="CB194" i="1" s="1"/>
  <c r="CW194" i="1" s="1"/>
  <c r="BY170" i="1"/>
  <c r="BZ170" i="1" s="1"/>
  <c r="CA170" i="1" s="1"/>
  <c r="CB170" i="1" s="1"/>
  <c r="CW170" i="1" s="1"/>
  <c r="BY237" i="1"/>
  <c r="BZ237" i="1" s="1"/>
  <c r="CA237" i="1" s="1"/>
  <c r="CB237" i="1" s="1"/>
  <c r="CW237" i="1" s="1"/>
  <c r="BY68" i="1"/>
  <c r="BZ68" i="1" s="1"/>
  <c r="CA68" i="1" s="1"/>
  <c r="CB68" i="1" s="1"/>
  <c r="CW68" i="1" s="1"/>
  <c r="BY212" i="1"/>
  <c r="BZ212" i="1" s="1"/>
  <c r="CA212" i="1" s="1"/>
  <c r="CB212" i="1" s="1"/>
  <c r="CW212" i="1" s="1"/>
  <c r="BY249" i="1"/>
  <c r="BZ249" i="1" s="1"/>
  <c r="CA249" i="1" s="1"/>
  <c r="CB249" i="1" s="1"/>
  <c r="CW249" i="1" s="1"/>
  <c r="BY119" i="1"/>
  <c r="BZ119" i="1" s="1"/>
  <c r="CA119" i="1" s="1"/>
  <c r="CB119" i="1" s="1"/>
  <c r="CW119" i="1" s="1"/>
  <c r="BY164" i="1"/>
  <c r="BZ164" i="1" s="1"/>
  <c r="CA164" i="1" s="1"/>
  <c r="CB164" i="1" s="1"/>
  <c r="CW164" i="1" s="1"/>
  <c r="BY216" i="1"/>
  <c r="BZ216" i="1" s="1"/>
  <c r="CA216" i="1" s="1"/>
  <c r="CB216" i="1" s="1"/>
  <c r="CW216" i="1" s="1"/>
  <c r="BY166" i="1"/>
  <c r="BZ166" i="1" s="1"/>
  <c r="CA166" i="1" s="1"/>
  <c r="CB166" i="1" s="1"/>
  <c r="CW166" i="1" s="1"/>
  <c r="BY171" i="1"/>
  <c r="BZ171" i="1" s="1"/>
  <c r="CA171" i="1" s="1"/>
  <c r="CB171" i="1" s="1"/>
  <c r="CW171" i="1" s="1"/>
  <c r="BY158" i="1"/>
  <c r="BZ158" i="1" s="1"/>
  <c r="CA158" i="1" s="1"/>
  <c r="CB158" i="1" s="1"/>
  <c r="CW158" i="1" s="1"/>
  <c r="BY149" i="1"/>
  <c r="BZ149" i="1" s="1"/>
  <c r="CA149" i="1" s="1"/>
  <c r="CB149" i="1" s="1"/>
  <c r="CW149" i="1" s="1"/>
  <c r="BY116" i="1"/>
  <c r="BZ116" i="1" s="1"/>
  <c r="CA116" i="1" s="1"/>
  <c r="CB116" i="1" s="1"/>
  <c r="CW116" i="1" s="1"/>
  <c r="BY175" i="1"/>
  <c r="BZ175" i="1" s="1"/>
  <c r="CA175" i="1" s="1"/>
  <c r="CB175" i="1" s="1"/>
  <c r="CW175" i="1" s="1"/>
  <c r="BY201" i="1"/>
  <c r="BZ201" i="1" s="1"/>
  <c r="CA201" i="1" s="1"/>
  <c r="CB201" i="1" s="1"/>
  <c r="CW201" i="1" s="1"/>
  <c r="BY269" i="1"/>
  <c r="BZ269" i="1" s="1"/>
  <c r="CA269" i="1" s="1"/>
  <c r="CB269" i="1" s="1"/>
  <c r="CW269" i="1" s="1"/>
  <c r="BY160" i="1"/>
  <c r="BZ160" i="1" s="1"/>
  <c r="CA160" i="1" s="1"/>
  <c r="CB160" i="1" s="1"/>
  <c r="CW160" i="1" s="1"/>
  <c r="BY179" i="1"/>
  <c r="BZ179" i="1" s="1"/>
  <c r="CA179" i="1" s="1"/>
  <c r="CB179" i="1" s="1"/>
  <c r="CW179" i="1" s="1"/>
  <c r="BY75" i="1"/>
  <c r="BZ75" i="1" s="1"/>
  <c r="CA75" i="1" s="1"/>
  <c r="CB75" i="1" s="1"/>
  <c r="CW75" i="1" s="1"/>
  <c r="BY134" i="1"/>
  <c r="BZ134" i="1" s="1"/>
  <c r="CA134" i="1" s="1"/>
  <c r="CB134" i="1" s="1"/>
  <c r="CW134" i="1" s="1"/>
  <c r="BY100" i="1"/>
  <c r="BZ100" i="1" s="1"/>
  <c r="CA100" i="1" s="1"/>
  <c r="CB100" i="1" s="1"/>
  <c r="CW100" i="1" s="1"/>
  <c r="BY147" i="1"/>
  <c r="BZ147" i="1" s="1"/>
  <c r="CA147" i="1" s="1"/>
  <c r="CB147" i="1" s="1"/>
  <c r="CW147" i="1" s="1"/>
  <c r="BY78" i="1"/>
  <c r="BZ78" i="1" s="1"/>
  <c r="CA78" i="1" s="1"/>
  <c r="CB78" i="1" s="1"/>
  <c r="CW78" i="1" s="1"/>
  <c r="BY247" i="1"/>
  <c r="BZ247" i="1" s="1"/>
  <c r="CA247" i="1" s="1"/>
  <c r="CB247" i="1" s="1"/>
  <c r="CW247" i="1" s="1"/>
  <c r="BY207" i="1"/>
  <c r="BZ207" i="1" s="1"/>
  <c r="CA207" i="1" s="1"/>
  <c r="CB207" i="1" s="1"/>
  <c r="CW207" i="1" s="1"/>
  <c r="BY296" i="1"/>
  <c r="BZ296" i="1" s="1"/>
  <c r="CA296" i="1" s="1"/>
  <c r="CB296" i="1" s="1"/>
  <c r="CW296" i="1" s="1"/>
  <c r="BY129" i="1"/>
  <c r="BZ129" i="1" s="1"/>
  <c r="CA129" i="1" s="1"/>
  <c r="CB129" i="1" s="1"/>
  <c r="CW129" i="1" s="1"/>
  <c r="BY242" i="1"/>
  <c r="BZ242" i="1" s="1"/>
  <c r="CA242" i="1" s="1"/>
  <c r="CB242" i="1" s="1"/>
  <c r="CW242" i="1" s="1"/>
  <c r="BY161" i="1"/>
  <c r="BZ161" i="1" s="1"/>
  <c r="CA161" i="1" s="1"/>
  <c r="CB161" i="1" s="1"/>
  <c r="CW161" i="1" s="1"/>
  <c r="BY108" i="1"/>
  <c r="BZ108" i="1" s="1"/>
  <c r="CA108" i="1" s="1"/>
  <c r="CB108" i="1" s="1"/>
  <c r="CW108" i="1" s="1"/>
  <c r="BY73" i="1"/>
  <c r="BZ73" i="1" s="1"/>
  <c r="CA73" i="1" s="1"/>
  <c r="CB73" i="1" s="1"/>
  <c r="CW73" i="1" s="1"/>
  <c r="BY22" i="1"/>
  <c r="BZ22" i="1" s="1"/>
  <c r="CA22" i="1" s="1"/>
  <c r="CB22" i="1" s="1"/>
  <c r="CW22" i="1" s="1"/>
  <c r="BY88" i="1"/>
  <c r="BZ88" i="1" s="1"/>
  <c r="CA88" i="1" s="1"/>
  <c r="CB88" i="1" s="1"/>
  <c r="CW88" i="1" s="1"/>
  <c r="BY150" i="1"/>
  <c r="BZ150" i="1" s="1"/>
  <c r="CA150" i="1" s="1"/>
  <c r="CB150" i="1" s="1"/>
  <c r="CW150" i="1" s="1"/>
  <c r="BY206" i="1"/>
  <c r="BZ206" i="1" s="1"/>
  <c r="CA206" i="1" s="1"/>
  <c r="CB206" i="1" s="1"/>
  <c r="CW206" i="1" s="1"/>
  <c r="BY27" i="1"/>
  <c r="BZ27" i="1" s="1"/>
  <c r="CA27" i="1" s="1"/>
  <c r="CB27" i="1" s="1"/>
  <c r="CW27" i="1" s="1"/>
  <c r="BY208" i="1"/>
  <c r="BZ208" i="1" s="1"/>
  <c r="CA208" i="1" s="1"/>
  <c r="CB208" i="1" s="1"/>
  <c r="CW208" i="1" s="1"/>
  <c r="BY12" i="1"/>
  <c r="BZ12" i="1" s="1"/>
  <c r="CA12" i="1" s="1"/>
  <c r="CB12" i="1" s="1"/>
  <c r="CW12" i="1" s="1"/>
  <c r="BY244" i="1"/>
  <c r="BZ244" i="1" s="1"/>
  <c r="CA244" i="1" s="1"/>
  <c r="CB244" i="1" s="1"/>
  <c r="CW244" i="1" s="1"/>
  <c r="BY52" i="1"/>
  <c r="BZ52" i="1" s="1"/>
  <c r="CA52" i="1" s="1"/>
  <c r="CB52" i="1" s="1"/>
  <c r="CW52" i="1" s="1"/>
  <c r="BY318" i="1"/>
  <c r="BZ318" i="1" s="1"/>
  <c r="CA318" i="1" s="1"/>
  <c r="CB318" i="1" s="1"/>
  <c r="CW318" i="1" s="1"/>
  <c r="BY176" i="1"/>
  <c r="BZ176" i="1" s="1"/>
  <c r="CA176" i="1" s="1"/>
  <c r="CB176" i="1" s="1"/>
  <c r="CW176" i="1" s="1"/>
  <c r="BY276" i="1"/>
  <c r="BZ276" i="1" s="1"/>
  <c r="CA276" i="1" s="1"/>
  <c r="CB276" i="1" s="1"/>
  <c r="CW276" i="1" s="1"/>
  <c r="BY263" i="1"/>
  <c r="BZ263" i="1" s="1"/>
  <c r="CA263" i="1" s="1"/>
  <c r="CB263" i="1" s="1"/>
  <c r="CW263" i="1" s="1"/>
  <c r="BY25" i="1"/>
  <c r="BZ25" i="1" s="1"/>
  <c r="CA25" i="1" s="1"/>
  <c r="CB25" i="1" s="1"/>
  <c r="CW25" i="1" s="1"/>
  <c r="BY235" i="1"/>
  <c r="BZ235" i="1" s="1"/>
  <c r="CA235" i="1" s="1"/>
  <c r="CB235" i="1" s="1"/>
  <c r="CW235" i="1" s="1"/>
  <c r="BY309" i="1"/>
  <c r="BZ309" i="1" s="1"/>
  <c r="CA309" i="1" s="1"/>
  <c r="CB309" i="1" s="1"/>
  <c r="CW309" i="1" s="1"/>
  <c r="BY34" i="1"/>
  <c r="BZ34" i="1" s="1"/>
  <c r="CA34" i="1" s="1"/>
  <c r="CB34" i="1" s="1"/>
  <c r="CW34" i="1" s="1"/>
  <c r="BY311" i="1"/>
  <c r="BZ311" i="1" s="1"/>
  <c r="CA311" i="1" s="1"/>
  <c r="CB311" i="1" s="1"/>
  <c r="CW311" i="1" s="1"/>
  <c r="BY104" i="1"/>
  <c r="BZ104" i="1" s="1"/>
  <c r="CA104" i="1" s="1"/>
  <c r="CB104" i="1" s="1"/>
  <c r="CW104" i="1" s="1"/>
  <c r="BY291" i="1"/>
  <c r="BZ291" i="1" s="1"/>
  <c r="CA291" i="1" s="1"/>
  <c r="CB291" i="1" s="1"/>
  <c r="CW291" i="1" s="1"/>
  <c r="BY99" i="1"/>
  <c r="BZ99" i="1" s="1"/>
  <c r="CA99" i="1" s="1"/>
  <c r="CB99" i="1" s="1"/>
  <c r="CW99" i="1" s="1"/>
  <c r="BY137" i="1"/>
  <c r="BZ137" i="1" s="1"/>
  <c r="CA137" i="1" s="1"/>
  <c r="CB137" i="1" s="1"/>
  <c r="CW137" i="1" s="1"/>
  <c r="BY314" i="1"/>
  <c r="BZ314" i="1" s="1"/>
  <c r="CA314" i="1" s="1"/>
  <c r="CB314" i="1" s="1"/>
  <c r="CW314" i="1" s="1"/>
  <c r="BY50" i="1"/>
  <c r="BZ50" i="1" s="1"/>
  <c r="CA50" i="1" s="1"/>
  <c r="CB50" i="1" s="1"/>
  <c r="CW50" i="1" s="1"/>
  <c r="BY227" i="1"/>
  <c r="BZ227" i="1" s="1"/>
  <c r="CA227" i="1" s="1"/>
  <c r="CB227" i="1" s="1"/>
  <c r="CW227" i="1" s="1"/>
  <c r="BY29" i="1"/>
  <c r="BZ29" i="1" s="1"/>
  <c r="CA29" i="1" s="1"/>
  <c r="CB29" i="1" s="1"/>
  <c r="CW29" i="1" s="1"/>
  <c r="BY205" i="1"/>
  <c r="BZ205" i="1" s="1"/>
  <c r="CA205" i="1" s="1"/>
  <c r="CB205" i="1" s="1"/>
  <c r="CW205" i="1" s="1"/>
  <c r="BY251" i="1"/>
  <c r="BZ251" i="1" s="1"/>
  <c r="CA251" i="1" s="1"/>
  <c r="CB251" i="1" s="1"/>
  <c r="CW251" i="1" s="1"/>
  <c r="BY204" i="1"/>
  <c r="BZ204" i="1" s="1"/>
  <c r="CA204" i="1" s="1"/>
  <c r="CB204" i="1" s="1"/>
  <c r="CW204" i="1" s="1"/>
  <c r="BY302" i="1"/>
  <c r="BZ302" i="1" s="1"/>
  <c r="CA302" i="1" s="1"/>
  <c r="CB302" i="1" s="1"/>
  <c r="CW302" i="1" s="1"/>
  <c r="BY239" i="1"/>
  <c r="BZ239" i="1" s="1"/>
  <c r="CA239" i="1" s="1"/>
  <c r="CB239" i="1" s="1"/>
  <c r="CW239" i="1" s="1"/>
  <c r="BY126" i="1"/>
  <c r="BZ126" i="1" s="1"/>
  <c r="CA126" i="1" s="1"/>
  <c r="CB126" i="1" s="1"/>
  <c r="CW126" i="1" s="1"/>
  <c r="BY37" i="1"/>
  <c r="BZ37" i="1" s="1"/>
  <c r="CA37" i="1" s="1"/>
  <c r="CB37" i="1" s="1"/>
  <c r="CW37" i="1" s="1"/>
  <c r="BY308" i="1"/>
  <c r="BZ308" i="1" s="1"/>
  <c r="CA308" i="1" s="1"/>
  <c r="CB308" i="1" s="1"/>
  <c r="CW308" i="1" s="1"/>
  <c r="BY317" i="1"/>
  <c r="BZ317" i="1" s="1"/>
  <c r="CA317" i="1" s="1"/>
  <c r="CB317" i="1" s="1"/>
  <c r="CW317" i="1" s="1"/>
  <c r="BY185" i="1"/>
  <c r="BZ185" i="1" s="1"/>
  <c r="CA185" i="1" s="1"/>
  <c r="CB185" i="1" s="1"/>
  <c r="CW185" i="1" s="1"/>
  <c r="BY48" i="1"/>
  <c r="BZ48" i="1" s="1"/>
  <c r="CA48" i="1" s="1"/>
  <c r="CB48" i="1" s="1"/>
  <c r="CW48" i="1" s="1"/>
  <c r="BY253" i="1"/>
  <c r="BZ253" i="1" s="1"/>
  <c r="CA253" i="1" s="1"/>
  <c r="CB253" i="1" s="1"/>
  <c r="CW253" i="1" s="1"/>
  <c r="BY153" i="1"/>
  <c r="BZ153" i="1" s="1"/>
  <c r="CA153" i="1" s="1"/>
  <c r="CB153" i="1" s="1"/>
  <c r="CW153" i="1" s="1"/>
  <c r="BY193" i="1"/>
  <c r="BZ193" i="1" s="1"/>
  <c r="CA193" i="1" s="1"/>
  <c r="CB193" i="1" s="1"/>
  <c r="CW193" i="1" s="1"/>
  <c r="BY110" i="1"/>
  <c r="BZ110" i="1" s="1"/>
  <c r="CA110" i="1" s="1"/>
  <c r="CB110" i="1" s="1"/>
  <c r="CW110" i="1" s="1"/>
  <c r="BY90" i="1"/>
  <c r="BZ90" i="1" s="1"/>
  <c r="CA90" i="1" s="1"/>
  <c r="CB90" i="1" s="1"/>
  <c r="CW90" i="1" s="1"/>
  <c r="BY97" i="1"/>
  <c r="BZ97" i="1" s="1"/>
  <c r="CA97" i="1" s="1"/>
  <c r="CB97" i="1" s="1"/>
  <c r="CW97" i="1" s="1"/>
  <c r="BY39" i="1"/>
  <c r="BZ39" i="1" s="1"/>
  <c r="CA39" i="1" s="1"/>
  <c r="CB39" i="1" s="1"/>
  <c r="CW39" i="1" s="1"/>
  <c r="BY203" i="1"/>
  <c r="BZ203" i="1" s="1"/>
  <c r="CA203" i="1" s="1"/>
  <c r="CB203" i="1" s="1"/>
  <c r="CW203" i="1" s="1"/>
  <c r="BY80" i="1"/>
  <c r="BZ80" i="1" s="1"/>
  <c r="CA80" i="1" s="1"/>
  <c r="CB80" i="1" s="1"/>
  <c r="CW80" i="1" s="1"/>
  <c r="BY114" i="1"/>
  <c r="BZ114" i="1" s="1"/>
  <c r="CA114" i="1" s="1"/>
  <c r="CB114" i="1" s="1"/>
  <c r="CW114" i="1" s="1"/>
  <c r="BY38" i="1"/>
  <c r="BZ38" i="1" s="1"/>
  <c r="CA38" i="1" s="1"/>
  <c r="CB38" i="1" s="1"/>
  <c r="CW38" i="1" s="1"/>
  <c r="BY159" i="1"/>
  <c r="BZ159" i="1" s="1"/>
  <c r="CA159" i="1" s="1"/>
  <c r="CB159" i="1" s="1"/>
  <c r="CW159" i="1" s="1"/>
  <c r="BY64" i="1"/>
  <c r="BZ64" i="1" s="1"/>
  <c r="CA64" i="1" s="1"/>
  <c r="CB64" i="1" s="1"/>
  <c r="CW64" i="1" s="1"/>
  <c r="BY62" i="1"/>
  <c r="BZ62" i="1" s="1"/>
  <c r="CA62" i="1" s="1"/>
  <c r="CB62" i="1" s="1"/>
  <c r="CW62" i="1" s="1"/>
  <c r="BY40" i="1"/>
  <c r="BZ40" i="1" s="1"/>
  <c r="CA40" i="1" s="1"/>
  <c r="CB40" i="1" s="1"/>
  <c r="CW40" i="1" s="1"/>
  <c r="BY133" i="1"/>
  <c r="BZ133" i="1" s="1"/>
  <c r="CA133" i="1" s="1"/>
  <c r="CB133" i="1" s="1"/>
  <c r="CW133" i="1" s="1"/>
  <c r="BY223" i="1"/>
  <c r="BZ223" i="1" s="1"/>
  <c r="CA223" i="1" s="1"/>
  <c r="CB223" i="1" s="1"/>
  <c r="CW223" i="1" s="1"/>
  <c r="BY280" i="1"/>
  <c r="BZ280" i="1" s="1"/>
  <c r="CA280" i="1" s="1"/>
  <c r="CB280" i="1" s="1"/>
  <c r="CW280" i="1" s="1"/>
  <c r="BY71" i="1"/>
  <c r="BZ71" i="1" s="1"/>
  <c r="CA71" i="1" s="1"/>
  <c r="CB71" i="1" s="1"/>
  <c r="CW71" i="1" s="1"/>
  <c r="BY298" i="1"/>
  <c r="BZ298" i="1" s="1"/>
  <c r="CA298" i="1" s="1"/>
  <c r="CB298" i="1" s="1"/>
  <c r="CW298" i="1" s="1"/>
  <c r="BY79" i="1"/>
  <c r="BZ79" i="1" s="1"/>
  <c r="CA79" i="1" s="1"/>
  <c r="CB79" i="1" s="1"/>
  <c r="CW79" i="1" s="1"/>
  <c r="BY128" i="1"/>
  <c r="BZ128" i="1" s="1"/>
  <c r="CA128" i="1" s="1"/>
  <c r="CB128" i="1" s="1"/>
  <c r="CW128" i="1" s="1"/>
  <c r="BY200" i="1"/>
  <c r="BZ200" i="1" s="1"/>
  <c r="CA200" i="1" s="1"/>
  <c r="CB200" i="1" s="1"/>
  <c r="CW200" i="1" s="1"/>
  <c r="BY297" i="1"/>
  <c r="BZ297" i="1" s="1"/>
  <c r="CA297" i="1" s="1"/>
  <c r="CB297" i="1" s="1"/>
  <c r="BY35" i="1"/>
  <c r="BZ35" i="1" s="1"/>
  <c r="CA35" i="1" s="1"/>
  <c r="CB35" i="1" s="1"/>
  <c r="CW35" i="1" s="1"/>
  <c r="BY295" i="1"/>
  <c r="BZ295" i="1" s="1"/>
  <c r="CA295" i="1" s="1"/>
  <c r="CB295" i="1" s="1"/>
  <c r="CW295" i="1" s="1"/>
  <c r="BY117" i="1"/>
  <c r="BZ117" i="1" s="1"/>
  <c r="CA117" i="1" s="1"/>
  <c r="CB117" i="1" s="1"/>
  <c r="CW117" i="1" s="1"/>
  <c r="BY307" i="1"/>
  <c r="BZ307" i="1" s="1"/>
  <c r="CA307" i="1" s="1"/>
  <c r="CB307" i="1" s="1"/>
  <c r="CW307" i="1" s="1"/>
  <c r="BY217" i="1"/>
  <c r="BZ217" i="1" s="1"/>
  <c r="CA217" i="1" s="1"/>
  <c r="CB217" i="1" s="1"/>
  <c r="CW217" i="1" s="1"/>
  <c r="BY11" i="1"/>
  <c r="BZ11" i="1" s="1"/>
  <c r="CA11" i="1" s="1"/>
  <c r="CB11" i="1" s="1"/>
  <c r="CW11" i="1" s="1"/>
  <c r="BY2" i="1"/>
  <c r="BZ2" i="1" s="1"/>
  <c r="CA2" i="1" s="1"/>
  <c r="CB2" i="1" s="1"/>
  <c r="CW2" i="1" s="1"/>
  <c r="BY152" i="1"/>
  <c r="BZ152" i="1" s="1"/>
  <c r="CA152" i="1" s="1"/>
  <c r="CB152" i="1" s="1"/>
  <c r="CW152" i="1" s="1"/>
  <c r="BY181" i="1"/>
  <c r="BZ181" i="1" s="1"/>
  <c r="CA181" i="1" s="1"/>
  <c r="CB181" i="1" s="1"/>
  <c r="CW181" i="1" s="1"/>
  <c r="BY265" i="1"/>
  <c r="BZ265" i="1" s="1"/>
  <c r="CA265" i="1" s="1"/>
  <c r="CB265" i="1" s="1"/>
  <c r="CW265" i="1" s="1"/>
  <c r="BY144" i="1"/>
  <c r="BZ144" i="1" s="1"/>
  <c r="CA144" i="1" s="1"/>
  <c r="CB144" i="1" s="1"/>
  <c r="CW144" i="1" s="1"/>
  <c r="BY148" i="1"/>
  <c r="BZ148" i="1" s="1"/>
  <c r="CA148" i="1" s="1"/>
  <c r="CB148" i="1" s="1"/>
  <c r="CW148" i="1" s="1"/>
  <c r="BY14" i="1"/>
  <c r="BZ14" i="1" s="1"/>
  <c r="CA14" i="1" s="1"/>
  <c r="CB14" i="1" s="1"/>
  <c r="CW14" i="1" s="1"/>
  <c r="BY279" i="1"/>
  <c r="BZ279" i="1" s="1"/>
  <c r="CA279" i="1" s="1"/>
  <c r="CB279" i="1" s="1"/>
  <c r="CW279" i="1" s="1"/>
  <c r="BY300" i="1"/>
  <c r="BZ300" i="1" s="1"/>
  <c r="CA300" i="1" s="1"/>
  <c r="CB300" i="1" s="1"/>
  <c r="CW300" i="1" s="1"/>
  <c r="BY228" i="1"/>
  <c r="BZ228" i="1" s="1"/>
  <c r="CA228" i="1" s="1"/>
  <c r="CB228" i="1" s="1"/>
  <c r="CW228" i="1" s="1"/>
  <c r="BY46" i="1"/>
  <c r="BZ46" i="1" s="1"/>
  <c r="CA46" i="1" s="1"/>
  <c r="CB46" i="1" s="1"/>
  <c r="CW46" i="1" s="1"/>
  <c r="BY221" i="1"/>
  <c r="BZ221" i="1" s="1"/>
  <c r="CA221" i="1" s="1"/>
  <c r="CB221" i="1" s="1"/>
  <c r="CW221" i="1" s="1"/>
  <c r="BY32" i="1"/>
  <c r="BZ32" i="1" s="1"/>
  <c r="CA32" i="1" s="1"/>
  <c r="CB32" i="1" s="1"/>
  <c r="CW32" i="1" s="1"/>
  <c r="BY275" i="1"/>
  <c r="BZ275" i="1" s="1"/>
  <c r="CA275" i="1" s="1"/>
  <c r="CB275" i="1" s="1"/>
  <c r="CW275" i="1" s="1"/>
  <c r="BY98" i="1"/>
  <c r="BZ98" i="1" s="1"/>
  <c r="CA98" i="1" s="1"/>
  <c r="CB98" i="1" s="1"/>
  <c r="CW98" i="1" s="1"/>
  <c r="BY289" i="1"/>
  <c r="BZ289" i="1" s="1"/>
  <c r="CA289" i="1" s="1"/>
  <c r="CB289" i="1" s="1"/>
  <c r="CW289" i="1" s="1"/>
  <c r="BY92" i="1"/>
  <c r="BZ92" i="1" s="1"/>
  <c r="CA92" i="1" s="1"/>
  <c r="CB92" i="1" s="1"/>
  <c r="CW92" i="1" s="1"/>
  <c r="BY43" i="1"/>
  <c r="BZ43" i="1" s="1"/>
  <c r="CA43" i="1" s="1"/>
  <c r="CB43" i="1" s="1"/>
  <c r="CW43" i="1" s="1"/>
  <c r="BY82" i="1"/>
  <c r="BZ82" i="1" s="1"/>
  <c r="CA82" i="1" s="1"/>
  <c r="CB82" i="1" s="1"/>
  <c r="CW82" i="1" s="1"/>
  <c r="BY139" i="1"/>
  <c r="BZ139" i="1" s="1"/>
  <c r="CA139" i="1" s="1"/>
  <c r="CB139" i="1" s="1"/>
  <c r="CW139" i="1" s="1"/>
  <c r="BY56" i="1"/>
  <c r="BZ56" i="1" s="1"/>
  <c r="CA56" i="1" s="1"/>
  <c r="CB56" i="1" s="1"/>
  <c r="CW56" i="1" s="1"/>
  <c r="BY105" i="1"/>
  <c r="BZ105" i="1" s="1"/>
  <c r="CA105" i="1" s="1"/>
  <c r="CB105" i="1" s="1"/>
  <c r="CW105" i="1" s="1"/>
  <c r="BY218" i="1"/>
  <c r="BZ218" i="1" s="1"/>
  <c r="CA218" i="1" s="1"/>
  <c r="CB218" i="1" s="1"/>
  <c r="CW218" i="1" s="1"/>
  <c r="BY31" i="1"/>
  <c r="BZ31" i="1" s="1"/>
  <c r="CA31" i="1" s="1"/>
  <c r="CB31" i="1" s="1"/>
  <c r="CW31" i="1" s="1"/>
  <c r="BY59" i="1"/>
  <c r="BZ59" i="1" s="1"/>
  <c r="CA59" i="1" s="1"/>
  <c r="CB59" i="1" s="1"/>
  <c r="CW59" i="1" s="1"/>
  <c r="BY255" i="1"/>
  <c r="BZ255" i="1" s="1"/>
  <c r="CA255" i="1" s="1"/>
  <c r="CB255" i="1" s="1"/>
  <c r="CW255" i="1" s="1"/>
  <c r="BY85" i="1"/>
  <c r="BZ85" i="1" s="1"/>
  <c r="CA85" i="1" s="1"/>
  <c r="CB85" i="1" s="1"/>
  <c r="CW85" i="1" s="1"/>
  <c r="BY282" i="1"/>
  <c r="BZ282" i="1" s="1"/>
  <c r="CA282" i="1" s="1"/>
  <c r="CB282" i="1" s="1"/>
  <c r="CW282" i="1" s="1"/>
  <c r="BY141" i="1"/>
  <c r="BZ141" i="1" s="1"/>
  <c r="CA141" i="1" s="1"/>
  <c r="CB141" i="1" s="1"/>
  <c r="CW141" i="1" s="1"/>
  <c r="BY281" i="1"/>
  <c r="BZ281" i="1" s="1"/>
  <c r="CA281" i="1" s="1"/>
  <c r="CB281" i="1" s="1"/>
  <c r="CW281" i="1" s="1"/>
  <c r="BY321" i="1"/>
  <c r="BZ321" i="1" s="1"/>
  <c r="CA321" i="1" s="1"/>
  <c r="CB321" i="1" s="1"/>
  <c r="CW321" i="1" s="1"/>
  <c r="BY107" i="1"/>
  <c r="BZ107" i="1" s="1"/>
  <c r="CA107" i="1" s="1"/>
  <c r="CB107" i="1" s="1"/>
  <c r="CW107" i="1" s="1"/>
  <c r="BY264" i="1"/>
  <c r="BZ264" i="1" s="1"/>
  <c r="CA264" i="1" s="1"/>
  <c r="CB264" i="1" s="1"/>
  <c r="CW264" i="1" s="1"/>
  <c r="BY226" i="1"/>
  <c r="BZ226" i="1" s="1"/>
  <c r="CA226" i="1" s="1"/>
  <c r="CB226" i="1" s="1"/>
  <c r="CW226" i="1" s="1"/>
  <c r="BY47" i="1"/>
  <c r="BZ47" i="1" s="1"/>
  <c r="CA47" i="1" s="1"/>
  <c r="CB47" i="1" s="1"/>
  <c r="CW47" i="1" s="1"/>
  <c r="BY156" i="1"/>
  <c r="BZ156" i="1" s="1"/>
  <c r="CA156" i="1" s="1"/>
  <c r="CB156" i="1" s="1"/>
  <c r="CW156" i="1" s="1"/>
  <c r="BY163" i="1"/>
  <c r="BZ163" i="1" s="1"/>
  <c r="CA163" i="1" s="1"/>
  <c r="CB163" i="1" s="1"/>
  <c r="CW163" i="1" s="1"/>
  <c r="BY96" i="1"/>
  <c r="BZ96" i="1" s="1"/>
  <c r="CA96" i="1" s="1"/>
  <c r="CB96" i="1" s="1"/>
  <c r="CW96" i="1" s="1"/>
  <c r="BY188" i="1"/>
  <c r="BZ188" i="1" s="1"/>
  <c r="CA188" i="1" s="1"/>
  <c r="CB188" i="1" s="1"/>
  <c r="CW188" i="1" s="1"/>
  <c r="BY199" i="1"/>
  <c r="BZ199" i="1" s="1"/>
  <c r="CA199" i="1" s="1"/>
  <c r="CB199" i="1" s="1"/>
  <c r="CW199" i="1" s="1"/>
  <c r="BY290" i="1"/>
  <c r="BZ290" i="1" s="1"/>
  <c r="CA290" i="1" s="1"/>
  <c r="CB290" i="1" s="1"/>
  <c r="CW290" i="1" s="1"/>
  <c r="BY187" i="1"/>
  <c r="BZ187" i="1" s="1"/>
  <c r="CA187" i="1" s="1"/>
  <c r="CB187" i="1" s="1"/>
  <c r="CW187" i="1" s="1"/>
  <c r="BY277" i="1"/>
  <c r="BZ277" i="1" s="1"/>
  <c r="CA277" i="1" s="1"/>
  <c r="CB277" i="1" s="1"/>
  <c r="CW277" i="1" s="1"/>
  <c r="BY118" i="1"/>
  <c r="BZ118" i="1" s="1"/>
  <c r="CA118" i="1" s="1"/>
  <c r="CB118" i="1" s="1"/>
  <c r="CW118" i="1" s="1"/>
  <c r="BY151" i="1"/>
  <c r="BZ151" i="1" s="1"/>
  <c r="CA151" i="1" s="1"/>
  <c r="CB151" i="1" s="1"/>
  <c r="CW151" i="1" s="1"/>
  <c r="BY77" i="1"/>
  <c r="BZ77" i="1" s="1"/>
  <c r="CA77" i="1" s="1"/>
  <c r="CB77" i="1" s="1"/>
  <c r="CW77" i="1" s="1"/>
  <c r="BY94" i="1"/>
  <c r="BZ94" i="1" s="1"/>
  <c r="CA94" i="1" s="1"/>
  <c r="CB94" i="1" s="1"/>
  <c r="CW94" i="1" s="1"/>
  <c r="BY87" i="1"/>
  <c r="BZ87" i="1" s="1"/>
  <c r="CA87" i="1" s="1"/>
  <c r="CB87" i="1" s="1"/>
  <c r="CW87" i="1" s="1"/>
  <c r="BY322" i="1"/>
  <c r="BZ322" i="1" s="1"/>
  <c r="CA322" i="1" s="1"/>
  <c r="CB322" i="1" s="1"/>
  <c r="CW322" i="1" s="1"/>
  <c r="BY220" i="1"/>
  <c r="BZ220" i="1" s="1"/>
  <c r="CA220" i="1" s="1"/>
  <c r="CB220" i="1" s="1"/>
  <c r="CW220" i="1" s="1"/>
  <c r="BY229" i="1"/>
  <c r="BZ229" i="1" s="1"/>
  <c r="CA229" i="1" s="1"/>
  <c r="CB229" i="1" s="1"/>
  <c r="CW229" i="1" s="1"/>
  <c r="BY140" i="1"/>
  <c r="BZ140" i="1" s="1"/>
  <c r="CA140" i="1" s="1"/>
  <c r="CB140" i="1" s="1"/>
  <c r="CW140" i="1" s="1"/>
  <c r="BY55" i="1"/>
  <c r="BZ55" i="1" s="1"/>
  <c r="CA55" i="1" s="1"/>
  <c r="CB55" i="1" s="1"/>
  <c r="CW55" i="1" s="1"/>
  <c r="BY138" i="1"/>
  <c r="BZ138" i="1" s="1"/>
  <c r="CA138" i="1" s="1"/>
  <c r="CB138" i="1" s="1"/>
  <c r="CW138" i="1" s="1"/>
  <c r="BY54" i="1"/>
  <c r="BZ54" i="1" s="1"/>
  <c r="CA54" i="1" s="1"/>
  <c r="CB54" i="1" s="1"/>
  <c r="CW54" i="1" s="1"/>
  <c r="BY83" i="1"/>
  <c r="BZ83" i="1" s="1"/>
  <c r="CA83" i="1" s="1"/>
  <c r="CB83" i="1" s="1"/>
  <c r="CW83" i="1" s="1"/>
  <c r="BY222" i="1"/>
  <c r="BZ222" i="1" s="1"/>
  <c r="CA222" i="1" s="1"/>
  <c r="CB222" i="1" s="1"/>
  <c r="CW222" i="1" s="1"/>
  <c r="BY202" i="1"/>
  <c r="BZ202" i="1" s="1"/>
  <c r="CA202" i="1" s="1"/>
  <c r="CB202" i="1" s="1"/>
  <c r="CW202" i="1" s="1"/>
  <c r="BY294" i="1"/>
  <c r="BZ294" i="1" s="1"/>
  <c r="CA294" i="1" s="1"/>
  <c r="CB294" i="1" s="1"/>
  <c r="CW294" i="1" s="1"/>
  <c r="BY214" i="1"/>
  <c r="BZ214" i="1" s="1"/>
  <c r="CA214" i="1" s="1"/>
  <c r="CB214" i="1" s="1"/>
  <c r="CW214" i="1" s="1"/>
  <c r="BY49" i="1"/>
  <c r="BZ49" i="1" s="1"/>
  <c r="CA49" i="1" s="1"/>
  <c r="CB49" i="1" s="1"/>
  <c r="CW49" i="1" s="1"/>
  <c r="BY57" i="1"/>
  <c r="BZ57" i="1" s="1"/>
  <c r="CA57" i="1" s="1"/>
  <c r="CB57" i="1" s="1"/>
  <c r="CW57" i="1" s="1"/>
  <c r="BY305" i="1"/>
  <c r="BZ305" i="1" s="1"/>
  <c r="CA305" i="1" s="1"/>
  <c r="CB305" i="1" s="1"/>
  <c r="CW305" i="1" s="1"/>
  <c r="BY146" i="1"/>
  <c r="BZ146" i="1" s="1"/>
  <c r="CA146" i="1" s="1"/>
  <c r="CB146" i="1" s="1"/>
  <c r="CW146" i="1" s="1"/>
  <c r="BY191" i="1"/>
  <c r="BZ191" i="1" s="1"/>
  <c r="CA191" i="1" s="1"/>
  <c r="CB191" i="1" s="1"/>
  <c r="CW191" i="1" s="1"/>
  <c r="BY58" i="1"/>
  <c r="BZ58" i="1" s="1"/>
  <c r="CA58" i="1" s="1"/>
  <c r="CB58" i="1" s="1"/>
  <c r="CW58" i="1" s="1"/>
  <c r="BY89" i="1"/>
  <c r="BZ89" i="1" s="1"/>
  <c r="CA89" i="1" s="1"/>
  <c r="CB89" i="1" s="1"/>
  <c r="CW89" i="1" s="1"/>
  <c r="BY180" i="1"/>
  <c r="BZ180" i="1" s="1"/>
  <c r="CA180" i="1" s="1"/>
  <c r="CB180" i="1" s="1"/>
  <c r="CW180" i="1" s="1"/>
  <c r="BY70" i="1"/>
  <c r="BZ70" i="1" s="1"/>
  <c r="CA70" i="1" s="1"/>
  <c r="CB70" i="1" s="1"/>
  <c r="CW70" i="1" s="1"/>
  <c r="BY261" i="1"/>
  <c r="BZ261" i="1" s="1"/>
  <c r="CA261" i="1" s="1"/>
  <c r="CB261" i="1" s="1"/>
  <c r="CW261" i="1" s="1"/>
  <c r="BY86" i="1"/>
  <c r="BZ86" i="1" s="1"/>
  <c r="CA86" i="1" s="1"/>
  <c r="CB86" i="1" s="1"/>
  <c r="CW86" i="1" s="1"/>
  <c r="BY174" i="1"/>
  <c r="BZ174" i="1" s="1"/>
  <c r="CA174" i="1" s="1"/>
  <c r="CB174" i="1" s="1"/>
  <c r="CW174" i="1" s="1"/>
  <c r="BY233" i="1"/>
  <c r="BZ233" i="1" s="1"/>
  <c r="CA233" i="1" s="1"/>
  <c r="CB233" i="1" s="1"/>
  <c r="CW233" i="1" s="1"/>
  <c r="BY30" i="1"/>
  <c r="BZ30" i="1" s="1"/>
  <c r="CA30" i="1" s="1"/>
  <c r="CB30" i="1" s="1"/>
  <c r="CW30" i="1" s="1"/>
  <c r="BY292" i="1"/>
  <c r="BZ292" i="1" s="1"/>
  <c r="CA292" i="1" s="1"/>
  <c r="CB292" i="1" s="1"/>
  <c r="CW292" i="1" s="1"/>
  <c r="BY53" i="1"/>
  <c r="BZ53" i="1" s="1"/>
  <c r="CA53" i="1" s="1"/>
  <c r="CB53" i="1" s="1"/>
  <c r="CW53" i="1" s="1"/>
  <c r="BY260" i="1"/>
  <c r="BZ260" i="1" s="1"/>
  <c r="CA260" i="1" s="1"/>
  <c r="CB260" i="1" s="1"/>
  <c r="CW260" i="1" s="1"/>
  <c r="BY9" i="1"/>
  <c r="BZ9" i="1" s="1"/>
  <c r="CA9" i="1" s="1"/>
  <c r="CB9" i="1" s="1"/>
  <c r="CW9" i="1" s="1"/>
  <c r="BY17" i="1"/>
  <c r="BZ17" i="1" s="1"/>
  <c r="CA17" i="1" s="1"/>
  <c r="CB17" i="1" s="1"/>
  <c r="CW17" i="1" s="1"/>
  <c r="BY182" i="1"/>
  <c r="BZ182" i="1" s="1"/>
  <c r="CA182" i="1" s="1"/>
  <c r="CB182" i="1" s="1"/>
  <c r="CW182" i="1" s="1"/>
  <c r="BY8" i="1"/>
  <c r="BZ8" i="1" s="1"/>
  <c r="CA8" i="1" s="1"/>
  <c r="CB8" i="1" s="1"/>
  <c r="CW8" i="1" s="1"/>
  <c r="BY186" i="1"/>
  <c r="BZ186" i="1" s="1"/>
  <c r="CA186" i="1" s="1"/>
  <c r="CB186" i="1" s="1"/>
  <c r="CW186" i="1" s="1"/>
  <c r="BY16" i="1"/>
  <c r="BZ16" i="1" s="1"/>
  <c r="CA16" i="1" s="1"/>
  <c r="CB16" i="1" s="1"/>
  <c r="CW16" i="1" s="1"/>
  <c r="BY301" i="1"/>
  <c r="BZ301" i="1" s="1"/>
  <c r="CA301" i="1" s="1"/>
  <c r="CB301" i="1" s="1"/>
  <c r="CW301" i="1" s="1"/>
  <c r="BY109" i="1"/>
  <c r="BZ109" i="1" s="1"/>
  <c r="CA109" i="1" s="1"/>
  <c r="CB109" i="1" s="1"/>
  <c r="CW109" i="1" s="1"/>
  <c r="BY215" i="1"/>
  <c r="BZ215" i="1" s="1"/>
  <c r="CA215" i="1" s="1"/>
  <c r="CB215" i="1" s="1"/>
  <c r="CW215" i="1" s="1"/>
  <c r="BY121" i="1"/>
  <c r="BZ121" i="1" s="1"/>
  <c r="CA121" i="1" s="1"/>
  <c r="CB121" i="1" s="1"/>
  <c r="CW121" i="1" s="1"/>
  <c r="BY274" i="1"/>
  <c r="BZ274" i="1" s="1"/>
  <c r="CA274" i="1" s="1"/>
  <c r="CB274" i="1" s="1"/>
  <c r="CW274" i="1" s="1"/>
  <c r="BY81" i="1"/>
  <c r="BZ81" i="1" s="1"/>
  <c r="CA81" i="1" s="1"/>
  <c r="CB81" i="1" s="1"/>
  <c r="CW81" i="1" s="1"/>
  <c r="BY63" i="1"/>
  <c r="BZ63" i="1" s="1"/>
  <c r="CA63" i="1" s="1"/>
  <c r="CB63" i="1" s="1"/>
  <c r="CW63" i="1" s="1"/>
  <c r="BY33" i="1"/>
  <c r="BZ33" i="1" s="1"/>
  <c r="CA33" i="1" s="1"/>
  <c r="CB33" i="1" s="1"/>
  <c r="CW33" i="1" s="1"/>
  <c r="BY145" i="1"/>
  <c r="BZ145" i="1" s="1"/>
  <c r="CA145" i="1" s="1"/>
  <c r="CB145" i="1" s="1"/>
  <c r="CW145" i="1" s="1"/>
  <c r="BY284" i="1"/>
  <c r="BZ284" i="1" s="1"/>
  <c r="CA284" i="1" s="1"/>
  <c r="CB284" i="1" s="1"/>
  <c r="CW284" i="1" s="1"/>
  <c r="BY74" i="1"/>
  <c r="BZ74" i="1" s="1"/>
  <c r="CA74" i="1" s="1"/>
  <c r="CB74" i="1" s="1"/>
  <c r="CW74" i="1" s="1"/>
  <c r="BY287" i="1"/>
  <c r="BZ287" i="1" s="1"/>
  <c r="CA287" i="1" s="1"/>
  <c r="CB287" i="1" s="1"/>
  <c r="CW287" i="1" s="1"/>
  <c r="BY177" i="1"/>
  <c r="BZ177" i="1" s="1"/>
  <c r="CA177" i="1" s="1"/>
  <c r="CB177" i="1" s="1"/>
  <c r="CW177" i="1" s="1"/>
  <c r="BY7" i="1"/>
  <c r="BZ7" i="1" s="1"/>
  <c r="CA7" i="1" s="1"/>
  <c r="CB7" i="1" s="1"/>
  <c r="CW7" i="1" s="1"/>
  <c r="BY273" i="1"/>
  <c r="BZ273" i="1" s="1"/>
  <c r="CA273" i="1" s="1"/>
  <c r="CB273" i="1" s="1"/>
  <c r="CW273" i="1" s="1"/>
  <c r="BY241" i="1"/>
  <c r="BZ241" i="1" s="1"/>
  <c r="CA241" i="1" s="1"/>
  <c r="CB241" i="1" s="1"/>
  <c r="CW241" i="1" s="1"/>
  <c r="BY132" i="1"/>
  <c r="BZ132" i="1" s="1"/>
  <c r="CA132" i="1" s="1"/>
  <c r="CB132" i="1" s="1"/>
  <c r="CW132" i="1" s="1"/>
  <c r="BY224" i="1"/>
  <c r="BZ224" i="1" s="1"/>
  <c r="CA224" i="1" s="1"/>
  <c r="CB224" i="1" s="1"/>
  <c r="CW224" i="1" s="1"/>
  <c r="CW45" i="1"/>
  <c r="BY13" i="1"/>
  <c r="BZ13" i="1" s="1"/>
  <c r="CA13" i="1" s="1"/>
  <c r="CB13" i="1" s="1"/>
  <c r="CW13" i="1" s="1"/>
  <c r="BY234" i="1"/>
  <c r="BZ234" i="1" s="1"/>
  <c r="CA234" i="1" s="1"/>
  <c r="CB234" i="1" s="1"/>
  <c r="CW234" i="1" s="1"/>
  <c r="BY197" i="1"/>
  <c r="BZ197" i="1" s="1"/>
  <c r="CA197" i="1" s="1"/>
  <c r="CB197" i="1" s="1"/>
  <c r="CW197" i="1" s="1"/>
  <c r="BY95" i="1"/>
  <c r="BZ95" i="1" s="1"/>
  <c r="CA95" i="1" s="1"/>
  <c r="CB95" i="1" s="1"/>
  <c r="CW95" i="1" s="1"/>
  <c r="BY113" i="1"/>
  <c r="BZ113" i="1" s="1"/>
  <c r="CA113" i="1" s="1"/>
  <c r="CB113" i="1" s="1"/>
  <c r="CW113" i="1" s="1"/>
  <c r="BY168" i="1"/>
  <c r="BZ168" i="1" s="1"/>
  <c r="CA168" i="1" s="1"/>
  <c r="CB168" i="1" s="1"/>
  <c r="CW168" i="1" s="1"/>
  <c r="BY120" i="1"/>
  <c r="BZ120" i="1" s="1"/>
  <c r="CA120" i="1" s="1"/>
  <c r="CB120" i="1" s="1"/>
  <c r="CW120" i="1" s="1"/>
  <c r="BY238" i="1"/>
  <c r="BZ238" i="1" s="1"/>
  <c r="CA238" i="1" s="1"/>
  <c r="CB238" i="1" s="1"/>
  <c r="CW238" i="1" s="1"/>
  <c r="BY122" i="1"/>
  <c r="BZ122" i="1" s="1"/>
  <c r="CA122" i="1" s="1"/>
  <c r="CB122" i="1" s="1"/>
  <c r="CW122" i="1" s="1"/>
  <c r="BY169" i="1"/>
  <c r="BZ169" i="1" s="1"/>
  <c r="CA169" i="1" s="1"/>
  <c r="CB169" i="1" s="1"/>
  <c r="CW169" i="1" s="1"/>
  <c r="BY66" i="1"/>
  <c r="BZ66" i="1" s="1"/>
  <c r="CA66" i="1" s="1"/>
  <c r="CB66" i="1" s="1"/>
  <c r="CW66" i="1" s="1"/>
  <c r="CW297" i="1"/>
  <c r="BY106" i="1"/>
  <c r="BZ106" i="1" s="1"/>
  <c r="CA106" i="1" s="1"/>
  <c r="CB106" i="1" s="1"/>
  <c r="CW106" i="1" s="1"/>
  <c r="BY299" i="1"/>
  <c r="BZ299" i="1" s="1"/>
  <c r="CA299" i="1" s="1"/>
  <c r="CB299" i="1" s="1"/>
  <c r="CW299" i="1" s="1"/>
  <c r="BY254" i="1"/>
  <c r="BZ254" i="1" s="1"/>
  <c r="CA254" i="1" s="1"/>
  <c r="CB254" i="1" s="1"/>
  <c r="CW25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tc={AA9AA304-E7FD-437F-A543-E9F7BB6B91EA}</author>
    <author>tc={492789FB-499E-4232-8EC0-522E1278BEBB}</author>
    <author>tc={A7314884-5A3D-41DD-B42C-7E856D4A0A89}</author>
    <author>tc={B1C1704D-CA79-4405-AC75-76307C9764C5}</author>
    <author>tc={34C0553E-5297-40D4-91A7-FD6F53C7916F}</author>
    <author>tc={93833191-6AF9-468B-8734-1B20D11158ED}</author>
    <author>tc={F70D028F-88DE-4D1D-88CD-C9444E3EF2B9}</author>
    <author>tc={8029887A-6C2E-4C97-A4BF-08A9BFA0F886}</author>
    <author>tc={BEF64EA4-A7F5-4C30-AB9C-002EB37BC954}</author>
    <author>tc={657909F8-E41F-4577-A1C0-182A0FFA0A36}</author>
    <author>tc={76140300-1B84-4866-B5EA-21D5BC65779B}</author>
    <author>tc={B41CFC06-8D8C-45AB-8CAF-35A1368A64BB}</author>
    <author>tc={5558493E-7FAA-43AF-AD16-E54EFC20B8A0}</author>
    <author>tc={6D05A5F8-D185-4C0B-AE0F-1EE22F873018}</author>
    <author>tc={B9BFC68A-A45C-43A5-BD6F-FA2FFA61F906}</author>
    <author>tc={83E912EA-6E46-46E5-836E-0B5A36FC6315}</author>
    <author>tc={181C1E21-AB30-402C-A879-9D4624425CD1}</author>
    <author>tc={00BA51F4-3955-411A-B359-9073BD8F59B0}</author>
    <author>tc={F21E8FBE-6A13-4262-8A6A-2EB7B323C988}</author>
    <author>tc={166FC166-4287-4799-9E29-96926B84367B}</author>
    <author>tc={66B37E5A-A272-4419-BB9A-A83A81DDAE5A}</author>
    <author>tc={129B9508-81A0-47B2-A0A3-30AEB6350192}</author>
    <author>tc={9A00035F-146D-4FF8-A7D0-DD53150E4E96}</author>
    <author>tc={73186E63-912D-4C15-8DAA-D4F43D34B9D5}</author>
    <author>tc={EBFDF140-6328-4824-91D7-53FD810C8754}</author>
    <author>tc={E664B03C-44FA-4525-93A2-8ED8483FE72E}</author>
    <author>tc={FACA2677-81DE-49BF-91D2-4978CF89E6A1}</author>
    <author>tc={1D7FA3DD-21AE-4D95-BE7B-42876B468722}</author>
    <author>tc={60E7DB0A-35A9-477C-A1E4-0138345DDF9C}</author>
    <author>tc={FEBA29B8-22C2-419B-B0BE-8B2DCF3A6214}</author>
    <author>tc={FD4BE536-9499-4FA9-9043-55424F3AB1A5}</author>
    <author>tc={F513BEE0-FE36-4F0E-A1CE-7CE6AD567D7B}</author>
    <author>tc={658EFE60-C1F8-449F-B230-83B7D2F049F9}</author>
    <author>hcjun</author>
    <author>tc={EDFD8DCB-A4CC-4949-A111-CB9C485C9387}</author>
    <author>tc={92E1B341-9305-4576-9D3B-C29CC657989F}</author>
    <author>tc={89670DD3-F15B-430E-A83B-C4505337B5D5}</author>
    <author>tc={F1C47A28-1882-43FD-90E4-5B48EF5DE88B}</author>
    <author>tc={A7EBB443-BFB1-400D-9A21-CD602454288C}</author>
    <author>tc={88414A7B-32E8-4F87-9BDC-2E9C89EAA71F}</author>
    <author>tc={6B0A4E94-6D6A-49F2-A048-DAC8D5ED315F}</author>
    <author>tc={6FFCF986-C87C-4C60-B9DC-42C6B8722B52}</author>
    <author>tc={EDA82C12-163F-4752-9B1A-0DD55038EE88}</author>
    <author>tc={485C0EB7-3443-4A7B-A9E1-74780A16BAEE}</author>
    <author>tc={516C9813-73ED-4BFA-A470-55167FE95DEC}</author>
    <author>tc={12E0EAE9-F768-4462-A4C9-B07832CE6835}</author>
    <author>tc={022B6CA4-F3F5-4112-BC3A-731B756E3B61}</author>
    <author>tc={A1F4DA78-B1CA-46C0-942F-B51369CDDDE2}</author>
    <author>tc={51EFED38-E60B-4A9D-B0B1-91DFE8C08A21}</author>
    <author>tc={69CF0892-4962-4A42-A568-82EAA02A53C1}</author>
    <author>tc={086C6BE3-1751-44EC-BBBF-440768E9A794}</author>
    <author>tc={9B1E4EA0-B49B-4283-B9D5-1448C79469B2}</author>
    <author>tc={B18B79CC-2BE2-4303-BC4A-22ED1FEF5D36}</author>
    <author>tc={FEF7E119-6EE6-4298-82C4-DE91919EBA6D}</author>
    <author>tc={D124675C-BE55-4BE2-B0CD-263B6F10757E}</author>
    <author>tc={E974FE23-5D43-4B72-8D73-A5C2F4A297BF}</author>
    <author>tc={61B24862-6DFC-4EDF-BF14-98F03399157D}</author>
    <author>tc={8D2F2EF8-CC5E-46AC-B303-E75FCDEF8471}</author>
    <author>tc={114C77A8-6E51-49FE-A0FC-96DDB2F97D04}</author>
    <author>tc={3F3CE0E8-8F1C-4F37-9E89-64F00AB9D39B}</author>
    <author>tc={2739D8EC-7FD5-4DF1-AF34-FF19053B8D05}</author>
    <author>tc={B47AFDDB-045A-4A44-804A-9FFD1E19D6E0}</author>
    <author>tc={9D576469-D704-4157-81DA-84029C303BB6}</author>
    <author>tc={A4736A8B-756C-44F0-BE3F-53ABD365DFC3}</author>
    <author>tc={3C5A7F7C-1A5F-4A6D-914C-90AC358AD204}</author>
    <author>tc={D2D6ECCF-F628-4474-AE90-76E598263003}</author>
    <author>tc={91B1974E-D915-498F-AE18-5055E218BCE0}</author>
    <author>tc={BFA5C3C0-D3A2-45A3-AFE1-EC0932D6AAA5}</author>
    <author>tc={DBF1593E-F348-44BF-821D-3989BFF7B578}</author>
    <author>tc={36335D32-BD85-448A-BEF8-F2E3AC1B3C29}</author>
    <author>tc={3292E84F-B80C-4B4E-A19D-24100B8F1C1B}</author>
    <author>tc={B8F560EA-0964-4E78-89EC-23411980A97C}</author>
    <author>tc={E29E7B0F-0200-4D89-81F2-40CEA78A21C8}</author>
    <author>tc={8BE66964-35DE-4671-BD17-3D57D29E7B20}</author>
    <author>tc={3363FFC5-A899-44E0-B1D8-B6AF0355E18A}</author>
    <author>tc={BF7CA869-80BA-40FA-AE00-CD974AC90998}</author>
    <author>tc={6B3EC4FF-B95D-4E3E-8EEF-1588A3931A5A}</author>
    <author>tc={F2F50BE6-65CA-4747-9C72-1AC3958961E1}</author>
    <author>tc={4BF9BADB-06BB-4353-9DEC-5EA870309417}</author>
    <author>tc={173EBB96-FB74-40F1-BB11-DF20DB0C54FD}</author>
    <author>tc={5799C3E3-F2AB-4647-A735-24A636EFF7E8}</author>
    <author>tc={C94D8AC5-4AEC-481A-B79A-C9435BE62845}</author>
    <author>tc={D2AA32E6-6957-48E9-B05B-D67EBAC8CF3D}</author>
    <author>tc={ACFBA44B-9949-4007-B1B9-0F88A4D853E9}</author>
    <author>tc={27F91D83-281C-4B09-B310-3AA9791EF070}</author>
    <author>tc={36D87750-95E5-4AF4-9AD3-40780E98D3CE}</author>
    <author>tc={EBA0CEBB-A5A2-494B-976B-3872E8AB7A25}</author>
    <author>tc={DB268A9B-C434-48A0-B00B-4E7593EB15ED}</author>
    <author>tc={5D9B6F99-DF58-4D2B-8E7F-0C63FE9F5FDA}</author>
    <author>tc={883C925F-1F76-497F-BF38-4EE9F1586C87}</author>
    <author>tc={16FD38FD-17F7-495E-9F89-7244A4F6042C}</author>
    <author>tc={FD1CA0E4-2862-4E7A-A465-A7108642CBAC}</author>
    <author>tc={EDA89523-3910-4684-B4F6-386F5F491F62}</author>
    <author>tc={DDE93B46-2615-4F14-A473-A7082C117F7F}</author>
    <author>tc={435450AB-14AE-462E-8513-690580A854E4}</author>
    <author>tc={9BC77E54-E4B3-46CD-AD61-7081BECA77CD}</author>
    <author>tc={0B5F2762-535E-4491-B5DB-5D921B432432}</author>
    <author>tc={32C5878D-431F-4732-8EB3-83FEC5248BE2}</author>
    <author>tc={2AF141B0-1EFB-4B55-81F0-3911C3D1813A}</author>
    <author>tc={BEA13892-8101-4A6D-AA8B-801C9BB3FA11}</author>
    <author>tc={04A040F1-1F18-4FF2-A7EB-0B98D24A0324}</author>
    <author>tc={F04AEECC-8A48-486D-85C8-E764B3A87BB7}</author>
    <author>tc={307B1C28-0A35-4655-901E-F9642C45A1F7}</author>
    <author>tc={1E465C33-74EA-45E6-A6B3-ECCCC8A7E2A2}</author>
    <author>tc={D3512467-90C1-4727-AC5B-E5CBE58BB9F0}</author>
    <author>tc={D33B0551-9339-47CC-BB3B-7B6182B230F2}</author>
    <author>tc={F6C3BAF4-E15D-4878-86B1-8793CA335429}</author>
    <author>tc={0E190BC2-061C-4371-BC31-EE14021D30A6}</author>
    <author>tc={03D1974C-7A24-40F4-8D4D-032DF972D66E}</author>
    <author>tc={F8B6FC79-6AC3-4286-AE98-2412F1252328}</author>
    <author>tc={08C736A2-CD06-447F-B5A6-2AB470B503EB}</author>
    <author>tc={3B0A5C6E-2BB9-497B-88B6-2008410EEBFF}</author>
    <author>tc={98CD4464-B518-4AC0-A4F3-441C4AC470B1}</author>
    <author>tc={4145B969-2A15-40AE-9EAB-6D400D508735}</author>
    <author>tc={8448E939-2684-41A2-878A-203CCEC4B0CE}</author>
    <author>tc={9A47C3AC-0552-4ADF-BFA9-3B5C969037B9}</author>
    <author>tc={406A1D53-EE50-4361-91D6-C2FED47340EC}</author>
    <author>tc={77857671-BFC7-416F-822A-D311FA36A971}</author>
    <author>tc={2A0A630B-03FE-4E00-B5CE-7BDB2A75DD7A}</author>
    <author>tc={E1C6FBB7-0F08-4F5E-B0C7-4CF9673835AB}</author>
    <author>tc={3893F6ED-05D5-43BB-BF3F-3A47511E9D55}</author>
    <author>tc={E0CA7A40-B43E-41D7-A7E9-E8786C79A714}</author>
    <author>tc={54904909-EF4D-4656-B181-B8FF22B7568C}</author>
    <author>tc={991B4DB9-E0C3-4417-9102-8DE136BAD32C}</author>
    <author>tc={46CB66F5-B2CD-4F36-AC4A-2B0A90B540A1}</author>
    <author>tc={AAFD985F-C2C4-477A-A947-54A289EB05FD}</author>
    <author>tc={6360991D-39DF-416C-8FFB-582F99E25DCC}</author>
    <author>tc={F5B07D6A-8F0B-43FE-B969-4213FE43AB03}</author>
    <author>tc={580BF9E4-F44C-4E00-B942-40E6E0EA9EC5}</author>
    <author>tc={5BC1E829-C289-48DB-93C5-17542615372E}</author>
    <author>tc={B0D82AB3-9927-4FB7-BBDB-C851E6E81533}</author>
    <author>tc={C6D6F7BD-AA87-4B2B-B157-28E61107BD6D}</author>
    <author>tc={64743E15-F572-4C6D-8CF2-E43A7178DF95}</author>
    <author>tc={D924BD21-02DE-4DDE-AD24-4AEE93E5C39B}</author>
    <author>tc={1381B5D2-D3F6-4034-8B61-91739ABCDF3F}</author>
    <author>tc={CADE798A-B3DC-4F53-B02E-D90078F5C250}</author>
    <author>tc={2474763A-5E6A-4EE3-97CE-9E34DC02372B}</author>
    <author>tc={06CB9014-D678-4C03-AB86-BC9CEA3D1269}</author>
    <author>tc={47EFE0E8-0946-40C5-ACF5-430FDD4EAFE0}</author>
    <author>tc={5293A488-15D1-4A71-B905-F77CDE45C049}</author>
    <author>tc={33B669BD-7C8C-4B77-86DA-000E03B672BB}</author>
    <author>tc={E2ACD08E-CD7D-43F7-BAC0-6FA7B9473E88}</author>
    <author>tc={1AFE2A5A-907E-42D0-BB3E-00028E9AFA82}</author>
    <author>tc={305F585B-F3B1-4C82-BBA9-003834EC1352}</author>
    <author>tc={9FEAB612-79C8-40DC-8995-E679DAD05E17}</author>
    <author>tc={08F6EE13-75AB-411A-A9B0-E40DA81D4BF1}</author>
    <author>tc={92AE167E-70E3-429A-BA8D-CD64EC87686B}</author>
    <author>tc={525256D8-F1AF-4E5A-A6BA-564944800713}</author>
    <author>tc={D5CF21C5-DA6F-4ABE-8F7B-E41A9166656B}</author>
    <author>tc={BCD97830-6437-4B2F-BD29-41EC08FAE3C3}</author>
    <author>tc={DA0A9E64-91BF-4617-96C2-741B8417E9B3}</author>
    <author>tc={4A648317-0ED6-4C83-90D3-030DFACBBB48}</author>
    <author>tc={CF1AD1E8-B8D1-4BB3-BEE9-35A7D2B00A27}</author>
    <author>tc={EB40D90D-5191-43F4-B753-1C028CA73DCE}</author>
    <author>tc={CB0E8549-0987-4351-A94C-14ECFEA34230}</author>
    <author>tc={C09685AD-A68D-4759-99FF-0EA11BF1CE88}</author>
    <author>tc={FF1E1F26-088A-4026-93BE-31B353DF9DEC}</author>
    <author>tc={5067944B-4763-4473-8F52-2C62F213C65C}</author>
    <author>tc={B2409A2E-92E7-4AC3-810D-5130DB33F332}</author>
    <author>tc={AFCE64AC-5FBD-4AE2-9E24-A873B513D088}</author>
    <author>tc={B7C94831-028A-4456-913B-71C05CAB2502}</author>
    <author>tc={3B495411-19AE-4904-B078-FA68D62F05A8}</author>
    <author>tc={0080BC50-5617-4A28-B1A4-DBEA5D9563A1}</author>
    <author>tc={B634570B-AF44-4EA6-8E3D-AE75856A3C13}</author>
    <author>tc={E0519D60-7F3C-4A85-BB06-60C1CBEF49BB}</author>
    <author>tc={D0C0034A-5BC9-46C7-A884-C65D77805B2F}</author>
    <author>tc={E5675618-4230-49C9-9E1D-D461CBA7FCD3}</author>
    <author>tc={ECF48F09-2EE7-4160-9C7A-F64959CAF52F}</author>
    <author>tc={4A8E5FBD-BA2B-42F2-8499-DB28A9F8D26A}</author>
    <author>tc={CDA5A381-28DA-4D09-8596-98A71F06C834}</author>
    <author>tc={22CFA96E-8834-4190-A2D7-2A74809EA62F}</author>
    <author>tc={96716474-B4FD-4B17-AB2B-D909E1D047A3}</author>
    <author>tc={9AD7164C-BF75-4B7D-99AA-EE707D78D412}</author>
    <author>tc={23C51839-0BBA-4D72-AE46-51EABFF220E1}</author>
    <author>tc={5208D8CB-ADBB-4578-A3CD-E60495719C95}</author>
    <author>tc={E160A4B0-28ED-4FFE-AF8F-B60FBCA0BD2D}</author>
    <author>tc={EC58937C-BB62-4561-AC76-A7F144139AD6}</author>
    <author>tc={8A5B9FBA-55AC-4269-8DA6-631941EE108B}</author>
    <author>tc={D716EF03-1388-4263-890E-62F41A480EAE}</author>
    <author>tc={87A5D2D7-8ADF-4AC3-B6E6-90ED05DB39F3}</author>
    <author>tc={DE8CD95B-EC1A-4474-9A92-5A68ACFEE10E}</author>
    <author>tc={9C0CF271-08ED-45E3-AA4F-48A8BEC9696B}</author>
    <author>tc={FEE76BBC-ECC9-4D97-8A6E-5595DEDE5560}</author>
    <author>tc={F29FDDC3-6513-4464-A022-DA97015C0843}</author>
    <author>tc={33581963-77AA-4094-9696-C545D6ACB5C7}</author>
    <author>tc={F9627E93-B60F-4065-A51A-E83E8A044579}</author>
    <author>tc={60CB7DDB-6421-438F-A9E6-6BE150CA8FF7}</author>
    <author>tc={1E49AE7D-369C-45B2-B4D5-3F3EA97579DF}</author>
    <author>tc={5EADAFB0-496D-49D3-8C9D-B689C84331A3}</author>
    <author>tc={BBD9EDEF-3D53-4719-91A7-F29353F98BAF}</author>
    <author>tc={E638A0A8-F9A9-4FC6-AB46-D8A7F98D66EA}</author>
  </authors>
  <commentList>
    <comment ref="BG2" authorId="0" shapeId="0" xr:uid="{00000000-0006-0000-0000-000084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3" authorId="1" shapeId="0" xr:uid="{00000000-0006-0000-0000-00004D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4" authorId="2" shapeId="0" xr:uid="{00000000-0006-0000-0000-00004B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5" authorId="3" shapeId="0" xr:uid="{00000000-0006-0000-0000-00007E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6" authorId="4" shapeId="0" xr:uid="{00000000-0006-0000-0000-00004C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7" authorId="5" shapeId="0" xr:uid="{00000000-0006-0000-0000-0000BC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9" authorId="6" shapeId="0" xr:uid="{00000000-0006-0000-0000-00003B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10" authorId="7" shapeId="0" xr:uid="{00000000-0006-0000-0000-000007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11" authorId="8" shapeId="0" xr:uid="{00000000-0006-0000-0000-00008B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12" authorId="9" shapeId="0" xr:uid="{00000000-0006-0000-0000-000047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13" authorId="10" shapeId="0" xr:uid="{00000000-0006-0000-0000-0000B2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14" authorId="11" shapeId="0" xr:uid="{00000000-0006-0000-0000-000040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16" authorId="12" shapeId="0" xr:uid="{00000000-0006-0000-0000-0000B1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AM20" authorId="13" shapeId="0" xr:uid="{00000000-0006-0000-0000-000041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동일인</t>
      </text>
    </comment>
    <comment ref="U21" authorId="14" shapeId="0" xr:uid="{00000000-0006-0000-0000-0000A8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비영리재단 동일인</t>
      </text>
    </comment>
    <comment ref="X21" authorId="15" shapeId="0" xr:uid="{00000000-0006-0000-0000-0000A9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비영리재단 동일인</t>
      </text>
    </comment>
    <comment ref="AM22" authorId="16" shapeId="0" xr:uid="{00000000-0006-0000-0000-000093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동일인</t>
      </text>
    </comment>
    <comment ref="BG23" authorId="17" shapeId="0" xr:uid="{00000000-0006-0000-0000-0000C4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O24" authorId="18" shapeId="0" xr:uid="{00000000-0006-0000-0000-000069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CH24" authorId="19" shapeId="0" xr:uid="{00000000-0006-0000-0000-00006A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수기계산 : 신용위험 / 총자산</t>
      </text>
    </comment>
    <comment ref="BG29" authorId="20" shapeId="0" xr:uid="{00000000-0006-0000-0000-000099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30" authorId="21" shapeId="0" xr:uid="{00000000-0006-0000-0000-00003D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31" authorId="22" shapeId="0" xr:uid="{00000000-0006-0000-0000-00004A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AM32" authorId="23" shapeId="0" xr:uid="{00000000-0006-0000-0000-000026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동일인</t>
      </text>
    </comment>
    <comment ref="BG32" authorId="24" shapeId="0" xr:uid="{00000000-0006-0000-0000-000027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33" authorId="25" shapeId="0" xr:uid="{00000000-0006-0000-0000-000068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34" authorId="26" shapeId="0" xr:uid="{00000000-0006-0000-0000-00007B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37" authorId="27" shapeId="0" xr:uid="{00000000-0006-0000-0000-000081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AM38" authorId="28" shapeId="0" xr:uid="{00000000-0006-0000-0000-0000AA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동일인</t>
      </text>
    </comment>
    <comment ref="BG39" authorId="29" shapeId="0" xr:uid="{00000000-0006-0000-0000-00003C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40" authorId="30" shapeId="0" xr:uid="{00000000-0006-0000-0000-000076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41" authorId="31" shapeId="0" xr:uid="{00000000-0006-0000-0000-00002B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42" authorId="32" shapeId="0" xr:uid="{00000000-0006-0000-0000-00001A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AM44" authorId="33" shapeId="0" xr:uid="{00000000-0006-0000-0000-00001F000000}">
      <text>
        <r>
          <rPr>
            <b/>
            <sz val="9"/>
            <color indexed="81"/>
            <rFont val="Tahoma"/>
            <family val="2"/>
          </rPr>
          <t>hcjun: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정종우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기타비상무이사
모회사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㈜코리아피아이홀딩스
대표이사</t>
        </r>
      </text>
    </comment>
    <comment ref="BG45" authorId="34" shapeId="0" xr:uid="{00000000-0006-0000-0000-000098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46" authorId="35" shapeId="0" xr:uid="{00000000-0006-0000-0000-000011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U47" authorId="36" shapeId="0" xr:uid="{00000000-0006-0000-0000-000086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국민연금 대주주 동일인 없음</t>
      </text>
    </comment>
    <comment ref="BG47" authorId="37" shapeId="0" xr:uid="{00000000-0006-0000-0000-000087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U48" authorId="38" shapeId="0" xr:uid="{00000000-0006-0000-0000-000089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국민연금 대주주 동일인 없음</t>
      </text>
    </comment>
    <comment ref="BG48" authorId="39" shapeId="0" xr:uid="{00000000-0006-0000-0000-00008A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AM51" authorId="40" shapeId="0" xr:uid="{00000000-0006-0000-0000-00008D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동일인</t>
      </text>
    </comment>
    <comment ref="BG51" authorId="41" shapeId="0" xr:uid="{00000000-0006-0000-0000-00008E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53" authorId="42" shapeId="0" xr:uid="{00000000-0006-0000-0000-000019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AM54" authorId="43" shapeId="0" xr:uid="{00000000-0006-0000-0000-00001C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동일인</t>
      </text>
    </comment>
    <comment ref="BG54" authorId="44" shapeId="0" xr:uid="{00000000-0006-0000-0000-00001D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AM55" authorId="45" shapeId="0" xr:uid="{00000000-0006-0000-0000-0000B7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동일인</t>
      </text>
    </comment>
    <comment ref="BG55" authorId="46" shapeId="0" xr:uid="{00000000-0006-0000-0000-0000B8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56" authorId="47" shapeId="0" xr:uid="{00000000-0006-0000-0000-0000C3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58" authorId="48" shapeId="0" xr:uid="{00000000-0006-0000-0000-000049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AM60" authorId="49" shapeId="0" xr:uid="{00000000-0006-0000-0000-000030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동일인</t>
      </text>
    </comment>
    <comment ref="BG60" authorId="50" shapeId="0" xr:uid="{00000000-0006-0000-0000-000031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AM62" authorId="51" shapeId="0" xr:uid="{00000000-0006-0000-0000-0000A6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동일인</t>
      </text>
    </comment>
    <comment ref="BG62" authorId="52" shapeId="0" xr:uid="{00000000-0006-0000-0000-0000A7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AM63" authorId="53" shapeId="0" xr:uid="{00000000-0006-0000-0000-000024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동일인</t>
      </text>
    </comment>
    <comment ref="BG63" authorId="54" shapeId="0" xr:uid="{00000000-0006-0000-0000-000025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AM64" authorId="55" shapeId="0" xr:uid="{00000000-0006-0000-0000-000057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동일인</t>
      </text>
    </comment>
    <comment ref="U66" authorId="56" shapeId="0" xr:uid="{00000000-0006-0000-0000-0000AC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비영리법인 동일인</t>
      </text>
    </comment>
    <comment ref="X66" authorId="57" shapeId="0" xr:uid="{00000000-0006-0000-0000-0000AD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비영리재단 동일인</t>
      </text>
    </comment>
    <comment ref="BG66" authorId="58" shapeId="0" xr:uid="{00000000-0006-0000-0000-0000AE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67" authorId="59" shapeId="0" xr:uid="{00000000-0006-0000-0000-000045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69" authorId="60" shapeId="0" xr:uid="{00000000-0006-0000-0000-00007D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70" authorId="61" shapeId="0" xr:uid="{00000000-0006-0000-0000-0000BB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72" authorId="62" shapeId="0" xr:uid="{00000000-0006-0000-0000-00009D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74" authorId="63" shapeId="0" xr:uid="{00000000-0006-0000-0000-000016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76" authorId="64" shapeId="0" xr:uid="{00000000-0006-0000-0000-0000B6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77" authorId="65" shapeId="0" xr:uid="{00000000-0006-0000-0000-000056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V78" authorId="66" shapeId="0" xr:uid="{00000000-0006-0000-0000-000097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Dart 공시 오류</t>
      </text>
    </comment>
    <comment ref="U79" authorId="67" shapeId="0" xr:uid="{00000000-0006-0000-0000-000072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비영리법인 동일인</t>
      </text>
    </comment>
    <comment ref="X79" authorId="68" shapeId="0" xr:uid="{00000000-0006-0000-0000-000073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비영리법인 동일인</t>
      </text>
    </comment>
    <comment ref="BG81" authorId="69" shapeId="0" xr:uid="{00000000-0006-0000-0000-0000A1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82" authorId="70" shapeId="0" xr:uid="{00000000-0006-0000-0000-00001B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AM83" authorId="71" shapeId="0" xr:uid="{00000000-0006-0000-0000-0000B3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동일인</t>
      </text>
    </comment>
    <comment ref="BG83" authorId="72" shapeId="0" xr:uid="{00000000-0006-0000-0000-0000B4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85" authorId="73" shapeId="0" xr:uid="{00000000-0006-0000-0000-000010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88" authorId="74" shapeId="0" xr:uid="{00000000-0006-0000-0000-000046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89" authorId="75" shapeId="0" xr:uid="{00000000-0006-0000-0000-000038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W92" authorId="76" shapeId="0" xr:uid="{00000000-0006-0000-0000-000052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주주현황 누락공시</t>
      </text>
    </comment>
    <comment ref="BG92" authorId="77" shapeId="0" xr:uid="{00000000-0006-0000-0000-000053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93" authorId="78" shapeId="0" xr:uid="{00000000-0006-0000-0000-0000A5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94" authorId="79" shapeId="0" xr:uid="{00000000-0006-0000-0000-000092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95" authorId="80" shapeId="0" xr:uid="{00000000-0006-0000-0000-000061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99" authorId="81" shapeId="0" xr:uid="{00000000-0006-0000-0000-0000A4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102" authorId="82" shapeId="0" xr:uid="{00000000-0006-0000-0000-00005A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104" authorId="83" shapeId="0" xr:uid="{00000000-0006-0000-0000-000050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S104" authorId="84" shapeId="0" xr:uid="{00000000-0006-0000-0000-000051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관계사 인수합병</t>
      </text>
    </comment>
    <comment ref="BG106" authorId="85" shapeId="0" xr:uid="{00000000-0006-0000-0000-000003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AM107" authorId="86" shapeId="0" xr:uid="{00000000-0006-0000-0000-000079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동일인</t>
      </text>
    </comment>
    <comment ref="BG107" authorId="87" shapeId="0" xr:uid="{00000000-0006-0000-0000-00007A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AM109" authorId="88" shapeId="0" xr:uid="{00000000-0006-0000-0000-00000A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동일인</t>
      </text>
    </comment>
    <comment ref="BG109" authorId="89" shapeId="0" xr:uid="{00000000-0006-0000-0000-00000B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AM110" authorId="90" shapeId="0" xr:uid="{00000000-0006-0000-0000-000090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동일인</t>
      </text>
    </comment>
    <comment ref="BG110" authorId="91" shapeId="0" xr:uid="{00000000-0006-0000-0000-000091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AM112" authorId="92" shapeId="0" xr:uid="{00000000-0006-0000-0000-0000AF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동일인</t>
      </text>
    </comment>
    <comment ref="BG114" authorId="93" shapeId="0" xr:uid="{00000000-0006-0000-0000-00006E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115" authorId="94" shapeId="0" xr:uid="{00000000-0006-0000-0000-00003F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116" authorId="95" shapeId="0" xr:uid="{00000000-0006-0000-0000-000085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AM117" authorId="96" shapeId="0" xr:uid="{00000000-0006-0000-0000-00005C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동일인</t>
      </text>
    </comment>
    <comment ref="AM119" authorId="97" shapeId="0" xr:uid="{00000000-0006-0000-0000-000015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동일인</t>
      </text>
    </comment>
    <comment ref="AM120" authorId="98" shapeId="0" xr:uid="{00000000-0006-0000-0000-000035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동일인</t>
      </text>
    </comment>
    <comment ref="AM121" authorId="99" shapeId="0" xr:uid="{00000000-0006-0000-0000-000001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동일인</t>
      </text>
    </comment>
    <comment ref="BG121" authorId="100" shapeId="0" xr:uid="{00000000-0006-0000-0000-000002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122" authorId="101" shapeId="0" xr:uid="{00000000-0006-0000-0000-000017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123" authorId="102" shapeId="0" xr:uid="{00000000-0006-0000-0000-00002E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125" authorId="103" shapeId="0" xr:uid="{00000000-0006-0000-0000-000028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128" authorId="104" shapeId="0" xr:uid="{00000000-0006-0000-0000-0000A0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AM129" authorId="105" shapeId="0" xr:uid="{00000000-0006-0000-0000-00008C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동일인</t>
      </text>
    </comment>
    <comment ref="BG132" authorId="106" shapeId="0" xr:uid="{00000000-0006-0000-0000-000062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133" authorId="107" shapeId="0" xr:uid="{00000000-0006-0000-0000-00006D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AM134" authorId="108" shapeId="0" xr:uid="{00000000-0006-0000-0000-00002F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동일인</t>
      </text>
    </comment>
    <comment ref="AM135" authorId="109" shapeId="0" xr:uid="{00000000-0006-0000-0000-000022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동일인</t>
      </text>
    </comment>
    <comment ref="BG135" authorId="110" shapeId="0" xr:uid="{00000000-0006-0000-0000-000023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137" authorId="111" shapeId="0" xr:uid="{00000000-0006-0000-0000-00003A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138" authorId="112" shapeId="0" xr:uid="{00000000-0006-0000-0000-0000B9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AM140" authorId="113" shapeId="0" xr:uid="{00000000-0006-0000-0000-0000B0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동일인</t>
      </text>
    </comment>
    <comment ref="BG142" authorId="114" shapeId="0" xr:uid="{00000000-0006-0000-0000-00008F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145" authorId="115" shapeId="0" xr:uid="{00000000-0006-0000-0000-000074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146" authorId="116" shapeId="0" xr:uid="{00000000-0006-0000-0000-00003E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148" authorId="117" shapeId="0" xr:uid="{00000000-0006-0000-0000-000082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AM154" authorId="118" shapeId="0" xr:uid="{00000000-0006-0000-0000-0000AB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동일인</t>
      </text>
    </comment>
    <comment ref="AM155" authorId="119" shapeId="0" xr:uid="{00000000-0006-0000-0000-000008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동일인</t>
      </text>
    </comment>
    <comment ref="BG155" authorId="120" shapeId="0" xr:uid="{00000000-0006-0000-0000-000009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156" authorId="121" shapeId="0" xr:uid="{00000000-0006-0000-0000-00005D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157" authorId="122" shapeId="0" xr:uid="{00000000-0006-0000-0000-0000BA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AM161" authorId="123" shapeId="0" xr:uid="{00000000-0006-0000-0000-000033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동일인</t>
      </text>
    </comment>
    <comment ref="BG162" authorId="124" shapeId="0" xr:uid="{00000000-0006-0000-0000-00000F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163" authorId="125" shapeId="0" xr:uid="{00000000-0006-0000-0000-00005B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165" authorId="126" shapeId="0" xr:uid="{00000000-0006-0000-0000-00007C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AM168" authorId="127" shapeId="0" xr:uid="{00000000-0006-0000-0000-00009A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동일인</t>
      </text>
    </comment>
    <comment ref="BG168" authorId="128" shapeId="0" xr:uid="{00000000-0006-0000-0000-00009B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171" authorId="129" shapeId="0" xr:uid="{00000000-0006-0000-0000-0000C0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AM172" authorId="130" shapeId="0" xr:uid="{00000000-0006-0000-0000-00009F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동일인</t>
      </text>
    </comment>
    <comment ref="AM173" authorId="131" shapeId="0" xr:uid="{00000000-0006-0000-0000-000013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동일인</t>
      </text>
    </comment>
    <comment ref="BG173" authorId="132" shapeId="0" xr:uid="{00000000-0006-0000-0000-000014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177" authorId="133" shapeId="0" xr:uid="{00000000-0006-0000-0000-000018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178" authorId="134" shapeId="0" xr:uid="{00000000-0006-0000-0000-00000C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Z181" authorId="33" shapeId="0" xr:uid="{00000000-0006-0000-0000-00002D000000}">
      <text>
        <r>
          <rPr>
            <b/>
            <sz val="9"/>
            <color indexed="81"/>
            <rFont val="Tahoma"/>
            <family val="2"/>
          </rPr>
          <t>hcjun:</t>
        </r>
        <r>
          <rPr>
            <sz val="9"/>
            <color indexed="81"/>
            <rFont val="Tahoma"/>
            <family val="2"/>
          </rPr>
          <t xml:space="preserve">
CJ</t>
        </r>
        <r>
          <rPr>
            <sz val="9"/>
            <color indexed="81"/>
            <rFont val="돋움"/>
            <family val="3"/>
            <charset val="129"/>
          </rPr>
          <t>대한통운
현재는</t>
        </r>
        <r>
          <rPr>
            <sz val="9"/>
            <color indexed="81"/>
            <rFont val="Tahoma"/>
            <family val="2"/>
          </rPr>
          <t xml:space="preserve"> CJ</t>
        </r>
        <r>
          <rPr>
            <sz val="9"/>
            <color indexed="81"/>
            <rFont val="돋움"/>
            <family val="3"/>
            <charset val="129"/>
          </rPr>
          <t>계열사로서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소수주주</t>
        </r>
        <r>
          <rPr>
            <sz val="9"/>
            <color indexed="81"/>
            <rFont val="Tahoma"/>
            <family val="2"/>
          </rPr>
          <t xml:space="preserve"> "</t>
        </r>
        <r>
          <rPr>
            <sz val="9"/>
            <color indexed="81"/>
            <rFont val="돋움"/>
            <family val="3"/>
            <charset val="129"/>
          </rPr>
          <t>경영참여</t>
        </r>
        <r>
          <rPr>
            <sz val="9"/>
            <color indexed="81"/>
            <rFont val="Tahoma"/>
            <family val="2"/>
          </rPr>
          <t xml:space="preserve">" </t>
        </r>
        <r>
          <rPr>
            <sz val="9"/>
            <color indexed="81"/>
            <rFont val="돋움"/>
            <family val="3"/>
            <charset val="129"/>
          </rPr>
          <t>형태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계열관계는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아님
하지만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금호그룹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특수관계인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재부제표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표기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 xml:space="preserve"> "</t>
        </r>
        <r>
          <rPr>
            <sz val="9"/>
            <color indexed="81"/>
            <rFont val="돋움"/>
            <family val="3"/>
            <charset val="129"/>
          </rPr>
          <t>계열회사</t>
        </r>
        <r>
          <rPr>
            <sz val="9"/>
            <color indexed="81"/>
            <rFont val="Tahoma"/>
            <family val="2"/>
          </rPr>
          <t xml:space="preserve">" </t>
        </r>
        <r>
          <rPr>
            <sz val="9"/>
            <color indexed="81"/>
            <rFont val="돋움"/>
            <family val="3"/>
            <charset val="129"/>
          </rPr>
          <t>지분으르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간주함</t>
        </r>
        <r>
          <rPr>
            <sz val="9"/>
            <color indexed="81"/>
            <rFont val="Tahoma"/>
            <family val="2"/>
          </rPr>
          <t>. (</t>
        </r>
        <r>
          <rPr>
            <sz val="9"/>
            <color indexed="81"/>
            <rFont val="돋움"/>
            <family val="3"/>
            <charset val="129"/>
          </rPr>
          <t>백기사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지분</t>
        </r>
        <r>
          <rPr>
            <sz val="9"/>
            <color indexed="81"/>
            <rFont val="Tahoma"/>
            <family val="2"/>
          </rPr>
          <t>)</t>
        </r>
      </text>
    </comment>
    <comment ref="V185" authorId="135" shapeId="0" xr:uid="{00000000-0006-0000-0000-000071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이조영 (누락공시) 친족 간주</t>
      </text>
    </comment>
    <comment ref="AM186" authorId="136" shapeId="0" xr:uid="{00000000-0006-0000-0000-000004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동일인</t>
      </text>
    </comment>
    <comment ref="BG186" authorId="137" shapeId="0" xr:uid="{00000000-0006-0000-0000-000005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188" authorId="138" shapeId="0" xr:uid="{00000000-0006-0000-0000-000048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AM193" authorId="139" shapeId="0" xr:uid="{00000000-0006-0000-0000-00007F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동일인</t>
      </text>
    </comment>
    <comment ref="BG193" authorId="140" shapeId="0" xr:uid="{00000000-0006-0000-0000-000080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AM194" authorId="141" shapeId="0" xr:uid="{00000000-0006-0000-0000-0000A2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동일인</t>
      </text>
    </comment>
    <comment ref="BG194" authorId="142" shapeId="0" xr:uid="{00000000-0006-0000-0000-0000A3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195" authorId="143" shapeId="0" xr:uid="{00000000-0006-0000-0000-00002C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U196" authorId="144" shapeId="0" xr:uid="{00000000-0006-0000-0000-000077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비영리법인 동일인</t>
      </text>
    </comment>
    <comment ref="X196" authorId="145" shapeId="0" xr:uid="{00000000-0006-0000-0000-000078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비영리법인 동일인</t>
      </text>
    </comment>
    <comment ref="V198" authorId="146" shapeId="0" xr:uid="{00000000-0006-0000-0000-00002A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https://img.seoul.co.kr//img/upload/2015/06/17/SSI_20150617204304.jpg</t>
      </text>
    </comment>
    <comment ref="AM200" authorId="147" shapeId="0" xr:uid="{00000000-0006-0000-0000-00004E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동일인</t>
      </text>
    </comment>
    <comment ref="BG200" authorId="148" shapeId="0" xr:uid="{00000000-0006-0000-0000-00004F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AM202" authorId="149" shapeId="0" xr:uid="{00000000-0006-0000-0000-000075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동일인</t>
      </text>
    </comment>
    <comment ref="AM203" authorId="150" shapeId="0" xr:uid="{00000000-0006-0000-0000-000032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동일인</t>
      </text>
    </comment>
    <comment ref="BG204" authorId="151" shapeId="0" xr:uid="{00000000-0006-0000-0000-00009E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AM205" authorId="152" shapeId="0" xr:uid="{00000000-0006-0000-0000-00009C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동일인 미등기(누락공시)</t>
      </text>
    </comment>
    <comment ref="BG206" authorId="153" shapeId="0" xr:uid="{00000000-0006-0000-0000-0000B5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Z208" authorId="33" shapeId="0" xr:uid="{00000000-0006-0000-0000-000063000000}">
      <text>
        <r>
          <rPr>
            <b/>
            <sz val="9"/>
            <color indexed="81"/>
            <rFont val="Tahoma"/>
            <family val="2"/>
          </rPr>
          <t>hcjun: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신성치과기재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돋움"/>
            <family val="3"/>
            <charset val="129"/>
          </rPr>
          <t>계열사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 xml:space="preserve">
디브이홀딩스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디브이몰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돋움"/>
            <family val="3"/>
            <charset val="129"/>
          </rPr>
          <t>특수관계회사</t>
        </r>
        <r>
          <rPr>
            <sz val="9"/>
            <color indexed="81"/>
            <rFont val="Tahoma"/>
            <family val="2"/>
          </rPr>
          <t>)</t>
        </r>
      </text>
    </comment>
    <comment ref="BG208" authorId="154" shapeId="0" xr:uid="{00000000-0006-0000-0000-000064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AZ209" authorId="155" shapeId="0" xr:uid="{00000000-0006-0000-0000-00005E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미공시, 최하점</t>
      </text>
    </comment>
    <comment ref="BG209" authorId="156" shapeId="0" xr:uid="{00000000-0006-0000-0000-00005F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AM211" authorId="157" shapeId="0" xr:uid="{00000000-0006-0000-0000-00006C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동일인</t>
      </text>
    </comment>
    <comment ref="AM213" authorId="158" shapeId="0" xr:uid="{00000000-0006-0000-0000-0000BD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동일인</t>
      </text>
    </comment>
    <comment ref="BG215" authorId="159" shapeId="0" xr:uid="{00000000-0006-0000-0000-000088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AM216" authorId="160" shapeId="0" xr:uid="{00000000-0006-0000-0000-000083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동일인</t>
      </text>
    </comment>
    <comment ref="AM221" authorId="161" shapeId="0" xr:uid="{00000000-0006-0000-0000-000012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동일인</t>
      </text>
    </comment>
    <comment ref="AM223" authorId="162" shapeId="0" xr:uid="{00000000-0006-0000-0000-000060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동일인</t>
      </text>
    </comment>
    <comment ref="AM233" authorId="163" shapeId="0" xr:uid="{00000000-0006-0000-0000-000059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모회사 대주주</t>
      </text>
    </comment>
    <comment ref="BG238" authorId="164" shapeId="0" xr:uid="{00000000-0006-0000-0000-000034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AM239" authorId="165" shapeId="0" xr:uid="{00000000-0006-0000-0000-000066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동일인</t>
      </text>
    </comment>
    <comment ref="AM240" authorId="166" shapeId="0" xr:uid="{00000000-0006-0000-0000-00006F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윤형덕, 윤새봄 동일인 간주</t>
      </text>
    </comment>
    <comment ref="BO240" authorId="167" shapeId="0" xr:uid="{00000000-0006-0000-0000-000070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100% 정부보조금</t>
      </text>
    </comment>
    <comment ref="BG241" authorId="168" shapeId="0" xr:uid="{00000000-0006-0000-0000-000029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242" authorId="169" shapeId="0" xr:uid="{00000000-0006-0000-0000-0000C2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250" authorId="170" shapeId="0" xr:uid="{00000000-0006-0000-0000-0000C1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AM252" authorId="171" shapeId="0" xr:uid="{00000000-0006-0000-0000-000065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동일인 홍사승</t>
      </text>
    </comment>
    <comment ref="BG260" authorId="172" shapeId="0" xr:uid="{00000000-0006-0000-0000-00000D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U261" authorId="33" shapeId="0" xr:uid="{00000000-0006-0000-0000-000036000000}">
      <text>
        <r>
          <rPr>
            <b/>
            <sz val="9"/>
            <color indexed="81"/>
            <rFont val="Tahoma"/>
            <family val="2"/>
          </rPr>
          <t>hcjun: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현대그린푸드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대원강업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대주주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</text>
    </comment>
    <comment ref="Z261" authorId="33" shapeId="0" xr:uid="{00000000-0006-0000-0000-000037000000}">
      <text>
        <r>
          <rPr>
            <b/>
            <sz val="9"/>
            <color indexed="81"/>
            <rFont val="Tahoma"/>
            <family val="2"/>
          </rPr>
          <t>hcjun: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현대그린푸드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대주주가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현대홈쇼핑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현대쇼핑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대원강업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계열사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합산</t>
        </r>
      </text>
    </comment>
    <comment ref="AZ262" authorId="173" shapeId="0" xr:uid="{00000000-0006-0000-0000-000042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미공시, 최하점</t>
      </text>
    </comment>
    <comment ref="BG266" authorId="174" shapeId="0" xr:uid="{00000000-0006-0000-0000-00001E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AM268" authorId="175" shapeId="0" xr:uid="{00000000-0006-0000-0000-00000E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동일인</t>
      </text>
    </comment>
    <comment ref="BG271" authorId="176" shapeId="0" xr:uid="{00000000-0006-0000-0000-000020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Z280" authorId="177" shapeId="0" xr:uid="{00000000-0006-0000-0000-000039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리빙소프트㈜ 특수관계 회사</t>
      </text>
    </comment>
    <comment ref="AM284" authorId="178" shapeId="0" xr:uid="{00000000-0006-0000-0000-000067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동일인</t>
      </text>
    </comment>
    <comment ref="BG288" authorId="179" shapeId="0" xr:uid="{00000000-0006-0000-0000-000006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AM295" authorId="180" shapeId="0" xr:uid="{00000000-0006-0000-0000-000044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동일인</t>
      </text>
    </comment>
    <comment ref="V299" authorId="181" shapeId="0" xr:uid="{00000000-0006-0000-0000-000095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윤영만 누락공시 친족 간주</t>
      </text>
    </comment>
    <comment ref="BG299" authorId="182" shapeId="0" xr:uid="{00000000-0006-0000-0000-000096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AM302" authorId="183" shapeId="0" xr:uid="{00000000-0006-0000-0000-0000BE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동일인</t>
      </text>
    </comment>
    <comment ref="BG302" authorId="184" shapeId="0" xr:uid="{00000000-0006-0000-0000-0000BF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AM307" authorId="185" shapeId="0" xr:uid="{00000000-0006-0000-0000-000021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동일인</t>
      </text>
    </comment>
    <comment ref="AM308" authorId="186" shapeId="0" xr:uid="{00000000-0006-0000-0000-000058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모회사 대주주</t>
      </text>
    </comment>
    <comment ref="Z311" authorId="33" shapeId="0" xr:uid="{00000000-0006-0000-0000-000054000000}">
      <text>
        <r>
          <rPr>
            <b/>
            <sz val="9"/>
            <color indexed="81"/>
            <rFont val="Tahoma"/>
            <family val="2"/>
          </rPr>
          <t>hcjun: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㈜스페코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특수관계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회사</t>
        </r>
      </text>
    </comment>
    <comment ref="BG311" authorId="187" shapeId="0" xr:uid="{00000000-0006-0000-0000-000055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V313" authorId="188" shapeId="0" xr:uid="{00000000-0006-0000-0000-00006B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엔디케이㈜ 총수일가</t>
      </text>
    </comment>
    <comment ref="AM314" authorId="189" shapeId="0" xr:uid="{00000000-0006-0000-0000-000043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동일인</t>
      </text>
    </comment>
    <comment ref="AM316" authorId="190" shapeId="0" xr:uid="{00000000-0006-0000-0000-000094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동일인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tc={DBEE9557-BA09-4825-BF5B-17B3A454FC5F}</author>
    <author>tc={A33C10C6-CC9B-4FFB-9585-B220D0DFEDB4}</author>
    <author>tc={F6F7524D-65DA-483F-A0BA-DC1CA81B5508}</author>
    <author>tc={EA311704-5B6F-4DAB-8FDF-DA7E4F3293FC}</author>
    <author>tc={3C774BF5-7CEE-4190-9CC6-C90409EECDF1}</author>
    <author>tc={328B2304-83CD-41E4-B39D-C90BB6ECD2FA}</author>
    <author>tc={6821C1F7-1C4E-49E9-A69E-AB8271DB54F5}</author>
    <author>tc={D0CCA1E4-3705-417F-AED8-FE6D9EE6B2C9}</author>
    <author>tc={F88C4490-95B7-4E46-8C4A-778CCE800AA1}</author>
    <author>tc={94D29EAF-C772-4085-BF38-A771E9B3854F}</author>
    <author>tc={AA84A882-9317-4F14-97DE-AC8C1A5E7281}</author>
    <author>tc={0FDE95BB-EE4F-43F6-B928-D1A4694B2816}</author>
    <author>tc={8538BD89-0268-49D8-B57E-2A466A4B4D71}</author>
    <author>tc={AB3E3060-AC83-4A44-B5A2-9BA5ECAB20B1}</author>
    <author>tc={90D6338B-90F7-4AA8-9344-A50D06709966}</author>
    <author>tc={63E086E1-DADA-4F0A-87A8-964539E11AE2}</author>
    <author>tc={57144C22-DAA8-49B8-BB0F-FFAE9827A4C5}</author>
    <author>tc={A0EEBA11-0E77-419A-98B9-BB5A482B0EE1}</author>
    <author>tc={F5004F49-885F-4828-9E05-BF91518C3C3A}</author>
    <author>tc={97DD115F-C390-4804-AF0C-B3AF6D531316}</author>
    <author>tc={DF9AF9C7-8339-4494-ADB2-F8C2AE5160E5}</author>
    <author>tc={21C06C91-5599-4C70-BB92-F7ADFB7E83CE}</author>
    <author>tc={5EBCBA1A-D5FC-40B4-86BA-CBDE2E28A0CE}</author>
    <author>tc={D365CEE5-CDAC-4E62-8C92-6A857147184D}</author>
    <author>tc={C4318128-B0DF-4109-89BC-0292155253B3}</author>
    <author>tc={0F8D4DDF-7B7B-4040-BDA1-277E061A18D7}</author>
    <author>tc={A18629D9-A3F0-4591-BC79-6E48A206F604}</author>
    <author>tc={E2675718-ED43-42B5-AA0E-556FDFDA6878}</author>
    <author>tc={538A4F67-7D89-4391-A7B7-B04BC7F22A14}</author>
    <author>tc={18FE1370-52E7-439B-9C31-54A84B83FFC9}</author>
    <author>hcjun</author>
    <author>tc={53B648E5-5587-458B-90EE-8A328B20DB4D}</author>
    <author>tc={EDAA9BA5-E59C-487D-AED9-7AB7E11BC781}</author>
    <author>tc={5E83AE71-3625-4674-B2AF-BC147E0DB05B}</author>
    <author>tc={47E30F68-AAB3-463B-B68B-B54935B5C623}</author>
    <author>tc={9D7FDB97-C1C6-454C-B305-DD90A6E4BD67}</author>
    <author>tc={CD3D630E-0F58-4ABF-B40F-E54FEDCB8BE7}</author>
    <author>tc={1D9AE957-363E-4DB9-938F-DA03B495FD31}</author>
    <author>tc={C505B658-C342-4BD0-8E1C-F08F9D941581}</author>
    <author>tc={02D4349B-A427-4828-B15B-B473A79ED355}</author>
    <author>tc={812DD7D6-4DB5-48C8-9369-8C074B68CA0C}</author>
    <author>tc={8C745FFC-3226-4C1A-A715-24192DA9F978}</author>
    <author>tc={4D38274A-D3D8-41BD-B471-94F9FBD2A1E2}</author>
    <author>tc={38A86182-3C91-41D8-9C0E-CB0AA808037F}</author>
    <author>tc={C88ED3B0-D88B-4C2A-8735-321664EF3ECD}</author>
    <author>tc={C31A0714-1A75-45C3-8AC0-2ED7CD845946}</author>
    <author>tc={505402D8-B92F-4B42-BE04-C854A710BECC}</author>
    <author>tc={8C80216E-D638-4154-AC4C-F06986B8B004}</author>
    <author>tc={05258974-DBDB-4CA1-903B-AE14AE689896}</author>
    <author>tc={BCD21505-4C10-4953-B094-D2937BB67EE8}</author>
    <author>tc={BD973C3F-A1AA-44D1-9C03-F890F14E9F75}</author>
    <author>tc={0C5739FC-7EE5-4F10-AACB-915511B0FE17}</author>
    <author>tc={E9BCFF98-E3FD-4166-B047-390B8221E710}</author>
    <author>tc={F3A97E8E-61D9-4CCB-AA3B-F272CACD8503}</author>
    <author>tc={9866DD40-D421-425A-8D4B-6AE4A8534AD6}</author>
    <author>tc={D930A360-041B-4B56-9FD3-A6BDFB176AA8}</author>
    <author>tc={7684B7E4-AD90-4ECB-9203-58880EB989E9}</author>
    <author>tc={80BD8C05-87D7-41AA-9333-B92DF53EE091}</author>
    <author>tc={FE62C169-EADC-4153-BDF4-7E1B7E03A2AB}</author>
    <author>tc={D75ACE61-156B-4D0B-B461-18D436663B16}</author>
    <author>tc={EB7F6191-0E87-47DF-A897-A142DD8FF662}</author>
    <author>tc={70F36C22-FA19-46E8-9452-176C2AA8CC6F}</author>
    <author>tc={9F1476D4-B82A-4DD6-A7AE-0E9BF8D0445C}</author>
    <author>tc={03CFABB1-A835-4C0B-9C6B-DF8EADC0B37D}</author>
    <author>tc={5AA8248D-44CE-40BF-BFC9-1ADA101C18DC}</author>
    <author>tc={72E9227B-6C3B-4B41-83BB-FE7C833661AF}</author>
    <author>tc={A7696E0F-B610-47B4-AADC-8A9AB79AE1E5}</author>
    <author>tc={A93467C9-2ABD-4567-9FA3-E7571F78B127}</author>
    <author>tc={2FF6FFBF-B09B-4EFB-88F8-A59A04EA134A}</author>
    <author>tc={1C781E54-AEFA-4AED-817F-0A5837B60CA4}</author>
    <author>tc={F195E195-5B72-4450-B9EE-E9FF6E2D45D1}</author>
    <author>tc={55F213C6-1235-4378-84E5-FB63C641F799}</author>
    <author>tc={A9D2C902-1C75-4A23-BF0B-64C64AB5E013}</author>
    <author>tc={09D2C313-2C7C-427F-80A9-08D9BB6E75A6}</author>
    <author>tc={E1229ED2-D7E9-430F-B926-B02354596E83}</author>
    <author>tc={3251B6D9-5050-4550-B234-3DBE373D8C36}</author>
    <author>tc={95CB7DE6-1D4B-42FF-B18C-780BB06E641E}</author>
    <author>tc={5B9658F7-F4A2-4B92-BB02-929538C97ADA}</author>
    <author>tc={B98761B8-1C96-4230-82A2-F0BF14CC8F07}</author>
    <author>tc={0871EB36-5863-42ED-BAB1-52C3FE0B8998}</author>
    <author>tc={12B1B9E8-D97E-42FF-AEEF-502F79DDD3FA}</author>
    <author>tc={435FBCE6-9C3D-4167-BC09-E7EFF13BF784}</author>
    <author>tc={7E92101C-A348-434F-B19D-4504ABBE1751}</author>
    <author>tc={A0DEF2D6-FC28-4AC9-B2F2-1635CBEF0A91}</author>
    <author>tc={BAE15A30-2148-49EB-BF60-F8303FD00D82}</author>
    <author>tc={BDF105AC-DDD3-4239-9DE7-884731E312D1}</author>
    <author>tc={C283B724-E6FE-4FD5-A048-A07C76B232B6}</author>
    <author>tc={CCFC07A1-08DA-41CF-BD1E-236C105A6B76}</author>
    <author>tc={1D7685D4-BDCD-445D-BF1A-321E310E3436}</author>
    <author>tc={35A122F7-6A6B-4BEF-9FE3-AA9A173BF25E}</author>
    <author>tc={04AB5BF0-0BD5-44BE-9499-DA057F45ABA1}</author>
    <author>tc={32F405F3-97B0-4419-8268-E3A34F98D558}</author>
    <author>tc={2E986E8A-2021-4588-86BE-9BB2C2D37B49}</author>
    <author>tc={CDCDCE3D-73EA-4D6F-8C75-4D6A7DEA58DB}</author>
    <author>tc={96D0D9BE-243A-424D-822B-C116ABA7ED97}</author>
    <author>tc={AF4FC6DF-CABA-456A-A609-502C959D643E}</author>
    <author>tc={355AB5CD-FB3A-40A5-A26E-0575BE5F9081}</author>
    <author>tc={C7B4F327-1272-4B42-A4F8-7B1B2651D07D}</author>
    <author>tc={CBCC8DC3-A210-4C0B-BEEE-4A6958B5C306}</author>
    <author>tc={D3EB2A99-2773-45D7-AAB9-D78FD4FC1A50}</author>
    <author>tc={40FA85EE-DCED-4DBF-B5ED-A9DB605AE0E6}</author>
    <author>tc={7D03984F-2959-46DB-9442-87AD1D7004A7}</author>
    <author>tc={E838781E-1044-4C4A-B704-5E6982BDBB5F}</author>
    <author>tc={3BAC79A0-ED00-4657-8147-EC10AE0E6909}</author>
    <author>tc={6142AD56-0FA0-453B-A5E6-ADCB051861FD}</author>
    <author>tc={4D4D74C6-41A8-42A8-8A02-52F429774F90}</author>
    <author>tc={5FB60DFC-0AEF-4E79-8ECF-EAE0FD3984A0}</author>
    <author>tc={9CF39CCA-EE34-475C-BD75-D04854D3001C}</author>
    <author>tc={2AA2B4BF-7123-45EB-8422-9272BE900506}</author>
    <author>tc={B4334B04-9FC5-4C9F-A9D5-A324B9930593}</author>
    <author>tc={5583DE2E-4E59-4A2A-959E-B514EBD42429}</author>
    <author>tc={E2866D7D-9EB6-4383-AC88-42A995250B7F}</author>
    <author>tc={E74314FA-48D0-459F-A349-1F62912ECCAB}</author>
    <author>tc={FFD2C959-9825-4874-AF5B-0820912B8505}</author>
    <author>tc={5C02034E-E87E-4D09-B74B-24E84A37D975}</author>
    <author>tc={3C5FB4B4-3518-4A2F-884F-CB91DC4D8B9C}</author>
    <author>tc={096579C4-71C3-4593-9A8F-E67A4F3D2369}</author>
    <author>tc={408557EE-4D94-42AC-B000-F1E7D858E16C}</author>
    <author>tc={4396FA07-AA34-4125-9F6C-0D5CF6A38331}</author>
    <author>tc={10FF156D-084C-4F3F-A984-954070BEF0C4}</author>
    <author>tc={FB6B9EEE-A86A-4539-9183-72C9772C0DEB}</author>
    <author>tc={11F5CBD4-FCC4-45C5-B824-94E7FB0077A6}</author>
    <author>tc={0CBC8F57-6B04-4D3B-9534-ED9628A1A4CB}</author>
    <author>tc={10CF0746-EC08-44AF-BF04-2B33F6EE7816}</author>
    <author>tc={B4C85B02-AFA5-42E6-8392-418E9EFB99F8}</author>
    <author>tc={80E908E4-E008-4C42-96A1-518664568454}</author>
    <author>tc={7D01D96E-A99E-4644-A884-301E61CD2253}</author>
    <author>tc={4DC9B03E-C6F4-453F-AEA4-E4F9080A5772}</author>
    <author>tc={D5573A1D-20FF-46D2-B460-1AE4C4DEDFE7}</author>
    <author>tc={4507CD8B-5514-418C-9294-8AA6F7CA707D}</author>
    <author>tc={D6585A65-5491-4006-B4F6-0768466AFE81}</author>
    <author>tc={36858DE4-B483-49A2-9607-2DC294523E87}</author>
    <author>tc={256BADB5-9E2F-4CBD-B9F9-D52994B6DD61}</author>
    <author>tc={207BBE58-5767-4269-9268-645D2FDFD934}</author>
    <author>tc={38203E9C-8709-403F-A460-8BF8E965E40A}</author>
    <author>tc={30897321-7C0A-4652-900D-EC0E98390BCA}</author>
    <author>tc={C1A7B8CD-DC10-4BD5-8AD4-F18D5762D34D}</author>
    <author>tc={F5506332-8450-4D24-BCE3-1ADACA304C34}</author>
    <author>tc={216DA38E-56CB-4C6B-A61E-358388CB0F10}</author>
    <author>tc={130B283B-E96F-4844-BBC0-190D36DD4AD9}</author>
    <author>tc={3251B323-F79D-42A2-9734-F6B08C45DE4D}</author>
    <author>tc={95545E7E-2B0F-4B79-8273-1111325C5C9D}</author>
    <author>tc={CF14A85D-0565-4405-B6EF-A78233D22B9A}</author>
    <author>tc={8F0AE38C-DF6E-4C9E-9ACB-4EC2D61274BF}</author>
    <author>tc={67B40D11-5974-43E1-B1B7-516EFF37A59E}</author>
    <author>tc={DEC89D45-FA0F-42BF-812B-07D78072DC60}</author>
    <author>tc={270FE987-1321-4D98-9A8B-2A8A0E82E966}</author>
    <author>tc={34A716EF-2308-4117-AA50-5590A4798790}</author>
    <author>tc={B7C499D8-9EAB-49EC-A007-CE0DD7E77AB0}</author>
    <author>tc={CA93AB9E-D638-4420-AD22-3DC5B478C25D}</author>
    <author>tc={832E6C08-C031-443E-B0BA-D5361BD86039}</author>
    <author>tc={A0EF5F1B-57FA-42B6-8D9D-F5D12A9A639F}</author>
    <author>tc={399D3A90-787A-4DE9-8239-69FA1486C6DD}</author>
    <author>tc={4D9005BF-2DC1-4526-8FD4-E9526B40BAA8}</author>
    <author>tc={7D464D76-16AF-4C52-BA99-00ED61308626}</author>
    <author>tc={351AF340-9BF3-4DE8-8325-C979AAC96311}</author>
    <author>tc={3F8416B2-F694-42CD-A237-0CB65939DB4B}</author>
    <author>tc={32064B16-9784-46C9-84AF-1BAA49DC7CDC}</author>
    <author>tc={3615B6A4-7A7C-47C1-9ACC-BAED6E295C1C}</author>
    <author>tc={B94857C1-2ABE-4AE4-97AD-35728A5B62BF}</author>
    <author>tc={59FE71A3-2770-4614-B242-E17AE6F7B4B5}</author>
    <author>tc={D6D752EA-1E67-4407-86C3-960BF86C19D5}</author>
    <author>tc={02833418-A360-4BCD-8F0B-C054DBE99D5A}</author>
    <author>tc={881F4672-7763-4508-AFB6-E07DF8791590}</author>
    <author>tc={6ED3D575-922C-43EE-8798-921E0171A5F1}</author>
    <author>tc={83E086A0-18AA-4F52-9A3C-0C71B84E9B49}</author>
    <author>tc={61B964DF-1AA7-4803-98B8-8CBFF2B77319}</author>
    <author>tc={DDAE85D9-6992-49AF-A2BC-3C1BCE22F4B7}</author>
    <author>tc={AFA39EC5-A1A5-46C7-96D8-F5DD8923D760}</author>
    <author>tc={502A7CEC-6872-4F31-8B2E-5A493497DD90}</author>
    <author>tc={2B4F56CB-0AD8-414C-A75A-E29417DDD728}</author>
    <author>tc={0307C6FF-41B6-4498-A20D-93E2BB544662}</author>
    <author>tc={26F7C740-CCDA-44D2-A804-E8D701B7ACF2}</author>
    <author>tc={09313615-54C2-4F70-8488-7DB43CE027EB}</author>
    <author>tc={4A2B35D5-4F8C-4BED-AA27-4676CBA0B6B6}</author>
    <author>tc={4B1C30DD-5367-4322-A0B2-E91065854306}</author>
    <author>tc={1956B411-190E-4D40-AEFC-39061952C46A}</author>
    <author>tc={946DB80F-1704-4CF1-B78F-DDBA364871BB}</author>
    <author>tc={AAB3AA58-5779-4635-96EA-0388B75961DC}</author>
    <author>tc={935E7D8E-F5C9-4AA7-B037-A0EB274C053C}</author>
    <author>tc={A7921C29-37FC-4D78-B8C6-CDE8340A675E}</author>
    <author>tc={EF2ACA91-1A69-4DEC-9A7E-E3C7A69DAE8F}</author>
    <author>tc={AE40723A-E814-4675-A028-055EA143D0D9}</author>
    <author>tc={896F141C-4D53-45BB-97BB-516A984212E1}</author>
    <author>tc={294A7E96-C86F-4E16-9802-1F86F48F7E2B}</author>
    <author>tc={5F9AD6F6-D060-4189-BDB6-1EB91D894B06}</author>
    <author>tc={EE6B29FA-E9B8-407C-A11C-008182250B83}</author>
    <author>tc={31B96C0D-0DD8-4CA6-B79A-C26C84BA0240}</author>
    <author>tc={CB4A2432-A60A-41FD-9262-B04261E21704}</author>
    <author>tc={973C17A5-32D1-4552-A9E2-5BCC06220A52}</author>
    <author>tc={C3CE1DE4-089A-4EBE-8F18-FE6CDDBD055C}</author>
  </authors>
  <commentList>
    <comment ref="AM2" authorId="0" shapeId="0" xr:uid="{00000000-0006-0000-0100-000001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동일인</t>
      </text>
    </comment>
    <comment ref="BG2" authorId="1" shapeId="0" xr:uid="{00000000-0006-0000-0100-000002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5" authorId="2" shapeId="0" xr:uid="{00000000-0006-0000-0100-000003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AM6" authorId="3" shapeId="0" xr:uid="{00000000-0006-0000-0100-000004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동일인</t>
      </text>
    </comment>
    <comment ref="BG6" authorId="4" shapeId="0" xr:uid="{00000000-0006-0000-0100-000005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7" authorId="5" shapeId="0" xr:uid="{00000000-0006-0000-0100-000006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8" authorId="6" shapeId="0" xr:uid="{00000000-0006-0000-0100-000007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AM9" authorId="7" shapeId="0" xr:uid="{00000000-0006-0000-0100-000008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동일인</t>
      </text>
    </comment>
    <comment ref="BG9" authorId="8" shapeId="0" xr:uid="{00000000-0006-0000-0100-000009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AM11" authorId="9" shapeId="0" xr:uid="{00000000-0006-0000-0100-00000A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동일인</t>
      </text>
    </comment>
    <comment ref="BG11" authorId="10" shapeId="0" xr:uid="{00000000-0006-0000-0100-00000B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13" authorId="11" shapeId="0" xr:uid="{00000000-0006-0000-0100-00000C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16" authorId="12" shapeId="0" xr:uid="{00000000-0006-0000-0100-00000D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AM19" authorId="13" shapeId="0" xr:uid="{00000000-0006-0000-0100-00000E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동일인</t>
      </text>
    </comment>
    <comment ref="BG20" authorId="14" shapeId="0" xr:uid="{00000000-0006-0000-0100-00000F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21" authorId="15" shapeId="0" xr:uid="{00000000-0006-0000-0100-000010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23" authorId="16" shapeId="0" xr:uid="{00000000-0006-0000-0100-000011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AM24" authorId="17" shapeId="0" xr:uid="{00000000-0006-0000-0100-000012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동일인</t>
      </text>
    </comment>
    <comment ref="AM25" authorId="18" shapeId="0" xr:uid="{00000000-0006-0000-0100-000013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동일인</t>
      </text>
    </comment>
    <comment ref="BG25" authorId="19" shapeId="0" xr:uid="{00000000-0006-0000-0100-000014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AM26" authorId="20" shapeId="0" xr:uid="{00000000-0006-0000-0100-000015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동일인</t>
      </text>
    </comment>
    <comment ref="BG27" authorId="21" shapeId="0" xr:uid="{00000000-0006-0000-0100-000016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29" authorId="22" shapeId="0" xr:uid="{00000000-0006-0000-0100-000017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30" authorId="23" shapeId="0" xr:uid="{00000000-0006-0000-0100-000018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31" authorId="24" shapeId="0" xr:uid="{00000000-0006-0000-0100-000019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32" authorId="25" shapeId="0" xr:uid="{00000000-0006-0000-0100-00001A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33" authorId="26" shapeId="0" xr:uid="{00000000-0006-0000-0100-00001B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AM34" authorId="27" shapeId="0" xr:uid="{00000000-0006-0000-0100-00001C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동일인</t>
      </text>
    </comment>
    <comment ref="BG34" authorId="28" shapeId="0" xr:uid="{00000000-0006-0000-0100-00001D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35" authorId="29" shapeId="0" xr:uid="{00000000-0006-0000-0100-00001E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AM38" authorId="30" shapeId="0" xr:uid="{00000000-0006-0000-0100-00001F000000}">
      <text>
        <r>
          <rPr>
            <b/>
            <sz val="9"/>
            <color indexed="81"/>
            <rFont val="Tahoma"/>
            <family val="2"/>
          </rPr>
          <t>hcjun: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정종우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기타비상무이사
모회사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㈜코리아피아이홀딩스
대표이사</t>
        </r>
      </text>
    </comment>
    <comment ref="BG41" authorId="31" shapeId="0" xr:uid="{00000000-0006-0000-0100-000020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AM42" authorId="32" shapeId="0" xr:uid="{00000000-0006-0000-0100-000021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동일인</t>
      </text>
    </comment>
    <comment ref="AM45" authorId="33" shapeId="0" xr:uid="{00000000-0006-0000-0100-000022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동일인</t>
      </text>
    </comment>
    <comment ref="BG45" authorId="34" shapeId="0" xr:uid="{00000000-0006-0000-0100-000023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AM48" authorId="35" shapeId="0" xr:uid="{00000000-0006-0000-0100-000024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동일인</t>
      </text>
    </comment>
    <comment ref="BG48" authorId="36" shapeId="0" xr:uid="{00000000-0006-0000-0100-000025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AM49" authorId="37" shapeId="0" xr:uid="{00000000-0006-0000-0100-000026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동일인</t>
      </text>
    </comment>
    <comment ref="BG49" authorId="38" shapeId="0" xr:uid="{00000000-0006-0000-0100-000027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54" authorId="39" shapeId="0" xr:uid="{00000000-0006-0000-0100-000028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55" authorId="40" shapeId="0" xr:uid="{00000000-0006-0000-0100-000029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V58" authorId="41" shapeId="0" xr:uid="{00000000-0006-0000-0100-00002A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https://img.seoul.co.kr//img/upload/2015/06/17/SSI_20150617204304.jpg</t>
      </text>
    </comment>
    <comment ref="BG62" authorId="42" shapeId="0" xr:uid="{00000000-0006-0000-0100-00002B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65" authorId="43" shapeId="0" xr:uid="{00000000-0006-0000-0100-00002C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Z67" authorId="30" shapeId="0" xr:uid="{00000000-0006-0000-0100-00002D000000}">
      <text>
        <r>
          <rPr>
            <b/>
            <sz val="9"/>
            <color indexed="81"/>
            <rFont val="Tahoma"/>
            <family val="2"/>
          </rPr>
          <t>hcjun:</t>
        </r>
        <r>
          <rPr>
            <sz val="9"/>
            <color indexed="81"/>
            <rFont val="Tahoma"/>
            <family val="2"/>
          </rPr>
          <t xml:space="preserve">
CJ</t>
        </r>
        <r>
          <rPr>
            <sz val="9"/>
            <color indexed="81"/>
            <rFont val="돋움"/>
            <family val="3"/>
            <charset val="129"/>
          </rPr>
          <t>대한통운
현재는</t>
        </r>
        <r>
          <rPr>
            <sz val="9"/>
            <color indexed="81"/>
            <rFont val="Tahoma"/>
            <family val="2"/>
          </rPr>
          <t xml:space="preserve"> CJ</t>
        </r>
        <r>
          <rPr>
            <sz val="9"/>
            <color indexed="81"/>
            <rFont val="돋움"/>
            <family val="3"/>
            <charset val="129"/>
          </rPr>
          <t>계열사로서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소수주주</t>
        </r>
        <r>
          <rPr>
            <sz val="9"/>
            <color indexed="81"/>
            <rFont val="Tahoma"/>
            <family val="2"/>
          </rPr>
          <t xml:space="preserve"> "</t>
        </r>
        <r>
          <rPr>
            <sz val="9"/>
            <color indexed="81"/>
            <rFont val="돋움"/>
            <family val="3"/>
            <charset val="129"/>
          </rPr>
          <t>경영참여</t>
        </r>
        <r>
          <rPr>
            <sz val="9"/>
            <color indexed="81"/>
            <rFont val="Tahoma"/>
            <family val="2"/>
          </rPr>
          <t xml:space="preserve">" </t>
        </r>
        <r>
          <rPr>
            <sz val="9"/>
            <color indexed="81"/>
            <rFont val="돋움"/>
            <family val="3"/>
            <charset val="129"/>
          </rPr>
          <t>형태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계열관계는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아님
하지만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금호그룹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특수관계인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재부제표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표기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 xml:space="preserve"> "</t>
        </r>
        <r>
          <rPr>
            <sz val="9"/>
            <color indexed="81"/>
            <rFont val="돋움"/>
            <family val="3"/>
            <charset val="129"/>
          </rPr>
          <t>계열회사</t>
        </r>
        <r>
          <rPr>
            <sz val="9"/>
            <color indexed="81"/>
            <rFont val="Tahoma"/>
            <family val="2"/>
          </rPr>
          <t xml:space="preserve">" </t>
        </r>
        <r>
          <rPr>
            <sz val="9"/>
            <color indexed="81"/>
            <rFont val="돋움"/>
            <family val="3"/>
            <charset val="129"/>
          </rPr>
          <t>지분으르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간주함</t>
        </r>
        <r>
          <rPr>
            <sz val="9"/>
            <color indexed="81"/>
            <rFont val="Tahoma"/>
            <family val="2"/>
          </rPr>
          <t>. (</t>
        </r>
        <r>
          <rPr>
            <sz val="9"/>
            <color indexed="81"/>
            <rFont val="돋움"/>
            <family val="3"/>
            <charset val="129"/>
          </rPr>
          <t>백기사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지분</t>
        </r>
        <r>
          <rPr>
            <sz val="9"/>
            <color indexed="81"/>
            <rFont val="Tahoma"/>
            <family val="2"/>
          </rPr>
          <t>)</t>
        </r>
      </text>
    </comment>
    <comment ref="BG72" authorId="44" shapeId="0" xr:uid="{00000000-0006-0000-0100-00002E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AM74" authorId="45" shapeId="0" xr:uid="{00000000-0006-0000-0100-00002F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동일인</t>
      </text>
    </comment>
    <comment ref="AM75" authorId="46" shapeId="0" xr:uid="{00000000-0006-0000-0100-000030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동일인</t>
      </text>
    </comment>
    <comment ref="BG75" authorId="47" shapeId="0" xr:uid="{00000000-0006-0000-0100-000031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AM78" authorId="48" shapeId="0" xr:uid="{00000000-0006-0000-0100-000032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동일인</t>
      </text>
    </comment>
    <comment ref="AM80" authorId="49" shapeId="0" xr:uid="{00000000-0006-0000-0100-000033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동일인</t>
      </text>
    </comment>
    <comment ref="BG81" authorId="50" shapeId="0" xr:uid="{00000000-0006-0000-0100-000034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AM83" authorId="51" shapeId="0" xr:uid="{00000000-0006-0000-0100-000035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동일인</t>
      </text>
    </comment>
    <comment ref="U84" authorId="30" shapeId="0" xr:uid="{00000000-0006-0000-0100-000036000000}">
      <text>
        <r>
          <rPr>
            <b/>
            <sz val="9"/>
            <color indexed="81"/>
            <rFont val="Tahoma"/>
            <family val="2"/>
          </rPr>
          <t>hcjun: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현대그린푸드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대원강업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대주주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</text>
    </comment>
    <comment ref="Z84" authorId="30" shapeId="0" xr:uid="{00000000-0006-0000-0100-000037000000}">
      <text>
        <r>
          <rPr>
            <b/>
            <sz val="9"/>
            <color indexed="81"/>
            <rFont val="Tahoma"/>
            <family val="2"/>
          </rPr>
          <t>hcjun: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현대그린푸드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대주주가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현대홈쇼핑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현대쇼핑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대원강업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계열사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합산</t>
        </r>
      </text>
    </comment>
    <comment ref="BG87" authorId="52" shapeId="0" xr:uid="{00000000-0006-0000-0100-000038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Z89" authorId="53" shapeId="0" xr:uid="{00000000-0006-0000-0100-000039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리빙소프트㈜ 특수관계 회사</t>
      </text>
    </comment>
    <comment ref="BG91" authorId="54" shapeId="0" xr:uid="{00000000-0006-0000-0100-00003A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102" authorId="55" shapeId="0" xr:uid="{00000000-0006-0000-0100-00003B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108" authorId="56" shapeId="0" xr:uid="{00000000-0006-0000-0100-00003C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109" authorId="57" shapeId="0" xr:uid="{00000000-0006-0000-0100-00003D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115" authorId="58" shapeId="0" xr:uid="{00000000-0006-0000-0100-00003E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117" authorId="59" shapeId="0" xr:uid="{00000000-0006-0000-0100-00003F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121" authorId="60" shapeId="0" xr:uid="{00000000-0006-0000-0100-000040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AM122" authorId="61" shapeId="0" xr:uid="{00000000-0006-0000-0100-000041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동일인</t>
      </text>
    </comment>
    <comment ref="AZ131" authorId="62" shapeId="0" xr:uid="{00000000-0006-0000-0100-000042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미공시, 최하점</t>
      </text>
    </comment>
    <comment ref="AM132" authorId="63" shapeId="0" xr:uid="{00000000-0006-0000-0100-000043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동일인</t>
      </text>
    </comment>
    <comment ref="AM133" authorId="64" shapeId="0" xr:uid="{00000000-0006-0000-0100-000044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동일인</t>
      </text>
    </comment>
    <comment ref="BG134" authorId="65" shapeId="0" xr:uid="{00000000-0006-0000-0100-000045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135" authorId="66" shapeId="0" xr:uid="{00000000-0006-0000-0100-000046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136" authorId="67" shapeId="0" xr:uid="{00000000-0006-0000-0100-000047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138" authorId="68" shapeId="0" xr:uid="{00000000-0006-0000-0100-000048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139" authorId="69" shapeId="0" xr:uid="{00000000-0006-0000-0100-000049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140" authorId="70" shapeId="0" xr:uid="{00000000-0006-0000-0100-00004A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141" authorId="71" shapeId="0" xr:uid="{00000000-0006-0000-0100-00004B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142" authorId="72" shapeId="0" xr:uid="{00000000-0006-0000-0100-00004C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143" authorId="73" shapeId="0" xr:uid="{00000000-0006-0000-0100-00004D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AM145" authorId="74" shapeId="0" xr:uid="{00000000-0006-0000-0100-00004E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동일인</t>
      </text>
    </comment>
    <comment ref="BG145" authorId="75" shapeId="0" xr:uid="{00000000-0006-0000-0100-00004F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146" authorId="76" shapeId="0" xr:uid="{00000000-0006-0000-0100-000050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S146" authorId="77" shapeId="0" xr:uid="{00000000-0006-0000-0100-000051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관계사 인수합병</t>
      </text>
    </comment>
    <comment ref="W150" authorId="78" shapeId="0" xr:uid="{00000000-0006-0000-0100-000052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주주현황 누락공시</t>
      </text>
    </comment>
    <comment ref="BG150" authorId="79" shapeId="0" xr:uid="{00000000-0006-0000-0100-000053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Z153" authorId="30" shapeId="0" xr:uid="{00000000-0006-0000-0100-000054000000}">
      <text>
        <r>
          <rPr>
            <b/>
            <sz val="9"/>
            <color indexed="81"/>
            <rFont val="Tahoma"/>
            <family val="2"/>
          </rPr>
          <t>hcjun: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㈜스페코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특수관계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회사</t>
        </r>
      </text>
    </comment>
    <comment ref="BG153" authorId="80" shapeId="0" xr:uid="{00000000-0006-0000-0100-000055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157" authorId="81" shapeId="0" xr:uid="{00000000-0006-0000-0100-000056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AM159" authorId="82" shapeId="0" xr:uid="{00000000-0006-0000-0100-000057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동일인</t>
      </text>
    </comment>
    <comment ref="AM161" authorId="83" shapeId="0" xr:uid="{00000000-0006-0000-0100-000058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모회사 대주주</t>
      </text>
    </comment>
    <comment ref="AM163" authorId="84" shapeId="0" xr:uid="{00000000-0006-0000-0100-000059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모회사 대주주</t>
      </text>
    </comment>
    <comment ref="BG164" authorId="85" shapeId="0" xr:uid="{00000000-0006-0000-0100-00005A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166" authorId="86" shapeId="0" xr:uid="{00000000-0006-0000-0100-00005B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AM168" authorId="87" shapeId="0" xr:uid="{00000000-0006-0000-0100-00005C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동일인</t>
      </text>
    </comment>
    <comment ref="BG169" authorId="88" shapeId="0" xr:uid="{00000000-0006-0000-0100-00005D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AZ172" authorId="89" shapeId="0" xr:uid="{00000000-0006-0000-0100-00005E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미공시, 최하점</t>
      </text>
    </comment>
    <comment ref="BG172" authorId="90" shapeId="0" xr:uid="{00000000-0006-0000-0100-00005F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AM174" authorId="91" shapeId="0" xr:uid="{00000000-0006-0000-0100-000060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동일인</t>
      </text>
    </comment>
    <comment ref="BG176" authorId="92" shapeId="0" xr:uid="{00000000-0006-0000-0100-000061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180" authorId="93" shapeId="0" xr:uid="{00000000-0006-0000-0100-000062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Z181" authorId="30" shapeId="0" xr:uid="{00000000-0006-0000-0100-000063000000}">
      <text>
        <r>
          <rPr>
            <b/>
            <sz val="9"/>
            <color indexed="81"/>
            <rFont val="Tahoma"/>
            <family val="2"/>
          </rPr>
          <t>hcjun: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신성치과기재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돋움"/>
            <family val="3"/>
            <charset val="129"/>
          </rPr>
          <t>계열사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 xml:space="preserve">
디브이홀딩스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디브이몰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돋움"/>
            <family val="3"/>
            <charset val="129"/>
          </rPr>
          <t>특수관계회사</t>
        </r>
        <r>
          <rPr>
            <sz val="9"/>
            <color indexed="81"/>
            <rFont val="Tahoma"/>
            <family val="2"/>
          </rPr>
          <t>)</t>
        </r>
      </text>
    </comment>
    <comment ref="BG181" authorId="94" shapeId="0" xr:uid="{00000000-0006-0000-0100-000064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AM182" authorId="95" shapeId="0" xr:uid="{00000000-0006-0000-0100-000065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동일인 홍사승</t>
      </text>
    </comment>
    <comment ref="AM186" authorId="96" shapeId="0" xr:uid="{00000000-0006-0000-0100-000066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동일인</t>
      </text>
    </comment>
    <comment ref="AM187" authorId="97" shapeId="0" xr:uid="{00000000-0006-0000-0100-000067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동일인</t>
      </text>
    </comment>
    <comment ref="BG193" authorId="98" shapeId="0" xr:uid="{00000000-0006-0000-0100-000068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O194" authorId="99" shapeId="0" xr:uid="{00000000-0006-0000-0100-000069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CH194" authorId="100" shapeId="0" xr:uid="{00000000-0006-0000-0100-00006A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수기계산 : 신용위험 / 총자산</t>
      </text>
    </comment>
    <comment ref="V195" authorId="101" shapeId="0" xr:uid="{00000000-0006-0000-0100-00006B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엔디케이㈜ 총수일가</t>
      </text>
    </comment>
    <comment ref="AM198" authorId="102" shapeId="0" xr:uid="{00000000-0006-0000-0100-00006C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동일인</t>
      </text>
    </comment>
    <comment ref="BG199" authorId="103" shapeId="0" xr:uid="{00000000-0006-0000-0100-00006D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200" authorId="104" shapeId="0" xr:uid="{00000000-0006-0000-0100-00006E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AM202" authorId="105" shapeId="0" xr:uid="{00000000-0006-0000-0100-00006F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윤형덕, 윤새봄 동일인 간주</t>
      </text>
    </comment>
    <comment ref="BO202" authorId="106" shapeId="0" xr:uid="{00000000-0006-0000-0100-000070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100% 정부보조금</t>
      </text>
    </comment>
    <comment ref="V205" authorId="107" shapeId="0" xr:uid="{00000000-0006-0000-0100-000071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이조영 (누락공시) 친족 간주</t>
      </text>
    </comment>
    <comment ref="U209" authorId="108" shapeId="0" xr:uid="{00000000-0006-0000-0100-000072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비영리법인 동일인</t>
      </text>
    </comment>
    <comment ref="X209" authorId="109" shapeId="0" xr:uid="{00000000-0006-0000-0100-000073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비영리법인 동일인</t>
      </text>
    </comment>
    <comment ref="BG212" authorId="110" shapeId="0" xr:uid="{00000000-0006-0000-0100-000074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AM213" authorId="111" shapeId="0" xr:uid="{00000000-0006-0000-0100-000075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동일인</t>
      </text>
    </comment>
    <comment ref="BG214" authorId="112" shapeId="0" xr:uid="{00000000-0006-0000-0100-000076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U219" authorId="113" shapeId="0" xr:uid="{00000000-0006-0000-0100-000077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비영리법인 동일인</t>
      </text>
    </comment>
    <comment ref="X219" authorId="114" shapeId="0" xr:uid="{00000000-0006-0000-0100-000078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비영리법인 동일인</t>
      </text>
    </comment>
    <comment ref="AM221" authorId="115" shapeId="0" xr:uid="{00000000-0006-0000-0100-000079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동일인</t>
      </text>
    </comment>
    <comment ref="BG221" authorId="116" shapeId="0" xr:uid="{00000000-0006-0000-0100-00007A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222" authorId="117" shapeId="0" xr:uid="{00000000-0006-0000-0100-00007B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223" authorId="118" shapeId="0" xr:uid="{00000000-0006-0000-0100-00007C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225" authorId="119" shapeId="0" xr:uid="{00000000-0006-0000-0100-00007D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226" authorId="120" shapeId="0" xr:uid="{00000000-0006-0000-0100-00007E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AM228" authorId="121" shapeId="0" xr:uid="{00000000-0006-0000-0100-00007F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동일인</t>
      </text>
    </comment>
    <comment ref="BG228" authorId="122" shapeId="0" xr:uid="{00000000-0006-0000-0100-000080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231" authorId="123" shapeId="0" xr:uid="{00000000-0006-0000-0100-000081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232" authorId="124" shapeId="0" xr:uid="{00000000-0006-0000-0100-000082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AM234" authorId="125" shapeId="0" xr:uid="{00000000-0006-0000-0100-000083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동일인</t>
      </text>
    </comment>
    <comment ref="BG236" authorId="126" shapeId="0" xr:uid="{00000000-0006-0000-0100-000084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238" authorId="127" shapeId="0" xr:uid="{00000000-0006-0000-0100-000085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U242" authorId="128" shapeId="0" xr:uid="{00000000-0006-0000-0100-000086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국민연금 대주주 동일인 없음</t>
      </text>
    </comment>
    <comment ref="BG242" authorId="129" shapeId="0" xr:uid="{00000000-0006-0000-0100-000087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243" authorId="130" shapeId="0" xr:uid="{00000000-0006-0000-0100-000088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U244" authorId="131" shapeId="0" xr:uid="{00000000-0006-0000-0100-000089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국민연금 대주주 동일인 없음</t>
      </text>
    </comment>
    <comment ref="BG244" authorId="132" shapeId="0" xr:uid="{00000000-0006-0000-0100-00008A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246" authorId="133" shapeId="0" xr:uid="{00000000-0006-0000-0100-00008B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AM247" authorId="134" shapeId="0" xr:uid="{00000000-0006-0000-0100-00008C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동일인</t>
      </text>
    </comment>
    <comment ref="AM248" authorId="135" shapeId="0" xr:uid="{00000000-0006-0000-0100-00008D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동일인</t>
      </text>
    </comment>
    <comment ref="BG248" authorId="136" shapeId="0" xr:uid="{00000000-0006-0000-0100-00008E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249" authorId="137" shapeId="0" xr:uid="{00000000-0006-0000-0100-00008F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AM250" authorId="138" shapeId="0" xr:uid="{00000000-0006-0000-0100-000090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동일인</t>
      </text>
    </comment>
    <comment ref="BG250" authorId="139" shapeId="0" xr:uid="{00000000-0006-0000-0100-000091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251" authorId="140" shapeId="0" xr:uid="{00000000-0006-0000-0100-000092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AM252" authorId="141" shapeId="0" xr:uid="{00000000-0006-0000-0100-000093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동일인</t>
      </text>
    </comment>
    <comment ref="AM255" authorId="142" shapeId="0" xr:uid="{00000000-0006-0000-0100-000094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동일인</t>
      </text>
    </comment>
    <comment ref="V256" authorId="143" shapeId="0" xr:uid="{00000000-0006-0000-0100-000095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윤영만 누락공시 친족 간주</t>
      </text>
    </comment>
    <comment ref="BG256" authorId="144" shapeId="0" xr:uid="{00000000-0006-0000-0100-000096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V258" authorId="145" shapeId="0" xr:uid="{00000000-0006-0000-0100-000097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Dart 공시 오류</t>
      </text>
    </comment>
    <comment ref="BG260" authorId="146" shapeId="0" xr:uid="{00000000-0006-0000-0100-000098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261" authorId="147" shapeId="0" xr:uid="{00000000-0006-0000-0100-000099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AM262" authorId="148" shapeId="0" xr:uid="{00000000-0006-0000-0100-00009A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동일인</t>
      </text>
    </comment>
    <comment ref="BG262" authorId="149" shapeId="0" xr:uid="{00000000-0006-0000-0100-00009B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AM264" authorId="150" shapeId="0" xr:uid="{00000000-0006-0000-0100-00009C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동일인 미등기(누락공시)</t>
      </text>
    </comment>
    <comment ref="BG266" authorId="151" shapeId="0" xr:uid="{00000000-0006-0000-0100-00009D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267" authorId="152" shapeId="0" xr:uid="{00000000-0006-0000-0100-00009E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AM268" authorId="153" shapeId="0" xr:uid="{00000000-0006-0000-0100-00009F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동일인</t>
      </text>
    </comment>
    <comment ref="BG270" authorId="154" shapeId="0" xr:uid="{00000000-0006-0000-0100-0000A0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276" authorId="155" shapeId="0" xr:uid="{00000000-0006-0000-0100-0000A1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AM279" authorId="156" shapeId="0" xr:uid="{00000000-0006-0000-0100-0000A2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동일인</t>
      </text>
    </comment>
    <comment ref="BG279" authorId="157" shapeId="0" xr:uid="{00000000-0006-0000-0100-0000A3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280" authorId="158" shapeId="0" xr:uid="{00000000-0006-0000-0100-0000A4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281" authorId="159" shapeId="0" xr:uid="{00000000-0006-0000-0100-0000A5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AM283" authorId="160" shapeId="0" xr:uid="{00000000-0006-0000-0100-0000A6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동일인</t>
      </text>
    </comment>
    <comment ref="BG283" authorId="161" shapeId="0" xr:uid="{00000000-0006-0000-0100-0000A7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U290" authorId="162" shapeId="0" xr:uid="{00000000-0006-0000-0100-0000A8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비영리재단 동일인</t>
      </text>
    </comment>
    <comment ref="X290" authorId="163" shapeId="0" xr:uid="{00000000-0006-0000-0100-0000A9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비영리재단 동일인</t>
      </text>
    </comment>
    <comment ref="AM291" authorId="164" shapeId="0" xr:uid="{00000000-0006-0000-0100-0000AA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동일인</t>
      </text>
    </comment>
    <comment ref="AM293" authorId="165" shapeId="0" xr:uid="{00000000-0006-0000-0100-0000AB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동일인</t>
      </text>
    </comment>
    <comment ref="U294" authorId="166" shapeId="0" xr:uid="{00000000-0006-0000-0100-0000AC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비영리법인 동일인</t>
      </text>
    </comment>
    <comment ref="X294" authorId="167" shapeId="0" xr:uid="{00000000-0006-0000-0100-0000AD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비영리재단 동일인</t>
      </text>
    </comment>
    <comment ref="BG294" authorId="168" shapeId="0" xr:uid="{00000000-0006-0000-0100-0000AE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AM295" authorId="169" shapeId="0" xr:uid="{00000000-0006-0000-0100-0000AF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동일인</t>
      </text>
    </comment>
    <comment ref="AM296" authorId="170" shapeId="0" xr:uid="{00000000-0006-0000-0100-0000B0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동일인</t>
      </text>
    </comment>
    <comment ref="BG297" authorId="171" shapeId="0" xr:uid="{00000000-0006-0000-0100-0000B1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298" authorId="172" shapeId="0" xr:uid="{00000000-0006-0000-0100-0000B2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AM299" authorId="173" shapeId="0" xr:uid="{00000000-0006-0000-0100-0000B3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동일인</t>
      </text>
    </comment>
    <comment ref="BG299" authorId="174" shapeId="0" xr:uid="{00000000-0006-0000-0100-0000B4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300" authorId="175" shapeId="0" xr:uid="{00000000-0006-0000-0100-0000B5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301" authorId="176" shapeId="0" xr:uid="{00000000-0006-0000-0100-0000B6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AM303" authorId="177" shapeId="0" xr:uid="{00000000-0006-0000-0100-0000B7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동일인</t>
      </text>
    </comment>
    <comment ref="BG303" authorId="178" shapeId="0" xr:uid="{00000000-0006-0000-0100-0000B8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305" authorId="179" shapeId="0" xr:uid="{00000000-0006-0000-0100-0000B9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306" authorId="180" shapeId="0" xr:uid="{00000000-0006-0000-0100-0000BA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307" authorId="181" shapeId="0" xr:uid="{00000000-0006-0000-0100-0000BB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310" authorId="182" shapeId="0" xr:uid="{00000000-0006-0000-0100-0000BC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AM311" authorId="183" shapeId="0" xr:uid="{00000000-0006-0000-0100-0000BD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동일인</t>
      </text>
    </comment>
    <comment ref="AM314" authorId="184" shapeId="0" xr:uid="{00000000-0006-0000-0100-0000BE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동일인</t>
      </text>
    </comment>
    <comment ref="BG314" authorId="185" shapeId="0" xr:uid="{00000000-0006-0000-0100-0000BF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318" authorId="186" shapeId="0" xr:uid="{00000000-0006-0000-0100-0000C0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319" authorId="187" shapeId="0" xr:uid="{00000000-0006-0000-0100-0000C1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320" authorId="188" shapeId="0" xr:uid="{00000000-0006-0000-0100-0000C2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321" authorId="189" shapeId="0" xr:uid="{00000000-0006-0000-0100-0000C3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  <comment ref="BG322" authorId="190" shapeId="0" xr:uid="{00000000-0006-0000-0100-0000C4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미공시</t>
      </text>
    </comment>
  </commentList>
</comments>
</file>

<file path=xl/sharedStrings.xml><?xml version="1.0" encoding="utf-8"?>
<sst xmlns="http://schemas.openxmlformats.org/spreadsheetml/2006/main" count="9912" uniqueCount="2267">
  <si>
    <t>회사명</t>
  </si>
  <si>
    <t>사업보고서
바로가기</t>
  </si>
  <si>
    <t>종목코드</t>
  </si>
  <si>
    <t>경실련
업종</t>
  </si>
  <si>
    <t>업종</t>
  </si>
  <si>
    <t>주요제품</t>
  </si>
  <si>
    <t>상장일</t>
  </si>
  <si>
    <t>결산월</t>
  </si>
  <si>
    <t>대표자명</t>
  </si>
  <si>
    <t>홈페이지</t>
  </si>
  <si>
    <t>지역</t>
  </si>
  <si>
    <t>자산총계
(천원)</t>
  </si>
  <si>
    <t>부채총계
(천원)</t>
  </si>
  <si>
    <t>자본총계
(천원)</t>
  </si>
  <si>
    <t>매출액
(천원)</t>
  </si>
  <si>
    <t>영업이익
(천원)</t>
  </si>
  <si>
    <t>법인세차감전
계속사업이익
(천원)</t>
  </si>
  <si>
    <t>당기순이익
(천원)</t>
  </si>
  <si>
    <t>BGF리테일</t>
    <phoneticPr fontId="4" type="noConversion"/>
  </si>
  <si>
    <t>https://dart.fss.or.kr/dsaf001/main.do?rcpNo=20230320000886</t>
    <phoneticPr fontId="4" type="noConversion"/>
  </si>
  <si>
    <t>282330</t>
  </si>
  <si>
    <t>비제조/서비스업</t>
  </si>
  <si>
    <t>종합 소매업</t>
  </si>
  <si>
    <t>체인화 편의점</t>
  </si>
  <si>
    <t>12월</t>
  </si>
  <si>
    <t>이건준</t>
  </si>
  <si>
    <t>http://www.bgfretail.com</t>
  </si>
  <si>
    <t>서울특별시</t>
  </si>
  <si>
    <t>BYC</t>
  </si>
  <si>
    <t>https://dart.fss.or.kr/dsaf001/main.do?rcpNo=20230316001312</t>
    <phoneticPr fontId="4" type="noConversion"/>
  </si>
  <si>
    <t>001460</t>
  </si>
  <si>
    <t>식약/섬유/종이업</t>
  </si>
  <si>
    <t>봉제의복 제조업</t>
  </si>
  <si>
    <t>메리야스,란제리 제조,도매/건축공사/부동산 임대,분양,공급</t>
  </si>
  <si>
    <t>김 대 환</t>
  </si>
  <si>
    <t>http://home.byc.co.kr</t>
  </si>
  <si>
    <t>CJ대한통운</t>
  </si>
  <si>
    <t>https://dart.fss.or.kr/dsaf001/main.do?rcpNo=20230317000857</t>
    <phoneticPr fontId="4" type="noConversion"/>
  </si>
  <si>
    <t>000120</t>
  </si>
  <si>
    <t>도로 화물 운송업</t>
  </si>
  <si>
    <t>Contract Logistics, 포워딩, 항만하역, 해운, 택배국제특송, SCM Consulting</t>
  </si>
  <si>
    <t>강신호,민영학(각자대표)</t>
  </si>
  <si>
    <t>http://www.cjlogistics.com</t>
  </si>
  <si>
    <t>CJ씨푸드</t>
  </si>
  <si>
    <t>https://dart.fss.or.kr/dsaf001/main.do?rcpNo=20230320000740</t>
    <phoneticPr fontId="4" type="noConversion"/>
  </si>
  <si>
    <t>011150</t>
  </si>
  <si>
    <t>기타 식품 제조업</t>
  </si>
  <si>
    <t>수산물(어묵,맛살)가공품 도매,원양수산업,수출입</t>
  </si>
  <si>
    <t>김정웅, 박태준(각자대표)</t>
  </si>
  <si>
    <t>http://www.cjseafood.net</t>
  </si>
  <si>
    <t>경기도</t>
  </si>
  <si>
    <t>CJ제일제당</t>
  </si>
  <si>
    <t>https://dart.fss.or.kr/dsaf001/main.do?rcpNo=20230814001661</t>
    <phoneticPr fontId="4" type="noConversion"/>
  </si>
  <si>
    <t>097950</t>
  </si>
  <si>
    <t>설탕,소맥분,조미식품,육가공식품(돈육,돼지비계,돼지식용설육),대두가공식품,사료,의약품,생활화학제품 제조,도매,무역/통신판매</t>
  </si>
  <si>
    <t>손경식, 최은석 (각자 대표이사)</t>
  </si>
  <si>
    <t>http://www.cj.co.kr</t>
  </si>
  <si>
    <t>DB</t>
  </si>
  <si>
    <t>https://dart.fss.or.kr/dsaf001/main.do?rcpNo=20230321001132</t>
    <phoneticPr fontId="4" type="noConversion"/>
  </si>
  <si>
    <t>012030</t>
  </si>
  <si>
    <t>컴퓨터 프로그래밍, 시스템 통합 및 관리업</t>
  </si>
  <si>
    <t>컴퓨터 프로그래밍, 시스템 통합 및 관리</t>
  </si>
  <si>
    <t>문덕식,강운식 (각자 대표이사)</t>
  </si>
  <si>
    <t>http://www.dbinc.co.kr</t>
  </si>
  <si>
    <t>DB손해보험</t>
  </si>
  <si>
    <t>https://dart.fss.or.kr/dsaf001/main.do?rcpNo=20230831001199</t>
    <phoneticPr fontId="4" type="noConversion"/>
  </si>
  <si>
    <t>005830</t>
  </si>
  <si>
    <t>금융업(보험)</t>
  </si>
  <si>
    <t>보험업</t>
  </si>
  <si>
    <t>자동차보험,화재보험,해상보험,특종보험,장기보험</t>
  </si>
  <si>
    <t>김정남, 정종표</t>
  </si>
  <si>
    <t>http://www.idbins.com</t>
  </si>
  <si>
    <t>DL</t>
  </si>
  <si>
    <t>https://dart.fss.or.kr/dsaf001/main.do?rcpNo=20230728000644</t>
    <phoneticPr fontId="4" type="noConversion"/>
  </si>
  <si>
    <t>000210</t>
  </si>
  <si>
    <t>금속/비금속/화학업</t>
  </si>
  <si>
    <t>기초 화학물질 제조업</t>
  </si>
  <si>
    <t>지주회사</t>
  </si>
  <si>
    <t>김종현</t>
  </si>
  <si>
    <t>http://www.dlholdings.co.kr</t>
  </si>
  <si>
    <t>DL건설</t>
  </si>
  <si>
    <t>https://dart.fss.or.kr/dsaf001/main.do?rcpNo=20230315000019</t>
    <phoneticPr fontId="4" type="noConversion"/>
  </si>
  <si>
    <t>001880</t>
  </si>
  <si>
    <t>건물 건설업</t>
  </si>
  <si>
    <t>도로건설공사,토목공사,건축공사,조경공사/부동산 임대,매매</t>
  </si>
  <si>
    <t>곽수윤</t>
  </si>
  <si>
    <t>http://www.dlconstruction.co.kr</t>
  </si>
  <si>
    <t>인천광역시</t>
  </si>
  <si>
    <t>DL이앤씨</t>
  </si>
  <si>
    <t>https://dart.fss.or.kr/dsaf001/main.do?rcpNo=20230315001420</t>
    <phoneticPr fontId="4" type="noConversion"/>
  </si>
  <si>
    <t>375500</t>
  </si>
  <si>
    <t>토목 건설업</t>
  </si>
  <si>
    <t>토목 건설 사업</t>
  </si>
  <si>
    <t>마창민</t>
  </si>
  <si>
    <t>https://www.dlenc.co.kr/main.do</t>
    <phoneticPr fontId="4" type="noConversion"/>
  </si>
  <si>
    <t>DN오토모티브</t>
  </si>
  <si>
    <t>https://dart.fss.or.kr/dsaf001/main.do?rcpNo=20230322001200</t>
    <phoneticPr fontId="4" type="noConversion"/>
  </si>
  <si>
    <t>007340</t>
  </si>
  <si>
    <t>일차전지 및 축전지 제조업</t>
  </si>
  <si>
    <t>자동차용 밧데리</t>
  </si>
  <si>
    <t>김상헌 김인환</t>
  </si>
  <si>
    <t>http://www.dnautomotive.com</t>
  </si>
  <si>
    <t>경상남도</t>
  </si>
  <si>
    <t>DSR</t>
  </si>
  <si>
    <t>https://dart.fss.or.kr/dsaf001/main.do?rcpNo=20230320000736</t>
    <phoneticPr fontId="4" type="noConversion"/>
  </si>
  <si>
    <t>155660</t>
  </si>
  <si>
    <t>1차 비철금속 제조업</t>
  </si>
  <si>
    <t>합섬섬유로프</t>
  </si>
  <si>
    <t>홍석빈</t>
  </si>
  <si>
    <t>http://www.dsr.com</t>
  </si>
  <si>
    <t>부산광역시</t>
  </si>
  <si>
    <t>DSR제강</t>
  </si>
  <si>
    <t>https://dart.fss.or.kr/dsaf001/main.do?rcpNo=20230320000604</t>
    <phoneticPr fontId="4" type="noConversion"/>
  </si>
  <si>
    <t>069730</t>
  </si>
  <si>
    <t>1차 철강 제조업</t>
  </si>
  <si>
    <t>와이어로프,각종 경강선,철선제품,PC강선,아연도 강연선 제조</t>
  </si>
  <si>
    <t>홍하종, 홍석빈 (각자 대표이사)</t>
  </si>
  <si>
    <t>http://www.dsrcorp.com</t>
  </si>
  <si>
    <t>전라남도</t>
  </si>
  <si>
    <t>F&amp;F</t>
  </si>
  <si>
    <t>https://dart.fss.or.kr/dsaf001/main.do?rcpNo=20230831001367</t>
    <phoneticPr fontId="4" type="noConversion"/>
  </si>
  <si>
    <t>383220</t>
  </si>
  <si>
    <t>MLB, MLB KIDS, DISCOVERY 등 패션의류제품</t>
  </si>
  <si>
    <t>김창수</t>
  </si>
  <si>
    <t>http://www.fnf.co.kr</t>
  </si>
  <si>
    <t>GS건설</t>
  </si>
  <si>
    <t>https://dart.fss.or.kr/dsaf001/main.do?rcpNo=20230316001014</t>
    <phoneticPr fontId="4" type="noConversion"/>
  </si>
  <si>
    <t>006360</t>
  </si>
  <si>
    <t>토목공사,건축공사,주택공사,산업플랜트공사,리모델링공사,시설물유지관리공사/산업설비설계,감리 용역,수출입/에너지관리 진단,연구개발</t>
  </si>
  <si>
    <t>허창수, 임병용(각자 대표이사)</t>
  </si>
  <si>
    <t>http://www.gsconst.co.kr/</t>
  </si>
  <si>
    <t>GS리테일</t>
  </si>
  <si>
    <t>https://dart.fss.or.kr/dsaf001/main.do?rcpNo=20230315001215</t>
    <phoneticPr fontId="4" type="noConversion"/>
  </si>
  <si>
    <t>001250</t>
  </si>
  <si>
    <t>상품 종합 도매업</t>
  </si>
  <si>
    <t>수출입업(시멘트,철강금속,전기전자,섬유,기계화학),상품중개,광업,채석업/하수처리 서비스/부동산 임대</t>
  </si>
  <si>
    <t>이영환</t>
  </si>
  <si>
    <t>http://www.gsgcorp.com</t>
  </si>
  <si>
    <t>HDC랩스</t>
  </si>
  <si>
    <t>https://dart.fss.or.kr/dsaf001/main.do?rcpNo=20230316001339</t>
    <phoneticPr fontId="4" type="noConversion"/>
  </si>
  <si>
    <t>039570</t>
  </si>
  <si>
    <t>전기전자/기계업</t>
  </si>
  <si>
    <t>전기 및 통신 공사업</t>
  </si>
  <si>
    <t>기계설비공사, 스마트홈, 지능형 빌딩, SOC, 인테리어, 조경, 시설관리</t>
  </si>
  <si>
    <t>김성은</t>
  </si>
  <si>
    <t>http://www.hdc-labs.com/</t>
  </si>
  <si>
    <t>HDC현대EP</t>
  </si>
  <si>
    <t>https://dart.fss.or.kr/dsaf001/main.do?rcpNo=20230315001033</t>
    <phoneticPr fontId="4" type="noConversion"/>
  </si>
  <si>
    <t>089470</t>
  </si>
  <si>
    <t>기타 화학제품 제조업</t>
  </si>
  <si>
    <t>합성수지(PP컴파운딩가공,자동차범퍼,내장제) 제조,도소매</t>
  </si>
  <si>
    <t>정 중 규</t>
  </si>
  <si>
    <t>http://www.hdc-hyundaiep.com/</t>
  </si>
  <si>
    <t>충청남도</t>
  </si>
  <si>
    <t>HDC현대산업개발</t>
  </si>
  <si>
    <t>https://dart.fss.or.kr/dsaf001/main.do?rcpNo=20230713000082</t>
    <phoneticPr fontId="4" type="noConversion"/>
  </si>
  <si>
    <t>294870</t>
  </si>
  <si>
    <t>외주주택, 자체공사, 일반건축, 토목 등</t>
  </si>
  <si>
    <t>최익훈, 정익희, 김회언 (각자 대표이사)</t>
  </si>
  <si>
    <t>http://www.hdc-dvp.com</t>
  </si>
  <si>
    <t>HD현대에너지솔루션</t>
  </si>
  <si>
    <t>https://dart.fss.or.kr/dsaf001/main.do?rcpNo=20230317000301</t>
    <phoneticPr fontId="4" type="noConversion"/>
  </si>
  <si>
    <t>322000</t>
  </si>
  <si>
    <t>반도체 제조업</t>
  </si>
  <si>
    <t>태양광 셀·모듈, PV시스템, ESS</t>
  </si>
  <si>
    <t>박종환</t>
  </si>
  <si>
    <t>http://www.hd-hyundaies.co.kr/</t>
  </si>
  <si>
    <t>HL D&amp;I</t>
  </si>
  <si>
    <t>https://dart.fss.or.kr/dsaf001/main.do?rcpNo=20230315001407</t>
    <phoneticPr fontId="4" type="noConversion"/>
  </si>
  <si>
    <t>014790</t>
  </si>
  <si>
    <t>토목,건축,전기,환경사업,준설공사,포장공사,주택,중기임대</t>
  </si>
  <si>
    <t>홍석화</t>
  </si>
  <si>
    <t>http://www.halla.co.kr</t>
  </si>
  <si>
    <t>HMM</t>
  </si>
  <si>
    <t>https://dart.fss.or.kr/dsaf001/main.do?rcpNo=20230714000061</t>
    <phoneticPr fontId="4" type="noConversion"/>
  </si>
  <si>
    <t>011200</t>
  </si>
  <si>
    <t>해상 운송업</t>
  </si>
  <si>
    <t>정기,부정기,전용선,콘테이너선,자동차선,LNG선 해운</t>
  </si>
  <si>
    <t>김경배</t>
  </si>
  <si>
    <t>http://www.hmm21.com</t>
  </si>
  <si>
    <t>JW생명과학</t>
  </si>
  <si>
    <t>https://dart.fss.or.kr/dsaf001/main.do?rcpNo=20230321001126</t>
    <phoneticPr fontId="4" type="noConversion"/>
  </si>
  <si>
    <t>234080</t>
  </si>
  <si>
    <t>의약품 제조업</t>
  </si>
  <si>
    <t>기초수액, TPN, 특수수액, HEMO, 영양수액 등</t>
  </si>
  <si>
    <t>차성남</t>
  </si>
  <si>
    <t>http://www.jw-lifescience.co.kr</t>
  </si>
  <si>
    <t>KG스틸</t>
  </si>
  <si>
    <t>https://dart.fss.or.kr/dsaf001/main.do?rcpNo=20230315000071</t>
    <phoneticPr fontId="4" type="noConversion"/>
  </si>
  <si>
    <t>016380</t>
  </si>
  <si>
    <t>철강재(냉연강판,아연도강판,칼라강판,석도강판,선재류,강관,형강,봉강),비철금속 제조,도매</t>
  </si>
  <si>
    <t>박성희</t>
  </si>
  <si>
    <t>http://kg-steel.co.kr</t>
  </si>
  <si>
    <t>KPX케미칼</t>
  </si>
  <si>
    <t>https://dart.fss.or.kr/dsaf001/main.do?rcpNo=20230316000950</t>
    <phoneticPr fontId="4" type="noConversion"/>
  </si>
  <si>
    <t>025000</t>
  </si>
  <si>
    <t>PPG,PU RESIN,우레탄수지,대향막박리재,반도체 CM PAD,Polyether Polyol,산업용기초화학제품,화공약품 제조,판매</t>
  </si>
  <si>
    <t>양준영, 최재호, 이찬수(각자대표이사)</t>
  </si>
  <si>
    <t>http://www.kpxchemical.com</t>
  </si>
  <si>
    <t>KSS해운</t>
  </si>
  <si>
    <t>https://dart.fss.or.kr/dsaf001/main.do?rcpNo=20230316000684</t>
    <phoneticPr fontId="4" type="noConversion"/>
  </si>
  <si>
    <t>044450</t>
  </si>
  <si>
    <t>특수화물해상운송(액화가스,LPG,암모니아,VCM,석유화학제품 등), 선박대여</t>
  </si>
  <si>
    <t>박찬도</t>
  </si>
  <si>
    <t>http://www.kssline.com</t>
  </si>
  <si>
    <t>KTcs</t>
  </si>
  <si>
    <t>https://dart.fss.or.kr/dsaf001/main.do?rcpNo=20230322000776</t>
    <phoneticPr fontId="4" type="noConversion"/>
  </si>
  <si>
    <t>058850</t>
  </si>
  <si>
    <t>기타 정보 서비스업</t>
  </si>
  <si>
    <t>전화번호검색 데이타제공/콜센터 운영</t>
  </si>
  <si>
    <t>박경원</t>
  </si>
  <si>
    <t>http://www.ktcs.co.kr</t>
  </si>
  <si>
    <t>대전광역시</t>
  </si>
  <si>
    <t>KTis</t>
  </si>
  <si>
    <t>https://dart.fss.or.kr/dsaf001/main.do?rcpNo=20230323000613</t>
    <phoneticPr fontId="4" type="noConversion"/>
  </si>
  <si>
    <t>058860</t>
  </si>
  <si>
    <t>114전화번호안내, 고객센터</t>
  </si>
  <si>
    <t>윤경근</t>
  </si>
  <si>
    <t>http://www.ktis.co.kr</t>
  </si>
  <si>
    <t>LF</t>
  </si>
  <si>
    <t>https://dart.fss.or.kr/dsaf001/main.do?rcpNo=20230320000688</t>
    <phoneticPr fontId="4" type="noConversion"/>
  </si>
  <si>
    <t>093050</t>
  </si>
  <si>
    <t>기성복, 의류, 잡화, 제조</t>
  </si>
  <si>
    <t>오규식, 김상균 (각자 대표이사)</t>
  </si>
  <si>
    <t>http://www.lfcorp.com</t>
  </si>
  <si>
    <t>LG생활건강</t>
  </si>
  <si>
    <t>https://dart.fss.or.kr/dsaf001/main.do?rcpNo=20230320000833</t>
    <phoneticPr fontId="4" type="noConversion"/>
  </si>
  <si>
    <t>051900</t>
  </si>
  <si>
    <t>화장품,생활용품 제조,도매</t>
  </si>
  <si>
    <t>이정애</t>
  </si>
  <si>
    <t>http://www.lghnh.com</t>
  </si>
  <si>
    <t>LG유플러스</t>
    <phoneticPr fontId="4" type="noConversion"/>
  </si>
  <si>
    <t>https://dart.fss.or.kr/dsaf001/main.do?rcpNo=20230302000615</t>
    <phoneticPr fontId="4" type="noConversion"/>
  </si>
  <si>
    <t>032640</t>
  </si>
  <si>
    <t>전기 통신업</t>
  </si>
  <si>
    <t>개인휴대통신서비스,음성서비스,데이터서비스,부가통신/단말기 도소매/프로그램 개발,자료제공</t>
  </si>
  <si>
    <t>황현식</t>
  </si>
  <si>
    <t>http://www.uplus.co.kr</t>
  </si>
  <si>
    <t>LG이노텍</t>
  </si>
  <si>
    <t>https://dart.fss.or.kr/dsaf001/main.do?rcpNo=20230222002549</t>
    <phoneticPr fontId="4" type="noConversion"/>
  </si>
  <si>
    <t>011070</t>
  </si>
  <si>
    <t>전자부품 제조업</t>
  </si>
  <si>
    <t>기타 전자부품 제조업</t>
  </si>
  <si>
    <t>정철동</t>
  </si>
  <si>
    <t>http://www.lginnotek.co.kr</t>
  </si>
  <si>
    <t>LIG넥스원</t>
  </si>
  <si>
    <t>https://dart.fss.or.kr/dsaf001/main.do?rcpNo=20230317000276</t>
    <phoneticPr fontId="4" type="noConversion"/>
  </si>
  <si>
    <t>079550</t>
  </si>
  <si>
    <t>무기 및 총포탄 제조업</t>
  </si>
  <si>
    <t>정밀유도무기 등</t>
  </si>
  <si>
    <t>김지찬</t>
  </si>
  <si>
    <t>http://www.lignex1.com</t>
  </si>
  <si>
    <t>LX인터내셔널</t>
  </si>
  <si>
    <t>https://dart.fss.or.kr/dsaf001/main.do?rcpNo=20230315000850</t>
    <phoneticPr fontId="4" type="noConversion"/>
  </si>
  <si>
    <t>001120</t>
  </si>
  <si>
    <t>상품 중개업</t>
  </si>
  <si>
    <t>전자,기계,화공,유류.금속,의류 수출입,도소매</t>
  </si>
  <si>
    <t>윤춘성</t>
  </si>
  <si>
    <t>http://www.lxinternational.co.kr</t>
  </si>
  <si>
    <t>NH투자증권</t>
  </si>
  <si>
    <t>https://dart.fss.or.kr/dsaf001/main.do?rcpNo=20230315000964</t>
    <phoneticPr fontId="4" type="noConversion"/>
  </si>
  <si>
    <t>005940</t>
  </si>
  <si>
    <t>금융업(증권)</t>
  </si>
  <si>
    <t>금융 지원 서비스업</t>
  </si>
  <si>
    <t>증권업,종합금융</t>
  </si>
  <si>
    <t>정영채</t>
  </si>
  <si>
    <t>http://www.nhqv.com</t>
  </si>
  <si>
    <t>NI스틸</t>
  </si>
  <si>
    <t>https://dart.fss.or.kr/dsaf001/main.do?rcpNo=20230316000724</t>
    <phoneticPr fontId="4" type="noConversion"/>
  </si>
  <si>
    <t>008260</t>
  </si>
  <si>
    <t>스틸파이프,철강재임가공 제조,도매</t>
  </si>
  <si>
    <t>이창환</t>
  </si>
  <si>
    <t>http://www.hcr4u.com</t>
  </si>
  <si>
    <t>PI첨단소재</t>
  </si>
  <si>
    <t>https://dart.fss.or.kr/dsaf001/main.do?rcpNo=20230315000084</t>
    <phoneticPr fontId="4" type="noConversion"/>
  </si>
  <si>
    <t>178920</t>
  </si>
  <si>
    <t>플라스틱제품 제조업</t>
  </si>
  <si>
    <t>PI(Polyimide)제품</t>
  </si>
  <si>
    <t>송금수</t>
  </si>
  <si>
    <t>http://www.pimaterials.com</t>
  </si>
  <si>
    <t>충청북도</t>
  </si>
  <si>
    <t>SGC에너지</t>
  </si>
  <si>
    <t>https://dart.fss.or.kr/dsaf001/main.do?rcpNo=20230309000859</t>
    <phoneticPr fontId="4" type="noConversion"/>
  </si>
  <si>
    <t>005090</t>
  </si>
  <si>
    <t>전기업</t>
  </si>
  <si>
    <t>증기, 전기, REC(신재생에너지공급인증서)</t>
  </si>
  <si>
    <t>이우성, 박준영, 이복영</t>
  </si>
  <si>
    <t>http://www.sgcenergy.co.kr</t>
  </si>
  <si>
    <t>SHD</t>
    <phoneticPr fontId="4" type="noConversion"/>
  </si>
  <si>
    <t>https://dart.fss.or.kr/dsaf001/main.do?rcpNo=20230321000569</t>
    <phoneticPr fontId="4" type="noConversion"/>
  </si>
  <si>
    <t>001770</t>
  </si>
  <si>
    <t>석도강판,표면처리강판 제조,임가공,판매</t>
  </si>
  <si>
    <t>신종호</t>
  </si>
  <si>
    <t>http://www.shinhwatp.co.kr</t>
  </si>
  <si>
    <t>SIMPAC</t>
  </si>
  <si>
    <t>https://dart.fss.or.kr/dsaf001/main.do?rcpNo=20230320000844</t>
    <phoneticPr fontId="4" type="noConversion"/>
  </si>
  <si>
    <t>009160</t>
  </si>
  <si>
    <t>프레스, 합금철</t>
  </si>
  <si>
    <t>최진식</t>
  </si>
  <si>
    <t>http://www.simpac.co.kr</t>
  </si>
  <si>
    <t>SK가스</t>
  </si>
  <si>
    <t>https://dart.fss.or.kr/dsaf001/main.do?rcpNo=20230315000990</t>
    <phoneticPr fontId="4" type="noConversion"/>
  </si>
  <si>
    <t>018670</t>
  </si>
  <si>
    <t>기타 전문 도매업</t>
  </si>
  <si>
    <t>액화석유가스,가스기기 판매,수입,저장</t>
  </si>
  <si>
    <t>윤병석</t>
  </si>
  <si>
    <t>http://www.skgas.co.kr/</t>
  </si>
  <si>
    <t>SK렌터카</t>
  </si>
  <si>
    <t>https://dart.fss.or.kr/dsaf001/main.do?rcpNo=20230320000162</t>
    <phoneticPr fontId="4" type="noConversion"/>
  </si>
  <si>
    <t>068400</t>
  </si>
  <si>
    <t>운송장비 임대업</t>
  </si>
  <si>
    <t>승용자동차 임대</t>
  </si>
  <si>
    <t>황일문</t>
  </si>
  <si>
    <t>http://https://company.skcarrental.com</t>
  </si>
  <si>
    <t>SK바이오사이언스</t>
  </si>
  <si>
    <t>https://dart.fss.or.kr/dsaf001/main.do?rcpNo=20230317000869</t>
    <phoneticPr fontId="4" type="noConversion"/>
  </si>
  <si>
    <t>302440</t>
  </si>
  <si>
    <t>기초 의약물질 및 생물학적 제제 제조업</t>
  </si>
  <si>
    <t>백신 제품 및 제제</t>
  </si>
  <si>
    <t>안재용</t>
  </si>
  <si>
    <t>http://www.skbioscience.com</t>
  </si>
  <si>
    <t>SK이노베이션</t>
  </si>
  <si>
    <t>https://dart.fss.or.kr/dsaf001/main.do?rcpNo=20230322000906</t>
    <phoneticPr fontId="4" type="noConversion"/>
  </si>
  <si>
    <t>096770</t>
  </si>
  <si>
    <t>석유 정제품 제조업</t>
  </si>
  <si>
    <t>석유정제,석유화학제품,윤활유제품,아스팔트제품,의약중간체 제조,판매,유전개발,대체에너지사업</t>
  </si>
  <si>
    <t>김준</t>
  </si>
  <si>
    <t>http://www.SKinnovation.com</t>
  </si>
  <si>
    <t>SK증권</t>
  </si>
  <si>
    <t>https://dart.fss.or.kr/dsaf001/main.do?rcpNo=20230324000127</t>
    <phoneticPr fontId="4" type="noConversion"/>
  </si>
  <si>
    <t>001510</t>
  </si>
  <si>
    <t>증권업,부동산 임대</t>
  </si>
  <si>
    <t>김신, 전우종</t>
  </si>
  <si>
    <t>http://www.sks.co.kr</t>
  </si>
  <si>
    <t>SK케미칼</t>
  </si>
  <si>
    <t>https://dart.fss.or.kr/dsaf001/main.do?rcpNo=20230320000964</t>
    <phoneticPr fontId="4" type="noConversion"/>
  </si>
  <si>
    <t>285130</t>
  </si>
  <si>
    <t>합성고무 및 플라스틱 물질 제조업</t>
  </si>
  <si>
    <t>PETG 수지, PET 수지, 바이오디젤, 백신</t>
  </si>
  <si>
    <t>김철, 안재현</t>
  </si>
  <si>
    <t>http://www.skchemicals.com</t>
  </si>
  <si>
    <t>SK텔레콤</t>
  </si>
  <si>
    <t>https://dart.fss.or.kr/dsaf001/main.do?rcpNo=20230320000235</t>
    <phoneticPr fontId="4" type="noConversion"/>
  </si>
  <si>
    <t>017670</t>
  </si>
  <si>
    <t>이동전화,무선호출서비스,부가통신</t>
  </si>
  <si>
    <t>유영상</t>
  </si>
  <si>
    <t>http://www.sktelecom.com</t>
  </si>
  <si>
    <t>SK하이닉스</t>
  </si>
  <si>
    <t>https://dart.fss.or.kr/dsaf001/main.do?rcpNo=20230321001209</t>
    <phoneticPr fontId="4" type="noConversion"/>
  </si>
  <si>
    <t>000660</t>
  </si>
  <si>
    <t>반도체,컴퓨터,통신기기 제조,도매</t>
  </si>
  <si>
    <t>박정호, 곽노정 (각자대표)</t>
  </si>
  <si>
    <t>http://www.skhynix.com</t>
  </si>
  <si>
    <t>SNT다이내믹스</t>
  </si>
  <si>
    <t>https://dart.fss.or.kr/dsaf001/main.do?rcpNo=20230220001625</t>
    <phoneticPr fontId="4" type="noConversion"/>
  </si>
  <si>
    <t>003570</t>
  </si>
  <si>
    <t>자동차 신품 부품 제조업</t>
  </si>
  <si>
    <t>자동차부품(동력전달장치 등),공작기계(CNC선반 등),사출성형기 제조</t>
  </si>
  <si>
    <t>박재석</t>
  </si>
  <si>
    <t>http://www.hisntd.com</t>
  </si>
  <si>
    <t>SNT모티브</t>
  </si>
  <si>
    <t>https://dart.fss.or.kr/dsaf001/main.do?rcpNo=20230220001611</t>
    <phoneticPr fontId="4" type="noConversion"/>
  </si>
  <si>
    <t>064960</t>
  </si>
  <si>
    <t>자동차부품(서스펜션모듈,전장품,속옵서버,에어백,트로틀바디,너클),방산품(총포) 제조,도매</t>
  </si>
  <si>
    <t>권형순</t>
  </si>
  <si>
    <t>http://www.sntdaewoo.com</t>
  </si>
  <si>
    <t>가온전선</t>
  </si>
  <si>
    <t>https://dart.fss.or.kr/dsaf001/main.do?rcpNo=20230315001078</t>
    <phoneticPr fontId="4" type="noConversion"/>
  </si>
  <si>
    <t>000500</t>
  </si>
  <si>
    <t>절연선 및 케이블 제조업</t>
  </si>
  <si>
    <t>전력선,통신케이블 제조,도매,수출입</t>
  </si>
  <si>
    <t>정 현</t>
  </si>
  <si>
    <t>http://www.gaoncable.com</t>
  </si>
  <si>
    <t>갤럭시아에스엠</t>
  </si>
  <si>
    <t>https://dart.fss.or.kr/dsaf001/main.do?rcpNo=20230322000815</t>
    <phoneticPr fontId="4" type="noConversion"/>
  </si>
  <si>
    <t>011420</t>
  </si>
  <si>
    <t>스포츠 서비스업</t>
  </si>
  <si>
    <t>스포츠중계권,스포츠마케팅,광고</t>
  </si>
  <si>
    <t>이반석</t>
  </si>
  <si>
    <t>http://galaxiasme.com</t>
  </si>
  <si>
    <t>경농</t>
  </si>
  <si>
    <t>https://dart.fss.or.kr/dsaf001/main.do?rcpNo=20230322000774</t>
    <phoneticPr fontId="4" type="noConversion"/>
  </si>
  <si>
    <t>002100</t>
  </si>
  <si>
    <t>비료, 농약 및 살균, 살충제 제조업</t>
  </si>
  <si>
    <t>완제농약(잡초약,살충제,살균제) 제조</t>
  </si>
  <si>
    <t>이병만,이용진</t>
  </si>
  <si>
    <t>http://www.knco.co.kr</t>
  </si>
  <si>
    <t>경동도시가스</t>
  </si>
  <si>
    <t>https://dart.fss.or.kr/dsaf001/main.do?rcpNo=20230314001158</t>
    <phoneticPr fontId="4" type="noConversion"/>
  </si>
  <si>
    <t>267290</t>
  </si>
  <si>
    <t>연료용 가스 제조 및 배관공급업</t>
  </si>
  <si>
    <t>도시가스</t>
  </si>
  <si>
    <t>송재호, 나윤호</t>
  </si>
  <si>
    <t>http://www.kdgas.co.kr</t>
  </si>
  <si>
    <t>울산광역시</t>
  </si>
  <si>
    <t>계룡건설산업</t>
  </si>
  <si>
    <t>https://dart.fss.or.kr/dsaf001/main.do?rcpNo=20230320000720</t>
    <phoneticPr fontId="4" type="noConversion"/>
  </si>
  <si>
    <t>013580</t>
  </si>
  <si>
    <t>건축공사,주택공사,토목공사,포장공사,전기공사</t>
  </si>
  <si>
    <t>한승구, 오태식, 윤길호</t>
  </si>
  <si>
    <t>http://www.krcon.co.kr</t>
  </si>
  <si>
    <t>고려산업</t>
  </si>
  <si>
    <t>https://dart.fss.or.kr/dsaf001/main.do?rcpNo=20230316000629</t>
    <phoneticPr fontId="4" type="noConversion"/>
  </si>
  <si>
    <t>002140</t>
  </si>
  <si>
    <t>곡물가공품, 전분 및 전분제품 제조업</t>
  </si>
  <si>
    <t>배합사료,플라스틱용기 제조/부동산 임대</t>
  </si>
  <si>
    <t>전장열, 김영교(각자 대표이사)</t>
  </si>
  <si>
    <t>http://www.hafeed.co.kr</t>
  </si>
  <si>
    <t>고려아연</t>
  </si>
  <si>
    <t>https://dart.fss.or.kr/dsaf001/main.do?rcpNo=20230309000731</t>
    <phoneticPr fontId="4" type="noConversion"/>
  </si>
  <si>
    <t>010130</t>
  </si>
  <si>
    <t>연,아연괴 제조,판매</t>
  </si>
  <si>
    <t>최윤범, 박기덕</t>
  </si>
  <si>
    <t>http://www.koreazinc.co.kr</t>
  </si>
  <si>
    <t>고려제강</t>
  </si>
  <si>
    <t>https://dart.fss.or.kr/dsaf001/main.do?rcpNo=20230316001326</t>
    <phoneticPr fontId="4" type="noConversion"/>
  </si>
  <si>
    <t>002240</t>
  </si>
  <si>
    <t>PC강선,선재 2차제품,와이어로프,비드와이어,SC(Surpass Coat) Stand,각종선재 제조,도매</t>
  </si>
  <si>
    <t>이이문, 주종대 (각자대표)</t>
  </si>
  <si>
    <t>http://www.kiswire.com</t>
  </si>
  <si>
    <t>광동제약</t>
  </si>
  <si>
    <t>https://dart.fss.or.kr/dsaf001/main.do?rcpNo=20230321001353</t>
    <phoneticPr fontId="4" type="noConversion"/>
  </si>
  <si>
    <t>009290</t>
  </si>
  <si>
    <t>의약품,식음료 제조,도매</t>
  </si>
  <si>
    <t>최성원</t>
  </si>
  <si>
    <t>http://www.ekdp.com</t>
  </si>
  <si>
    <t>광명전기</t>
  </si>
  <si>
    <t>https://dart.fss.or.kr/dsaf001/main.do?rcpNo=20230321000645</t>
    <phoneticPr fontId="4" type="noConversion"/>
  </si>
  <si>
    <t>017040</t>
  </si>
  <si>
    <t>전동기, 발전기 및 전기 변환 · 공급 · 제어 장치 제조업</t>
  </si>
  <si>
    <t>수배전반,가스절연개폐장치,빌딩자동화시스템,중앙감시반,자동제어반 제조,도소매,무역</t>
  </si>
  <si>
    <t>이재광,조광식</t>
  </si>
  <si>
    <t>http://www.kmec.co.kr</t>
  </si>
  <si>
    <t>광주신세계</t>
  </si>
  <si>
    <t>https://dart.fss.or.kr/dsaf001/main.do?rcpNo=20230314000982</t>
    <phoneticPr fontId="4" type="noConversion"/>
  </si>
  <si>
    <t>037710</t>
  </si>
  <si>
    <t>백화점</t>
  </si>
  <si>
    <t>이동훈</t>
  </si>
  <si>
    <t>http://www.gjshinsegae.com</t>
  </si>
  <si>
    <t>광주광역시</t>
  </si>
  <si>
    <t>교보증권</t>
  </si>
  <si>
    <t>https://dart.fss.or.kr/dsaf001/main.do?rcpNo=20230314000692</t>
    <phoneticPr fontId="4" type="noConversion"/>
  </si>
  <si>
    <t>030610</t>
  </si>
  <si>
    <t>유가증권 매매,중개,대리,인수</t>
  </si>
  <si>
    <t>박봉권, 이석기 (각자대표)</t>
  </si>
  <si>
    <t>http://www.iprovest.com</t>
  </si>
  <si>
    <t>교촌에프앤비</t>
  </si>
  <si>
    <t>https://dart.fss.or.kr/dsaf001/main.do?rcpNo=20230322001068</t>
    <phoneticPr fontId="4" type="noConversion"/>
  </si>
  <si>
    <t>339770</t>
  </si>
  <si>
    <t>음·식료품 및 담배 도매업</t>
  </si>
  <si>
    <t>치킨 프랜차이즈</t>
  </si>
  <si>
    <t>윤진호</t>
  </si>
  <si>
    <t>http://kyochonfnb.com</t>
  </si>
  <si>
    <t>경상북도</t>
  </si>
  <si>
    <t>그린케미칼</t>
  </si>
  <si>
    <t>https://dart.fss.or.kr/dsaf001/main.do?rcpNo=20230314000467</t>
    <phoneticPr fontId="4" type="noConversion"/>
  </si>
  <si>
    <t>083420</t>
  </si>
  <si>
    <t>비이온계면활성제 제조,도매</t>
  </si>
  <si>
    <t>양준화</t>
  </si>
  <si>
    <t>http://www.korgc.com</t>
  </si>
  <si>
    <t>극동유화</t>
  </si>
  <si>
    <t>https://dart.fss.or.kr/dsaf001/main.do?rcpNo=20230323000821</t>
    <phoneticPr fontId="4" type="noConversion"/>
  </si>
  <si>
    <t>014530</t>
  </si>
  <si>
    <t>윤활유,유동파라핀,왁스,방수용시트,아스팔트 제조/수입자동차,부품 도매/가스충전,산업설비 청소</t>
  </si>
  <si>
    <t>장홍선, 장선우 (각자대표)</t>
  </si>
  <si>
    <t>http://www.kdoc.co.kr</t>
  </si>
  <si>
    <t>금호건설</t>
  </si>
  <si>
    <t>https://dart.fss.or.kr/dsaf001/main.do?rcpNo=20230320000409</t>
    <phoneticPr fontId="4" type="noConversion"/>
  </si>
  <si>
    <t>002990</t>
  </si>
  <si>
    <t>종합건설/여객운송,관광/부동산 임대,분양</t>
  </si>
  <si>
    <t>서재환</t>
  </si>
  <si>
    <t>http://www.kumhoenc.com</t>
  </si>
  <si>
    <t>금호석유화학</t>
  </si>
  <si>
    <t>https://dart.fss.or.kr/dsaf001/main.do?rcpNo=20230316001213</t>
    <phoneticPr fontId="4" type="noConversion"/>
  </si>
  <si>
    <t>011780</t>
  </si>
  <si>
    <t>합성고무 SBR(스티렌부타디엔러버),BR(폴리부타디엔러버),합성수지,BD,라텍스 제조,도소매</t>
  </si>
  <si>
    <t>백종훈</t>
  </si>
  <si>
    <t>http://www.kkpc.com</t>
  </si>
  <si>
    <t>기신정기</t>
  </si>
  <si>
    <t>https://dart.fss.or.kr/dsaf001/main.do?rcpNo=20230608000512</t>
    <phoneticPr fontId="4" type="noConversion"/>
  </si>
  <si>
    <t>092440</t>
  </si>
  <si>
    <t>특수 목적용 기계 제조업</t>
  </si>
  <si>
    <t>몰드베이스,금형부품,정밀기계기구 제조,도매,무역</t>
  </si>
  <si>
    <t>03월</t>
  </si>
  <si>
    <t>윤현도</t>
  </si>
  <si>
    <t>http://www.kishin.com</t>
  </si>
  <si>
    <t>기아</t>
  </si>
  <si>
    <t>https://dart.fss.or.kr/dsaf001/main.do?rcpNo=20230309000734</t>
    <phoneticPr fontId="4" type="noConversion"/>
  </si>
  <si>
    <t>000270</t>
  </si>
  <si>
    <t>자동차용 엔진 및 자동차 제조업</t>
  </si>
  <si>
    <t>승용차,중대형버스,트럭,민수특수차량,군수차량 제조,판매,정비</t>
  </si>
  <si>
    <t>송호성,최준영(각자 대표이사)</t>
  </si>
  <si>
    <t>http://www.kia.co.kr</t>
  </si>
  <si>
    <t>남광토건</t>
  </si>
  <si>
    <t>https://dart.fss.or.kr/dsaf001/main.do?rcpNo=20230712000089</t>
    <phoneticPr fontId="4" type="noConversion"/>
  </si>
  <si>
    <t>001260</t>
  </si>
  <si>
    <t>토목공사,건축공사,기전공사,측량설계시공,용역/철구조물 제조</t>
  </si>
  <si>
    <t>임민규</t>
  </si>
  <si>
    <t>http://www.namkwang.co.kr</t>
  </si>
  <si>
    <t>남해화학</t>
  </si>
  <si>
    <t>https://dart.fss.or.kr/dsaf001/main.do?rcpNo=20230316001430</t>
    <phoneticPr fontId="4" type="noConversion"/>
  </si>
  <si>
    <t>025860</t>
  </si>
  <si>
    <t>비료(요소,복합비료),공업제품원료 제조,도매</t>
  </si>
  <si>
    <t>하형수</t>
  </si>
  <si>
    <t>http://www.nhchem.co.kr</t>
  </si>
  <si>
    <t>넥센</t>
  </si>
  <si>
    <t>https://dart.fss.or.kr/dsaf001/main.do?rcpNo=20230321000737</t>
    <phoneticPr fontId="4" type="noConversion"/>
  </si>
  <si>
    <t>005720</t>
  </si>
  <si>
    <t>고무제품 제조업</t>
  </si>
  <si>
    <t>자동차용 재생타이어튜브,솔리드타이어,고무부품,골프볼,와이어로프소재,특수강선,열처리도금선,건자재 제조,판매,수출입</t>
  </si>
  <si>
    <t>강병중, 강호찬, 배중열</t>
  </si>
  <si>
    <t>http://www.nexencorp.co.kr</t>
  </si>
  <si>
    <t>노루페인트</t>
  </si>
  <si>
    <t>https://dart.fss.or.kr/dsaf001/main.do?rcpNo=20230316000929</t>
    <phoneticPr fontId="4" type="noConversion"/>
  </si>
  <si>
    <t>090350</t>
  </si>
  <si>
    <t>페인트 제조</t>
  </si>
  <si>
    <t>조성국</t>
  </si>
  <si>
    <t>https://www.noroopaint.com/kor/index.asp?conntype=1</t>
    <phoneticPr fontId="4" type="noConversion"/>
  </si>
  <si>
    <t>녹십자</t>
  </si>
  <si>
    <t>https://dart.fss.or.kr/dsaf001/main.do?rcpNo=20230321001403</t>
    <phoneticPr fontId="4" type="noConversion"/>
  </si>
  <si>
    <t>006280</t>
  </si>
  <si>
    <t>알부민외 제조,판매</t>
  </si>
  <si>
    <t>허은철</t>
  </si>
  <si>
    <t>http://www.gccorp.com</t>
  </si>
  <si>
    <t>다올투자증권</t>
  </si>
  <si>
    <t>https://dart.fss.or.kr/dsaf001/main.do?rcpNo=20230316000958</t>
    <phoneticPr fontId="4" type="noConversion"/>
  </si>
  <si>
    <t>030210</t>
  </si>
  <si>
    <t>금융업, 서비스, 부동산</t>
  </si>
  <si>
    <t>이병철, 황준호 (각자 대표이사)</t>
  </si>
  <si>
    <t>http://www.ktb.co.kr</t>
  </si>
  <si>
    <t>대동</t>
  </si>
  <si>
    <t>https://dart.fss.or.kr/dsaf001/main.do?rcpNo=20230322000832</t>
    <phoneticPr fontId="4" type="noConversion"/>
  </si>
  <si>
    <t>000490</t>
  </si>
  <si>
    <t>경운기,트랙터,이앙기,바인더,수확기(콤바인),농업용엔진 및 부품 제조,판매</t>
  </si>
  <si>
    <t>김준식, 원유현</t>
  </si>
  <si>
    <t>http://www.daedong.co.kr</t>
  </si>
  <si>
    <t>대구광역시</t>
  </si>
  <si>
    <t>대상</t>
  </si>
  <si>
    <t>https://dart.fss.or.kr/dsaf001/main.do?rcpNo=20230316001258</t>
    <phoneticPr fontId="4" type="noConversion"/>
  </si>
  <si>
    <t>001680</t>
  </si>
  <si>
    <t>전분,라이신,물엿,과당,포도당,MSG및 사료,조미료,항생제,핵산,커피 제조,도매/토목공사,건축공사</t>
  </si>
  <si>
    <t>임정배</t>
  </si>
  <si>
    <t>http://www.daesang.co.kr</t>
  </si>
  <si>
    <t>대성산업</t>
  </si>
  <si>
    <t>https://dart.fss.or.kr/dsaf001/main.do?rcpNo=20230316000896</t>
    <phoneticPr fontId="4" type="noConversion"/>
  </si>
  <si>
    <t>128820</t>
  </si>
  <si>
    <t>연료 소매업</t>
  </si>
  <si>
    <t>주요소운영,기계판매 등</t>
  </si>
  <si>
    <t>김영대,이은우(공동대표)</t>
  </si>
  <si>
    <t>http://www.daesung.co.kr</t>
    <phoneticPr fontId="4" type="noConversion"/>
  </si>
  <si>
    <t>대성에너지</t>
  </si>
  <si>
    <t>https://dart.fss.or.kr/dsaf001/main.do?rcpNo=20230321000870</t>
    <phoneticPr fontId="4" type="noConversion"/>
  </si>
  <si>
    <t>117580</t>
  </si>
  <si>
    <t>천연가스</t>
  </si>
  <si>
    <t>대표이사 김영훈 대표이사 윤홍식</t>
  </si>
  <si>
    <t>http://www.daesungenergy.com</t>
  </si>
  <si>
    <t>대우건설</t>
  </si>
  <si>
    <t>https://dart.fss.or.kr/dsaf001/main.do?rcpNo=20230320000675</t>
    <phoneticPr fontId="4" type="noConversion"/>
  </si>
  <si>
    <t>047040</t>
  </si>
  <si>
    <t>아파트건설,토목공사,건축공사,포장공사,전기공사,무역/중장비 대여</t>
  </si>
  <si>
    <t>백정완</t>
  </si>
  <si>
    <t>http://daewooenc.com</t>
  </si>
  <si>
    <t>대웅</t>
  </si>
  <si>
    <t>https://dart.fss.or.kr/dsaf001/main.do?rcpNo=20230321000752</t>
    <phoneticPr fontId="4" type="noConversion"/>
  </si>
  <si>
    <t>003090</t>
  </si>
  <si>
    <t>지주회사/의약품,화공약품,농예약품,위생용품,의료용구,식품,전기전자기구,부품 제조,판매</t>
  </si>
  <si>
    <t>윤재춘</t>
  </si>
  <si>
    <t>http://www.daewoong.com/</t>
  </si>
  <si>
    <t>대웅제약</t>
  </si>
  <si>
    <t>https://dart.fss.or.kr/dsaf001/main.do?rcpNo=20230321000740</t>
    <phoneticPr fontId="4" type="noConversion"/>
  </si>
  <si>
    <t>069620</t>
  </si>
  <si>
    <t>양약,의료기기 제조/화장품,의약부의품 도소매/부동산 임대</t>
  </si>
  <si>
    <t>전승호, 이창재</t>
  </si>
  <si>
    <t>http://www.daewoong.co.kr</t>
  </si>
  <si>
    <t>대원강업</t>
  </si>
  <si>
    <t>https://dart.fss.or.kr/dsaf001/main.do?rcpNo=20230324000880</t>
    <phoneticPr fontId="4" type="noConversion"/>
  </si>
  <si>
    <t>000430</t>
  </si>
  <si>
    <t>차량용스프링,기계부속,시트,타이어체인,합성수지제품,철도용스파이크 제조,도매</t>
  </si>
  <si>
    <t>김항수</t>
  </si>
  <si>
    <t>http://www.dwku.com</t>
  </si>
  <si>
    <t>대원제약</t>
  </si>
  <si>
    <t>https://dart.fss.or.kr/dsaf001/main.do?rcpNo=20230317000005</t>
    <phoneticPr fontId="4" type="noConversion"/>
  </si>
  <si>
    <t>003220</t>
  </si>
  <si>
    <t>의약품(해열소염진통제,진해거담제,동맥경화용제,혈압강하제 등), 건강기능식품(프로바이오틱스 등)</t>
  </si>
  <si>
    <t>백승호,백승열</t>
  </si>
  <si>
    <t>http://www.daewonpharm.com</t>
  </si>
  <si>
    <t>대창단조</t>
  </si>
  <si>
    <t>https://dart.fss.or.kr/dsaf001/main.do?rcpNo=20230323000406</t>
    <phoneticPr fontId="4" type="noConversion"/>
  </si>
  <si>
    <t>015230</t>
  </si>
  <si>
    <t>자동차,중장비 부품(크랭크샤프트,트랙링크조립체,커넥팅로드,중장비롤러류),기어,동력전달장치,단조가공품,단조품 제조</t>
  </si>
  <si>
    <t>박권일</t>
  </si>
  <si>
    <t>http://www.dcf.co.kr</t>
  </si>
  <si>
    <t>대한전선</t>
  </si>
  <si>
    <t>https://dart.fss.or.kr/dsaf001/main.do?rcpNo=20230322001136</t>
    <phoneticPr fontId="4" type="noConversion"/>
  </si>
  <si>
    <t>001440</t>
  </si>
  <si>
    <t>전력선,통신케이블,적산계기,스텐레스압연제품,광케이블,초고압선,알루미늄 제조,도매/전기공사</t>
  </si>
  <si>
    <t>송종민</t>
  </si>
  <si>
    <t>http://www.taihan.com</t>
  </si>
  <si>
    <t>대한제강</t>
  </si>
  <si>
    <t>https://dart.fss.or.kr/dsaf001/main.do?rcpNo=20230331003410</t>
    <phoneticPr fontId="4" type="noConversion"/>
  </si>
  <si>
    <t>084010</t>
  </si>
  <si>
    <t>제강,철재,철근,환봉,마환봉,빌레트 제조</t>
  </si>
  <si>
    <t>이경백</t>
  </si>
  <si>
    <t>http://www.idaehan.com</t>
  </si>
  <si>
    <t>대한제분</t>
  </si>
  <si>
    <t>https://dart.fss.or.kr/dsaf001/main.do?rcpNo=20230316001412</t>
    <phoneticPr fontId="4" type="noConversion"/>
  </si>
  <si>
    <t>001130</t>
  </si>
  <si>
    <t>소맥분,토코밀,프리믹스,밀가루조제품,제분부산물 제조/파스타 수입,판매</t>
  </si>
  <si>
    <t>이건영, 송인석</t>
  </si>
  <si>
    <t>http://www.dhflour.co.kr</t>
  </si>
  <si>
    <t>대한화섬</t>
  </si>
  <si>
    <t>https://dart.fss.or.kr/dsaf001/main.do?rcpNo=20230323001351</t>
    <phoneticPr fontId="4" type="noConversion"/>
  </si>
  <si>
    <t>003830</t>
  </si>
  <si>
    <t>화학섬유 제조업</t>
  </si>
  <si>
    <t>화학섬유원사(FY,PTY,S.FIBER)제조</t>
  </si>
  <si>
    <t>정철현</t>
  </si>
  <si>
    <t>http://www.daehansf.co.kr</t>
  </si>
  <si>
    <t>대현</t>
  </si>
  <si>
    <t>https://dart.fss.or.kr/dsaf001/main.do?rcpNo=20230316001384</t>
    <phoneticPr fontId="4" type="noConversion"/>
  </si>
  <si>
    <t>016090</t>
  </si>
  <si>
    <t>여성의류 및 악세사리류 제조,도매,유통(백화점)</t>
  </si>
  <si>
    <t>신현균</t>
  </si>
  <si>
    <t>http://www.daehyun.co.kr</t>
  </si>
  <si>
    <t>더존비즈온</t>
  </si>
  <si>
    <t>https://dart.fss.or.kr/dsaf001/main.do?rcpNo=20230315001173</t>
    <phoneticPr fontId="4" type="noConversion"/>
  </si>
  <si>
    <t>012510</t>
  </si>
  <si>
    <t>응용 소프트웨어 개발 및 공급업</t>
  </si>
  <si>
    <t>김용우</t>
  </si>
  <si>
    <t>http://www.douzone.com</t>
  </si>
  <si>
    <t>강원특별자치도</t>
  </si>
  <si>
    <t>덕성</t>
  </si>
  <si>
    <t>https://dart.fss.or.kr/dsaf001/main.do?rcpNo=20230317000725</t>
    <phoneticPr fontId="4" type="noConversion"/>
  </si>
  <si>
    <t>004830</t>
  </si>
  <si>
    <t>플라스틱레쟈,합성수지,합성피혁 제조,도매</t>
  </si>
  <si>
    <t>이봉근, 김성진 (각자대표이사)</t>
  </si>
  <si>
    <t>http://www.duksung21.com</t>
  </si>
  <si>
    <t>덴티움</t>
  </si>
  <si>
    <t>https://dart.fss.or.kr/dsaf001/main.do?rcpNo=20230322001007</t>
    <phoneticPr fontId="4" type="noConversion"/>
  </si>
  <si>
    <t>145720</t>
  </si>
  <si>
    <t>의료용 기기 제조업</t>
  </si>
  <si>
    <t>치과용 기기 제조업</t>
  </si>
  <si>
    <t>서승우</t>
  </si>
  <si>
    <t>http://www.dentium.co.kr</t>
  </si>
  <si>
    <t>도화엔지니어링</t>
  </si>
  <si>
    <t>https://dart.fss.or.kr/dsaf001/main.do?rcpNo=20230316001141</t>
    <phoneticPr fontId="4" type="noConversion"/>
  </si>
  <si>
    <t>002150</t>
  </si>
  <si>
    <t>건축기술, 엔지니어링 및 관련 기술 서비스업</t>
  </si>
  <si>
    <t>토목설계,건축설계,종합감리전문업,종합기술용역,엔지니어링</t>
  </si>
  <si>
    <t>박승우,곽준상,손영일,김덕구</t>
  </si>
  <si>
    <t>http://www.dohwa.co.kr</t>
  </si>
  <si>
    <t>동남합성</t>
  </si>
  <si>
    <t>https://dart.fss.or.kr/dsaf001/main.do?rcpNo=20230314001293</t>
    <phoneticPr fontId="4" type="noConversion"/>
  </si>
  <si>
    <t>023450</t>
  </si>
  <si>
    <t>계면활성제,정밀화학품 제조,도매/부동산 임대</t>
  </si>
  <si>
    <t>김정돈, 박미령 (각자대표)</t>
  </si>
  <si>
    <t>http://www.dongnamchem.com</t>
  </si>
  <si>
    <t>동방아그로</t>
  </si>
  <si>
    <t>https://dart.fss.or.kr/dsaf001/main.do?rcpNo=20230316000733</t>
    <phoneticPr fontId="4" type="noConversion"/>
  </si>
  <si>
    <t>007590</t>
  </si>
  <si>
    <t>농약(잡초발생전 토양처리형 밭잡초약,부메랑,주움,그라목손) 제조,도매</t>
  </si>
  <si>
    <t>염병만, 염병진</t>
  </si>
  <si>
    <t>http://www.dongbangagro.co.kr</t>
  </si>
  <si>
    <t>동부건설</t>
  </si>
  <si>
    <t>https://dart.fss.or.kr/dsaf001/main.do?rcpNo=20230314001212</t>
    <phoneticPr fontId="4" type="noConversion"/>
  </si>
  <si>
    <t>005960</t>
  </si>
  <si>
    <t>건축공사,토목공사,전기공사,기계설비공사/비금속,철구조물 제조,판매/여객,자동차 운송,항만하역</t>
  </si>
  <si>
    <t>윤진오</t>
  </si>
  <si>
    <t>http://dbcon.dongbu.co.kr</t>
  </si>
  <si>
    <t>동서</t>
  </si>
  <si>
    <t>https://dart.fss.or.kr/dsaf001/main.do?rcpNo=20230316000463</t>
    <phoneticPr fontId="4" type="noConversion"/>
  </si>
  <si>
    <t>026960</t>
  </si>
  <si>
    <t>식품 유통, 다류 및 연포장재 제조 등</t>
  </si>
  <si>
    <t>김종원</t>
  </si>
  <si>
    <t>http://www.dongsuh.com</t>
  </si>
  <si>
    <t>동아에스티</t>
  </si>
  <si>
    <t>https://dart.fss.or.kr/dsaf001/main.do?rcpNo=20230320001075</t>
    <phoneticPr fontId="4" type="noConversion"/>
  </si>
  <si>
    <t>170900</t>
  </si>
  <si>
    <t>스티렌, 자이데나</t>
  </si>
  <si>
    <t>김민영</t>
  </si>
  <si>
    <t>http://www.donga.co.kr</t>
  </si>
  <si>
    <t>동아타이어</t>
  </si>
  <si>
    <t>https://dart.fss.or.kr/dsaf001/main.do?rcpNo=20230316000692</t>
    <phoneticPr fontId="4" type="noConversion"/>
  </si>
  <si>
    <t>282690</t>
  </si>
  <si>
    <t>타이어 및 튜브</t>
  </si>
  <si>
    <t>김상헌,황덕환</t>
  </si>
  <si>
    <t>http://www.dongahtire.co.kr</t>
  </si>
  <si>
    <t>동양생명</t>
  </si>
  <si>
    <t>https://dart.fss.or.kr/dsaf001/main.do?rcpNo=20230322001102</t>
    <phoneticPr fontId="4" type="noConversion"/>
  </si>
  <si>
    <t>082640</t>
  </si>
  <si>
    <t>생명보험</t>
  </si>
  <si>
    <t>저우궈단(Jou, Gwo-Duan)</t>
  </si>
  <si>
    <t>http://www.myangel.co.kr</t>
  </si>
  <si>
    <t>동원F&amp;B</t>
  </si>
  <si>
    <t>https://dart.fss.or.kr/dsaf001/main.do?rcpNo=20230317000669</t>
    <phoneticPr fontId="4" type="noConversion"/>
  </si>
  <si>
    <t>049770</t>
  </si>
  <si>
    <t>참치캔,음료,냉동식품 제조,판매</t>
  </si>
  <si>
    <t>김성용</t>
  </si>
  <si>
    <t>http://www.dongwonfnb.com</t>
  </si>
  <si>
    <t>동원시스템즈</t>
  </si>
  <si>
    <t>https://dart.fss.or.kr/dsaf001/main.do?rcpNo=20230320000820</t>
    <phoneticPr fontId="4" type="noConversion"/>
  </si>
  <si>
    <t>014820</t>
  </si>
  <si>
    <t>포장용 플라스틱제품 제조 외</t>
  </si>
  <si>
    <t>장성학,조점근,서범원</t>
  </si>
  <si>
    <t>http://dongwonsystems.com/</t>
  </si>
  <si>
    <t>동일고무벨트</t>
  </si>
  <si>
    <t>https://dart.fss.or.kr/dsaf001/main.do?rcpNo=20230314000884</t>
    <phoneticPr fontId="4" type="noConversion"/>
  </si>
  <si>
    <t>163560</t>
  </si>
  <si>
    <t>산업용고무제품, 종합고무부품</t>
  </si>
  <si>
    <t>이윤환</t>
  </si>
  <si>
    <t>http://www.drbworld.com</t>
  </si>
  <si>
    <t>동일산업</t>
  </si>
  <si>
    <t>https://dart.fss.or.kr/dsaf001/main.do?rcpNo=20230324000928</t>
    <phoneticPr fontId="4" type="noConversion"/>
  </si>
  <si>
    <t>004890</t>
  </si>
  <si>
    <t>봉강,합금철,철근,마봉강,냉간압조용선재,주조,지선,주강,다이아몬드공구 제조,도매</t>
  </si>
  <si>
    <t>오순택, 오승민</t>
  </si>
  <si>
    <t>http://www.dongil.co.kr</t>
  </si>
  <si>
    <t>동일제강</t>
  </si>
  <si>
    <t>https://dart.fss.or.kr/dsaf001/main.do?rcpNo=20230322001127</t>
    <phoneticPr fontId="4" type="noConversion"/>
  </si>
  <si>
    <t>002690</t>
  </si>
  <si>
    <t>PC강연선, 경강선, 도금선, 마봉강</t>
  </si>
  <si>
    <t>민세홍, 양영석, 김우진 (각자대표)</t>
  </si>
  <si>
    <t>http://www.dongil-steel.com</t>
  </si>
  <si>
    <t>동화약품</t>
  </si>
  <si>
    <t>https://dart.fss.or.kr/dsaf001/main.do?rcpNo=20230315001100</t>
    <phoneticPr fontId="4" type="noConversion"/>
  </si>
  <si>
    <t>000020</t>
  </si>
  <si>
    <t>의약품 제조,판매,수출입</t>
  </si>
  <si>
    <t>유준하</t>
  </si>
  <si>
    <t>http://www.dong-wha.co.kr</t>
  </si>
  <si>
    <t>두산퓨얼셀</t>
  </si>
  <si>
    <t>https://dart.fss.or.kr/dsaf001/main.do?rcpNo=20230321001259</t>
    <phoneticPr fontId="4" type="noConversion"/>
  </si>
  <si>
    <t>336260</t>
  </si>
  <si>
    <t>연료전지</t>
  </si>
  <si>
    <t>정형락, 제후석 (각자 대표이사)</t>
  </si>
  <si>
    <t>http://www.doosanfuelcell.com</t>
  </si>
  <si>
    <t>전라북도</t>
  </si>
  <si>
    <t>두올</t>
  </si>
  <si>
    <t>https://dart.fss.or.kr/dsaf001/main.do?rcpNo=20230713000062</t>
    <phoneticPr fontId="4" type="noConversion"/>
  </si>
  <si>
    <t>016740</t>
  </si>
  <si>
    <t>시트 커버 및 시트 원단</t>
  </si>
  <si>
    <t>조인회, 정재열</t>
  </si>
  <si>
    <t>http://www.idual.co.kr</t>
  </si>
  <si>
    <t>디씨엠</t>
  </si>
  <si>
    <t>https://dart.fss.or.kr/dsaf001/main.do?rcpNo=20230315000573</t>
    <phoneticPr fontId="4" type="noConversion"/>
  </si>
  <si>
    <t>024090</t>
  </si>
  <si>
    <t>PCM(칼라강판),라미네이트강판,산업용필름 제조,판매</t>
  </si>
  <si>
    <t>정연택, 정동우(각자 대표)</t>
  </si>
  <si>
    <t>http://www.dcmcorp.co.kr</t>
  </si>
  <si>
    <t>디아이</t>
  </si>
  <si>
    <t>https://dart.fss.or.kr/dsaf001/main.do?rcpNo=20230316001051</t>
    <phoneticPr fontId="4" type="noConversion"/>
  </si>
  <si>
    <t>003160</t>
  </si>
  <si>
    <t>측정, 시험, 항해, 제어 및 기타 정밀기기 제조업; 광학기기 제외</t>
  </si>
  <si>
    <t>반도체검사장비,전자부품,레저용품,석제품 제조,판매,오파,부동산임대업</t>
  </si>
  <si>
    <t>박원호 조윤형</t>
  </si>
  <si>
    <t>http://www.di.co.kr</t>
  </si>
  <si>
    <t>디와이파워</t>
  </si>
  <si>
    <t>https://dart.fss.or.kr/dsaf001/main.do?rcpNo=20230315001395</t>
    <phoneticPr fontId="4" type="noConversion"/>
  </si>
  <si>
    <t>210540</t>
  </si>
  <si>
    <t>유공압기기 등</t>
  </si>
  <si>
    <t>박치웅</t>
  </si>
  <si>
    <t>http://power.dy.co.kr</t>
  </si>
  <si>
    <t>롯데렌탈</t>
  </si>
  <si>
    <t>https://dart.fss.or.kr/dsaf001/main.do?rcpNo=20230424000485</t>
    <phoneticPr fontId="4" type="noConversion"/>
  </si>
  <si>
    <t>089860</t>
  </si>
  <si>
    <t>렌터카, 카셰어링(그린카), 중고차매매, 일반렌탈(측정기,OA, 리프트 등)</t>
  </si>
  <si>
    <t>최진환</t>
  </si>
  <si>
    <t>http://www.lotterental.com/</t>
  </si>
  <si>
    <t>롯데에너지머티리얼즈</t>
  </si>
  <si>
    <t>https://dart.fss.or.kr/dsaf001/main.do?rcpNo=20230323001050</t>
    <phoneticPr fontId="4" type="noConversion"/>
  </si>
  <si>
    <t>020150</t>
  </si>
  <si>
    <t>인쇄회로기판(PCB)용 전해동박(ACF,UCF),에폭시용 동박,전해콘덴서용 알루미늄박 제조,판매</t>
  </si>
  <si>
    <t>김연섭</t>
  </si>
  <si>
    <t>http://www.lotteenergymaterials.com</t>
  </si>
  <si>
    <t>롯데웰푸드</t>
  </si>
  <si>
    <t>https://dart.fss.or.kr/dsaf001/main.do?rcpNo=20230315000646</t>
    <phoneticPr fontId="4" type="noConversion"/>
  </si>
  <si>
    <t>280360</t>
  </si>
  <si>
    <t>껌,캔디,초코,비스켓,빙과</t>
  </si>
  <si>
    <t>신동빈, 이영구, 이창엽</t>
  </si>
  <si>
    <t>http://www.lottewellfood.com</t>
  </si>
  <si>
    <t>롯데정밀화학</t>
  </si>
  <si>
    <t>https://dart.fss.or.kr/dsaf001/main.do?rcpNo=20230314001159</t>
    <phoneticPr fontId="4" type="noConversion"/>
  </si>
  <si>
    <t>004000</t>
  </si>
  <si>
    <t>염소·셀룰로스계열, 암모니아 계열, 전자재료 등 화학제품 제조</t>
  </si>
  <si>
    <t>김용석</t>
  </si>
  <si>
    <t>http://www.lottefinechem.com</t>
  </si>
  <si>
    <t>만호제강</t>
  </si>
  <si>
    <t>https://dart.fss.or.kr/dsaf001/main.do?rcpNo=20220915000334</t>
    <phoneticPr fontId="4" type="noConversion"/>
  </si>
  <si>
    <t>001080</t>
  </si>
  <si>
    <t>와이어로프,합성섬유로프,특수강선 제조,수출,임대</t>
  </si>
  <si>
    <t>06월</t>
  </si>
  <si>
    <t>김상환</t>
  </si>
  <si>
    <t>http://www.manhorope.com</t>
  </si>
  <si>
    <t>모토닉</t>
  </si>
  <si>
    <t>https://dart.fss.or.kr/dsaf001/main.do?rcpNo=20230316000602</t>
    <phoneticPr fontId="4" type="noConversion"/>
  </si>
  <si>
    <t>009680</t>
  </si>
  <si>
    <t>자동차용 기화기(캬브레타,다이캐스트,연료펌프) 제조,판매</t>
  </si>
  <si>
    <t>김영봉, 신현돈(각자 대표이사)</t>
  </si>
  <si>
    <t>http://www.motonic.co.kr</t>
  </si>
  <si>
    <t>문배철강</t>
  </si>
  <si>
    <t>https://dart.fss.or.kr/dsaf001/main.do?rcpNo=20230316000931</t>
    <phoneticPr fontId="4" type="noConversion"/>
  </si>
  <si>
    <t>008420</t>
  </si>
  <si>
    <t>철강재중 판재류(후판,박판,무늬강판) 제조,도매</t>
  </si>
  <si>
    <t>http://www.moonbaesteel.co.kr</t>
  </si>
  <si>
    <t>미래에셋생명</t>
  </si>
  <si>
    <t>https://dart.fss.or.kr/dsaf001/main.do?rcpNo=20230317001035</t>
    <phoneticPr fontId="4" type="noConversion"/>
  </si>
  <si>
    <t>085620</t>
  </si>
  <si>
    <t>생명보험상품</t>
  </si>
  <si>
    <t>변재상, 김재식</t>
  </si>
  <si>
    <t>http://life.miraeasset.com</t>
  </si>
  <si>
    <t>미래에셋증권</t>
  </si>
  <si>
    <t>https://dart.fss.or.kr/dsaf001/main.do?rcpNo=20230315001134</t>
    <phoneticPr fontId="4" type="noConversion"/>
  </si>
  <si>
    <t>006800</t>
  </si>
  <si>
    <t>유가증권매매,유가증권위탁매매,유가증권인수</t>
  </si>
  <si>
    <t>최현만, 이만열</t>
  </si>
  <si>
    <t>http://securities.miraeasset.com</t>
  </si>
  <si>
    <t>미원상사</t>
  </si>
  <si>
    <t>https://dart.fss.or.kr/dsaf001/main.do?rcpNo=20230320000972</t>
    <phoneticPr fontId="4" type="noConversion"/>
  </si>
  <si>
    <t>002840</t>
  </si>
  <si>
    <t>계면활성제,분황,황산,도료첨가제,프라스틱첨가제 제조</t>
  </si>
  <si>
    <t>홍창식, 강신우(각자대표)</t>
  </si>
  <si>
    <t>http://www.mwc.co.kr</t>
  </si>
  <si>
    <t>미원에스씨</t>
  </si>
  <si>
    <t>https://dart.fss.or.kr/dsaf001/main.do?rcpNo=20230315001384</t>
    <phoneticPr fontId="4" type="noConversion"/>
  </si>
  <si>
    <t>268280</t>
  </si>
  <si>
    <t>에너지경화수지</t>
  </si>
  <si>
    <t>김형웅, 배원</t>
  </si>
  <si>
    <t>http://www.miramer.co.kr</t>
  </si>
  <si>
    <t>미원화학</t>
  </si>
  <si>
    <t>https://dart.fss.or.kr/dsaf001/main.do?rcpNo=20230310000296</t>
    <phoneticPr fontId="4" type="noConversion"/>
  </si>
  <si>
    <t>134380</t>
  </si>
  <si>
    <t>계면활성제, 황산및분황</t>
  </si>
  <si>
    <t>김정만, 김태호 (각자대표)</t>
  </si>
  <si>
    <t>http://www.miwonchemicals.com</t>
  </si>
  <si>
    <t>미창석유공업</t>
  </si>
  <si>
    <t>https://dart.fss.or.kr/dsaf001/main.do?rcpNo=20230327000678</t>
    <phoneticPr fontId="4" type="noConversion"/>
  </si>
  <si>
    <t>003650</t>
  </si>
  <si>
    <t>윤활유,고무배합유,전기절연유 제조,판매,수출입</t>
  </si>
  <si>
    <t>유재순</t>
  </si>
  <si>
    <t>http://www.michang.co.kr</t>
  </si>
  <si>
    <t>방림</t>
  </si>
  <si>
    <t>https://dart.fss.or.kr/dsaf001/main.do?rcpNo=20221230000430</t>
    <phoneticPr fontId="4" type="noConversion"/>
  </si>
  <si>
    <t>003610</t>
  </si>
  <si>
    <t>직물직조 및 직물제품 제조업</t>
  </si>
  <si>
    <t>P/C혼방직물,면방적,각종사류,직물류 제조,도소매</t>
  </si>
  <si>
    <t>09월</t>
  </si>
  <si>
    <t>서재희 대표집행임원</t>
  </si>
  <si>
    <t>http://www.pangrim.com</t>
  </si>
  <si>
    <t>백광산업</t>
  </si>
  <si>
    <t>https://dart.fss.or.kr/dsaf001/main.do?rcpNo=20230831001561</t>
    <phoneticPr fontId="4" type="noConversion"/>
  </si>
  <si>
    <t>001340</t>
  </si>
  <si>
    <t>가성소다,합성염산 제조,판매</t>
  </si>
  <si>
    <t>장영수</t>
  </si>
  <si>
    <t>http://www.pkic.co.kr</t>
  </si>
  <si>
    <t>보락</t>
  </si>
  <si>
    <t>https://dart.fss.or.kr/dsaf001/main.do?rcpNo=20230316000878</t>
    <phoneticPr fontId="4" type="noConversion"/>
  </si>
  <si>
    <t>002760</t>
  </si>
  <si>
    <t>식품향료,식품첨가물,화학제품,껌베이스(자일리톨,에리스리톨),담배향료 제조,판매</t>
  </si>
  <si>
    <t>정기련</t>
  </si>
  <si>
    <t>http://www.bolak.co.kr</t>
  </si>
  <si>
    <t>부국증권</t>
  </si>
  <si>
    <t>https://dart.fss.or.kr/dsaf001/main.do?rcpNo=20230328000107</t>
    <phoneticPr fontId="4" type="noConversion"/>
  </si>
  <si>
    <t>001270</t>
  </si>
  <si>
    <t>유가증권 매매,위탁매매,인수,주선</t>
  </si>
  <si>
    <t>박현철</t>
  </si>
  <si>
    <t>http://www.bookook.co.kr</t>
  </si>
  <si>
    <t>부국철강</t>
  </si>
  <si>
    <t>https://dart.fss.or.kr/dsaf001/main.do?rcpNo=20230323000263</t>
    <phoneticPr fontId="4" type="noConversion"/>
  </si>
  <si>
    <t>026940</t>
  </si>
  <si>
    <t>철강</t>
  </si>
  <si>
    <t>남상규/손일호</t>
  </si>
  <si>
    <t>http://www.bks.co.kr</t>
  </si>
  <si>
    <t>사조씨푸드</t>
  </si>
  <si>
    <t>https://dart.fss.or.kr/dsaf001/main.do?rcpNo=20230315001385</t>
    <phoneticPr fontId="4" type="noConversion"/>
  </si>
  <si>
    <t>014710</t>
  </si>
  <si>
    <t>수산물 가공 및 저장 처리업</t>
  </si>
  <si>
    <t>횟감용 참치 및 기타 일반수산물</t>
  </si>
  <si>
    <t>이창주</t>
  </si>
  <si>
    <t>http://www.sajosf.co.kr</t>
  </si>
  <si>
    <t>사조오양</t>
  </si>
  <si>
    <t>https://dart.fss.or.kr/dsaf001/main.do?rcpNo=20230315001257</t>
    <phoneticPr fontId="4" type="noConversion"/>
  </si>
  <si>
    <t>006090</t>
  </si>
  <si>
    <t>원양어업/수산물가공(게맛살) 제조,수출입/냉동 및 냉장보관/부동산 임대</t>
  </si>
  <si>
    <t>김상훈</t>
  </si>
  <si>
    <t>http://www.sajooy.com</t>
  </si>
  <si>
    <t>삼성SDI</t>
  </si>
  <si>
    <t>https://dart.fss.or.kr/dsaf001/main.do?rcpNo=20230313000726</t>
    <phoneticPr fontId="4" type="noConversion"/>
  </si>
  <si>
    <t>006400</t>
  </si>
  <si>
    <t>2차전지, 전자재료 제조 판매</t>
  </si>
  <si>
    <t>최윤호</t>
  </si>
  <si>
    <t>http://www.samsungsdi.co.kr</t>
  </si>
  <si>
    <t>삼성물산</t>
    <phoneticPr fontId="4" type="noConversion"/>
  </si>
  <si>
    <t>https://dart.fss.or.kr/dsaf001/main.do?rcpNo=20230309000761</t>
    <phoneticPr fontId="4" type="noConversion"/>
  </si>
  <si>
    <t>028260</t>
  </si>
  <si>
    <t>도소매, 건설, 남자용 정장 제조업 등</t>
  </si>
  <si>
    <t>고정석, 오세철, 정해린</t>
  </si>
  <si>
    <t>http://www.samsungcnt.com</t>
  </si>
  <si>
    <t>삼성생명</t>
  </si>
  <si>
    <t>https://dart.fss.or.kr/dsaf001/main.do?rcpNo=20230308000737</t>
    <phoneticPr fontId="4" type="noConversion"/>
  </si>
  <si>
    <t>032830</t>
  </si>
  <si>
    <t>생명보험,부동산 임대</t>
  </si>
  <si>
    <t>전영묵</t>
  </si>
  <si>
    <t>http://www.samsunglife.com</t>
  </si>
  <si>
    <t>삼성에스디에스</t>
  </si>
  <si>
    <t>https://dart.fss.or.kr/dsaf001/main.do?rcpNo=20230307000606</t>
    <phoneticPr fontId="4" type="noConversion"/>
  </si>
  <si>
    <t>018260</t>
  </si>
  <si>
    <t>IT서비스, 물류BPO</t>
  </si>
  <si>
    <t>황성우</t>
  </si>
  <si>
    <t>http://www.samsungsds.com</t>
  </si>
  <si>
    <t>삼성엔지니어링</t>
  </si>
  <si>
    <t>https://dart.fss.or.kr/dsaf001/main.do?rcpNo=20230831001403</t>
    <phoneticPr fontId="4" type="noConversion"/>
  </si>
  <si>
    <t>028050</t>
  </si>
  <si>
    <t>산업설비,건물,구축물,토목시설의 설계,시공,공사감리</t>
  </si>
  <si>
    <t>남궁홍</t>
  </si>
  <si>
    <t>http://www.samsungengineering.co.kr</t>
  </si>
  <si>
    <t>삼성전기</t>
  </si>
  <si>
    <t>https://dart.fss.or.kr/dsaf001/main.do?rcpNo=20230307000653</t>
    <phoneticPr fontId="4" type="noConversion"/>
  </si>
  <si>
    <t>009150</t>
  </si>
  <si>
    <t>수동소자 (MLCC, Inductor, Chip Resistor 등), 모듈(카메라모듈, 통신모듈), 반도체패키지 기판</t>
  </si>
  <si>
    <t>장덕현</t>
  </si>
  <si>
    <t>http://www.sem.samsung.co.kr</t>
  </si>
  <si>
    <t>삼성전자</t>
  </si>
  <si>
    <t>https://dart.fss.or.kr/dsaf001/main.do?rcpNo=20230307000542</t>
    <phoneticPr fontId="4" type="noConversion"/>
  </si>
  <si>
    <t>005930</t>
  </si>
  <si>
    <t>통신 및 방송 장비 제조업</t>
  </si>
  <si>
    <t>통신 및 방송 장비 제조(무선) 제품, 반도체 제조(메모리) 제품, 전자부품 제조(디스플레이) 제품, 영상 및 음향기기 제조(영상기기) 제품 등</t>
  </si>
  <si>
    <t>한종희, 경계현</t>
  </si>
  <si>
    <t>http://www.samsung.com/sec</t>
  </si>
  <si>
    <t>삼성증권</t>
  </si>
  <si>
    <t>https://dart.fss.or.kr/dsaf001/main.do?rcpNo=20230309000572</t>
    <phoneticPr fontId="4" type="noConversion"/>
  </si>
  <si>
    <t>016360</t>
  </si>
  <si>
    <t>유가증권의 매매,위탁매매,인수주선</t>
  </si>
  <si>
    <t>장석훈</t>
  </si>
  <si>
    <t>http://www.samsungpop.com</t>
  </si>
  <si>
    <t>삼성카드</t>
  </si>
  <si>
    <t>https://dart.fss.or.kr/dsaf001/main.do?rcpNo=20230308000723</t>
    <phoneticPr fontId="4" type="noConversion"/>
  </si>
  <si>
    <t>029780</t>
  </si>
  <si>
    <t>금융업(종금)</t>
  </si>
  <si>
    <t>기타 금융업</t>
  </si>
  <si>
    <t>신용카드업,상품신용판매,현금서비스,카드론,리스,기업대출,여행업무,통신판매</t>
  </si>
  <si>
    <t>김대환</t>
  </si>
  <si>
    <t>http://www.samsungcard.co.kr</t>
  </si>
  <si>
    <t>삼성화재해상보험</t>
  </si>
  <si>
    <t>https://dart.fss.or.kr/dsaf001/main.do?rcpNo=20230309000772</t>
    <phoneticPr fontId="4" type="noConversion"/>
  </si>
  <si>
    <t>000810</t>
  </si>
  <si>
    <t>손해보험의 원수,재보험,운용자산의 투자활동</t>
  </si>
  <si>
    <t>홍원학</t>
  </si>
  <si>
    <t>http://www.samsungfire.com</t>
  </si>
  <si>
    <t>삼아알미늄</t>
  </si>
  <si>
    <t>https://dart.fss.or.kr/dsaf001/main.do?rcpNo=20230315001212</t>
    <phoneticPr fontId="4" type="noConversion"/>
  </si>
  <si>
    <t>006110</t>
  </si>
  <si>
    <t>알루미늄박지,은박지,은박가공품,알페이스트 제조,도매,수출</t>
  </si>
  <si>
    <t>한남희,하상용</t>
  </si>
  <si>
    <t>http://www.sama-al.com</t>
  </si>
  <si>
    <t>삼양사</t>
  </si>
  <si>
    <t>https://dart.fss.or.kr/dsaf001/main.do?rcpNo=20230315001060</t>
    <phoneticPr fontId="4" type="noConversion"/>
  </si>
  <si>
    <t>145990</t>
  </si>
  <si>
    <t>설탕</t>
  </si>
  <si>
    <t>최낙현, 강호성</t>
  </si>
  <si>
    <t>http://www.samyangcorp.com</t>
  </si>
  <si>
    <t>삼양식품</t>
  </si>
  <si>
    <t>https://dart.fss.or.kr/dsaf001/main.do?rcpNo=20230321001381</t>
    <phoneticPr fontId="4" type="noConversion"/>
  </si>
  <si>
    <t>003230</t>
  </si>
  <si>
    <t>라면,스낵,유제품,장유,식용유,사료,향신료,건강음료(루이보스 티) 제조,도매</t>
  </si>
  <si>
    <t>김정수, 김동찬</t>
  </si>
  <si>
    <t>http://www.samyangfoods.com</t>
  </si>
  <si>
    <t>삼양통상</t>
  </si>
  <si>
    <t>https://dart.fss.or.kr/dsaf001/main.do?rcpNo=20230315001242</t>
    <phoneticPr fontId="4" type="noConversion"/>
  </si>
  <si>
    <t>002170</t>
  </si>
  <si>
    <t>가죽, 가방 및 유사제품 제조업</t>
  </si>
  <si>
    <t>피혁원단,혁제운동화,혁제장갑,혁제스포츠용품 제조,상품중개,무역</t>
  </si>
  <si>
    <t>허남각, 허준홍 (2인 각자 대표이사)</t>
  </si>
  <si>
    <t>http://www.samyangts.com</t>
  </si>
  <si>
    <t>삼영</t>
  </si>
  <si>
    <t>https://dart.fss.or.kr/dsaf001/main.do?rcpNo=20230713000197</t>
    <phoneticPr fontId="4" type="noConversion"/>
  </si>
  <si>
    <t>003720</t>
  </si>
  <si>
    <t>합성수지(BOPP,캐파시타),PPC,랩,종이상자(카톤팩) 제조</t>
  </si>
  <si>
    <t>이석준, 조영한</t>
  </si>
  <si>
    <t>http://www.sycc.co.kr</t>
  </si>
  <si>
    <t>삼영무역</t>
  </si>
  <si>
    <t>https://dart.fss.or.kr/dsaf001/main.do?rcpNo=20230524000304</t>
    <phoneticPr fontId="4" type="noConversion"/>
  </si>
  <si>
    <t>002810</t>
  </si>
  <si>
    <t>화공약품, 안경렌즈</t>
  </si>
  <si>
    <t>이승용</t>
  </si>
  <si>
    <t>http://www.samyung.co.kr</t>
  </si>
  <si>
    <t>삼영전자공업</t>
  </si>
  <si>
    <t>https://dart.fss.or.kr/dsaf001/main.do?rcpNo=20230316001053</t>
    <phoneticPr fontId="4" type="noConversion"/>
  </si>
  <si>
    <t>005680</t>
  </si>
  <si>
    <t>전자부품(알루미늄 전해콘덴서),전기이중층콘덴서,센서 제조,도매</t>
  </si>
  <si>
    <t>변동준, 김성수(각자 대표이사)</t>
  </si>
  <si>
    <t>http://www.samyoung.co.kr</t>
  </si>
  <si>
    <t>삼원강재</t>
  </si>
  <si>
    <t>https://dart.fss.or.kr/dsaf001/main.do?rcpNo=20230314000085</t>
    <phoneticPr fontId="4" type="noConversion"/>
  </si>
  <si>
    <t>023000</t>
  </si>
  <si>
    <t>열간압연제품(평강,봉강,특수이형강,환강,자동차용 겹판스프링) 제조,판매</t>
  </si>
  <si>
    <t>장범석, 박민희(각자대표)</t>
  </si>
  <si>
    <t>http://www.samwon-steel.co.kr</t>
  </si>
  <si>
    <t>삼익THK</t>
  </si>
  <si>
    <t>https://dart.fss.or.kr/dsaf001/main.do?rcpNo=20230316001338</t>
    <phoneticPr fontId="4" type="noConversion"/>
  </si>
  <si>
    <t>004380</t>
  </si>
  <si>
    <t>일반 목적용 기계 제조업</t>
  </si>
  <si>
    <t>직선운동시스템,메카트로시스템,기타정밀 자동화기기 제조,판매/전자상거래,인터넷 관련 s/w,h/w 개발,판매,유지보수</t>
  </si>
  <si>
    <t>진영환, 진주완</t>
  </si>
  <si>
    <t>http://www.samickthk.co.kr</t>
  </si>
  <si>
    <t>삼익악기</t>
  </si>
  <si>
    <t>https://dart.fss.or.kr/dsaf001/main.do?rcpNo=20230322000313</t>
    <phoneticPr fontId="4" type="noConversion"/>
  </si>
  <si>
    <t>002450</t>
  </si>
  <si>
    <t>악기 제조업</t>
  </si>
  <si>
    <t>피아노,기타,현악기,전자악기,동 부분품 제조,임대,도매</t>
  </si>
  <si>
    <t>김종섭, 이형국</t>
  </si>
  <si>
    <t>http://www.samick.co.kr</t>
  </si>
  <si>
    <t>삼진제약</t>
  </si>
  <si>
    <t>https://dart.fss.or.kr/dsaf001/main.do?rcpNo=20230410003453</t>
    <phoneticPr fontId="4" type="noConversion"/>
  </si>
  <si>
    <t>005500</t>
  </si>
  <si>
    <t>의약품(게보린,세트라졸,염산나록손) 제조,판매,수출입,약초재배</t>
  </si>
  <si>
    <t>최용주</t>
  </si>
  <si>
    <t>http://www.samjinpharm.co.kr</t>
  </si>
  <si>
    <t>삼호개발</t>
  </si>
  <si>
    <t>https://dart.fss.or.kr/dsaf001/main.do?rcpNo=20230320000375</t>
    <phoneticPr fontId="4" type="noConversion"/>
  </si>
  <si>
    <t>010960</t>
  </si>
  <si>
    <t>기반조성 및 시설물 축조관련 전문공사업</t>
  </si>
  <si>
    <t>토공사,철근콘크리트공사,포장공사,미장방수공사,상하수도공사,수중공사,비계구조물해체공사/골재,아스콘 제조,판매,중기임대</t>
  </si>
  <si>
    <t>심재범</t>
  </si>
  <si>
    <t>http://www.samhodev.co.kr/</t>
  </si>
  <si>
    <t>삼화전기</t>
  </si>
  <si>
    <t>https://dart.fss.or.kr/dsaf001/main.do?rcpNo=20230316001182</t>
    <phoneticPr fontId="4" type="noConversion"/>
  </si>
  <si>
    <t>009470</t>
  </si>
  <si>
    <t>콘덴서 제조,판매</t>
  </si>
  <si>
    <t>오영주, 박종온</t>
  </si>
  <si>
    <t>http://www.samwha.co.kr</t>
  </si>
  <si>
    <t>삼화콘덴서공업</t>
  </si>
  <si>
    <t>https://dart.fss.or.kr/dsaf001/main.do?rcpNo=20230316001232</t>
    <phoneticPr fontId="4" type="noConversion"/>
  </si>
  <si>
    <t>001820</t>
  </si>
  <si>
    <t>콘덴서(축전기) 제조</t>
  </si>
  <si>
    <t>오영주, 박진</t>
  </si>
  <si>
    <t>http://www.samwha.com</t>
  </si>
  <si>
    <t>상신브레이크</t>
  </si>
  <si>
    <t>https://dart.fss.or.kr/dsaf001/main.do?rcpNo=20230317000349</t>
    <phoneticPr fontId="4" type="noConversion"/>
  </si>
  <si>
    <t>041650</t>
  </si>
  <si>
    <t>자동차 브레이크 슈 어셈블리,브레이크패드 제조/군납업,무역/부동산 임대</t>
  </si>
  <si>
    <t>김효일, 박세종</t>
  </si>
  <si>
    <t>http://www.sangsin.com</t>
  </si>
  <si>
    <t>샘표식품</t>
  </si>
  <si>
    <t>https://dart.fss.or.kr/dsaf001/main.do?rcpNo=20230310000633</t>
    <phoneticPr fontId="4" type="noConversion"/>
  </si>
  <si>
    <t>248170</t>
  </si>
  <si>
    <t>간장</t>
  </si>
  <si>
    <t>박진선</t>
  </si>
  <si>
    <t>http://www.sempio.com</t>
  </si>
  <si>
    <t>서울도시가스</t>
  </si>
  <si>
    <t>https://dart.fss.or.kr/dsaf001/main.do?rcpNo=20230315000963</t>
    <phoneticPr fontId="4" type="noConversion"/>
  </si>
  <si>
    <t>017390</t>
  </si>
  <si>
    <t>도시가스공급,가스공급설비공사</t>
  </si>
  <si>
    <t>공동대표이사 박근원 공동대표이사 김진철</t>
  </si>
  <si>
    <t>http://www.seoulgas.co.kr</t>
  </si>
  <si>
    <t>선진</t>
  </si>
  <si>
    <t>https://dart.fss.or.kr/dsaf001/main.do?rcpNo=20230323000638</t>
    <phoneticPr fontId="4" type="noConversion"/>
  </si>
  <si>
    <t>136490</t>
  </si>
  <si>
    <t>동물용 사료 및 조제식품 제조업</t>
  </si>
  <si>
    <t>조제동물사료</t>
  </si>
  <si>
    <t>이범권</t>
  </si>
  <si>
    <t>https://www.sj.co.kr/</t>
    <phoneticPr fontId="4" type="noConversion"/>
  </si>
  <si>
    <t>세방</t>
  </si>
  <si>
    <t>https://dart.fss.or.kr/dsaf001/main.do?rcpNo=20230316000928</t>
    <phoneticPr fontId="4" type="noConversion"/>
  </si>
  <si>
    <t>004360</t>
  </si>
  <si>
    <t>도로운송,항만하역,창고,지게차 임대</t>
  </si>
  <si>
    <t>최종일</t>
  </si>
  <si>
    <t>http://www.sebang.com</t>
  </si>
  <si>
    <t>세방전지</t>
  </si>
  <si>
    <t>https://dart.fss.or.kr/dsaf001/main.do?rcpNo=20230308000717</t>
    <phoneticPr fontId="4" type="noConversion"/>
  </si>
  <si>
    <t>004490</t>
  </si>
  <si>
    <t>자동차용 및 산업용 축전지(연축전지) 제조,판매</t>
  </si>
  <si>
    <t>대표이사 김대웅</t>
  </si>
  <si>
    <t>http://www.gbattery.com</t>
  </si>
  <si>
    <t>세아제강</t>
  </si>
  <si>
    <t>https://dart.fss.or.kr/dsaf001/main.do?rcpNo=20230314001166</t>
    <phoneticPr fontId="4" type="noConversion"/>
  </si>
  <si>
    <t>306200</t>
  </si>
  <si>
    <t>강관</t>
  </si>
  <si>
    <t>이휘령, 김석일</t>
  </si>
  <si>
    <t>http://www.seahsteel.co.kr</t>
  </si>
  <si>
    <t>세우글로벌</t>
  </si>
  <si>
    <t>https://dart.fss.or.kr/dsaf001/main.do?rcpNo=20230724000235</t>
    <phoneticPr fontId="4" type="noConversion"/>
  </si>
  <si>
    <t>013000</t>
  </si>
  <si>
    <t>화공약품.엔지니어링 플라스틱,페놀계제품,석유화학제품 판매/철재가구,사무목재가구 제조/교육사업</t>
  </si>
  <si>
    <t>안백순</t>
  </si>
  <si>
    <t>http://www.sewoo21.co.kr</t>
  </si>
  <si>
    <t>세원정공</t>
  </si>
  <si>
    <t>https://dart.fss.or.kr/dsaf001/main.do?rcpNo=20230228006867</t>
    <phoneticPr fontId="4" type="noConversion"/>
  </si>
  <si>
    <t>021820</t>
  </si>
  <si>
    <t>자동차부품(차체류,램프류) 제조</t>
  </si>
  <si>
    <t>장제상</t>
  </si>
  <si>
    <t>http://www.se-won.co.kr</t>
  </si>
  <si>
    <t>세이브존I&amp;C</t>
  </si>
  <si>
    <t>https://dart.fss.or.kr/dsaf001/main.do?rcpNo=20230316000461</t>
    <phoneticPr fontId="4" type="noConversion"/>
  </si>
  <si>
    <t>067830</t>
  </si>
  <si>
    <t>대형할인점(백화점)/부동산 임대/주차장,문화센터 운영</t>
  </si>
  <si>
    <t>김현동, 이상준</t>
  </si>
  <si>
    <t>http://www.savezone.co.kr</t>
  </si>
  <si>
    <t>셀트리온</t>
  </si>
  <si>
    <t>https://dart.fss.or.kr/dsaf001/main.do?rcpNo=20230320000842</t>
    <phoneticPr fontId="4" type="noConversion"/>
  </si>
  <si>
    <t>068270</t>
  </si>
  <si>
    <t>램시마, 트룩시마, 허쥬마</t>
  </si>
  <si>
    <t>기우성</t>
  </si>
  <si>
    <t>http://www.celltrion.com</t>
  </si>
  <si>
    <t>솔루엠</t>
  </si>
  <si>
    <t>https://dart.fss.or.kr/dsaf001/main.do?rcpNo=20230320000954</t>
    <phoneticPr fontId="4" type="noConversion"/>
  </si>
  <si>
    <t>248070</t>
  </si>
  <si>
    <t>POWER, 3in1 Board, ESL 등</t>
  </si>
  <si>
    <t>전성호</t>
  </si>
  <si>
    <t>http://www.solu-m.com</t>
  </si>
  <si>
    <t>송원산업</t>
  </si>
  <si>
    <t>https://dart.fss.or.kr/dsaf001/main.do?rcpNo=20230302000104</t>
    <phoneticPr fontId="4" type="noConversion"/>
  </si>
  <si>
    <t>004430</t>
  </si>
  <si>
    <t>폴리머첨가제(PVC안정제,산화방지제),폴리우레탄수지,프라스틱첨가제 제조</t>
  </si>
  <si>
    <t>김충식 대표이사</t>
  </si>
  <si>
    <t>http://www.songwon.com</t>
  </si>
  <si>
    <t>수산중공업</t>
  </si>
  <si>
    <t>https://dart.fss.or.kr/dsaf001/main.do?rcpNo=20230323001156</t>
    <phoneticPr fontId="4" type="noConversion"/>
  </si>
  <si>
    <t>017550</t>
  </si>
  <si>
    <t>유압브레이커,트럭크레인,플라즈마 파암장비,특장차,산업기계,건설기계 제조,도매</t>
  </si>
  <si>
    <t>정석현, 신수근(각자 대표이사)</t>
  </si>
  <si>
    <t>http://www.soosanheavy.com</t>
  </si>
  <si>
    <t>시디즈</t>
  </si>
  <si>
    <t>https://dart.fss.or.kr/dsaf001/main.do?rcpNo=20230316001196</t>
    <phoneticPr fontId="4" type="noConversion"/>
  </si>
  <si>
    <t>134790</t>
  </si>
  <si>
    <t>가구 제조업</t>
  </si>
  <si>
    <t>의자</t>
  </si>
  <si>
    <t>강성문</t>
  </si>
  <si>
    <t>http://www.sidiz.com</t>
  </si>
  <si>
    <t>신대양제지</t>
  </si>
  <si>
    <t>https://dart.fss.or.kr/dsaf001/main.do?rcpNo=20230322000910</t>
    <phoneticPr fontId="4" type="noConversion"/>
  </si>
  <si>
    <t>016590</t>
  </si>
  <si>
    <t>골판지, 종이 상자 및 종이용기 제조업</t>
  </si>
  <si>
    <t>골판지용 골심지,라이너지 제조,수출입</t>
  </si>
  <si>
    <t>권혁홍, 이상천(각자 대표이사)</t>
  </si>
  <si>
    <t>http://www.dygroup.co.kr</t>
  </si>
  <si>
    <t>신라교역</t>
  </si>
  <si>
    <t>https://dart.fss.or.kr/dsaf001/main.do?rcpNo=20230315001315</t>
    <phoneticPr fontId="4" type="noConversion"/>
  </si>
  <si>
    <t>004970</t>
  </si>
  <si>
    <t>어로 어업</t>
  </si>
  <si>
    <t>원양어업(참치,명태,휠레트,연육,명란,새우),어획물 판매/직물 수출</t>
  </si>
  <si>
    <t>김호운</t>
  </si>
  <si>
    <t>http://www.sla.co.kr</t>
  </si>
  <si>
    <t>신성통상</t>
  </si>
  <si>
    <t>https://dart.fss.or.kr/dsaf001/main.do?rcpNo=20220920000318</t>
    <phoneticPr fontId="4" type="noConversion"/>
  </si>
  <si>
    <t>005390</t>
  </si>
  <si>
    <t>의류,악세사리(모자,벨트,가방) 도매/의류 제조</t>
  </si>
  <si>
    <t>대표이사 염태순</t>
  </si>
  <si>
    <t>http://www.ssts.co.kr</t>
  </si>
  <si>
    <t>신세계</t>
  </si>
  <si>
    <t>https://dart.fss.or.kr/dsaf001/main.do?rcpNo=20230315001319</t>
    <phoneticPr fontId="4" type="noConversion"/>
  </si>
  <si>
    <t>004170</t>
  </si>
  <si>
    <t>백화점,할인점(E마트)</t>
  </si>
  <si>
    <t>손영식</t>
  </si>
  <si>
    <t>http://www.shinsegae.com</t>
  </si>
  <si>
    <t>신세계인터내셔날</t>
  </si>
  <si>
    <t>https://dart.fss.or.kr/dsaf001/main.do?rcpNo=20230314001079</t>
    <phoneticPr fontId="4" type="noConversion"/>
  </si>
  <si>
    <t>031430</t>
  </si>
  <si>
    <t>섬유, 의복, 신발 및 가죽제품 소매업</t>
  </si>
  <si>
    <t>섬유, 의복, 신발 및 가죽제품 소매</t>
  </si>
  <si>
    <t>윌리엄 김(KIM WILLIAM PAK)</t>
  </si>
  <si>
    <t>http://www.sikorea.co.kr</t>
  </si>
  <si>
    <t>신영와코루</t>
  </si>
  <si>
    <t>https://dart.fss.or.kr/dsaf001/main.do?rcpNo=20230316001089</t>
    <phoneticPr fontId="4" type="noConversion"/>
  </si>
  <si>
    <t>005800</t>
  </si>
  <si>
    <t>여성용 내의류(화운데이션,란제리,블래지어),환자,노령자용 파자마,남성용 내의류 제조</t>
  </si>
  <si>
    <t>이의평, 이성원</t>
  </si>
  <si>
    <t>http://www.shinyoungwacoal.co.kr/</t>
  </si>
  <si>
    <t>신영증권</t>
  </si>
  <si>
    <t>https://dart.fss.or.kr/dsaf001/main.do?rcpNo=20230615000542</t>
    <phoneticPr fontId="4" type="noConversion"/>
  </si>
  <si>
    <t>001720</t>
  </si>
  <si>
    <t>증권업</t>
  </si>
  <si>
    <t>원종석, 황성엽</t>
  </si>
  <si>
    <t>http://www.shinyoung.com</t>
  </si>
  <si>
    <t>신일전자</t>
  </si>
  <si>
    <t>https://dart.fss.or.kr/dsaf001/main.do?rcpNo=20230323000459</t>
    <phoneticPr fontId="4" type="noConversion"/>
  </si>
  <si>
    <t>002700</t>
  </si>
  <si>
    <t>기계장비 및 관련 물품 도매업</t>
  </si>
  <si>
    <t>가정용 전기기구(선풍기,난로,세탁기),전자기구,연구기구 제조,수출입</t>
  </si>
  <si>
    <t>정윤석</t>
  </si>
  <si>
    <t>http://www.shinil.co.kr</t>
  </si>
  <si>
    <t>신흥</t>
  </si>
  <si>
    <t>https://dart.fss.or.kr/dsaf001/main.do?rcpNo=20230411002838</t>
    <phoneticPr fontId="4" type="noConversion"/>
  </si>
  <si>
    <t>004080</t>
  </si>
  <si>
    <t>치과용기자재(방사선장치,전기진단장치),주사침 도소매,제조/부동산 임대</t>
  </si>
  <si>
    <t>이용익</t>
  </si>
  <si>
    <t>http://www.shinhung.co.kr</t>
  </si>
  <si>
    <t>쌍용씨앤이</t>
  </si>
  <si>
    <t>https://dart.fss.or.kr/dsaf001/main.do?rcpNo=20230321001494</t>
    <phoneticPr fontId="4" type="noConversion"/>
  </si>
  <si>
    <t>003410</t>
  </si>
  <si>
    <t>시멘트, 석회, 플라스터 및 그 제품 제조업</t>
  </si>
  <si>
    <t>시멘트(크링카)</t>
  </si>
  <si>
    <t>홍사승, 이현준 (각자)대표집행임원</t>
  </si>
  <si>
    <t>http://www.ssangyongcement.co.kr</t>
  </si>
  <si>
    <t>써니전자</t>
  </si>
  <si>
    <t>https://dart.fss.or.kr/dsaf001/main.do?rcpNo=20230317001042</t>
    <phoneticPr fontId="4" type="noConversion"/>
  </si>
  <si>
    <t>004770</t>
  </si>
  <si>
    <t>수정진동자,수정발진기,초음파지연선,MCF,축수나사 제조,도매,수출입</t>
  </si>
  <si>
    <t>차상권</t>
  </si>
  <si>
    <t>http://www.sunny.co.kr</t>
  </si>
  <si>
    <t>아남전자</t>
  </si>
  <si>
    <t>https://dart.fss.or.kr/dsaf001/main.do?rcpNo=20230316000657</t>
    <phoneticPr fontId="4" type="noConversion"/>
  </si>
  <si>
    <t>008700</t>
  </si>
  <si>
    <t>영상 및 음향기기 제조업</t>
  </si>
  <si>
    <t>칼라TV,오디오,비디오 제조,도매</t>
  </si>
  <si>
    <t>김태수</t>
  </si>
  <si>
    <t>http://www.aname.co.kr</t>
  </si>
  <si>
    <t>아세아시멘트</t>
  </si>
  <si>
    <t>https://dart.fss.or.kr/dsaf001/main.do?rcpNo=20230315001378</t>
    <phoneticPr fontId="4" type="noConversion"/>
  </si>
  <si>
    <t>183190</t>
  </si>
  <si>
    <t>시멘트, 레미콘, 몰탈</t>
  </si>
  <si>
    <t>임경태, 김웅종</t>
  </si>
  <si>
    <t>http://www.asiacement.co.kr</t>
  </si>
  <si>
    <t>아세아제지</t>
  </si>
  <si>
    <t>https://dart.fss.or.kr/dsaf001/main.do?rcpNo=20230309000717</t>
    <phoneticPr fontId="4" type="noConversion"/>
  </si>
  <si>
    <t>002310</t>
  </si>
  <si>
    <t>골판지원지,석고보드원지,크라프트원지,라이나원지,라이너지 제조,판매</t>
  </si>
  <si>
    <t>유승환, 이현탁</t>
  </si>
  <si>
    <t>http://www.asiapaper.co.kr</t>
  </si>
  <si>
    <t>아이마켓코리아</t>
  </si>
  <si>
    <t>https://dart.fss.or.kr/dsaf001/main.do?rcpNo=20230322000722</t>
    <phoneticPr fontId="4" type="noConversion"/>
  </si>
  <si>
    <t>122900</t>
  </si>
  <si>
    <t>B2B 전자상거래</t>
  </si>
  <si>
    <t>남인봉</t>
  </si>
  <si>
    <t>http://www.imarketkorea.com</t>
  </si>
  <si>
    <t>아이에스동서</t>
  </si>
  <si>
    <t>https://dart.fss.or.kr/dsaf001/main.do?rcpNo=20230323001296</t>
    <phoneticPr fontId="4" type="noConversion"/>
  </si>
  <si>
    <t>010780</t>
  </si>
  <si>
    <t>타일,위생도기,콘크리트파일,P.C관,침목 제조,도매</t>
  </si>
  <si>
    <t>허석헌, 정원호, 김갑진, 이준길</t>
  </si>
  <si>
    <t>http://www.isdongseo.co.kr</t>
  </si>
  <si>
    <t>애경산업</t>
  </si>
  <si>
    <t>https://dart.fss.or.kr/dsaf001/main.do?rcpNo=20230315001190</t>
    <phoneticPr fontId="4" type="noConversion"/>
  </si>
  <si>
    <t>018250</t>
  </si>
  <si>
    <t>Age 20's,루나, 트리오, 2080치약, 순샘, 제트 등</t>
  </si>
  <si>
    <t>채동석, 임재영</t>
  </si>
  <si>
    <t>http://www.aekyung.co.kr</t>
  </si>
  <si>
    <t>애경케미칼</t>
  </si>
  <si>
    <t>https://dart.fss.or.kr/dsaf001/main.do?rcpNo=20230320001088</t>
    <phoneticPr fontId="4" type="noConversion"/>
  </si>
  <si>
    <t>161000</t>
  </si>
  <si>
    <t>오르토프탈산디옥틸</t>
  </si>
  <si>
    <t>표경원</t>
  </si>
  <si>
    <t>http://www.aekyungchemical.co.kr</t>
  </si>
  <si>
    <t>에스디바이오센서</t>
  </si>
  <si>
    <t>https://dart.fss.or.kr/dsaf001/main.do?rcpNo=20230515000371</t>
    <phoneticPr fontId="4" type="noConversion"/>
  </si>
  <si>
    <t>137310</t>
  </si>
  <si>
    <t>STANDARD Q 항원/항체 진단키트(COVID-19 진단키트)</t>
  </si>
  <si>
    <t>이효근,허태영</t>
  </si>
  <si>
    <t>http://sdbiosensor.co.kr/</t>
  </si>
  <si>
    <t>에스엘</t>
  </si>
  <si>
    <t>https://dart.fss.or.kr/dsaf001/main.do?rcpNo=20230321001134</t>
    <phoneticPr fontId="4" type="noConversion"/>
  </si>
  <si>
    <t>005850</t>
  </si>
  <si>
    <t>자동차부품(자동차램프, 전동화부품, 전자부품) 제조, 판매</t>
  </si>
  <si>
    <t>이성엽,김한영</t>
  </si>
  <si>
    <t>http://www.slworld.com</t>
  </si>
  <si>
    <t>에스원</t>
  </si>
  <si>
    <t>https://dart.fss.or.kr/dsaf001/main.do?rcpNo=20230307000691</t>
    <phoneticPr fontId="4" type="noConversion"/>
  </si>
  <si>
    <t>012750</t>
  </si>
  <si>
    <t>경비, 경호 및 탐정업</t>
  </si>
  <si>
    <t>부가통신 서비스(경비),안전관리용역,CCTV카메라</t>
  </si>
  <si>
    <t>남궁범, 모리야 키요시</t>
  </si>
  <si>
    <t>http://www.s1.co.kr</t>
  </si>
  <si>
    <t>에이플러스에셋</t>
    <phoneticPr fontId="4" type="noConversion"/>
  </si>
  <si>
    <t>https://dart.fss.or.kr/dsaf001/main.do?rcpNo=20230321001261</t>
    <phoneticPr fontId="4" type="noConversion"/>
  </si>
  <si>
    <t>244920</t>
  </si>
  <si>
    <t>보험 및 연금관련 서비스업</t>
  </si>
  <si>
    <t>보험대리 및 중개업</t>
  </si>
  <si>
    <t>곽근호, 서성식, 조규남</t>
  </si>
  <si>
    <t>https://www.aplusga.com/</t>
    <phoneticPr fontId="4" type="noConversion"/>
  </si>
  <si>
    <t>엔피씨</t>
  </si>
  <si>
    <t>https://dart.fss.or.kr/dsaf001/main.do?rcpNo=20230323001360</t>
    <phoneticPr fontId="4" type="noConversion"/>
  </si>
  <si>
    <t>004250</t>
  </si>
  <si>
    <t>산업용기프라스틱제품(플라스틱 파렛트,시트 파렛트) 제조,판매</t>
  </si>
  <si>
    <t>최병민</t>
  </si>
  <si>
    <t>http://www.npc.co.kr</t>
  </si>
  <si>
    <t>엠씨넥스</t>
  </si>
  <si>
    <t>https://dart.fss.or.kr/dsaf001/main.do?rcpNo=20230314000700</t>
    <phoneticPr fontId="4" type="noConversion"/>
  </si>
  <si>
    <t>097520</t>
  </si>
  <si>
    <t>모바일 카메라모듈,전장 카메라모듈,블랙박스,IP 카메라</t>
  </si>
  <si>
    <t>민동욱</t>
  </si>
  <si>
    <t>http://www.mcnex.co.kr</t>
  </si>
  <si>
    <t>영보화학</t>
  </si>
  <si>
    <t>https://dart.fss.or.kr/dsaf001/main.do?rcpNo=20230315000345</t>
    <phoneticPr fontId="4" type="noConversion"/>
  </si>
  <si>
    <t>014440</t>
  </si>
  <si>
    <t>가교발포폴리에틸렌(아티론,영보드) 제조,판매</t>
  </si>
  <si>
    <t>이영식</t>
  </si>
  <si>
    <t>http://www.youngbo.com</t>
  </si>
  <si>
    <t>영원무역</t>
  </si>
  <si>
    <t>https://dart.fss.or.kr/dsaf001/main.do?rcpNo=20230321001365</t>
    <phoneticPr fontId="4" type="noConversion"/>
  </si>
  <si>
    <t>111770</t>
  </si>
  <si>
    <t>스포츠의류</t>
  </si>
  <si>
    <t>성기학</t>
  </si>
  <si>
    <t>https://www.youngone.co.kr/</t>
    <phoneticPr fontId="4" type="noConversion"/>
  </si>
  <si>
    <t>영풍제지</t>
    <phoneticPr fontId="5" type="noConversion"/>
  </si>
  <si>
    <t>https://dart.fss.or.kr/dsaf001/main.do?rcpNo=20230712000496</t>
    <phoneticPr fontId="4" type="noConversion"/>
  </si>
  <si>
    <t>006740</t>
  </si>
  <si>
    <t>골판지원지,지관원지,라이나원지 제조</t>
  </si>
  <si>
    <t>조상종</t>
  </si>
  <si>
    <t>http://www.yp21.co.kr</t>
  </si>
  <si>
    <t>오리온</t>
  </si>
  <si>
    <t>https://dart.fss.or.kr/dsaf001/main.do?rcpNo=20230315001259</t>
    <phoneticPr fontId="4" type="noConversion"/>
  </si>
  <si>
    <t>271560</t>
  </si>
  <si>
    <t>스낵 등 과자류</t>
  </si>
  <si>
    <t>이승준</t>
  </si>
  <si>
    <t>http://www.orionworld.com</t>
  </si>
  <si>
    <t>우진플라임</t>
  </si>
  <si>
    <t>https://dart.fss.or.kr/dsaf001/main.do?rcpNo=20230322000913</t>
    <phoneticPr fontId="4" type="noConversion"/>
  </si>
  <si>
    <t>049800</t>
  </si>
  <si>
    <t>플라스틱사출성형기 제조,판매</t>
  </si>
  <si>
    <t>김익환</t>
  </si>
  <si>
    <t>http://www.woojinplaimm.com</t>
  </si>
  <si>
    <t>웅진씽크빅</t>
  </si>
  <si>
    <t>https://dart.fss.or.kr/dsaf001/main.do?rcpNo=20230316001571</t>
    <phoneticPr fontId="4" type="noConversion"/>
  </si>
  <si>
    <t>095720</t>
  </si>
  <si>
    <t>초등 교육기관</t>
  </si>
  <si>
    <t>기타출판 제조/서적,교구,통신판매 도소매/부동산 임대/교구렌탈,컴퓨터운용관련서비스</t>
  </si>
  <si>
    <t>이재진</t>
  </si>
  <si>
    <t>http://www.wjthinkbig.com</t>
  </si>
  <si>
    <t>유나이티드</t>
  </si>
  <si>
    <t>https://dart.fss.or.kr/dsaf001/main.do?rcpNo=20230317000918</t>
    <phoneticPr fontId="4" type="noConversion"/>
  </si>
  <si>
    <t>033270</t>
  </si>
  <si>
    <t>홈타민 진생연질60C(비타민제),항암제,항생제,순환기계,해열진통제,소화기계약품 제조</t>
  </si>
  <si>
    <t>강덕영</t>
  </si>
  <si>
    <t>http://www.kup.co.kr</t>
  </si>
  <si>
    <t>세종특별자치시</t>
  </si>
  <si>
    <t>유니드</t>
  </si>
  <si>
    <t>https://dart.fss.or.kr/dsaf001/main.do?rcpNo=20230308000675</t>
    <phoneticPr fontId="4" type="noConversion"/>
  </si>
  <si>
    <t>014830</t>
  </si>
  <si>
    <t>탄산칼륨,가성칼륨,가성카리,탄산카리(무기화합물),MDF(가공목재) 제조,도매</t>
  </si>
  <si>
    <t>정의승, 이우일</t>
  </si>
  <si>
    <t>http://www.unid.co.kr</t>
  </si>
  <si>
    <t>유니켐</t>
  </si>
  <si>
    <t>https://dart.fss.or.kr/dsaf001/main.do?rcpNo=20230329000065</t>
    <phoneticPr fontId="4" type="noConversion"/>
  </si>
  <si>
    <t>011330</t>
  </si>
  <si>
    <t>피혁 제조,도매,무역,부동산임대</t>
  </si>
  <si>
    <t>이장원</t>
  </si>
  <si>
    <t>http://www.uni-chem.net</t>
  </si>
  <si>
    <t>유니퀘스트</t>
  </si>
  <si>
    <t>https://dart.fss.or.kr/dsaf001/main.do?rcpNo=20230323001413</t>
    <phoneticPr fontId="4" type="noConversion"/>
  </si>
  <si>
    <t>077500</t>
  </si>
  <si>
    <t>반도체직접회로 도매,무역,제조</t>
  </si>
  <si>
    <t>앤드류김</t>
  </si>
  <si>
    <t>http://www.uniquest.co.kr</t>
  </si>
  <si>
    <t>유안타증권</t>
  </si>
  <si>
    <t>https://dart.fss.or.kr/dsaf001/main.do?rcpNo=20230314000094</t>
    <phoneticPr fontId="4" type="noConversion"/>
  </si>
  <si>
    <t>003470</t>
  </si>
  <si>
    <t>궈밍쩡</t>
  </si>
  <si>
    <t>http://www.yuantakorea.com</t>
  </si>
  <si>
    <t>유진증권</t>
  </si>
  <si>
    <t>https://dart.fss.or.kr/dsaf001/main.do?rcpNo=20230315000887</t>
    <phoneticPr fontId="4" type="noConversion"/>
  </si>
  <si>
    <t>001200</t>
  </si>
  <si>
    <t>유가증권 매매,중개,인수</t>
  </si>
  <si>
    <t>유창수, 고경모(각자 대표)</t>
  </si>
  <si>
    <t>http://www.eugenefn.com</t>
  </si>
  <si>
    <t>유한양행</t>
  </si>
  <si>
    <t>https://dart.fss.or.kr/dsaf001/main.do?rcpNo=20230315001431</t>
    <phoneticPr fontId="4" type="noConversion"/>
  </si>
  <si>
    <t>000100</t>
  </si>
  <si>
    <t>의약품(삐콤씨, 안티푸라민, 렉라자, 로수바미브, 코푸시럽 등), 생활용품(유한락스, 해피홈, 유한젠), 동물약품</t>
  </si>
  <si>
    <t>대표이사 조욱제</t>
  </si>
  <si>
    <t>http://www.yuhan.co.kr</t>
  </si>
  <si>
    <t>이구산업</t>
  </si>
  <si>
    <t>https://dart.fss.or.kr/dsaf001/main.do?rcpNo=20230315000658</t>
    <phoneticPr fontId="4" type="noConversion"/>
  </si>
  <si>
    <t>025820</t>
  </si>
  <si>
    <t>동판.조,황동판.조,인청동판.조 제조,임가공/부동산 임대</t>
  </si>
  <si>
    <t>안월환, 김영길(각자 대표이사)</t>
  </si>
  <si>
    <t>http://www.leeku.net</t>
  </si>
  <si>
    <t>이노션</t>
  </si>
  <si>
    <t>https://dart.fss.or.kr/dsaf001/main.do?rcpNo=20230322001078</t>
    <phoneticPr fontId="4" type="noConversion"/>
  </si>
  <si>
    <t>214320</t>
  </si>
  <si>
    <t>광고업</t>
  </si>
  <si>
    <t>광고대행 및 광고물의 제작 등</t>
  </si>
  <si>
    <t>이용우</t>
  </si>
  <si>
    <t>http://www.innocean.com</t>
  </si>
  <si>
    <t>이마트</t>
  </si>
  <si>
    <t>https://dart.fss.or.kr/dsaf001/main.do?rcpNo=20230321000409</t>
    <phoneticPr fontId="4" type="noConversion"/>
  </si>
  <si>
    <t>139480</t>
  </si>
  <si>
    <t>대형마트</t>
  </si>
  <si>
    <t>강희석</t>
  </si>
  <si>
    <t>http://emartcompany.com/ko/main.do</t>
  </si>
  <si>
    <t>이수페타시스</t>
  </si>
  <si>
    <t>https://dart.fss.or.kr/dsaf001/main.do?rcpNo=20230323001183</t>
    <phoneticPr fontId="4" type="noConversion"/>
  </si>
  <si>
    <t>007660</t>
  </si>
  <si>
    <t>P.C.B(인쇄회로기판),M.L.B 제조</t>
  </si>
  <si>
    <t>최창복</t>
  </si>
  <si>
    <t>http://www.petasys.com</t>
  </si>
  <si>
    <t>이연제약</t>
  </si>
  <si>
    <t>https://dart.fss.or.kr/dsaf001/main.do?rcpNo=20230323001335</t>
    <phoneticPr fontId="4" type="noConversion"/>
  </si>
  <si>
    <t>102460</t>
  </si>
  <si>
    <t>항생제,순환기제</t>
  </si>
  <si>
    <t>정순옥, 유용환 (각자 대표이사)</t>
  </si>
  <si>
    <t>http://reyonpharm.co.kr</t>
  </si>
  <si>
    <t>인천도시가스</t>
  </si>
  <si>
    <t>https://dart.fss.or.kr/dsaf001/main.do?rcpNo=20230309000433</t>
    <phoneticPr fontId="4" type="noConversion"/>
  </si>
  <si>
    <t>034590</t>
  </si>
  <si>
    <t>도시가스 공급/가스설비공사</t>
  </si>
  <si>
    <t>정진혁</t>
  </si>
  <si>
    <t>http://www.icgas.co.kr</t>
  </si>
  <si>
    <t>인터지스</t>
  </si>
  <si>
    <t>https://dart.fss.or.kr/dsaf001/main.do?rcpNo=20230320000322</t>
    <phoneticPr fontId="4" type="noConversion"/>
  </si>
  <si>
    <t>129260</t>
  </si>
  <si>
    <t>화물운송,알선,하역</t>
  </si>
  <si>
    <t>박동호</t>
  </si>
  <si>
    <t>http://www.intergis.co.kr</t>
  </si>
  <si>
    <t>인팩</t>
  </si>
  <si>
    <t>https://dart.fss.or.kr/dsaf001/main.do?rcpNo=20230322000936</t>
    <phoneticPr fontId="4" type="noConversion"/>
  </si>
  <si>
    <t>023810</t>
  </si>
  <si>
    <t>자동차용 케이블,전자정보통신관련기기 제조,도매</t>
  </si>
  <si>
    <t>최웅선,최장돈</t>
  </si>
  <si>
    <t>http://www.infac.com</t>
  </si>
  <si>
    <t>일성건설</t>
  </si>
  <si>
    <t>https://dart.fss.or.kr/dsaf001/main.do?rcpNo=20230317000389</t>
    <phoneticPr fontId="4" type="noConversion"/>
  </si>
  <si>
    <t>013360</t>
  </si>
  <si>
    <t>건축공사,토목공사,전기공사</t>
  </si>
  <si>
    <t>유필상</t>
  </si>
  <si>
    <t>http://www.ilsungconst.co.kr</t>
  </si>
  <si>
    <t>일신석재</t>
  </si>
  <si>
    <t>https://dart.fss.or.kr/dsaf001/main.do?rcpNo=20230323001151</t>
    <phoneticPr fontId="4" type="noConversion"/>
  </si>
  <si>
    <t>007110</t>
  </si>
  <si>
    <t>건축자재, 철물 및 난방장치 도매업</t>
  </si>
  <si>
    <t>건축석 제조,도소매/석공예,석공사</t>
  </si>
  <si>
    <t>김학선</t>
  </si>
  <si>
    <t>http://www.ilshinstone.co.kr</t>
  </si>
  <si>
    <t>일양약품</t>
  </si>
  <si>
    <t>https://dart.fss.or.kr/dsaf001/main.do?rcpNo=20230316000222</t>
    <phoneticPr fontId="4" type="noConversion"/>
  </si>
  <si>
    <t>007570</t>
  </si>
  <si>
    <t>일반의약품(원비디,영비천,아진탈,디세텔,노루모산),항암제(베타-이뮤난),전문의약품 제조,판매,수출입</t>
  </si>
  <si>
    <t>김동연, 정유석</t>
  </si>
  <si>
    <t>http://www.ilyang.co.kr</t>
  </si>
  <si>
    <t>일진전기</t>
  </si>
  <si>
    <t>https://dart.fss.or.kr/dsaf001/main.do?rcpNo=20230315000560</t>
    <phoneticPr fontId="4" type="noConversion"/>
  </si>
  <si>
    <t>103590</t>
  </si>
  <si>
    <t>황수 (단독대표)</t>
  </si>
  <si>
    <t>http://www.iljinelectric.co.kr/main.jsp</t>
    <phoneticPr fontId="4" type="noConversion"/>
  </si>
  <si>
    <t>일진하이솔루스</t>
  </si>
  <si>
    <t>https://dart.fss.or.kr/dsaf001/main.do?rcpNo=20230315001068</t>
    <phoneticPr fontId="4" type="noConversion"/>
  </si>
  <si>
    <t>271940</t>
  </si>
  <si>
    <t>그외 기타 운송장비 제조업</t>
  </si>
  <si>
    <t>수소승용용기, 매연저감장치 등</t>
  </si>
  <si>
    <t>양성모</t>
  </si>
  <si>
    <t>http://hysolus.co.kr</t>
  </si>
  <si>
    <t>자이에스앤디</t>
  </si>
  <si>
    <t>https://dart.fss.or.kr/dsaf001/main.do?rcpNo=20230714000214</t>
    <phoneticPr fontId="4" type="noConversion"/>
  </si>
  <si>
    <t>317400</t>
  </si>
  <si>
    <t>부동산 임대 및 공급업</t>
  </si>
  <si>
    <t>부동산 관리, 정보통신 공사, 아파트 AS 및 옵션 제품 공급, 건축물 시공 및 분양</t>
  </si>
  <si>
    <t>엄관석</t>
  </si>
  <si>
    <t>http://www.xisnd.com/</t>
  </si>
  <si>
    <t>제일기획</t>
  </si>
  <si>
    <t>https://dart.fss.or.kr/dsaf001/main.do?rcpNo=20230308000451</t>
    <phoneticPr fontId="4" type="noConversion"/>
  </si>
  <si>
    <t>030000</t>
  </si>
  <si>
    <t>광고 대행/광고물,영화 제작,인쇄,출판</t>
  </si>
  <si>
    <t>http://www.cheil.co.kr</t>
  </si>
  <si>
    <t>제일연마</t>
  </si>
  <si>
    <t>https://dart.fss.or.kr/dsaf001/main.do?rcpNo=20230321000389</t>
    <phoneticPr fontId="4" type="noConversion"/>
  </si>
  <si>
    <t>001560</t>
  </si>
  <si>
    <t>기타 비금속 광물제품 제조업</t>
  </si>
  <si>
    <t>연마석,다이아몬드공구 제조,도소매/주택건설</t>
  </si>
  <si>
    <t>오유인, 오현수, 추헌주 (각자 대표)</t>
  </si>
  <si>
    <t>http://www.grinding.co.kr</t>
  </si>
  <si>
    <t>제주은행</t>
  </si>
  <si>
    <t>https://dart.fss.or.kr/dsaf001/main.do?rcpNo=20230314001271</t>
    <phoneticPr fontId="4" type="noConversion"/>
  </si>
  <si>
    <t>006220</t>
  </si>
  <si>
    <t>은행 및 저축기관</t>
  </si>
  <si>
    <t>은행업무,외국환업무,신탁업무</t>
  </si>
  <si>
    <t>박우혁</t>
  </si>
  <si>
    <t>http://www.e-jejubank.com</t>
  </si>
  <si>
    <t>제주특별자치도</t>
  </si>
  <si>
    <t>조광피혁</t>
  </si>
  <si>
    <t>https://dart.fss.or.kr/dsaf001/main.do?rcpNo=20230316001017</t>
    <phoneticPr fontId="4" type="noConversion"/>
  </si>
  <si>
    <t>004700</t>
  </si>
  <si>
    <t>가죽(피혁원단,제화용원단,카시트용원단),가방,신발 제조,도매</t>
  </si>
  <si>
    <t>이연석</t>
  </si>
  <si>
    <t>http://www.chokwang.co.kr</t>
  </si>
  <si>
    <t>조비</t>
  </si>
  <si>
    <t>https://dart.fss.or.kr/dsaf001/main.do?rcpNo=20230322000622</t>
    <phoneticPr fontId="4" type="noConversion"/>
  </si>
  <si>
    <t>001550</t>
  </si>
  <si>
    <t>복합비료(연초용,수도용,시판용,특수작물용),양액재배용 비료,완효성 비료,부직포 제조,무역</t>
  </si>
  <si>
    <t>이승연</t>
  </si>
  <si>
    <t>http://www.chobi.co.kr</t>
  </si>
  <si>
    <t>조선선재</t>
  </si>
  <si>
    <t>https://dart.fss.or.kr/dsaf001/main.do?rcpNo=20230331002546</t>
    <phoneticPr fontId="4" type="noConversion"/>
  </si>
  <si>
    <t>120030</t>
  </si>
  <si>
    <t>기타 금속 가공제품 제조업</t>
  </si>
  <si>
    <t>용접재료</t>
  </si>
  <si>
    <t>장원영</t>
  </si>
  <si>
    <t>http://www.chosunwelding.com</t>
  </si>
  <si>
    <t>조흥</t>
  </si>
  <si>
    <t>https://dart.fss.or.kr/dsaf001/main.do?rcpNo=20230309000626</t>
    <phoneticPr fontId="4" type="noConversion"/>
  </si>
  <si>
    <t>002600</t>
  </si>
  <si>
    <t>휘핑크림,인스턴트이스트,프루츠칵테일,크림치즈,견과류,건조과일 제조,판매/주택 신축,판매</t>
  </si>
  <si>
    <t>김성태</t>
  </si>
  <si>
    <t>http://www.choheung.co.kr</t>
  </si>
  <si>
    <t>종근당</t>
  </si>
  <si>
    <t>https://dart.fss.or.kr/dsaf001/main.do?rcpNo=20230316000376</t>
    <phoneticPr fontId="4" type="noConversion"/>
  </si>
  <si>
    <t>185750</t>
  </si>
  <si>
    <t>딜라트렌,리피로우</t>
  </si>
  <si>
    <t>김영주</t>
  </si>
  <si>
    <t>http://www.ckdpharm.com</t>
  </si>
  <si>
    <t>지누스</t>
  </si>
  <si>
    <t>https://dart.fss.or.kr/dsaf001/main.do?rcpNo=20230315001428</t>
    <phoneticPr fontId="4" type="noConversion"/>
  </si>
  <si>
    <t>013890</t>
  </si>
  <si>
    <t>매트리스 및 가구제품</t>
  </si>
  <si>
    <t>심재형</t>
  </si>
  <si>
    <t>http://www.zinus.co.kr</t>
  </si>
  <si>
    <t>진양산업</t>
  </si>
  <si>
    <t>https://dart.fss.or.kr/dsaf001/main.do?rcpNo=20230308000725</t>
    <phoneticPr fontId="4" type="noConversion"/>
  </si>
  <si>
    <t>003780</t>
  </si>
  <si>
    <t>합성수지,폴리우레탄스폰지 제조,도매,수출입</t>
  </si>
  <si>
    <t>조영태</t>
  </si>
  <si>
    <t>http://www.cyc1963.com</t>
  </si>
  <si>
    <t>진양폴리우레탄</t>
  </si>
  <si>
    <t>https://dart.fss.or.kr/dsaf001/main.do?rcpNo=20230306000422</t>
    <phoneticPr fontId="4" type="noConversion"/>
  </si>
  <si>
    <t>010640</t>
  </si>
  <si>
    <t>폴리우레탄,폴리우레탄스폰지 제조,판매</t>
  </si>
  <si>
    <t>http://www.chinyangpoly.kr</t>
  </si>
  <si>
    <t>진흥기업</t>
  </si>
  <si>
    <t>https://dart.fss.or.kr/dsaf001/main.do?rcpNo=20230320000418</t>
    <phoneticPr fontId="4" type="noConversion"/>
  </si>
  <si>
    <t>002780</t>
  </si>
  <si>
    <t>아파트건설,토목공사,건축공사,국내도급공사</t>
  </si>
  <si>
    <t>박상신</t>
  </si>
  <si>
    <t>http://www.chinhung.co.kr</t>
  </si>
  <si>
    <t>카카오뱅크</t>
  </si>
  <si>
    <t>https://dart.fss.or.kr/dsaf001/main.do?rcpNo=20230321001298</t>
    <phoneticPr fontId="4" type="noConversion"/>
  </si>
  <si>
    <t>323410</t>
  </si>
  <si>
    <t>은행 및 금융서비스</t>
  </si>
  <si>
    <t>윤호영</t>
  </si>
  <si>
    <t>https://m.kakaobank.com/</t>
    <phoneticPr fontId="4" type="noConversion"/>
  </si>
  <si>
    <t>케이씨</t>
  </si>
  <si>
    <t>https://dart.fss.or.kr/dsaf001/main.do?rcpNo=20230321001309</t>
    <phoneticPr fontId="4" type="noConversion"/>
  </si>
  <si>
    <t>029460</t>
  </si>
  <si>
    <t>가스/Chemical 공급 장치 등 제조 및 판매</t>
  </si>
  <si>
    <t>고상걸, 권홍빈(각자대표이사)</t>
  </si>
  <si>
    <t>http://www.kct.co.kr</t>
  </si>
  <si>
    <t>케이씨씨</t>
  </si>
  <si>
    <t>https://dart.fss.or.kr/dsaf001/main.do?rcpNo=20230316000762</t>
    <phoneticPr fontId="4" type="noConversion"/>
  </si>
  <si>
    <t>002380</t>
  </si>
  <si>
    <t>건축용단열재,내외장재,스레트,밤라이트,암면,석고보드,판유리 제조</t>
  </si>
  <si>
    <t>정몽진, 정재훈</t>
  </si>
  <si>
    <t>http://www.kccworld.co.kr</t>
  </si>
  <si>
    <t>케이씨텍</t>
  </si>
  <si>
    <t>https://dart.fss.or.kr/dsaf001/main.do?rcpNo=20230321001167</t>
    <phoneticPr fontId="4" type="noConversion"/>
  </si>
  <si>
    <t>281820</t>
  </si>
  <si>
    <t>반도체, 디스플레이 제조 장비</t>
  </si>
  <si>
    <t>양호근, 최동규 (각자 대표이사)</t>
  </si>
  <si>
    <t>http://www.kctech.co.kr</t>
  </si>
  <si>
    <t>케이씨티시</t>
  </si>
  <si>
    <t>https://dart.fss.or.kr/dsaf001/main.do?rcpNo=20230316001262</t>
    <phoneticPr fontId="4" type="noConversion"/>
  </si>
  <si>
    <t>009070</t>
  </si>
  <si>
    <t>화물자동차운송,항만하역,창고보관,컨테이너조작,중량물해상운송</t>
  </si>
  <si>
    <t>류주환</t>
  </si>
  <si>
    <t>http://www.kctc.co.kr</t>
  </si>
  <si>
    <t>케이카</t>
  </si>
  <si>
    <t>https://dart.fss.or.kr/dsaf001/main.do?rcpNo=20230407002574</t>
    <phoneticPr fontId="4" type="noConversion"/>
  </si>
  <si>
    <t>381970</t>
  </si>
  <si>
    <t>자동차 판매업</t>
  </si>
  <si>
    <t>오프라인 및 온라인 중고차 매매업</t>
  </si>
  <si>
    <t>정인국</t>
  </si>
  <si>
    <t>http://www.kcar.com</t>
  </si>
  <si>
    <t>케이티</t>
  </si>
  <si>
    <t>https://dart.fss.or.kr/dsaf001/main.do?rcpNo=20230323001449</t>
    <phoneticPr fontId="4" type="noConversion"/>
  </si>
  <si>
    <t>030200</t>
  </si>
  <si>
    <t>유무선통신사업,공중전기통신사업,인터넷,전자상거래,네트워크(전용회선,데이터통신,초고속사업 등)</t>
  </si>
  <si>
    <t>김영섭</t>
  </si>
  <si>
    <t>http://www.kt.com</t>
  </si>
  <si>
    <t>케이티스카이라이프</t>
  </si>
  <si>
    <t>https://dart.fss.or.kr/dsaf001/main.do?rcpNo=20230323001208</t>
    <phoneticPr fontId="4" type="noConversion"/>
  </si>
  <si>
    <t>053210</t>
  </si>
  <si>
    <t>텔레비전 방송업</t>
  </si>
  <si>
    <t>위성방송서비스</t>
  </si>
  <si>
    <t>양춘식</t>
  </si>
  <si>
    <t>http://www.ktskylife.co.kr</t>
  </si>
  <si>
    <t>케이티앤지</t>
  </si>
  <si>
    <t>https://dart.fss.or.kr/dsaf001/main.do?rcpNo=20230320001005</t>
    <phoneticPr fontId="4" type="noConversion"/>
  </si>
  <si>
    <t>033780</t>
  </si>
  <si>
    <t>담배 제조업</t>
  </si>
  <si>
    <t>잎담배,제조담배,홍삼,홍삼제품 제조,판매</t>
  </si>
  <si>
    <t>Baek, Bok-In</t>
  </si>
  <si>
    <t>http://www.ktng.com</t>
  </si>
  <si>
    <t>코리아써키트</t>
  </si>
  <si>
    <t>https://dart.fss.or.kr/dsaf001/main.do?rcpNo=20230317001037</t>
    <phoneticPr fontId="4" type="noConversion"/>
  </si>
  <si>
    <t>007810</t>
  </si>
  <si>
    <t>인쇄회로기판,Module 제조/부동산(건물) 임대</t>
  </si>
  <si>
    <t>장세준</t>
  </si>
  <si>
    <t>http://www.kcg.co.kr</t>
  </si>
  <si>
    <t>코리안리</t>
  </si>
  <si>
    <t>https://dart.fss.or.kr/dsaf001/main.do?rcpNo=20230323001465</t>
    <phoneticPr fontId="4" type="noConversion"/>
  </si>
  <si>
    <t>003690</t>
  </si>
  <si>
    <t>재 보험업</t>
  </si>
  <si>
    <t>금융보험/부동산 임대</t>
  </si>
  <si>
    <t>원종규</t>
  </si>
  <si>
    <t>http://www.koreanre.co.kr</t>
  </si>
  <si>
    <t>코스모신소재</t>
  </si>
  <si>
    <t>https://dart.fss.or.kr/dsaf001/main.do?rcpNo=20230315000297</t>
    <phoneticPr fontId="4" type="noConversion"/>
  </si>
  <si>
    <t>005070</t>
  </si>
  <si>
    <t>이차전지양극활물질,기능성필름</t>
  </si>
  <si>
    <t>홍동환</t>
  </si>
  <si>
    <t>http://www.cosmoamt.com</t>
  </si>
  <si>
    <t>코웨이</t>
  </si>
  <si>
    <t>https://dart.fss.or.kr/dsaf001/main.do?rcpNo=20230321000862</t>
    <phoneticPr fontId="4" type="noConversion"/>
  </si>
  <si>
    <t>021240</t>
  </si>
  <si>
    <t>그외 기타 개인 서비스업</t>
  </si>
  <si>
    <t>렌탈 서비스(정수기,비데, 필터교환 등), 가정용기기 도매,판매,제조,폐기물처리설비,수출(정수기,청정기)</t>
  </si>
  <si>
    <t>서장원</t>
  </si>
  <si>
    <t>http://company.coway.com</t>
  </si>
  <si>
    <t>쿠쿠홈시스</t>
  </si>
  <si>
    <t>https://dart.fss.or.kr/dsaf001/main.do?rcpNo=20230403003576</t>
    <phoneticPr fontId="4" type="noConversion"/>
  </si>
  <si>
    <t>284740</t>
  </si>
  <si>
    <t>개인 및 가정용품 임대업</t>
  </si>
  <si>
    <t>정수기, 공기청정기 등</t>
  </si>
  <si>
    <t>구본학</t>
  </si>
  <si>
    <t>http://www,cuckoo.co.kr</t>
  </si>
  <si>
    <t>크라운제과</t>
  </si>
  <si>
    <t>https://dart.fss.or.kr/dsaf001/main.do?rcpNo=20230331000007</t>
    <phoneticPr fontId="4" type="noConversion"/>
  </si>
  <si>
    <t>264900</t>
  </si>
  <si>
    <t>비스킷, 스낵, 당과</t>
  </si>
  <si>
    <t>윤석빈</t>
  </si>
  <si>
    <t>http://www.crown.co.kr</t>
  </si>
  <si>
    <t>크래프톤</t>
  </si>
  <si>
    <t>https://dart.fss.or.kr/dsaf001/main.do?rcpNo=20230320000728</t>
    <phoneticPr fontId="4" type="noConversion"/>
  </si>
  <si>
    <t>259960</t>
  </si>
  <si>
    <t>소프트웨어 개발 및 공급업</t>
  </si>
  <si>
    <t>등 게임 소프트웨어</t>
  </si>
  <si>
    <t>김창한</t>
  </si>
  <si>
    <t>http://www.krafton.com</t>
  </si>
  <si>
    <t>키움증권</t>
  </si>
  <si>
    <t>https://dart.fss.or.kr/dsaf001/main.do?rcpNo=20230320001037</t>
    <phoneticPr fontId="4" type="noConversion"/>
  </si>
  <si>
    <t>039490</t>
  </si>
  <si>
    <t>유가증권의 매매, 위탁, 인수, 주선</t>
  </si>
  <si>
    <t>황현순</t>
  </si>
  <si>
    <t>http://www.kiwoom.com</t>
  </si>
  <si>
    <t>태경비케이</t>
  </si>
  <si>
    <t>https://dart.fss.or.kr/dsaf001/main.do?rcpNo=20230316001157</t>
    <phoneticPr fontId="4" type="noConversion"/>
  </si>
  <si>
    <t>014580</t>
  </si>
  <si>
    <t>생석회,소석회,석회비료 제조,판매/비금속광물 광업/산업폐기물 재생처리/휴게소 운영</t>
  </si>
  <si>
    <t>김민정,정구일 (각자 대표이사)</t>
  </si>
  <si>
    <t>http://www.bkmp.co.kr</t>
  </si>
  <si>
    <t>태경산업</t>
  </si>
  <si>
    <t>https://dart.fss.or.kr/dsaf001/main.do?rcpNo=20230323001143</t>
    <phoneticPr fontId="4" type="noConversion"/>
  </si>
  <si>
    <t>015890</t>
  </si>
  <si>
    <t>제강용 정련제(프락스),카바이드,중질탈산칼슘 제조,판매/고속도로휴게소 운영</t>
  </si>
  <si>
    <t>김해련, 김민정, 박충기 (각자 대표이사)</t>
  </si>
  <si>
    <t>http://www.taekyung.co.kr</t>
  </si>
  <si>
    <t>태경케미컬</t>
  </si>
  <si>
    <t>https://dart.fss.or.kr/dsaf001/main.do?rcpNo=20230314000862</t>
    <phoneticPr fontId="4" type="noConversion"/>
  </si>
  <si>
    <t>006890</t>
  </si>
  <si>
    <t>드라이아이스,액체탄산,고체탄산 제조</t>
  </si>
  <si>
    <t>박기환</t>
  </si>
  <si>
    <t>http://www.taekyungchem.co.kr</t>
  </si>
  <si>
    <t>태영건설</t>
  </si>
  <si>
    <t>https://dart.fss.or.kr/dsaf001/main.do?rcpNo=20230317000233</t>
    <phoneticPr fontId="4" type="noConversion"/>
  </si>
  <si>
    <t>009410</t>
  </si>
  <si>
    <t>종합건설업(토목공사,도로공사,건축공사,관급공사,환경공사,상하수도공사,하수종말처리공사)/부동산 임대,매매</t>
  </si>
  <si>
    <t>이재규</t>
  </si>
  <si>
    <t>http://www.taeyoung.com</t>
  </si>
  <si>
    <t>태평양물산</t>
  </si>
  <si>
    <t>https://dart.fss.or.kr/dsaf001/main.do?rcpNo=20230322000780</t>
    <phoneticPr fontId="4" type="noConversion"/>
  </si>
  <si>
    <t>007980</t>
  </si>
  <si>
    <t>봉제의류(자켓,파카,코트),침구 제조,우모가공,생활용품 도소매,무역</t>
  </si>
  <si>
    <t>임석원</t>
  </si>
  <si>
    <t>http://www.panpacific.co.kr</t>
  </si>
  <si>
    <t>테이팩스</t>
  </si>
  <si>
    <t>https://dart.fss.or.kr/dsaf001/main.do?rcpNo=20230310000763</t>
    <phoneticPr fontId="4" type="noConversion"/>
  </si>
  <si>
    <t>055490</t>
  </si>
  <si>
    <t>OCA, 2차전지용 테이프, 산업용 랩 등</t>
  </si>
  <si>
    <t>김상구</t>
  </si>
  <si>
    <t>http://tapex.co.kr</t>
  </si>
  <si>
    <t>텔코웨어</t>
  </si>
  <si>
    <t>https://dart.fss.or.kr/dsaf001/main.do?rcpNo=20230316001321</t>
    <phoneticPr fontId="4" type="noConversion"/>
  </si>
  <si>
    <t>078000</t>
  </si>
  <si>
    <t>자료처리, 호스팅, 포털 및 기타 인터넷 정보매개 서비스업</t>
  </si>
  <si>
    <t>소프트웨어(핵심망솔루션,무선데이터솔루션,요소기술) 개발,유지보수,무역</t>
  </si>
  <si>
    <t>금한태</t>
  </si>
  <si>
    <t>http://www.telcoware.com</t>
  </si>
  <si>
    <t>티케이지휴켐스</t>
  </si>
  <si>
    <t>https://dart.fss.or.kr/dsaf001/main.do?rcpNo=20230316001190</t>
    <phoneticPr fontId="4" type="noConversion"/>
  </si>
  <si>
    <t>069260</t>
  </si>
  <si>
    <t>화합물,화학제품 제조</t>
  </si>
  <si>
    <t>김우찬</t>
  </si>
  <si>
    <t>http://www.huchems.com</t>
  </si>
  <si>
    <t>파미셀</t>
  </si>
  <si>
    <t>https://dart.fss.or.kr/dsaf001/main.do?rcpNo=20230314000892</t>
    <phoneticPr fontId="4" type="noConversion"/>
  </si>
  <si>
    <t>005690</t>
  </si>
  <si>
    <t>줄기세포치료제,화장품</t>
  </si>
  <si>
    <t>김현수</t>
  </si>
  <si>
    <t>http://www.pharmicell.com</t>
  </si>
  <si>
    <t>팬오션</t>
  </si>
  <si>
    <t>https://dart.fss.or.kr/dsaf001/main.do?rcpNo=20230321001130</t>
    <phoneticPr fontId="4" type="noConversion"/>
  </si>
  <si>
    <t>028670</t>
  </si>
  <si>
    <t>해상화물운송(외항,운수보관)</t>
  </si>
  <si>
    <t>김홍국, 안중호(각자 대표이사)</t>
  </si>
  <si>
    <t>http://www.panocean.com</t>
  </si>
  <si>
    <t>퍼스텍</t>
  </si>
  <si>
    <t>https://dart.fss.or.kr/dsaf001/main.do?rcpNo=20230321001315</t>
    <phoneticPr fontId="4" type="noConversion"/>
  </si>
  <si>
    <t>010820</t>
  </si>
  <si>
    <t>방위산업제품,프린터,불소화합물,자동차용 매트 제조/얼굴인식시스템 개발</t>
  </si>
  <si>
    <t>손경석</t>
  </si>
  <si>
    <t>http://www.firsteccom.co.kr</t>
  </si>
  <si>
    <t>퍼시스</t>
  </si>
  <si>
    <t>https://dart.fss.or.kr/dsaf001/main.do?rcpNo=20230316001331</t>
    <phoneticPr fontId="4" type="noConversion"/>
  </si>
  <si>
    <t>016800</t>
  </si>
  <si>
    <t>사무용 가구,의자,책상,캐비넷 제조</t>
  </si>
  <si>
    <t>배상돈,박광호</t>
  </si>
  <si>
    <t>http://www.fursys.co.kr</t>
  </si>
  <si>
    <t>포스코스틸리온</t>
  </si>
  <si>
    <t>https://dart.fss.or.kr/dsaf001/main.do?rcpNo=20230313000443</t>
    <phoneticPr fontId="4" type="noConversion"/>
  </si>
  <si>
    <t>058430</t>
  </si>
  <si>
    <t>용융아연도금강판,용융알루미늄도금강판,칼라도장강판,냉연강판 가공,제조,도매</t>
  </si>
  <si>
    <t>윤양수</t>
  </si>
  <si>
    <t>http://www.poscocnc.com</t>
  </si>
  <si>
    <t>포스코퓨처엠</t>
  </si>
  <si>
    <t>https://dart.fss.or.kr/dsaf001/main.do?rcpNo=20230317000751</t>
    <phoneticPr fontId="4" type="noConversion"/>
  </si>
  <si>
    <t>003670</t>
  </si>
  <si>
    <t>내화물, 생석회, 음극재 및 양극재</t>
  </si>
  <si>
    <t>김준형</t>
  </si>
  <si>
    <t>http://www.poscofuturem.com</t>
  </si>
  <si>
    <t>풀무원</t>
  </si>
  <si>
    <t>https://dart.fss.or.kr/dsaf001/main.do?rcpNo=20230322001245</t>
    <phoneticPr fontId="4" type="noConversion"/>
  </si>
  <si>
    <t>017810</t>
  </si>
  <si>
    <t>두부류,생면류,나물류,냉동류,조미류,김치류,묵류,녹즙,과채음료,건강보조식품 판매,제조,생식품 수출</t>
  </si>
  <si>
    <t>이효율</t>
  </si>
  <si>
    <t>http://www.pulmuone.co.kr</t>
  </si>
  <si>
    <t>풍산</t>
  </si>
  <si>
    <t>https://dart.fss.or.kr/dsaf001/main.do?rcpNo=20230316001467</t>
    <phoneticPr fontId="4" type="noConversion"/>
  </si>
  <si>
    <t>103140</t>
  </si>
  <si>
    <t>류진, 박우동</t>
  </si>
  <si>
    <t>http://www.poongsan.co.kr</t>
  </si>
  <si>
    <t>하나제약</t>
  </si>
  <si>
    <t>https://dart.fss.or.kr/dsaf001/main.do?rcpNo=20230712000281</t>
    <phoneticPr fontId="4" type="noConversion"/>
  </si>
  <si>
    <t>293480</t>
  </si>
  <si>
    <t>완제의약품</t>
  </si>
  <si>
    <t>최태홍</t>
  </si>
  <si>
    <t>http://www.hanaph.co.kr</t>
  </si>
  <si>
    <t>하이트진로</t>
  </si>
  <si>
    <t>https://dart.fss.or.kr/dsaf001/main.do?rcpNo=20230316001349</t>
    <phoneticPr fontId="4" type="noConversion"/>
  </si>
  <si>
    <t>000080</t>
  </si>
  <si>
    <t>알코올음료 제조업</t>
  </si>
  <si>
    <t>소주</t>
  </si>
  <si>
    <t>김인규</t>
  </si>
  <si>
    <t>http://www.hitejinro.com</t>
  </si>
  <si>
    <t>한국내화</t>
  </si>
  <si>
    <t>https://dart.fss.or.kr/dsaf001/main.do?rcpNo=20230320000791</t>
    <phoneticPr fontId="4" type="noConversion"/>
  </si>
  <si>
    <t>010040</t>
  </si>
  <si>
    <t>내화, 비내화 요업제품 제조업</t>
  </si>
  <si>
    <t>내화벽돌,내화몰탈,축로등 제조,판매</t>
  </si>
  <si>
    <t>변성희</t>
  </si>
  <si>
    <t>http://www.fskrc.co.kr</t>
    <phoneticPr fontId="4" type="noConversion"/>
  </si>
  <si>
    <t>한국단자공업</t>
  </si>
  <si>
    <t>https://dart.fss.or.kr/dsaf001/main.do?rcpNo=20230323000756</t>
    <phoneticPr fontId="4" type="noConversion"/>
  </si>
  <si>
    <t>025540</t>
  </si>
  <si>
    <t>전기변환장치(광커넥터,통신용콘넥터,정밀압착단자설계) 제조,무역(수출)</t>
  </si>
  <si>
    <t>이창원,이원준</t>
  </si>
  <si>
    <t>http://www.ket.com</t>
  </si>
  <si>
    <t>한국무브넥스</t>
  </si>
  <si>
    <t>https://dart.fss.or.kr/dsaf001/main.do?rcpNo=20230323000478</t>
    <phoneticPr fontId="4" type="noConversion"/>
  </si>
  <si>
    <t>010100</t>
  </si>
  <si>
    <t>자동차부품(제동,구동장치),프랜지(관이음쇠),철구조물,산업기계 제조</t>
  </si>
  <si>
    <t>이현덕</t>
  </si>
  <si>
    <t>http://www.koreamovenex.com</t>
  </si>
  <si>
    <t>한국수출포장공업</t>
  </si>
  <si>
    <t>https://dart.fss.or.kr/dsaf001/main.do?rcpNo=20230315000812</t>
    <phoneticPr fontId="4" type="noConversion"/>
  </si>
  <si>
    <t>002200</t>
  </si>
  <si>
    <t>골판지상자,골판지원지 제조,판매</t>
  </si>
  <si>
    <t>대표이사 회장 허용삼 대표이사 사장 허정훈(각자대표이사)</t>
  </si>
  <si>
    <t>http://www.keppack.co.kr</t>
  </si>
  <si>
    <t>한국쉘석유</t>
  </si>
  <si>
    <t>https://dart.fss.or.kr/dsaf001/main.do?rcpNo=20230323000970</t>
    <phoneticPr fontId="4" type="noConversion"/>
  </si>
  <si>
    <t>002960</t>
  </si>
  <si>
    <t>윤활유,그리스 제조,도매</t>
  </si>
  <si>
    <t>라머스 예룬 피터</t>
  </si>
  <si>
    <t>http://www.shell.co.kr</t>
  </si>
  <si>
    <t>한국종합기술</t>
  </si>
  <si>
    <t>https://dart.fss.or.kr/dsaf001/main.do?rcpNo=20230316001234</t>
    <phoneticPr fontId="4" type="noConversion"/>
  </si>
  <si>
    <t>023350</t>
  </si>
  <si>
    <t>토목설계,건축설계,감리,측량/토목건축공사</t>
  </si>
  <si>
    <t>김치헌</t>
  </si>
  <si>
    <t>http://www.kecc.co.kr</t>
  </si>
  <si>
    <t>한국주철관공업</t>
  </si>
  <si>
    <t>https://dart.fss.or.kr/dsaf001/main.do?rcpNo=20230316000941</t>
    <phoneticPr fontId="4" type="noConversion"/>
  </si>
  <si>
    <t>000970</t>
  </si>
  <si>
    <t>수도용주철관,강관 제조</t>
  </si>
  <si>
    <t>김길출, 김태형, 이창훈 (각자대표제)</t>
  </si>
  <si>
    <t>http://www.kcip.co.kr</t>
  </si>
  <si>
    <t>한국카본</t>
    <phoneticPr fontId="5" type="noConversion"/>
  </si>
  <si>
    <t>https://dart.fss.or.kr/dsaf001/main.do?rcpNo=20230321001102</t>
    <phoneticPr fontId="4" type="noConversion"/>
  </si>
  <si>
    <t>017960</t>
  </si>
  <si>
    <t>구조용 금속제품, 탱크 및 증기발생기 제조업</t>
  </si>
  <si>
    <t>탄소섬유(카본프리프레그(낚시대,테니스라켓,골프 Shaft,스포츠레저용품)),합성수지,글라스페이퍼,LNG선박용 단열판넬 제조,도매</t>
  </si>
  <si>
    <t>조문수, 이명화 공동대표이사</t>
  </si>
  <si>
    <t>http://www.hcarbon.com</t>
  </si>
  <si>
    <t>한국특강</t>
  </si>
  <si>
    <t>https://dart.fss.or.kr/dsaf001/main.do?rcpNo=20230317000867</t>
    <phoneticPr fontId="4" type="noConversion"/>
  </si>
  <si>
    <t>007280</t>
  </si>
  <si>
    <t>철강압연제품(앵글,이형형강,평철,환봉) 제조,판매</t>
  </si>
  <si>
    <t>한길구, 박성우</t>
  </si>
  <si>
    <t>http://www.ekosco.com</t>
  </si>
  <si>
    <t>한독</t>
  </si>
  <si>
    <t>https://dart.fss.or.kr/dsaf001/main.do?rcpNo=20230316000780</t>
    <phoneticPr fontId="4" type="noConversion"/>
  </si>
  <si>
    <t>002390</t>
  </si>
  <si>
    <t>의약품(소화제,크라포란,라식스)제조,도매,부동산 임대</t>
  </si>
  <si>
    <t>김영진, 백진기</t>
  </si>
  <si>
    <t>http://www.handok.co.kr</t>
  </si>
  <si>
    <t>한미글로벌</t>
  </si>
  <si>
    <t>https://dart.fss.or.kr/dsaf001/main.do?rcpNo=20230316001135</t>
    <phoneticPr fontId="4" type="noConversion"/>
  </si>
  <si>
    <t>053690</t>
  </si>
  <si>
    <t>건축 설계,감리/건축공사,토목공사,설비공사,전기공사,안전공사</t>
  </si>
  <si>
    <t>윤요현, 박서영</t>
  </si>
  <si>
    <t>http://www.hanmiparsons.com</t>
  </si>
  <si>
    <t>한미반도체</t>
  </si>
  <si>
    <t>https://dart.fss.or.kr/dsaf001/main.do?rcpNo=20230316001554</t>
    <phoneticPr fontId="4" type="noConversion"/>
  </si>
  <si>
    <t>042700</t>
  </si>
  <si>
    <t>반도체 후공정장비,반도체금형 제조/부동산 매매,임대</t>
  </si>
  <si>
    <t>곽동신</t>
  </si>
  <si>
    <t>http://www.hanmisemi.com</t>
  </si>
  <si>
    <t>한미약품</t>
  </si>
  <si>
    <t>https://dart.fss.or.kr/dsaf001/main.do?rcpNo=20230321001525</t>
    <phoneticPr fontId="4" type="noConversion"/>
  </si>
  <si>
    <t>128940</t>
  </si>
  <si>
    <t>의약품</t>
  </si>
  <si>
    <t>박재현</t>
  </si>
  <si>
    <t>https://www.hanmi.co.kr/</t>
    <phoneticPr fontId="4" type="noConversion"/>
  </si>
  <si>
    <t>한섬</t>
  </si>
  <si>
    <t>https://dart.fss.or.kr/dsaf001/main.do?rcpNo=20230315001312</t>
    <phoneticPr fontId="4" type="noConversion"/>
  </si>
  <si>
    <t>020000</t>
  </si>
  <si>
    <t>여성의류,금속 액세서리,신발,가방,선글라스 제조,판매</t>
  </si>
  <si>
    <t>김민덕</t>
  </si>
  <si>
    <t>http://www.handsome.co.kr</t>
  </si>
  <si>
    <t>한세실업</t>
  </si>
  <si>
    <t>https://dart.fss.or.kr/dsaf001/main.do?rcpNo=20230320000937</t>
    <phoneticPr fontId="4" type="noConversion"/>
  </si>
  <si>
    <t>105630</t>
  </si>
  <si>
    <t>의류 완제품</t>
  </si>
  <si>
    <t>김익환, 김경</t>
  </si>
  <si>
    <t>http://www.hansae.com</t>
  </si>
  <si>
    <t>한솔로지스틱스</t>
  </si>
  <si>
    <t>https://dart.fss.or.kr/dsaf001/main.do?rcpNo=20230314000521</t>
    <phoneticPr fontId="4" type="noConversion"/>
  </si>
  <si>
    <t>009180</t>
  </si>
  <si>
    <t>기타 운송관련 서비스업</t>
  </si>
  <si>
    <t>지류펄프 보관창고 운영/화물취급,화물운송알선,물류컨설팅/종합쇼핑몰운영,통신판매,인터넷백화점</t>
  </si>
  <si>
    <t>황규호</t>
  </si>
  <si>
    <t>http://www.hansollogistics.com</t>
  </si>
  <si>
    <t>한솔케미칼</t>
  </si>
  <si>
    <t>https://dart.fss.or.kr/dsaf001/main.do?rcpNo=20230313000732</t>
    <phoneticPr fontId="4" type="noConversion"/>
  </si>
  <si>
    <t>014680</t>
  </si>
  <si>
    <t>과산화수소,라텍스,요소수지,수소액화탄산,차아황산소다 제조,판매,디지털카메라용 인화필름 제조,수출</t>
  </si>
  <si>
    <t>박원환</t>
  </si>
  <si>
    <t>http://www.hansolchemical.com</t>
  </si>
  <si>
    <t>한솔피엔에스</t>
  </si>
  <si>
    <t>https://dart.fss.or.kr/dsaf001/main.do?rcpNo=20230314001231</t>
    <phoneticPr fontId="4" type="noConversion"/>
  </si>
  <si>
    <t>010420</t>
  </si>
  <si>
    <t>정보시스템구축 및 유지보수, 포장재제조 및 가공, 지류가공 및 판매</t>
  </si>
  <si>
    <t>강준석,김형준(각자대표)</t>
  </si>
  <si>
    <t>http://www.hansolpns.com</t>
  </si>
  <si>
    <t>한신공영</t>
  </si>
  <si>
    <t>https://dart.fss.or.kr/dsaf001/main.do?rcpNo=20230315001227</t>
    <phoneticPr fontId="4" type="noConversion"/>
  </si>
  <si>
    <t>004960</t>
  </si>
  <si>
    <t>토목공사,건축공사,주택건설,유통업(백화점),문화교실,주차장</t>
  </si>
  <si>
    <t>최문규,선홍규(각자 대표이사)</t>
  </si>
  <si>
    <t>http://www.hanshinc.com</t>
  </si>
  <si>
    <t>한양증권</t>
  </si>
  <si>
    <t>https://dart.fss.or.kr/dsaf001/main.do?rcpNo=20230315000894</t>
    <phoneticPr fontId="4" type="noConversion"/>
  </si>
  <si>
    <t>001750</t>
  </si>
  <si>
    <t>임재택</t>
  </si>
  <si>
    <t>http://www.hygood.co.kr</t>
  </si>
  <si>
    <t>한올바이오파마</t>
  </si>
  <si>
    <t>https://dart.fss.or.kr/dsaf001/main.do?rcpNo=20230321000255</t>
    <phoneticPr fontId="4" type="noConversion"/>
  </si>
  <si>
    <t>009420</t>
  </si>
  <si>
    <t>의약품 제조,도매/부동산 임대</t>
  </si>
  <si>
    <t>정승원,박수진(공동대표이사)</t>
  </si>
  <si>
    <t>http://www.hanall.co.kr</t>
  </si>
  <si>
    <t>한일시멘트</t>
  </si>
  <si>
    <t>https://dart.fss.or.kr/dsaf001/main.do?rcpNo=20230317000994</t>
    <phoneticPr fontId="4" type="noConversion"/>
  </si>
  <si>
    <t>300720</t>
  </si>
  <si>
    <t>시멘트, 레미콘, 레미탈</t>
  </si>
  <si>
    <t>전근식</t>
  </si>
  <si>
    <t>http://www.hanilcement.com</t>
  </si>
  <si>
    <t>한일현대시멘트</t>
  </si>
  <si>
    <t>https://dart.fss.or.kr/dsaf001/main.do?rcpNo=20230317000982</t>
    <phoneticPr fontId="4" type="noConversion"/>
  </si>
  <si>
    <t>006390</t>
  </si>
  <si>
    <t>시멘트,시멘트반제품 제조,판매/콘도미니엄,스키장,종합레저관광산업,체육진흥사업,사업서비스</t>
  </si>
  <si>
    <t>http://WWW.HANILHDCEMENT.COM</t>
  </si>
  <si>
    <t>한전산업</t>
  </si>
  <si>
    <t>https://dart.fss.or.kr/dsaf001/main.do?rcpNo=20230323001346</t>
    <phoneticPr fontId="4" type="noConversion"/>
  </si>
  <si>
    <t>130660</t>
  </si>
  <si>
    <t>발전설비 운전·정비, 전기검침</t>
  </si>
  <si>
    <t>함흥규</t>
  </si>
  <si>
    <t>http://www.kepid.co.kr</t>
  </si>
  <si>
    <t>한진</t>
  </si>
  <si>
    <t>https://dart.fss.or.kr/dsaf001/main.do?rcpNo=20230315001412</t>
    <phoneticPr fontId="4" type="noConversion"/>
  </si>
  <si>
    <t>002320</t>
  </si>
  <si>
    <t>포장화물,택배산업,항만하역,고속버스사업,운수보관</t>
  </si>
  <si>
    <t>노삼석</t>
  </si>
  <si>
    <t>http://www.hanjin.com</t>
  </si>
  <si>
    <t>한컴라이프케어</t>
  </si>
  <si>
    <t>https://dart.fss.or.kr/dsaf001/main.do?rcpNo=20230315000557</t>
    <phoneticPr fontId="4" type="noConversion"/>
  </si>
  <si>
    <t>372910</t>
  </si>
  <si>
    <t>공기호흡기, 방독면, 보호복 등</t>
  </si>
  <si>
    <t>오병진</t>
  </si>
  <si>
    <t>http://www.hancomlifecare.com</t>
  </si>
  <si>
    <t>한화생명</t>
  </si>
  <si>
    <t>https://dart.fss.or.kr/dsaf001/main.do?rcpNo=20230315001327</t>
    <phoneticPr fontId="4" type="noConversion"/>
  </si>
  <si>
    <t>088350</t>
  </si>
  <si>
    <t>여승주</t>
  </si>
  <si>
    <t>http://www.hanwhalife.com</t>
  </si>
  <si>
    <t>한화손해보험</t>
  </si>
  <si>
    <t>https://dart.fss.or.kr/dsaf001/main.do?rcpNo=20230314001218</t>
    <phoneticPr fontId="4" type="noConversion"/>
  </si>
  <si>
    <t>000370</t>
  </si>
  <si>
    <t>손해보험</t>
  </si>
  <si>
    <t>나채범</t>
  </si>
  <si>
    <t>http://www.hwgeneralins.com/</t>
  </si>
  <si>
    <t>한화시스템</t>
  </si>
  <si>
    <t>https://dart.fss.or.kr/dsaf001/main.do?rcpNo=20230411001656</t>
    <phoneticPr fontId="4" type="noConversion"/>
  </si>
  <si>
    <t>272210</t>
  </si>
  <si>
    <t>정밀기기(육해공군관련전자제어시스템,열영상감시장비,탐지추적장치,전투지휘체계시스템) 제조</t>
  </si>
  <si>
    <t>어성철</t>
  </si>
  <si>
    <t>http://hanwhasystems.com</t>
  </si>
  <si>
    <t>현대건설</t>
  </si>
  <si>
    <t>https://dart.fss.or.kr/dsaf001/main.do?rcpNo=20230315001104</t>
    <phoneticPr fontId="4" type="noConversion"/>
  </si>
  <si>
    <t>000720</t>
  </si>
  <si>
    <t>공사수입,주택분양,건설산업부문 설계,감리 등 엔지니어링서비스</t>
  </si>
  <si>
    <t>윤영준</t>
  </si>
  <si>
    <t>http://www.hdec.kr</t>
  </si>
  <si>
    <t>현대글로비스</t>
  </si>
  <si>
    <t>https://dart.fss.or.kr/dsaf001/main.do?rcpNo=20230321001449</t>
    <phoneticPr fontId="4" type="noConversion"/>
  </si>
  <si>
    <t>086280</t>
  </si>
  <si>
    <t>화물운송주선,화물포장,자동차 수리/산업용 기계장비 임대</t>
  </si>
  <si>
    <t>이규복</t>
  </si>
  <si>
    <t>http://www.glovis.net</t>
  </si>
  <si>
    <t>현대로템</t>
  </si>
  <si>
    <t>https://dart.fss.or.kr/dsaf001/main.do?rcpNo=20230310001083</t>
    <phoneticPr fontId="4" type="noConversion"/>
  </si>
  <si>
    <t>064350</t>
  </si>
  <si>
    <t>철도장비 제조업</t>
  </si>
  <si>
    <t>철도차량, 특수중기, 산업기계</t>
  </si>
  <si>
    <t>이용배</t>
  </si>
  <si>
    <t>http://www.hyundai-rotem.co.kr</t>
  </si>
  <si>
    <t>현대모비스</t>
  </si>
  <si>
    <t>https://dart.fss.or.kr/dsaf001/main.do?rcpNo=20230321001162</t>
    <phoneticPr fontId="4" type="noConversion"/>
  </si>
  <si>
    <t>012330</t>
  </si>
  <si>
    <t>자동차A/S용 부품,컨테이너,특수중기,산업기계제품 생산,판매,부품모듈화,부품수출사업,환경/플랜트사업,특수중기부문(컨테이너)</t>
  </si>
  <si>
    <t>정의선, 조성환</t>
  </si>
  <si>
    <t>http://www.mobis.co.kr</t>
  </si>
  <si>
    <t>현대백화점</t>
  </si>
  <si>
    <t>https://dart.fss.or.kr/dsaf001/main.do?rcpNo=20230320001061</t>
    <phoneticPr fontId="4" type="noConversion"/>
  </si>
  <si>
    <t>069960</t>
  </si>
  <si>
    <t>정지선, 장호진, 김형종 (각자대표)</t>
  </si>
  <si>
    <t>http://home.e-hyundai.com</t>
  </si>
  <si>
    <t>현대엘리베이터</t>
  </si>
  <si>
    <t>https://dart.fss.or.kr/dsaf001/main.do?rcpNo=20230321001479</t>
    <phoneticPr fontId="4" type="noConversion"/>
  </si>
  <si>
    <t>017800</t>
  </si>
  <si>
    <t>엘리베이터,에스컬레이터,공항,공정,크린룸,병원 물류시스템,수,배송센터,고속소팅시스템,주차설비 제조,판매,보수</t>
  </si>
  <si>
    <t>조재천</t>
  </si>
  <si>
    <t>http://www.hyundaielevator.co.kr</t>
  </si>
  <si>
    <t>현대오토에버</t>
  </si>
  <si>
    <t>https://dart.fss.or.kr/dsaf001/main.do?rcpNo=20230317000639</t>
    <phoneticPr fontId="4" type="noConversion"/>
  </si>
  <si>
    <t>307950</t>
  </si>
  <si>
    <t>전산실운영, 시스템구축, 전산장비 납품, SOC/건축 사업</t>
  </si>
  <si>
    <t>서정식</t>
  </si>
  <si>
    <t>http://www.hyundai-autoever.com</t>
  </si>
  <si>
    <t>현대자동차</t>
  </si>
  <si>
    <t>https://dart.fss.or.kr/dsaf001/main.do?rcpNo=20230315001030</t>
    <phoneticPr fontId="4" type="noConversion"/>
  </si>
  <si>
    <t>005380</t>
  </si>
  <si>
    <t>자동차(승용차,버스,트럭,특장차),자동차부품,자동차전착도료 제조,차량정비사업</t>
  </si>
  <si>
    <t>정의선, 장재훈, 이동석(각자 대표이사)</t>
  </si>
  <si>
    <t>http://www.hyundai.com</t>
  </si>
  <si>
    <t>현대차증권</t>
  </si>
  <si>
    <t>https://dart.fss.or.kr/dsaf001/main.do?rcpNo=20230315000803</t>
    <phoneticPr fontId="4" type="noConversion"/>
  </si>
  <si>
    <t>001500</t>
  </si>
  <si>
    <t>유가증권의매매,위탁매매,유가증권의 중개,대리/부동산 임대</t>
  </si>
  <si>
    <t>최병철</t>
  </si>
  <si>
    <t>http://hmsec.com</t>
  </si>
  <si>
    <t>현대코퍼레이션</t>
  </si>
  <si>
    <t>https://dart.fss.or.kr/dsaf001/main.do?rcpNo=20230321001082</t>
    <phoneticPr fontId="4" type="noConversion"/>
  </si>
  <si>
    <t>011760</t>
  </si>
  <si>
    <t>자동차,철강,기계,선박,플랜트,컴퓨터,전자제품 수출,수출입대행/자원(탄광,유전) 개발</t>
  </si>
  <si>
    <t>정몽혁, 김원갑, 장안석(각자대표이사)</t>
  </si>
  <si>
    <t>http://www.hyundaicorp.co.kr</t>
  </si>
  <si>
    <t>현대해상</t>
  </si>
  <si>
    <t>https://dart.fss.or.kr/dsaf001/main.do?rcpNo=20230309000797</t>
    <phoneticPr fontId="4" type="noConversion"/>
  </si>
  <si>
    <t>001450</t>
  </si>
  <si>
    <t>손해보험(자동차보험)</t>
  </si>
  <si>
    <t>조용일, 이성재</t>
  </si>
  <si>
    <t>http://www.hi.co.kr</t>
  </si>
  <si>
    <t>현대홈쇼핑</t>
  </si>
  <si>
    <t>https://dart.fss.or.kr/dsaf001/main.do?rcpNo=20230315001376</t>
    <phoneticPr fontId="4" type="noConversion"/>
  </si>
  <si>
    <t>057050</t>
  </si>
  <si>
    <t>무점포 소매업</t>
  </si>
  <si>
    <t>TV홈쇼핑 도소매/홈쇼핑프로그램 제작</t>
  </si>
  <si>
    <t>정교선, 임대규(각자 대표이사)</t>
  </si>
  <si>
    <t>http://www.hmall.com</t>
  </si>
  <si>
    <t>화성산업</t>
  </si>
  <si>
    <t>https://dart.fss.or.kr/dsaf001/main.do?rcpNo=20230316001392</t>
    <phoneticPr fontId="4" type="noConversion"/>
  </si>
  <si>
    <t>002460</t>
  </si>
  <si>
    <t>아파트 건설</t>
  </si>
  <si>
    <t>이종원,최진엽</t>
  </si>
  <si>
    <t>http://www.hwasung.com</t>
  </si>
  <si>
    <t>화승알앤에이</t>
  </si>
  <si>
    <t>https://dart.fss.or.kr/dsaf001/main.do?rcpNo=20230321000920</t>
    <phoneticPr fontId="4" type="noConversion"/>
  </si>
  <si>
    <t>378850</t>
  </si>
  <si>
    <t>자동차용 고무제품</t>
  </si>
  <si>
    <t>김형진</t>
  </si>
  <si>
    <t>http://www.hsrna.com</t>
  </si>
  <si>
    <t>화승엔터프라이즈</t>
  </si>
  <si>
    <t>https://dart.fss.or.kr/dsaf001/main.do?rcpNo=20230317000130</t>
    <phoneticPr fontId="4" type="noConversion"/>
  </si>
  <si>
    <t>241590</t>
  </si>
  <si>
    <t>신발 및 신발 부분품 제조업</t>
  </si>
  <si>
    <t>이계영</t>
  </si>
  <si>
    <t>http://www.hsenterprise.co.kr</t>
  </si>
  <si>
    <t>화천기공</t>
  </si>
  <si>
    <t>https://dart.fss.or.kr/dsaf001/main.do?rcpNo=20230315000315</t>
    <phoneticPr fontId="4" type="noConversion"/>
  </si>
  <si>
    <t>000850</t>
  </si>
  <si>
    <t>CNC선반,CNC밀링,연마기(금속공작기계),MC공작기계,COPY밀링기계,주방품 제조,도매</t>
  </si>
  <si>
    <t>각자대표이사 권영두, 권영렬</t>
  </si>
  <si>
    <t>http://www.hwacheon.com</t>
  </si>
  <si>
    <t>황금에스티</t>
  </si>
  <si>
    <t>https://dart.fss.or.kr/dsaf001/main.do?rcpNo=20230320000391</t>
    <phoneticPr fontId="4" type="noConversion"/>
  </si>
  <si>
    <t>032560</t>
  </si>
  <si>
    <t>스테인레스 냉연, 열연</t>
  </si>
  <si>
    <t>http://www.hwangkum.com</t>
  </si>
  <si>
    <t>효성 ITX</t>
  </si>
  <si>
    <t>https://dart.fss.or.kr/dsaf001/main.do?rcpNo=20230315001063</t>
    <phoneticPr fontId="4" type="noConversion"/>
  </si>
  <si>
    <t>094280</t>
  </si>
  <si>
    <t>기타 사업지원 서비스업</t>
  </si>
  <si>
    <t>컨택센터서비스, Cloud솔루션, CDN, 프로젝터판매</t>
  </si>
  <si>
    <t>남경환</t>
  </si>
  <si>
    <t>http://www.hyosungitx.com</t>
  </si>
  <si>
    <t>효성첨단소재</t>
  </si>
  <si>
    <t>https://dart.fss.or.kr/dsaf001/main.do?rcpNo=20230308000691</t>
    <phoneticPr fontId="4" type="noConversion"/>
  </si>
  <si>
    <t>298050</t>
  </si>
  <si>
    <t>PET타이어코드</t>
  </si>
  <si>
    <t>조용수</t>
  </si>
  <si>
    <t>http://www.hyosungadvancedmaterials.com</t>
  </si>
  <si>
    <t>효성티앤씨</t>
  </si>
  <si>
    <t>https://dart.fss.or.kr/dsaf001/main.do?rcpNo=20230308000741</t>
    <phoneticPr fontId="4" type="noConversion"/>
  </si>
  <si>
    <t>298020</t>
  </si>
  <si>
    <t>섬유, 산업자재, 화학, 중공업, 건설, 무역,금융 등</t>
  </si>
  <si>
    <t>김치형</t>
  </si>
  <si>
    <t>http://www.hyosungtnc.com</t>
  </si>
  <si>
    <t>후성</t>
  </si>
  <si>
    <t>https://dart.fss.or.kr/dsaf001/main.do?rcpNo=20230321000387</t>
    <phoneticPr fontId="4" type="noConversion"/>
  </si>
  <si>
    <t>093370</t>
  </si>
  <si>
    <t>불소화물 제조,도매</t>
  </si>
  <si>
    <t>허국</t>
  </si>
  <si>
    <t>http://www.foosungchem.com</t>
  </si>
  <si>
    <t>휴니드테크놀러지스</t>
  </si>
  <si>
    <t>https://dart.fss.or.kr/dsaf001/main.do?rcpNo=20230313000533</t>
    <phoneticPr fontId="4" type="noConversion"/>
  </si>
  <si>
    <t>005870</t>
  </si>
  <si>
    <t>무선통신기기,군납용무전기,위성방송수신기 제조</t>
  </si>
  <si>
    <t>신종석</t>
  </si>
  <si>
    <t>http://www.huneed.com</t>
  </si>
  <si>
    <t>흥국화재</t>
  </si>
  <si>
    <t>https://dart.fss.or.kr/dsaf001/main.do?rcpNo=20230316001454</t>
    <phoneticPr fontId="4" type="noConversion"/>
  </si>
  <si>
    <t>000540</t>
  </si>
  <si>
    <t>임규준</t>
  </si>
  <si>
    <t>http://www.insurance.co.kr</t>
  </si>
  <si>
    <t xml:space="preserve">(재)홍진기 법률연구재단; (재)비지에프복지재단	</t>
    <phoneticPr fontId="4" type="noConversion"/>
  </si>
  <si>
    <t>신한학원</t>
    <phoneticPr fontId="4" type="noConversion"/>
  </si>
  <si>
    <t>CJ나눔재단; CJ문화재단</t>
    <phoneticPr fontId="4" type="noConversion"/>
  </si>
  <si>
    <t>DB김준기문화재단</t>
    <phoneticPr fontId="4" type="noConversion"/>
  </si>
  <si>
    <t>(학)대림학원</t>
    <phoneticPr fontId="4" type="noConversion"/>
  </si>
  <si>
    <t>재단법인 남촌재단</t>
    <phoneticPr fontId="4" type="noConversion"/>
  </si>
  <si>
    <t>포니정장학재단</t>
    <phoneticPr fontId="4" type="noConversion"/>
  </si>
  <si>
    <t>(학)배달학원</t>
    <phoneticPr fontId="4" type="noConversion"/>
  </si>
  <si>
    <t>바른경제동인회</t>
    <phoneticPr fontId="4" type="noConversion"/>
  </si>
  <si>
    <t>엘지연암학원</t>
    <phoneticPr fontId="4" type="noConversion"/>
  </si>
  <si>
    <t>LG연암학원</t>
    <phoneticPr fontId="4" type="noConversion"/>
  </si>
  <si>
    <t>(재)심팩최진식장학재단</t>
    <phoneticPr fontId="4" type="noConversion"/>
  </si>
  <si>
    <t>한국고등교육재단</t>
    <phoneticPr fontId="4" type="noConversion"/>
  </si>
  <si>
    <t>(재)운해장학재단</t>
    <phoneticPr fontId="4" type="noConversion"/>
  </si>
  <si>
    <t>계룡장학재단</t>
    <phoneticPr fontId="4" type="noConversion"/>
  </si>
  <si>
    <t>경원문화재단; 해주최씨준극경수기호종중</t>
    <phoneticPr fontId="4" type="noConversion"/>
  </si>
  <si>
    <t>재단법인 문화재단 1963</t>
    <phoneticPr fontId="4" type="noConversion"/>
  </si>
  <si>
    <t>가산문화재단</t>
    <phoneticPr fontId="4" type="noConversion"/>
  </si>
  <si>
    <t>KPX문화재단</t>
    <phoneticPr fontId="4" type="noConversion"/>
  </si>
  <si>
    <t>금호문화재단</t>
    <phoneticPr fontId="4" type="noConversion"/>
  </si>
  <si>
    <t>(재)목암과학장학재단</t>
    <phoneticPr fontId="4" type="noConversion"/>
  </si>
  <si>
    <t>대상문화재단</t>
    <phoneticPr fontId="4" type="noConversion"/>
  </si>
  <si>
    <t>대웅재단</t>
    <phoneticPr fontId="4" type="noConversion"/>
  </si>
  <si>
    <t>와이케이스틸사회복지재단</t>
    <phoneticPr fontId="4" type="noConversion"/>
  </si>
  <si>
    <t>학교법인 일주세화학원</t>
    <phoneticPr fontId="4" type="noConversion"/>
  </si>
  <si>
    <t>상주학원; 수석문화재단</t>
    <phoneticPr fontId="4" type="noConversion"/>
  </si>
  <si>
    <t>(재)고촌장학재단</t>
    <phoneticPr fontId="4" type="noConversion"/>
  </si>
  <si>
    <t>(재)동일문화장학재단</t>
    <phoneticPr fontId="4" type="noConversion"/>
  </si>
  <si>
    <t>(재)가송재단</t>
    <phoneticPr fontId="4" type="noConversion"/>
  </si>
  <si>
    <t>두산연강재단</t>
    <phoneticPr fontId="4" type="noConversion"/>
  </si>
  <si>
    <t>롯데장학재단</t>
    <phoneticPr fontId="4" type="noConversion"/>
  </si>
  <si>
    <t>학교법인 명지학원</t>
    <phoneticPr fontId="4" type="noConversion"/>
  </si>
  <si>
    <t>부국문화재단</t>
    <phoneticPr fontId="4" type="noConversion"/>
  </si>
  <si>
    <t>삼성문화재단; 삼성복지재단</t>
    <phoneticPr fontId="4" type="noConversion"/>
  </si>
  <si>
    <t>삼성문화재단; 삼성생명공익재단</t>
    <phoneticPr fontId="4" type="noConversion"/>
  </si>
  <si>
    <t>삼성문화재단</t>
    <phoneticPr fontId="4" type="noConversion"/>
  </si>
  <si>
    <t>수당재단</t>
    <phoneticPr fontId="4" type="noConversion"/>
  </si>
  <si>
    <t>삼양이건장학재단</t>
    <phoneticPr fontId="4" type="noConversion"/>
  </si>
  <si>
    <t>(재)삼익문화재단</t>
    <phoneticPr fontId="4" type="noConversion"/>
  </si>
  <si>
    <t>(재)삼호호미재단</t>
    <phoneticPr fontId="4" type="noConversion"/>
  </si>
  <si>
    <t>사회복지법인 세방이의순재단</t>
    <phoneticPr fontId="4" type="noConversion"/>
  </si>
  <si>
    <t>(재)세아해암학술장학재단; (재)세아이운형문화재단</t>
    <phoneticPr fontId="4" type="noConversion"/>
  </si>
  <si>
    <t>재단법인세원인재육성문화재단</t>
    <phoneticPr fontId="4" type="noConversion"/>
  </si>
  <si>
    <t>(재)퍼시스목훈재단</t>
    <phoneticPr fontId="4" type="noConversion"/>
  </si>
  <si>
    <t>신라문화장학재단</t>
    <phoneticPr fontId="4" type="noConversion"/>
  </si>
  <si>
    <t>(재)홍원문화재단</t>
    <phoneticPr fontId="4" type="noConversion"/>
  </si>
  <si>
    <t>재단법인 신흥연송학술재단</t>
    <phoneticPr fontId="4" type="noConversion"/>
  </si>
  <si>
    <t>문경학원</t>
    <phoneticPr fontId="4" type="noConversion"/>
  </si>
  <si>
    <t>(재)문암장학문화재단</t>
    <phoneticPr fontId="4" type="noConversion"/>
  </si>
  <si>
    <t>(재)에스엘서봉재단</t>
    <phoneticPr fontId="4" type="noConversion"/>
  </si>
  <si>
    <t>유나이티드문화재단</t>
    <phoneticPr fontId="4" type="noConversion"/>
  </si>
  <si>
    <t>유한재단 (동일인)</t>
    <phoneticPr fontId="4" type="noConversion"/>
  </si>
  <si>
    <t>현대차 정몽구재단</t>
    <phoneticPr fontId="4" type="noConversion"/>
  </si>
  <si>
    <t>(재)인주문화재단</t>
    <phoneticPr fontId="4" type="noConversion"/>
  </si>
  <si>
    <t>(재)세계평화통일가정연합유지재단</t>
    <phoneticPr fontId="4" type="noConversion"/>
  </si>
  <si>
    <t>재)일진학술문화재단</t>
    <phoneticPr fontId="4" type="noConversion"/>
  </si>
  <si>
    <t>(재)오뚜기함태호재단</t>
    <phoneticPr fontId="4" type="noConversion"/>
  </si>
  <si>
    <t>서전문화재단법인</t>
    <phoneticPr fontId="4" type="noConversion"/>
  </si>
  <si>
    <t>쿠쿠사회복지재단</t>
    <phoneticPr fontId="4" type="noConversion"/>
  </si>
  <si>
    <t>송원김영환 장학재단</t>
    <phoneticPr fontId="4" type="noConversion"/>
  </si>
  <si>
    <t>서암윤세영재단 (구.서암학술장학재단)</t>
    <phoneticPr fontId="4" type="noConversion"/>
  </si>
  <si>
    <t>재단법인 목훈재단</t>
    <phoneticPr fontId="4" type="noConversion"/>
  </si>
  <si>
    <t xml:space="preserve">(학)포항공과대학교 </t>
    <phoneticPr fontId="4" type="noConversion"/>
  </si>
  <si>
    <t>(재)하이트문화재단</t>
    <phoneticPr fontId="4" type="noConversion"/>
  </si>
  <si>
    <t>경원장학재단법인</t>
    <phoneticPr fontId="4" type="noConversion"/>
  </si>
  <si>
    <t>(재)김전</t>
    <phoneticPr fontId="4" type="noConversion"/>
  </si>
  <si>
    <t>재단법인 한독제석재단</t>
    <phoneticPr fontId="4" type="noConversion"/>
  </si>
  <si>
    <t>사회복지법인따뜻한동행</t>
    <phoneticPr fontId="4" type="noConversion"/>
  </si>
  <si>
    <t>한세예스24문화재단</t>
    <phoneticPr fontId="4" type="noConversion"/>
  </si>
  <si>
    <t>한양학원 (동일인)</t>
    <phoneticPr fontId="4" type="noConversion"/>
  </si>
  <si>
    <t>우덕재단</t>
    <phoneticPr fontId="4" type="noConversion"/>
  </si>
  <si>
    <t>한국자유총연맹</t>
    <phoneticPr fontId="4" type="noConversion"/>
  </si>
  <si>
    <t>정석인하학원</t>
    <phoneticPr fontId="4" type="noConversion"/>
  </si>
  <si>
    <t>현대차 정몽구 재단</t>
    <phoneticPr fontId="4" type="noConversion"/>
  </si>
  <si>
    <t>임당장학문화재단</t>
    <phoneticPr fontId="4" type="noConversion"/>
  </si>
  <si>
    <t>화성장학문화재단</t>
    <phoneticPr fontId="4" type="noConversion"/>
  </si>
  <si>
    <t>재단법인서암문화재단</t>
    <phoneticPr fontId="4" type="noConversion"/>
  </si>
  <si>
    <r>
      <t xml:space="preserve">발행주식
총수
</t>
    </r>
    <r>
      <rPr>
        <sz val="10"/>
        <color rgb="FFFF0000"/>
        <rFont val="KoPub돋움체 Light"/>
        <family val="3"/>
        <charset val="129"/>
      </rPr>
      <t>(보통주)</t>
    </r>
    <phoneticPr fontId="4" type="noConversion"/>
  </si>
  <si>
    <r>
      <t xml:space="preserve">자기주식수
</t>
    </r>
    <r>
      <rPr>
        <sz val="10"/>
        <color rgb="FFFF0000"/>
        <rFont val="KoPub돋움체 Light"/>
        <family val="3"/>
        <charset val="129"/>
      </rPr>
      <t>(보통주)</t>
    </r>
    <phoneticPr fontId="4" type="noConversion"/>
  </si>
  <si>
    <r>
      <t xml:space="preserve">동일인지분
</t>
    </r>
    <r>
      <rPr>
        <sz val="10"/>
        <color rgb="FFFF0000"/>
        <rFont val="KoPub돋움체 Light"/>
        <family val="3"/>
        <charset val="129"/>
      </rPr>
      <t>(주식수)</t>
    </r>
    <phoneticPr fontId="4" type="noConversion"/>
  </si>
  <si>
    <r>
      <t xml:space="preserve">친족지분
</t>
    </r>
    <r>
      <rPr>
        <sz val="10"/>
        <color rgb="FFFF0000"/>
        <rFont val="KoPub돋움체 Light"/>
        <family val="3"/>
        <charset val="129"/>
      </rPr>
      <t>(주식수)</t>
    </r>
    <phoneticPr fontId="4" type="noConversion"/>
  </si>
  <si>
    <r>
      <t xml:space="preserve">임원지분
</t>
    </r>
    <r>
      <rPr>
        <sz val="10"/>
        <color rgb="FFFF0000"/>
        <rFont val="KoPub돋움체 Light"/>
        <family val="3"/>
        <charset val="129"/>
      </rPr>
      <t>(주식수)</t>
    </r>
    <phoneticPr fontId="4" type="noConversion"/>
  </si>
  <si>
    <r>
      <t xml:space="preserve">비영리법인지분
</t>
    </r>
    <r>
      <rPr>
        <sz val="10"/>
        <color rgb="FFFF0000"/>
        <rFont val="KoPub돋움체 Light"/>
        <family val="3"/>
        <charset val="129"/>
      </rPr>
      <t>(주식수)</t>
    </r>
    <phoneticPr fontId="4" type="noConversion"/>
  </si>
  <si>
    <r>
      <t xml:space="preserve">비영리법인
법인명
</t>
    </r>
    <r>
      <rPr>
        <sz val="10"/>
        <color rgb="FFFF0000"/>
        <rFont val="KoPub돋움체 Light"/>
        <family val="3"/>
        <charset val="129"/>
      </rPr>
      <t>(입력)</t>
    </r>
    <phoneticPr fontId="4" type="noConversion"/>
  </si>
  <si>
    <r>
      <t xml:space="preserve">계열회사지분
</t>
    </r>
    <r>
      <rPr>
        <sz val="10"/>
        <color rgb="FFFF0000"/>
        <rFont val="KoPub돋움체 Light"/>
        <family val="3"/>
        <charset val="129"/>
      </rPr>
      <t>(주식수)</t>
    </r>
    <phoneticPr fontId="4" type="noConversion"/>
  </si>
  <si>
    <r>
      <t xml:space="preserve">상호주
</t>
    </r>
    <r>
      <rPr>
        <sz val="10"/>
        <color rgb="FFFF0000"/>
        <rFont val="KoPub돋움체 Light"/>
        <family val="3"/>
        <charset val="129"/>
      </rPr>
      <t>(주식수)</t>
    </r>
    <phoneticPr fontId="4" type="noConversion"/>
  </si>
  <si>
    <t>내부지분수
(합계)</t>
    <phoneticPr fontId="4" type="noConversion"/>
  </si>
  <si>
    <t>내부지분율</t>
  </si>
  <si>
    <t>내부지분율
(100점)</t>
    <phoneticPr fontId="4" type="noConversion"/>
  </si>
  <si>
    <t>1. 내부지분율
(제조·비제조3점/금융4점)</t>
    <phoneticPr fontId="4" type="noConversion"/>
  </si>
  <si>
    <t>소유지분율</t>
    <phoneticPr fontId="4" type="noConversion"/>
  </si>
  <si>
    <t>의결지분율</t>
    <phoneticPr fontId="4" type="noConversion"/>
  </si>
  <si>
    <t>소유지배
괴리도
(%)</t>
  </si>
  <si>
    <t>소유지배
괴리도
(100)</t>
  </si>
  <si>
    <t>2.소유지배괴리도
(제조·비제조4점/금융5점)</t>
    <phoneticPr fontId="4" type="noConversion"/>
  </si>
  <si>
    <t>총임원수(명)</t>
  </si>
  <si>
    <t>전문경영인정도(%)</t>
  </si>
  <si>
    <t>전문경영인정도 평점화
(100)</t>
    <phoneticPr fontId="4" type="noConversion"/>
  </si>
  <si>
    <t>3.전문경영인정도
(제조·비제조2점/금융3점)</t>
    <phoneticPr fontId="4" type="noConversion"/>
  </si>
  <si>
    <t>법정사외이사수 (%)
(총자산 2조원 기준)</t>
    <phoneticPr fontId="4" type="noConversion"/>
  </si>
  <si>
    <t>법정사외이사수</t>
  </si>
  <si>
    <t>(소수점 절상)</t>
    <phoneticPr fontId="4" type="noConversion"/>
  </si>
  <si>
    <t>사외이사비율(%)</t>
  </si>
  <si>
    <t>사외이사비율 평점화
(100)</t>
    <phoneticPr fontId="4" type="noConversion"/>
  </si>
  <si>
    <t>4. 사외이사비율
(제조·비제조1점/금융2점)</t>
    <phoneticPr fontId="4" type="noConversion"/>
  </si>
  <si>
    <t xml:space="preserve"> 총 누적
참석 수</t>
    <phoneticPr fontId="4" type="noConversion"/>
  </si>
  <si>
    <t>사외이사
참여도(%)</t>
    <phoneticPr fontId="4" type="noConversion"/>
  </si>
  <si>
    <t>이사회
참여도
(100)</t>
  </si>
  <si>
    <t>5. 이사회 참여
(제조·비제조1점/금융2점)</t>
    <phoneticPr fontId="4" type="noConversion"/>
  </si>
  <si>
    <t>인건비
(천원)</t>
    <phoneticPr fontId="4" type="noConversion"/>
  </si>
  <si>
    <t>소비성지출(%)
(접대비/인건비)</t>
    <phoneticPr fontId="4" type="noConversion"/>
  </si>
  <si>
    <t>업종</t>
    <phoneticPr fontId="4" type="noConversion"/>
  </si>
  <si>
    <t>업종별 평균</t>
  </si>
  <si>
    <t>소비성지출 편차
(소비성지출-평균)</t>
    <phoneticPr fontId="4" type="noConversion"/>
  </si>
  <si>
    <t>소비성지출(100)</t>
  </si>
  <si>
    <t>6. 소비성지출
(모두 2점)</t>
    <phoneticPr fontId="4" type="noConversion"/>
  </si>
  <si>
    <t>연구개발지출(%)</t>
  </si>
  <si>
    <t>연구개발지출
(100)</t>
  </si>
  <si>
    <t>7.연구개발
(제조·비제조2점/금융1점)</t>
    <phoneticPr fontId="4" type="noConversion"/>
  </si>
  <si>
    <t>설비투자액
(천원)</t>
    <phoneticPr fontId="4" type="noConversion"/>
  </si>
  <si>
    <t>설비투자율(%)</t>
    <phoneticPr fontId="4" type="noConversion"/>
  </si>
  <si>
    <t>업종별 설비투자율 평균 (%)</t>
    <phoneticPr fontId="4" type="noConversion"/>
  </si>
  <si>
    <t>설비투자율 분산값</t>
    <phoneticPr fontId="4" type="noConversion"/>
  </si>
  <si>
    <t>매출대비 업종별 설비투자율 표준편차</t>
    <phoneticPr fontId="4" type="noConversion"/>
  </si>
  <si>
    <t>매출대비 업종별 설비투자액 상위(%)</t>
    <phoneticPr fontId="4" type="noConversion"/>
  </si>
  <si>
    <t>업종별 설비투자액
(100점)</t>
    <phoneticPr fontId="4" type="noConversion"/>
  </si>
  <si>
    <t>8. 설비투자
(모두 2점)</t>
    <phoneticPr fontId="4" type="noConversion"/>
  </si>
  <si>
    <t>위험성
(%)</t>
    <phoneticPr fontId="4" type="noConversion"/>
  </si>
  <si>
    <t>위험성
(100점)</t>
    <phoneticPr fontId="4" type="noConversion"/>
  </si>
  <si>
    <t>9. 부채비율
(제조·비제조1.5점/금융업 제외)</t>
    <phoneticPr fontId="4" type="noConversion"/>
  </si>
  <si>
    <t>위험성(100)</t>
  </si>
  <si>
    <t>10. 고정이하 여신/
자산/위험가중자산비율
(금융업 4점/제조·비제조 제외)</t>
    <phoneticPr fontId="4" type="noConversion"/>
  </si>
  <si>
    <t>회사채
신용등급
(100)</t>
  </si>
  <si>
    <t>11. 회사채
신용등급
(제조·비제조1.5점/금융3점)</t>
    <phoneticPr fontId="4" type="noConversion"/>
  </si>
  <si>
    <t>관계사출자(%)</t>
  </si>
  <si>
    <t>관계사
출자금액
(100)</t>
  </si>
  <si>
    <t>12. 관계사 출자금액
(제조·비제조 3점/금융4점)</t>
    <phoneticPr fontId="4" type="noConversion"/>
  </si>
  <si>
    <t>관계사채무보증액(%)</t>
  </si>
  <si>
    <t>관계사채무보증액(100)</t>
  </si>
  <si>
    <t>13. 관계사채무보증
(제조·비제조2점/금융3점)</t>
    <phoneticPr fontId="4" type="noConversion"/>
  </si>
  <si>
    <t>건전성
(제조·비제조 25점/금융업 35점)</t>
    <phoneticPr fontId="4" type="noConversion"/>
  </si>
  <si>
    <t>평가제외</t>
    <phoneticPr fontId="4" type="noConversion"/>
  </si>
  <si>
    <t>AA</t>
    <phoneticPr fontId="4" type="noConversion"/>
  </si>
  <si>
    <t>B</t>
  </si>
  <si>
    <t>미공시</t>
    <phoneticPr fontId="4" type="noConversion"/>
  </si>
  <si>
    <t>F</t>
  </si>
  <si>
    <t>A1, AA-</t>
    <phoneticPr fontId="4" type="noConversion"/>
  </si>
  <si>
    <t>A-</t>
    <phoneticPr fontId="4" type="noConversion"/>
  </si>
  <si>
    <t>D</t>
  </si>
  <si>
    <t>A1, AA</t>
    <phoneticPr fontId="4" type="noConversion"/>
  </si>
  <si>
    <t>A</t>
  </si>
  <si>
    <t>미평가</t>
    <phoneticPr fontId="4" type="noConversion"/>
  </si>
  <si>
    <t>평가대상 제외</t>
    <phoneticPr fontId="4" type="noConversion"/>
  </si>
  <si>
    <t>해당없음</t>
    <phoneticPr fontId="4" type="noConversion"/>
  </si>
  <si>
    <t>A</t>
    <phoneticPr fontId="4" type="noConversion"/>
  </si>
  <si>
    <t>AA-</t>
    <phoneticPr fontId="4" type="noConversion"/>
  </si>
  <si>
    <t>C</t>
  </si>
  <si>
    <t>A2-</t>
    <phoneticPr fontId="4" type="noConversion"/>
  </si>
  <si>
    <t>A1</t>
    <phoneticPr fontId="4" type="noConversion"/>
  </si>
  <si>
    <t>A+</t>
    <phoneticPr fontId="4" type="noConversion"/>
  </si>
  <si>
    <t>BBB+</t>
    <phoneticPr fontId="4" type="noConversion"/>
  </si>
  <si>
    <t>E</t>
  </si>
  <si>
    <t>BBB+, BBB</t>
    <phoneticPr fontId="4" type="noConversion"/>
  </si>
  <si>
    <t>BBB-</t>
    <phoneticPr fontId="4" type="noConversion"/>
  </si>
  <si>
    <t>AA+</t>
    <phoneticPr fontId="4" type="noConversion"/>
  </si>
  <si>
    <t>A, A-</t>
    <phoneticPr fontId="4" type="noConversion"/>
  </si>
  <si>
    <t>AAA</t>
    <phoneticPr fontId="4" type="noConversion"/>
  </si>
  <si>
    <t>AA, BBB-, B</t>
    <phoneticPr fontId="4" type="noConversion"/>
  </si>
  <si>
    <t>A2, A</t>
    <phoneticPr fontId="4" type="noConversion"/>
  </si>
  <si>
    <t>BBB</t>
    <phoneticPr fontId="4" type="noConversion"/>
  </si>
  <si>
    <t>AA, BBB+</t>
    <phoneticPr fontId="4" type="noConversion"/>
  </si>
  <si>
    <t>A3+, A3</t>
    <phoneticPr fontId="4" type="noConversion"/>
  </si>
  <si>
    <t>BB, BB+</t>
    <phoneticPr fontId="4" type="noConversion"/>
  </si>
  <si>
    <t>AA, A2+</t>
    <phoneticPr fontId="4" type="noConversion"/>
  </si>
  <si>
    <t>A3+</t>
    <phoneticPr fontId="4" type="noConversion"/>
  </si>
  <si>
    <t>BB, BBB-</t>
    <phoneticPr fontId="4" type="noConversion"/>
  </si>
  <si>
    <t>A2+</t>
    <phoneticPr fontId="4" type="noConversion"/>
  </si>
  <si>
    <t>A2, AA-</t>
    <phoneticPr fontId="4" type="noConversion"/>
  </si>
  <si>
    <t>A1, AA+</t>
    <phoneticPr fontId="4" type="noConversion"/>
  </si>
  <si>
    <t>AA+, AA-</t>
    <phoneticPr fontId="4" type="noConversion"/>
  </si>
  <si>
    <t>BB+, BBB</t>
    <phoneticPr fontId="4" type="noConversion"/>
  </si>
  <si>
    <t>AAA, AA+</t>
    <phoneticPr fontId="4" type="noConversion"/>
  </si>
  <si>
    <t>BB+, BBB-</t>
    <phoneticPr fontId="4" type="noConversion"/>
  </si>
  <si>
    <t>BB+</t>
    <phoneticPr fontId="4" type="noConversion"/>
  </si>
  <si>
    <t>AA+, A2</t>
    <phoneticPr fontId="4" type="noConversion"/>
  </si>
  <si>
    <t>AA-, A+</t>
    <phoneticPr fontId="4" type="noConversion"/>
  </si>
  <si>
    <t>A, A-, A3</t>
    <phoneticPr fontId="4" type="noConversion"/>
  </si>
  <si>
    <t>e-4- (BBB)</t>
    <phoneticPr fontId="4" type="noConversion"/>
  </si>
  <si>
    <t>AA, A+</t>
    <phoneticPr fontId="4" type="noConversion"/>
  </si>
  <si>
    <t>e-30 (A)</t>
    <phoneticPr fontId="4" type="noConversion"/>
  </si>
  <si>
    <t>A+, A</t>
    <phoneticPr fontId="4" type="noConversion"/>
  </si>
  <si>
    <t>A3</t>
    <phoneticPr fontId="4" type="noConversion"/>
  </si>
  <si>
    <t>A2</t>
    <phoneticPr fontId="4" type="noConversion"/>
  </si>
  <si>
    <t>A2, A, AAA, AA+</t>
    <phoneticPr fontId="4" type="noConversion"/>
  </si>
  <si>
    <t>A-, BBB+</t>
    <phoneticPr fontId="4" type="noConversion"/>
  </si>
  <si>
    <t>A-, A</t>
    <phoneticPr fontId="4" type="noConversion"/>
  </si>
  <si>
    <t>A3-</t>
    <phoneticPr fontId="4" type="noConversion"/>
  </si>
  <si>
    <t>AA-, A</t>
    <phoneticPr fontId="4" type="noConversion"/>
  </si>
  <si>
    <t>A2, A+, A</t>
    <phoneticPr fontId="4" type="noConversion"/>
  </si>
  <si>
    <r>
      <t xml:space="preserve">등기
임원수
</t>
    </r>
    <r>
      <rPr>
        <sz val="10"/>
        <color rgb="FFFF0000"/>
        <rFont val="KoPub돋움체 Light"/>
        <family val="3"/>
        <charset val="129"/>
      </rPr>
      <t>(명)</t>
    </r>
    <phoneticPr fontId="4" type="noConversion"/>
  </si>
  <si>
    <r>
      <t xml:space="preserve">미등기
임원수
</t>
    </r>
    <r>
      <rPr>
        <sz val="10"/>
        <color rgb="FFFF0000"/>
        <rFont val="KoPub돋움체 Light"/>
        <family val="3"/>
        <charset val="129"/>
      </rPr>
      <t>(명)</t>
    </r>
    <phoneticPr fontId="4" type="noConversion"/>
  </si>
  <si>
    <r>
      <t xml:space="preserve">1%이상
주식보유
임원수
</t>
    </r>
    <r>
      <rPr>
        <sz val="10"/>
        <color rgb="FFFF0000"/>
        <rFont val="KoPub돋움체 Light"/>
        <family val="3"/>
        <charset val="129"/>
      </rPr>
      <t>(명)</t>
    </r>
    <phoneticPr fontId="4" type="noConversion"/>
  </si>
  <si>
    <r>
      <t xml:space="preserve">사외이사수
</t>
    </r>
    <r>
      <rPr>
        <sz val="10"/>
        <color rgb="FFFF0000"/>
        <rFont val="KoPub돋움체 Light"/>
        <family val="3"/>
        <charset val="129"/>
      </rPr>
      <t>(명)</t>
    </r>
    <phoneticPr fontId="4" type="noConversion"/>
  </si>
  <si>
    <r>
      <t xml:space="preserve">이사회
개최건수
</t>
    </r>
    <r>
      <rPr>
        <sz val="10"/>
        <color rgb="FFFF0000"/>
        <rFont val="KoPub돋움체 Light"/>
        <family val="3"/>
        <charset val="129"/>
      </rPr>
      <t>(건)</t>
    </r>
    <phoneticPr fontId="4" type="noConversion"/>
  </si>
  <si>
    <r>
      <t xml:space="preserve">실제 누적 참석수
</t>
    </r>
    <r>
      <rPr>
        <sz val="10"/>
        <color rgb="FFFF0000"/>
        <rFont val="KoPub돋움체 Light"/>
        <family val="3"/>
        <charset val="129"/>
      </rPr>
      <t>(명)</t>
    </r>
    <phoneticPr fontId="4" type="noConversion"/>
  </si>
  <si>
    <r>
      <t xml:space="preserve">급여
</t>
    </r>
    <r>
      <rPr>
        <sz val="10"/>
        <color rgb="FFFF0000"/>
        <rFont val="KoPub돋움체 Light"/>
        <family val="3"/>
        <charset val="129"/>
      </rPr>
      <t>(천원)</t>
    </r>
    <phoneticPr fontId="4" type="noConversion"/>
  </si>
  <si>
    <r>
      <t xml:space="preserve">퇴직급여
</t>
    </r>
    <r>
      <rPr>
        <sz val="10"/>
        <color rgb="FFFF0000"/>
        <rFont val="KoPub돋움체 Light"/>
        <family val="3"/>
        <charset val="129"/>
      </rPr>
      <t>(천원)</t>
    </r>
    <phoneticPr fontId="4" type="noConversion"/>
  </si>
  <si>
    <r>
      <t xml:space="preserve">접대비/교재비
</t>
    </r>
    <r>
      <rPr>
        <sz val="10"/>
        <color rgb="FFFF0000"/>
        <rFont val="KoPub돋움체 Light"/>
        <family val="3"/>
        <charset val="129"/>
      </rPr>
      <t>(천원)</t>
    </r>
    <phoneticPr fontId="4" type="noConversion"/>
  </si>
  <si>
    <r>
      <rPr>
        <sz val="10"/>
        <color rgb="FF0000FF"/>
        <rFont val="KoPub돋움체 Light"/>
        <family val="3"/>
        <charset val="129"/>
      </rPr>
      <t>연구개발비</t>
    </r>
    <r>
      <rPr>
        <sz val="10"/>
        <color rgb="FF00B0F0"/>
        <rFont val="KoPub돋움체 Light"/>
        <family val="3"/>
        <charset val="129"/>
      </rPr>
      <t xml:space="preserve">
</t>
    </r>
    <r>
      <rPr>
        <sz val="10"/>
        <color rgb="FFFF0000"/>
        <rFont val="KoPub돋움체 Light"/>
        <family val="3"/>
        <charset val="129"/>
      </rPr>
      <t>(천원)</t>
    </r>
    <phoneticPr fontId="4" type="noConversion"/>
  </si>
  <si>
    <r>
      <rPr>
        <sz val="10"/>
        <color rgb="FF0000FF"/>
        <rFont val="KoPub돋움체 Light"/>
        <family val="3"/>
        <charset val="129"/>
      </rPr>
      <t xml:space="preserve">유형자산 취득
</t>
    </r>
    <r>
      <rPr>
        <sz val="10"/>
        <color rgb="FFFF0000"/>
        <rFont val="KoPub돋움체 Light"/>
        <family val="3"/>
        <charset val="129"/>
      </rPr>
      <t>(천원)</t>
    </r>
    <phoneticPr fontId="4" type="noConversion"/>
  </si>
  <si>
    <r>
      <rPr>
        <sz val="10"/>
        <color rgb="FF0000FF"/>
        <rFont val="KoPub돋움체 Light"/>
        <family val="3"/>
        <charset val="129"/>
      </rPr>
      <t xml:space="preserve">유형자산 처분
</t>
    </r>
    <r>
      <rPr>
        <sz val="10"/>
        <color rgb="FFFF0000"/>
        <rFont val="KoPub돋움체 Light"/>
        <family val="3"/>
        <charset val="129"/>
      </rPr>
      <t>(천원)</t>
    </r>
    <phoneticPr fontId="4" type="noConversion"/>
  </si>
  <si>
    <r>
      <t xml:space="preserve">고정이하
여신비율
</t>
    </r>
    <r>
      <rPr>
        <sz val="10"/>
        <color rgb="FFFF0000"/>
        <rFont val="KoPub돋움체 Light"/>
        <family val="3"/>
        <charset val="129"/>
      </rPr>
      <t>(은행, 종금)
(%)</t>
    </r>
    <phoneticPr fontId="4" type="noConversion"/>
  </si>
  <si>
    <r>
      <t xml:space="preserve">고정이하
자산비율
</t>
    </r>
    <r>
      <rPr>
        <sz val="10"/>
        <color rgb="FFFF0000"/>
        <rFont val="KoPub돋움체 Light"/>
        <family val="3"/>
        <charset val="129"/>
      </rPr>
      <t>(증권)
(%)</t>
    </r>
    <phoneticPr fontId="4" type="noConversion"/>
  </si>
  <si>
    <r>
      <t xml:space="preserve">위험가중
자산비율
</t>
    </r>
    <r>
      <rPr>
        <sz val="10"/>
        <color rgb="FFFF0000"/>
        <rFont val="KoPub돋움체 Light"/>
        <family val="3"/>
        <charset val="129"/>
      </rPr>
      <t>(보험)
(%)</t>
    </r>
    <phoneticPr fontId="4" type="noConversion"/>
  </si>
  <si>
    <r>
      <t xml:space="preserve">회사채신용등급
</t>
    </r>
    <r>
      <rPr>
        <sz val="10"/>
        <color rgb="FFFF0000"/>
        <rFont val="KoPub돋움체 Light"/>
        <family val="3"/>
        <charset val="129"/>
      </rPr>
      <t>(입력)</t>
    </r>
    <phoneticPr fontId="4" type="noConversion"/>
  </si>
  <si>
    <r>
      <t xml:space="preserve">6등급 분류
</t>
    </r>
    <r>
      <rPr>
        <sz val="10"/>
        <color rgb="FFFF0000"/>
        <rFont val="KoPub돋움체 Light"/>
        <family val="3"/>
        <charset val="129"/>
      </rPr>
      <t>(A ~ F)</t>
    </r>
    <phoneticPr fontId="4" type="noConversion"/>
  </si>
  <si>
    <r>
      <rPr>
        <sz val="10"/>
        <color rgb="FF0000FF"/>
        <rFont val="KoPub돋움체 Light"/>
        <family val="3"/>
        <charset val="129"/>
      </rPr>
      <t xml:space="preserve">관계사 출자금액
</t>
    </r>
    <r>
      <rPr>
        <sz val="10"/>
        <color rgb="FFFF0000"/>
        <rFont val="KoPub돋움체 Light"/>
        <family val="3"/>
        <charset val="129"/>
      </rPr>
      <t>(천원)</t>
    </r>
    <phoneticPr fontId="4" type="noConversion"/>
  </si>
  <si>
    <r>
      <rPr>
        <sz val="10"/>
        <color rgb="FF0000FF"/>
        <rFont val="KoPub돋움체 Light"/>
        <family val="3"/>
        <charset val="129"/>
      </rPr>
      <t xml:space="preserve">관계사 채무보증액
</t>
    </r>
    <r>
      <rPr>
        <sz val="10"/>
        <color rgb="FFFF0000"/>
        <rFont val="KoPub돋움체 Light"/>
        <family val="3"/>
        <charset val="129"/>
      </rPr>
      <t>(천원)</t>
    </r>
    <phoneticPr fontId="4" type="noConversion"/>
  </si>
  <si>
    <t>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</si>
</sst>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_-;\-* #,##0_-;_-* &quot;-&quot;_-;_-@_-"/>
    <numFmt numFmtId="176" formatCode="0_);[Red]\(0\)"/>
    <numFmt numFmtId="177" formatCode="yyyy&quot;년&quot;\ m&quot;월&quot;\ d&quot;일&quot;;@"/>
    <numFmt numFmtId="178" formatCode="#,##0;[Red]#,##0"/>
    <numFmt numFmtId="179" formatCode="#,##0.00;[Red]#,##0.00"/>
    <numFmt numFmtId="180" formatCode="#,##0.00_ ;[Red]\-#,##0.00\ "/>
    <numFmt numFmtId="181" formatCode="#,##0_);\(#,##0\)"/>
    <numFmt numFmtId="182" formatCode="#,##0.00_);\(#,##0.00\)"/>
    <numFmt numFmtId="183" formatCode="#,##0_ ;[Red]\-#,##0\ "/>
    <numFmt numFmtId="184" formatCode="#,##0.00_);[Red]\(#,##0.00\)"/>
    <numFmt numFmtId="185" formatCode="0.00_);[Red]\(0.00\)"/>
  </numFmts>
  <fonts count="18" x14ac:knownFonts="1">
    <font>
      <sz val="11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8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0"/>
      <color rgb="FF000000"/>
      <name val="KoPub돋움체 Light"/>
      <family val="3"/>
      <charset val="129"/>
    </font>
    <font>
      <sz val="10"/>
      <color rgb="FF0000FF"/>
      <name val="KoPub돋움체 Light"/>
      <family val="3"/>
      <charset val="129"/>
    </font>
    <font>
      <sz val="10"/>
      <color rgb="FFFF0000"/>
      <name val="KoPub돋움체 Light"/>
      <family val="3"/>
      <charset val="129"/>
    </font>
    <font>
      <sz val="10"/>
      <color theme="1"/>
      <name val="KoPub돋움체 Light"/>
      <family val="3"/>
      <charset val="129"/>
    </font>
    <font>
      <sz val="10"/>
      <color rgb="FF000000"/>
      <name val="KoPub돋움체 Light"/>
      <family val="3"/>
      <charset val="129"/>
    </font>
    <font>
      <u/>
      <sz val="10"/>
      <color theme="10"/>
      <name val="KoPub돋움체 Light"/>
      <family val="3"/>
      <charset val="129"/>
    </font>
    <font>
      <b/>
      <sz val="10"/>
      <color theme="1"/>
      <name val="KoPub돋움체 Light"/>
      <family val="3"/>
      <charset val="129"/>
    </font>
    <font>
      <sz val="10"/>
      <color rgb="FF00B0F0"/>
      <name val="KoPub돋움체 Light"/>
      <family val="3"/>
      <charset val="129"/>
    </font>
  </fonts>
  <fills count="15">
    <fill>
      <patternFill patternType="none"/>
    </fill>
    <fill>
      <patternFill patternType="gray125"/>
    </fill>
    <fill>
      <patternFill patternType="solid">
        <fgColor rgb="FF66FF66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6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6" fillId="7" borderId="0">
      <alignment vertical="center"/>
    </xf>
    <xf numFmtId="41" fontId="3" fillId="0" borderId="0">
      <alignment vertical="center"/>
    </xf>
    <xf numFmtId="9" fontId="3" fillId="0" borderId="0">
      <alignment vertical="center"/>
    </xf>
  </cellStyleXfs>
  <cellXfs count="200">
    <xf numFmtId="0" fontId="0" fillId="0" borderId="0" xfId="0">
      <alignment vertical="center"/>
    </xf>
    <xf numFmtId="0" fontId="10" fillId="2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176" fontId="10" fillId="2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178" fontId="11" fillId="6" borderId="1" xfId="4" applyNumberFormat="1" applyFont="1" applyFill="1" applyBorder="1" applyAlignment="1" applyProtection="1">
      <alignment horizontal="center" vertical="center" wrapText="1"/>
      <protection locked="0"/>
    </xf>
    <xf numFmtId="49" fontId="11" fillId="6" borderId="1" xfId="3" applyNumberFormat="1" applyFont="1" applyFill="1" applyBorder="1" applyAlignment="1" applyProtection="1">
      <alignment horizontal="center" vertical="center" wrapText="1"/>
      <protection locked="0"/>
    </xf>
    <xf numFmtId="0" fontId="14" fillId="0" borderId="1" xfId="0" applyFont="1" applyBorder="1" applyAlignment="1">
      <alignment vertical="center" wrapText="1"/>
    </xf>
    <xf numFmtId="0" fontId="15" fillId="0" borderId="1" xfId="1" applyFont="1" applyBorder="1">
      <alignment vertical="center"/>
    </xf>
    <xf numFmtId="176" fontId="14" fillId="0" borderId="1" xfId="2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/>
    </xf>
    <xf numFmtId="0" fontId="14" fillId="0" borderId="1" xfId="0" applyFont="1" applyBorder="1" applyAlignment="1"/>
    <xf numFmtId="177" fontId="14" fillId="0" borderId="1" xfId="0" applyNumberFormat="1" applyFont="1" applyBorder="1" applyAlignment="1">
      <alignment horizontal="center"/>
    </xf>
    <xf numFmtId="3" fontId="14" fillId="0" borderId="2" xfId="2" applyNumberFormat="1" applyFont="1" applyBorder="1" applyAlignment="1">
      <alignment vertical="center" wrapText="1"/>
    </xf>
    <xf numFmtId="3" fontId="14" fillId="0" borderId="3" xfId="0" applyNumberFormat="1" applyFont="1" applyBorder="1" applyAlignment="1">
      <alignment vertical="center" wrapText="1"/>
    </xf>
    <xf numFmtId="178" fontId="14" fillId="0" borderId="1" xfId="4" applyNumberFormat="1" applyFont="1" applyBorder="1" applyAlignment="1">
      <alignment horizontal="right" vertical="center"/>
    </xf>
    <xf numFmtId="178" fontId="14" fillId="0" borderId="1" xfId="4" applyNumberFormat="1" applyFont="1" applyBorder="1" applyProtection="1">
      <alignment vertical="center"/>
      <protection locked="0"/>
    </xf>
    <xf numFmtId="49" fontId="14" fillId="0" borderId="1" xfId="4" applyNumberFormat="1" applyFont="1" applyBorder="1" applyAlignment="1" applyProtection="1">
      <alignment horizontal="left" vertical="center"/>
      <protection locked="0"/>
    </xf>
    <xf numFmtId="3" fontId="14" fillId="0" borderId="1" xfId="0" applyNumberFormat="1" applyFont="1" applyBorder="1">
      <alignment vertical="center"/>
    </xf>
    <xf numFmtId="178" fontId="14" fillId="0" borderId="1" xfId="4" applyNumberFormat="1" applyFont="1" applyBorder="1">
      <alignment vertical="center"/>
    </xf>
    <xf numFmtId="49" fontId="14" fillId="0" borderId="1" xfId="0" applyNumberFormat="1" applyFont="1" applyBorder="1">
      <alignment vertical="center"/>
    </xf>
    <xf numFmtId="176" fontId="14" fillId="0" borderId="1" xfId="0" applyNumberFormat="1" applyFont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center" vertical="center"/>
    </xf>
    <xf numFmtId="3" fontId="14" fillId="0" borderId="4" xfId="0" applyNumberFormat="1" applyFont="1" applyBorder="1" applyAlignment="1">
      <alignment vertical="center" wrapText="1"/>
    </xf>
    <xf numFmtId="49" fontId="14" fillId="0" borderId="1" xfId="0" applyNumberFormat="1" applyFont="1" applyBorder="1" applyAlignment="1">
      <alignment horizontal="right" vertical="center"/>
    </xf>
    <xf numFmtId="0" fontId="14" fillId="4" borderId="1" xfId="0" applyFont="1" applyFill="1" applyBorder="1" applyAlignment="1">
      <alignment horizontal="center"/>
    </xf>
    <xf numFmtId="3" fontId="14" fillId="0" borderId="0" xfId="0" applyNumberFormat="1" applyFont="1">
      <alignment vertical="center"/>
    </xf>
    <xf numFmtId="49" fontId="13" fillId="0" borderId="1" xfId="0" applyNumberFormat="1" applyFont="1" applyBorder="1" applyAlignment="1">
      <alignment horizontal="center" vertical="top"/>
    </xf>
    <xf numFmtId="0" fontId="15" fillId="0" borderId="0" xfId="1" applyFont="1">
      <alignment vertical="center"/>
    </xf>
    <xf numFmtId="49" fontId="13" fillId="4" borderId="1" xfId="0" applyNumberFormat="1" applyFont="1" applyFill="1" applyBorder="1" applyAlignment="1">
      <alignment horizontal="center" vertical="center"/>
    </xf>
    <xf numFmtId="0" fontId="14" fillId="0" borderId="5" xfId="0" applyFont="1" applyBorder="1" applyAlignment="1"/>
    <xf numFmtId="177" fontId="14" fillId="0" borderId="5" xfId="0" applyNumberFormat="1" applyFont="1" applyBorder="1" applyAlignment="1">
      <alignment horizontal="center"/>
    </xf>
    <xf numFmtId="3" fontId="14" fillId="0" borderId="6" xfId="0" applyNumberFormat="1" applyFont="1" applyBorder="1" applyAlignment="1">
      <alignment vertical="center" wrapText="1"/>
    </xf>
    <xf numFmtId="3" fontId="14" fillId="0" borderId="7" xfId="0" applyNumberFormat="1" applyFont="1" applyBorder="1" applyAlignment="1">
      <alignment vertical="center" wrapText="1"/>
    </xf>
    <xf numFmtId="176" fontId="13" fillId="0" borderId="3" xfId="0" applyNumberFormat="1" applyFont="1" applyBorder="1" applyAlignment="1">
      <alignment horizontal="center" vertical="center" wrapText="1"/>
    </xf>
    <xf numFmtId="49" fontId="13" fillId="0" borderId="8" xfId="0" applyNumberFormat="1" applyFont="1" applyBorder="1" applyAlignment="1">
      <alignment horizontal="center" vertical="center"/>
    </xf>
    <xf numFmtId="0" fontId="13" fillId="0" borderId="1" xfId="0" applyFont="1" applyBorder="1" applyAlignment="1"/>
    <xf numFmtId="177" fontId="13" fillId="0" borderId="1" xfId="0" applyNumberFormat="1" applyFont="1" applyBorder="1" applyAlignment="1">
      <alignment horizontal="center"/>
    </xf>
    <xf numFmtId="3" fontId="13" fillId="0" borderId="1" xfId="0" applyNumberFormat="1" applyFont="1" applyBorder="1" applyAlignment="1">
      <alignment vertical="center" wrapText="1"/>
    </xf>
    <xf numFmtId="0" fontId="14" fillId="0" borderId="9" xfId="0" applyFont="1" applyBorder="1" applyAlignment="1"/>
    <xf numFmtId="177" fontId="14" fillId="0" borderId="9" xfId="0" applyNumberFormat="1" applyFont="1" applyBorder="1" applyAlignment="1">
      <alignment horizontal="center"/>
    </xf>
    <xf numFmtId="3" fontId="14" fillId="0" borderId="2" xfId="0" applyNumberFormat="1" applyFont="1" applyBorder="1" applyAlignment="1">
      <alignment vertical="center" wrapText="1"/>
    </xf>
    <xf numFmtId="3" fontId="14" fillId="0" borderId="10" xfId="0" applyNumberFormat="1" applyFont="1" applyBorder="1" applyAlignment="1">
      <alignment vertical="center" wrapText="1"/>
    </xf>
    <xf numFmtId="0" fontId="14" fillId="5" borderId="1" xfId="0" applyFont="1" applyFill="1" applyBorder="1" applyAlignment="1">
      <alignment vertical="center" wrapText="1"/>
    </xf>
    <xf numFmtId="0" fontId="14" fillId="0" borderId="1" xfId="0" applyFont="1" applyBorder="1">
      <alignment vertical="center"/>
    </xf>
    <xf numFmtId="176" fontId="14" fillId="0" borderId="1" xfId="0" applyNumberFormat="1" applyFont="1" applyBorder="1">
      <alignment vertical="center"/>
    </xf>
    <xf numFmtId="178" fontId="10" fillId="8" borderId="1" xfId="3" applyNumberFormat="1" applyFont="1" applyFill="1" applyBorder="1" applyAlignment="1">
      <alignment horizontal="center" vertical="center" wrapText="1"/>
    </xf>
    <xf numFmtId="179" fontId="10" fillId="8" borderId="1" xfId="3" applyNumberFormat="1" applyFont="1" applyFill="1" applyBorder="1" applyAlignment="1">
      <alignment horizontal="center" vertical="center" wrapText="1"/>
    </xf>
    <xf numFmtId="179" fontId="10" fillId="9" borderId="1" xfId="3" applyNumberFormat="1" applyFont="1" applyFill="1" applyBorder="1" applyAlignment="1" applyProtection="1">
      <alignment horizontal="center" vertical="center" wrapText="1"/>
      <protection locked="0"/>
    </xf>
    <xf numFmtId="180" fontId="16" fillId="8" borderId="1" xfId="3" applyNumberFormat="1" applyFont="1" applyFill="1" applyBorder="1" applyAlignment="1">
      <alignment horizontal="center" vertical="center" wrapText="1"/>
    </xf>
    <xf numFmtId="180" fontId="10" fillId="8" borderId="1" xfId="3" applyNumberFormat="1" applyFont="1" applyFill="1" applyBorder="1" applyAlignment="1">
      <alignment horizontal="center" vertical="center" wrapText="1"/>
    </xf>
    <xf numFmtId="180" fontId="10" fillId="9" borderId="1" xfId="3" applyNumberFormat="1" applyFont="1" applyFill="1" applyBorder="1" applyAlignment="1" applyProtection="1">
      <alignment horizontal="center" vertical="center" wrapText="1"/>
      <protection locked="0"/>
    </xf>
    <xf numFmtId="181" fontId="11" fillId="6" borderId="1" xfId="3" applyNumberFormat="1" applyFont="1" applyFill="1" applyBorder="1" applyAlignment="1" applyProtection="1">
      <alignment horizontal="center" vertical="center" wrapText="1"/>
      <protection locked="0"/>
    </xf>
    <xf numFmtId="181" fontId="16" fillId="8" borderId="1" xfId="3" applyNumberFormat="1" applyFont="1" applyFill="1" applyBorder="1" applyAlignment="1" applyProtection="1">
      <alignment horizontal="center" vertical="center" wrapText="1"/>
      <protection locked="0"/>
    </xf>
    <xf numFmtId="182" fontId="16" fillId="8" borderId="1" xfId="3" applyNumberFormat="1" applyFont="1" applyFill="1" applyBorder="1" applyAlignment="1">
      <alignment horizontal="center" vertical="center" wrapText="1"/>
    </xf>
    <xf numFmtId="181" fontId="10" fillId="8" borderId="1" xfId="3" applyNumberFormat="1" applyFont="1" applyFill="1" applyBorder="1" applyAlignment="1">
      <alignment horizontal="center" vertical="center" wrapText="1"/>
    </xf>
    <xf numFmtId="182" fontId="10" fillId="9" borderId="1" xfId="3" applyNumberFormat="1" applyFont="1" applyFill="1" applyBorder="1" applyAlignment="1" applyProtection="1">
      <alignment horizontal="center" vertical="center" wrapText="1"/>
      <protection locked="0"/>
    </xf>
    <xf numFmtId="183" fontId="11" fillId="6" borderId="1" xfId="3" applyNumberFormat="1" applyFont="1" applyFill="1" applyBorder="1" applyAlignment="1" applyProtection="1">
      <alignment horizontal="center" vertical="center" wrapText="1"/>
      <protection locked="0"/>
    </xf>
    <xf numFmtId="183" fontId="16" fillId="8" borderId="1" xfId="3" applyNumberFormat="1" applyFont="1" applyFill="1" applyBorder="1" applyAlignment="1">
      <alignment horizontal="center" vertical="center" wrapText="1"/>
    </xf>
    <xf numFmtId="183" fontId="10" fillId="8" borderId="1" xfId="3" applyNumberFormat="1" applyFont="1" applyFill="1" applyBorder="1" applyAlignment="1">
      <alignment horizontal="center" vertical="center" wrapText="1"/>
    </xf>
    <xf numFmtId="183" fontId="10" fillId="8" borderId="1" xfId="3" applyNumberFormat="1" applyFont="1" applyFill="1" applyBorder="1" applyAlignment="1" applyProtection="1">
      <alignment horizontal="center" vertical="center" wrapText="1"/>
      <protection locked="0"/>
    </xf>
    <xf numFmtId="183" fontId="16" fillId="8" borderId="1" xfId="3" applyNumberFormat="1" applyFont="1" applyFill="1" applyBorder="1" applyAlignment="1" applyProtection="1">
      <alignment horizontal="center" vertical="center" wrapText="1"/>
      <protection locked="0"/>
    </xf>
    <xf numFmtId="180" fontId="10" fillId="8" borderId="1" xfId="3" applyNumberFormat="1" applyFont="1" applyFill="1" applyBorder="1" applyAlignment="1" applyProtection="1">
      <alignment horizontal="center" vertical="center" wrapText="1"/>
      <protection locked="0"/>
    </xf>
    <xf numFmtId="183" fontId="17" fillId="6" borderId="1" xfId="3" applyNumberFormat="1" applyFont="1" applyFill="1" applyBorder="1" applyAlignment="1" applyProtection="1">
      <alignment horizontal="center" vertical="center" wrapText="1"/>
      <protection locked="0"/>
    </xf>
    <xf numFmtId="180" fontId="16" fillId="8" borderId="1" xfId="5" applyNumberFormat="1" applyFont="1" applyFill="1" applyBorder="1" applyAlignment="1">
      <alignment horizontal="center" vertical="center" wrapText="1"/>
    </xf>
    <xf numFmtId="183" fontId="16" fillId="8" borderId="1" xfId="4" applyNumberFormat="1" applyFont="1" applyFill="1" applyBorder="1" applyAlignment="1">
      <alignment horizontal="center" vertical="center" wrapText="1"/>
    </xf>
    <xf numFmtId="180" fontId="16" fillId="8" borderId="1" xfId="3" applyNumberFormat="1" applyFont="1" applyFill="1" applyBorder="1" applyAlignment="1" applyProtection="1">
      <alignment horizontal="center" vertical="center" wrapText="1"/>
      <protection locked="0"/>
    </xf>
    <xf numFmtId="183" fontId="10" fillId="9" borderId="1" xfId="3" applyNumberFormat="1" applyFont="1" applyFill="1" applyBorder="1" applyAlignment="1">
      <alignment horizontal="center" vertical="center" wrapText="1"/>
    </xf>
    <xf numFmtId="184" fontId="10" fillId="8" borderId="1" xfId="3" applyNumberFormat="1" applyFont="1" applyFill="1" applyBorder="1" applyAlignment="1">
      <alignment horizontal="center" vertical="center" wrapText="1"/>
    </xf>
    <xf numFmtId="185" fontId="10" fillId="8" borderId="1" xfId="3" applyNumberFormat="1" applyFont="1" applyFill="1" applyBorder="1" applyAlignment="1">
      <alignment horizontal="center" vertical="center" wrapText="1"/>
    </xf>
    <xf numFmtId="185" fontId="10" fillId="9" borderId="1" xfId="3" applyNumberFormat="1" applyFont="1" applyFill="1" applyBorder="1" applyAlignment="1" applyProtection="1">
      <alignment horizontal="center" vertical="center" wrapText="1"/>
      <protection locked="0"/>
    </xf>
    <xf numFmtId="180" fontId="11" fillId="6" borderId="1" xfId="3" applyNumberFormat="1" applyFont="1" applyFill="1" applyBorder="1" applyAlignment="1" applyProtection="1">
      <alignment horizontal="center" vertical="center" wrapText="1"/>
      <protection locked="0"/>
    </xf>
    <xf numFmtId="0" fontId="16" fillId="8" borderId="1" xfId="3" applyFont="1" applyFill="1" applyBorder="1" applyAlignment="1" applyProtection="1">
      <alignment horizontal="center" vertical="center" wrapText="1"/>
      <protection locked="0"/>
    </xf>
    <xf numFmtId="180" fontId="16" fillId="10" borderId="1" xfId="3" applyNumberFormat="1" applyFont="1" applyFill="1" applyBorder="1" applyAlignment="1">
      <alignment horizontal="center" vertical="center" wrapText="1"/>
    </xf>
    <xf numFmtId="178" fontId="14" fillId="8" borderId="1" xfId="4" applyNumberFormat="1" applyFont="1" applyFill="1" applyBorder="1">
      <alignment vertical="center"/>
    </xf>
    <xf numFmtId="179" fontId="14" fillId="8" borderId="1" xfId="2" applyNumberFormat="1" applyFont="1" applyFill="1" applyBorder="1">
      <alignment vertical="center"/>
    </xf>
    <xf numFmtId="179" fontId="10" fillId="9" borderId="1" xfId="2" applyNumberFormat="1" applyFont="1" applyFill="1" applyBorder="1" applyProtection="1">
      <alignment vertical="center"/>
      <protection locked="0"/>
    </xf>
    <xf numFmtId="180" fontId="14" fillId="8" borderId="1" xfId="2" applyNumberFormat="1" applyFont="1" applyFill="1" applyBorder="1">
      <alignment vertical="center"/>
    </xf>
    <xf numFmtId="183" fontId="14" fillId="8" borderId="1" xfId="2" applyNumberFormat="1" applyFont="1" applyFill="1" applyBorder="1" applyAlignment="1">
      <alignment horizontal="right" vertical="center"/>
    </xf>
    <xf numFmtId="180" fontId="10" fillId="9" borderId="1" xfId="2" applyNumberFormat="1" applyFont="1" applyFill="1" applyBorder="1" applyProtection="1">
      <alignment vertical="center"/>
      <protection locked="0"/>
    </xf>
    <xf numFmtId="181" fontId="14" fillId="0" borderId="1" xfId="0" applyNumberFormat="1" applyFont="1" applyBorder="1" applyProtection="1">
      <alignment vertical="center"/>
      <protection locked="0"/>
    </xf>
    <xf numFmtId="181" fontId="14" fillId="8" borderId="1" xfId="0" applyNumberFormat="1" applyFont="1" applyFill="1" applyBorder="1" applyProtection="1">
      <alignment vertical="center"/>
      <protection locked="0"/>
    </xf>
    <xf numFmtId="182" fontId="14" fillId="8" borderId="1" xfId="2" applyNumberFormat="1" applyFont="1" applyFill="1" applyBorder="1">
      <alignment vertical="center"/>
    </xf>
    <xf numFmtId="181" fontId="14" fillId="8" borderId="1" xfId="2" applyNumberFormat="1" applyFont="1" applyFill="1" applyBorder="1" applyAlignment="1">
      <alignment horizontal="right" vertical="center"/>
    </xf>
    <xf numFmtId="182" fontId="10" fillId="9" borderId="1" xfId="2" applyNumberFormat="1" applyFont="1" applyFill="1" applyBorder="1" applyProtection="1">
      <alignment vertical="center"/>
      <protection locked="0"/>
    </xf>
    <xf numFmtId="183" fontId="14" fillId="0" borderId="1" xfId="0" applyNumberFormat="1" applyFont="1" applyBorder="1" applyAlignment="1" applyProtection="1">
      <alignment horizontal="right" vertical="center"/>
      <protection locked="0"/>
    </xf>
    <xf numFmtId="180" fontId="14" fillId="8" borderId="1" xfId="0" applyNumberFormat="1" applyFont="1" applyFill="1" applyBorder="1" applyAlignment="1">
      <alignment horizontal="right" vertical="center"/>
    </xf>
    <xf numFmtId="183" fontId="14" fillId="8" borderId="1" xfId="0" applyNumberFormat="1" applyFont="1" applyFill="1" applyBorder="1" applyAlignment="1">
      <alignment horizontal="right" vertical="center"/>
    </xf>
    <xf numFmtId="180" fontId="14" fillId="8" borderId="1" xfId="2" applyNumberFormat="1" applyFont="1" applyFill="1" applyBorder="1" applyAlignment="1">
      <alignment horizontal="right" vertical="center"/>
    </xf>
    <xf numFmtId="180" fontId="10" fillId="9" borderId="1" xfId="2" applyNumberFormat="1" applyFont="1" applyFill="1" applyBorder="1" applyAlignment="1" applyProtection="1">
      <alignment horizontal="center" vertical="center"/>
      <protection locked="0"/>
    </xf>
    <xf numFmtId="183" fontId="14" fillId="0" borderId="1" xfId="0" applyNumberFormat="1" applyFont="1" applyBorder="1" applyProtection="1">
      <alignment vertical="center"/>
      <protection locked="0"/>
    </xf>
    <xf numFmtId="183" fontId="14" fillId="8" borderId="1" xfId="0" applyNumberFormat="1" applyFont="1" applyFill="1" applyBorder="1" applyProtection="1">
      <alignment vertical="center"/>
      <protection locked="0"/>
    </xf>
    <xf numFmtId="183" fontId="14" fillId="0" borderId="1" xfId="4" applyNumberFormat="1" applyFont="1" applyBorder="1" applyProtection="1">
      <alignment vertical="center"/>
      <protection locked="0"/>
    </xf>
    <xf numFmtId="183" fontId="14" fillId="10" borderId="1" xfId="0" applyNumberFormat="1" applyFont="1" applyFill="1" applyBorder="1">
      <alignment vertical="center"/>
    </xf>
    <xf numFmtId="183" fontId="14" fillId="8" borderId="1" xfId="2" applyNumberFormat="1" applyFont="1" applyFill="1" applyBorder="1" applyProtection="1">
      <alignment vertical="center"/>
      <protection locked="0"/>
    </xf>
    <xf numFmtId="180" fontId="14" fillId="8" borderId="1" xfId="2" applyNumberFormat="1" applyFont="1" applyFill="1" applyBorder="1" applyAlignment="1">
      <alignment horizontal="center" vertical="center"/>
    </xf>
    <xf numFmtId="180" fontId="14" fillId="8" borderId="1" xfId="2" applyNumberFormat="1" applyFont="1" applyFill="1" applyBorder="1" applyProtection="1">
      <alignment vertical="center"/>
      <protection locked="0"/>
    </xf>
    <xf numFmtId="180" fontId="14" fillId="8" borderId="1" xfId="0" applyNumberFormat="1" applyFont="1" applyFill="1" applyBorder="1">
      <alignment vertical="center"/>
    </xf>
    <xf numFmtId="183" fontId="13" fillId="8" borderId="1" xfId="0" applyNumberFormat="1" applyFont="1" applyFill="1" applyBorder="1" applyAlignment="1" applyProtection="1">
      <alignment horizontal="right" vertical="center"/>
      <protection locked="0"/>
    </xf>
    <xf numFmtId="180" fontId="16" fillId="9" borderId="1" xfId="2" applyNumberFormat="1" applyFont="1" applyFill="1" applyBorder="1" applyProtection="1">
      <alignment vertical="center"/>
      <protection locked="0"/>
    </xf>
    <xf numFmtId="183" fontId="13" fillId="0" borderId="1" xfId="2" applyNumberFormat="1" applyFont="1" applyBorder="1" applyProtection="1">
      <alignment vertical="center"/>
      <protection locked="0"/>
    </xf>
    <xf numFmtId="180" fontId="14" fillId="8" borderId="1" xfId="5" applyNumberFormat="1" applyFont="1" applyFill="1" applyBorder="1">
      <alignment vertical="center"/>
    </xf>
    <xf numFmtId="183" fontId="14" fillId="0" borderId="1" xfId="2" applyNumberFormat="1" applyFont="1" applyBorder="1" applyProtection="1">
      <alignment vertical="center"/>
      <protection locked="0"/>
    </xf>
    <xf numFmtId="183" fontId="14" fillId="8" borderId="1" xfId="2" applyNumberFormat="1" applyFont="1" applyFill="1" applyBorder="1">
      <alignment vertical="center"/>
    </xf>
    <xf numFmtId="180" fontId="10" fillId="9" borderId="1" xfId="2" applyNumberFormat="1" applyFont="1" applyFill="1" applyBorder="1">
      <alignment vertical="center"/>
    </xf>
    <xf numFmtId="184" fontId="14" fillId="8" borderId="1" xfId="2" applyNumberFormat="1" applyFont="1" applyFill="1" applyBorder="1">
      <alignment vertical="center"/>
    </xf>
    <xf numFmtId="185" fontId="14" fillId="8" borderId="1" xfId="2" applyNumberFormat="1" applyFont="1" applyFill="1" applyBorder="1">
      <alignment vertical="center"/>
    </xf>
    <xf numFmtId="185" fontId="10" fillId="9" borderId="1" xfId="2" applyNumberFormat="1" applyFont="1" applyFill="1" applyBorder="1" applyProtection="1">
      <alignment vertical="center"/>
      <protection locked="0"/>
    </xf>
    <xf numFmtId="180" fontId="14" fillId="11" borderId="1" xfId="2" applyNumberFormat="1" applyFont="1" applyFill="1" applyBorder="1" applyAlignment="1" applyProtection="1">
      <alignment horizontal="center" vertical="center"/>
      <protection locked="0"/>
    </xf>
    <xf numFmtId="180" fontId="14" fillId="11" borderId="1" xfId="0" applyNumberFormat="1" applyFont="1" applyFill="1" applyBorder="1">
      <alignment vertical="center"/>
    </xf>
    <xf numFmtId="49" fontId="14" fillId="0" borderId="1" xfId="2" applyNumberFormat="1" applyFont="1" applyBorder="1" applyAlignment="1" applyProtection="1">
      <alignment horizontal="center" vertical="center"/>
      <protection locked="0"/>
    </xf>
    <xf numFmtId="0" fontId="14" fillId="8" borderId="1" xfId="4" applyNumberFormat="1" applyFont="1" applyFill="1" applyBorder="1" applyProtection="1">
      <alignment vertical="center"/>
      <protection locked="0"/>
    </xf>
    <xf numFmtId="180" fontId="16" fillId="10" borderId="1" xfId="2" applyNumberFormat="1" applyFont="1" applyFill="1" applyBorder="1">
      <alignment vertical="center"/>
    </xf>
    <xf numFmtId="181" fontId="14" fillId="0" borderId="1" xfId="0" applyNumberFormat="1" applyFont="1" applyBorder="1">
      <alignment vertical="center"/>
    </xf>
    <xf numFmtId="183" fontId="14" fillId="0" borderId="1" xfId="0" applyNumberFormat="1" applyFont="1" applyBorder="1">
      <alignment vertical="center"/>
    </xf>
    <xf numFmtId="183" fontId="13" fillId="0" borderId="1" xfId="0" applyNumberFormat="1" applyFont="1" applyBorder="1">
      <alignment vertical="center"/>
    </xf>
    <xf numFmtId="49" fontId="14" fillId="0" borderId="1" xfId="0" applyNumberFormat="1" applyFont="1" applyBorder="1" applyAlignment="1">
      <alignment horizontal="center" vertical="center"/>
    </xf>
    <xf numFmtId="0" fontId="14" fillId="12" borderId="1" xfId="0" applyFont="1" applyFill="1" applyBorder="1">
      <alignment vertical="center"/>
    </xf>
    <xf numFmtId="183" fontId="14" fillId="0" borderId="1" xfId="0" applyNumberFormat="1" applyFont="1" applyBorder="1" applyAlignment="1">
      <alignment horizontal="right" vertical="center"/>
    </xf>
    <xf numFmtId="179" fontId="10" fillId="13" borderId="1" xfId="2" applyNumberFormat="1" applyFont="1" applyFill="1" applyBorder="1" applyProtection="1">
      <alignment vertical="center"/>
      <protection locked="0"/>
    </xf>
    <xf numFmtId="180" fontId="10" fillId="13" borderId="1" xfId="2" applyNumberFormat="1" applyFont="1" applyFill="1" applyBorder="1" applyProtection="1">
      <alignment vertical="center"/>
      <protection locked="0"/>
    </xf>
    <xf numFmtId="182" fontId="10" fillId="13" borderId="1" xfId="2" applyNumberFormat="1" applyFont="1" applyFill="1" applyBorder="1" applyProtection="1">
      <alignment vertical="center"/>
      <protection locked="0"/>
    </xf>
    <xf numFmtId="180" fontId="10" fillId="13" borderId="1" xfId="2" applyNumberFormat="1" applyFont="1" applyFill="1" applyBorder="1" applyAlignment="1" applyProtection="1">
      <alignment horizontal="center" vertical="center"/>
      <protection locked="0"/>
    </xf>
    <xf numFmtId="0" fontId="14" fillId="11" borderId="1" xfId="0" applyFont="1" applyFill="1" applyBorder="1" applyAlignment="1">
      <alignment horizontal="center" vertical="center"/>
    </xf>
    <xf numFmtId="183" fontId="14" fillId="11" borderId="1" xfId="2" applyNumberFormat="1" applyFont="1" applyFill="1" applyBorder="1" applyAlignment="1" applyProtection="1">
      <alignment horizontal="center" vertical="center"/>
      <protection locked="0"/>
    </xf>
    <xf numFmtId="0" fontId="14" fillId="11" borderId="1" xfId="0" applyFont="1" applyFill="1" applyBorder="1">
      <alignment vertical="center"/>
    </xf>
    <xf numFmtId="180" fontId="14" fillId="11" borderId="1" xfId="0" applyNumberFormat="1" applyFont="1" applyFill="1" applyBorder="1" applyAlignment="1">
      <alignment horizontal="center" vertical="center"/>
    </xf>
    <xf numFmtId="180" fontId="14" fillId="0" borderId="1" xfId="0" applyNumberFormat="1" applyFont="1" applyBorder="1">
      <alignment vertical="center"/>
    </xf>
    <xf numFmtId="183" fontId="14" fillId="8" borderId="1" xfId="0" applyNumberFormat="1" applyFont="1" applyFill="1" applyBorder="1">
      <alignment vertical="center"/>
    </xf>
    <xf numFmtId="180" fontId="16" fillId="13" borderId="1" xfId="0" applyNumberFormat="1" applyFont="1" applyFill="1" applyBorder="1">
      <alignment vertical="center"/>
    </xf>
    <xf numFmtId="185" fontId="10" fillId="4" borderId="1" xfId="2" applyNumberFormat="1" applyFont="1" applyFill="1" applyBorder="1" applyProtection="1">
      <alignment vertical="center"/>
      <protection locked="0"/>
    </xf>
    <xf numFmtId="180" fontId="10" fillId="4" borderId="1" xfId="2" applyNumberFormat="1" applyFont="1" applyFill="1" applyBorder="1" applyProtection="1">
      <alignment vertical="center"/>
      <protection locked="0"/>
    </xf>
    <xf numFmtId="183" fontId="14" fillId="5" borderId="1" xfId="4" applyNumberFormat="1" applyFont="1" applyFill="1" applyBorder="1" applyProtection="1">
      <alignment vertical="center"/>
      <protection locked="0"/>
    </xf>
    <xf numFmtId="183" fontId="14" fillId="5" borderId="1" xfId="0" applyNumberFormat="1" applyFont="1" applyFill="1" applyBorder="1">
      <alignment vertical="center"/>
    </xf>
    <xf numFmtId="183" fontId="14" fillId="5" borderId="1" xfId="2" applyNumberFormat="1" applyFont="1" applyFill="1" applyBorder="1" applyProtection="1">
      <alignment vertical="center"/>
      <protection locked="0"/>
    </xf>
    <xf numFmtId="180" fontId="14" fillId="5" borderId="1" xfId="0" applyNumberFormat="1" applyFont="1" applyFill="1" applyBorder="1">
      <alignment vertical="center"/>
    </xf>
    <xf numFmtId="178" fontId="14" fillId="0" borderId="1" xfId="0" applyNumberFormat="1" applyFont="1" applyBorder="1">
      <alignment vertical="center"/>
    </xf>
    <xf numFmtId="179" fontId="14" fillId="0" borderId="1" xfId="0" applyNumberFormat="1" applyFont="1" applyBorder="1">
      <alignment vertical="center"/>
    </xf>
    <xf numFmtId="182" fontId="14" fillId="0" borderId="1" xfId="0" applyNumberFormat="1" applyFont="1" applyBorder="1">
      <alignment vertical="center"/>
    </xf>
    <xf numFmtId="180" fontId="14" fillId="0" borderId="1" xfId="0" applyNumberFormat="1" applyFont="1" applyBorder="1" applyAlignment="1">
      <alignment horizontal="center" vertical="center"/>
    </xf>
    <xf numFmtId="180" fontId="10" fillId="0" borderId="1" xfId="0" applyNumberFormat="1" applyFont="1" applyBorder="1">
      <alignment vertical="center"/>
    </xf>
    <xf numFmtId="183" fontId="14" fillId="0" borderId="1" xfId="4" applyNumberFormat="1" applyFont="1" applyBorder="1">
      <alignment vertical="center"/>
    </xf>
    <xf numFmtId="183" fontId="14" fillId="0" borderId="1" xfId="4" applyNumberFormat="1" applyFont="1" applyBorder="1" applyAlignment="1">
      <alignment horizontal="center" vertical="center"/>
    </xf>
    <xf numFmtId="0" fontId="14" fillId="14" borderId="1" xfId="0" applyFont="1" applyFill="1" applyBorder="1" applyAlignment="1">
      <alignment vertical="center" wrapText="1"/>
    </xf>
    <xf numFmtId="0" fontId="15" fillId="14" borderId="1" xfId="1" applyFont="1" applyFill="1" applyBorder="1">
      <alignment vertical="center"/>
    </xf>
    <xf numFmtId="176" fontId="14" fillId="14" borderId="1" xfId="0" applyNumberFormat="1" applyFont="1" applyFill="1" applyBorder="1" applyAlignment="1">
      <alignment horizontal="center" vertical="center" wrapText="1"/>
    </xf>
    <xf numFmtId="49" fontId="13" fillId="14" borderId="1" xfId="0" applyNumberFormat="1" applyFont="1" applyFill="1" applyBorder="1" applyAlignment="1">
      <alignment horizontal="center" vertical="center"/>
    </xf>
    <xf numFmtId="0" fontId="14" fillId="14" borderId="1" xfId="0" applyFont="1" applyFill="1" applyBorder="1" applyAlignment="1"/>
    <xf numFmtId="177" fontId="14" fillId="14" borderId="1" xfId="0" applyNumberFormat="1" applyFont="1" applyFill="1" applyBorder="1" applyAlignment="1">
      <alignment horizontal="center"/>
    </xf>
    <xf numFmtId="3" fontId="14" fillId="14" borderId="4" xfId="0" applyNumberFormat="1" applyFont="1" applyFill="1" applyBorder="1" applyAlignment="1">
      <alignment vertical="center" wrapText="1"/>
    </xf>
    <xf numFmtId="3" fontId="14" fillId="14" borderId="3" xfId="0" applyNumberFormat="1" applyFont="1" applyFill="1" applyBorder="1" applyAlignment="1">
      <alignment vertical="center" wrapText="1"/>
    </xf>
    <xf numFmtId="178" fontId="14" fillId="14" borderId="1" xfId="4" applyNumberFormat="1" applyFont="1" applyFill="1" applyBorder="1" applyAlignment="1">
      <alignment horizontal="right" vertical="center"/>
    </xf>
    <xf numFmtId="49" fontId="14" fillId="14" borderId="1" xfId="0" applyNumberFormat="1" applyFont="1" applyFill="1" applyBorder="1" applyAlignment="1">
      <alignment horizontal="right" vertical="center"/>
    </xf>
    <xf numFmtId="178" fontId="14" fillId="14" borderId="1" xfId="4" applyNumberFormat="1" applyFont="1" applyFill="1" applyBorder="1">
      <alignment vertical="center"/>
    </xf>
    <xf numFmtId="179" fontId="14" fillId="14" borderId="1" xfId="2" applyNumberFormat="1" applyFont="1" applyFill="1" applyBorder="1">
      <alignment vertical="center"/>
    </xf>
    <xf numFmtId="179" fontId="10" fillId="14" borderId="1" xfId="2" applyNumberFormat="1" applyFont="1" applyFill="1" applyBorder="1" applyProtection="1">
      <alignment vertical="center"/>
      <protection locked="0"/>
    </xf>
    <xf numFmtId="180" fontId="14" fillId="14" borderId="1" xfId="2" applyNumberFormat="1" applyFont="1" applyFill="1" applyBorder="1">
      <alignment vertical="center"/>
    </xf>
    <xf numFmtId="183" fontId="14" fillId="14" borderId="1" xfId="2" applyNumberFormat="1" applyFont="1" applyFill="1" applyBorder="1" applyAlignment="1">
      <alignment horizontal="right" vertical="center"/>
    </xf>
    <xf numFmtId="180" fontId="10" fillId="14" borderId="1" xfId="2" applyNumberFormat="1" applyFont="1" applyFill="1" applyBorder="1" applyProtection="1">
      <alignment vertical="center"/>
      <protection locked="0"/>
    </xf>
    <xf numFmtId="181" fontId="14" fillId="14" borderId="1" xfId="0" applyNumberFormat="1" applyFont="1" applyFill="1" applyBorder="1">
      <alignment vertical="center"/>
    </xf>
    <xf numFmtId="181" fontId="14" fillId="14" borderId="1" xfId="0" applyNumberFormat="1" applyFont="1" applyFill="1" applyBorder="1" applyProtection="1">
      <alignment vertical="center"/>
      <protection locked="0"/>
    </xf>
    <xf numFmtId="182" fontId="14" fillId="14" borderId="1" xfId="2" applyNumberFormat="1" applyFont="1" applyFill="1" applyBorder="1">
      <alignment vertical="center"/>
    </xf>
    <xf numFmtId="181" fontId="14" fillId="14" borderId="1" xfId="2" applyNumberFormat="1" applyFont="1" applyFill="1" applyBorder="1" applyAlignment="1">
      <alignment horizontal="right" vertical="center"/>
    </xf>
    <xf numFmtId="182" fontId="10" fillId="14" borderId="1" xfId="2" applyNumberFormat="1" applyFont="1" applyFill="1" applyBorder="1" applyProtection="1">
      <alignment vertical="center"/>
      <protection locked="0"/>
    </xf>
    <xf numFmtId="183" fontId="14" fillId="14" borderId="1" xfId="0" applyNumberFormat="1" applyFont="1" applyFill="1" applyBorder="1" applyAlignment="1">
      <alignment horizontal="right" vertical="center"/>
    </xf>
    <xf numFmtId="180" fontId="14" fillId="14" borderId="1" xfId="0" applyNumberFormat="1" applyFont="1" applyFill="1" applyBorder="1" applyAlignment="1">
      <alignment horizontal="right" vertical="center"/>
    </xf>
    <xf numFmtId="180" fontId="14" fillId="14" borderId="1" xfId="2" applyNumberFormat="1" applyFont="1" applyFill="1" applyBorder="1" applyAlignment="1">
      <alignment horizontal="right" vertical="center"/>
    </xf>
    <xf numFmtId="180" fontId="10" fillId="14" borderId="1" xfId="2" applyNumberFormat="1" applyFont="1" applyFill="1" applyBorder="1" applyAlignment="1" applyProtection="1">
      <alignment horizontal="center" vertical="center"/>
      <protection locked="0"/>
    </xf>
    <xf numFmtId="183" fontId="14" fillId="14" borderId="1" xfId="0" applyNumberFormat="1" applyFont="1" applyFill="1" applyBorder="1">
      <alignment vertical="center"/>
    </xf>
    <xf numFmtId="183" fontId="14" fillId="14" borderId="1" xfId="0" applyNumberFormat="1" applyFont="1" applyFill="1" applyBorder="1" applyProtection="1">
      <alignment vertical="center"/>
      <protection locked="0"/>
    </xf>
    <xf numFmtId="183" fontId="14" fillId="14" borderId="1" xfId="4" applyNumberFormat="1" applyFont="1" applyFill="1" applyBorder="1" applyProtection="1">
      <alignment vertical="center"/>
      <protection locked="0"/>
    </xf>
    <xf numFmtId="183" fontId="14" fillId="14" borderId="1" xfId="2" applyNumberFormat="1" applyFont="1" applyFill="1" applyBorder="1" applyProtection="1">
      <alignment vertical="center"/>
      <protection locked="0"/>
    </xf>
    <xf numFmtId="180" fontId="14" fillId="14" borderId="1" xfId="2" applyNumberFormat="1" applyFont="1" applyFill="1" applyBorder="1" applyAlignment="1">
      <alignment horizontal="center" vertical="center"/>
    </xf>
    <xf numFmtId="180" fontId="14" fillId="14" borderId="1" xfId="2" applyNumberFormat="1" applyFont="1" applyFill="1" applyBorder="1" applyProtection="1">
      <alignment vertical="center"/>
      <protection locked="0"/>
    </xf>
    <xf numFmtId="180" fontId="14" fillId="14" borderId="1" xfId="0" applyNumberFormat="1" applyFont="1" applyFill="1" applyBorder="1">
      <alignment vertical="center"/>
    </xf>
    <xf numFmtId="183" fontId="13" fillId="14" borderId="1" xfId="0" applyNumberFormat="1" applyFont="1" applyFill="1" applyBorder="1" applyAlignment="1" applyProtection="1">
      <alignment horizontal="right" vertical="center"/>
      <protection locked="0"/>
    </xf>
    <xf numFmtId="180" fontId="16" fillId="14" borderId="1" xfId="2" applyNumberFormat="1" applyFont="1" applyFill="1" applyBorder="1" applyProtection="1">
      <alignment vertical="center"/>
      <protection locked="0"/>
    </xf>
    <xf numFmtId="180" fontId="14" fillId="14" borderId="1" xfId="5" applyNumberFormat="1" applyFont="1" applyFill="1" applyBorder="1">
      <alignment vertical="center"/>
    </xf>
    <xf numFmtId="183" fontId="14" fillId="14" borderId="1" xfId="2" applyNumberFormat="1" applyFont="1" applyFill="1" applyBorder="1">
      <alignment vertical="center"/>
    </xf>
    <xf numFmtId="180" fontId="10" fillId="14" borderId="1" xfId="2" applyNumberFormat="1" applyFont="1" applyFill="1" applyBorder="1">
      <alignment vertical="center"/>
    </xf>
    <xf numFmtId="184" fontId="14" fillId="14" borderId="1" xfId="2" applyNumberFormat="1" applyFont="1" applyFill="1" applyBorder="1">
      <alignment vertical="center"/>
    </xf>
    <xf numFmtId="185" fontId="14" fillId="14" borderId="1" xfId="2" applyNumberFormat="1" applyFont="1" applyFill="1" applyBorder="1">
      <alignment vertical="center"/>
    </xf>
    <xf numFmtId="185" fontId="10" fillId="14" borderId="1" xfId="2" applyNumberFormat="1" applyFont="1" applyFill="1" applyBorder="1" applyProtection="1">
      <alignment vertical="center"/>
      <protection locked="0"/>
    </xf>
    <xf numFmtId="180" fontId="14" fillId="14" borderId="1" xfId="2" applyNumberFormat="1" applyFont="1" applyFill="1" applyBorder="1" applyAlignment="1" applyProtection="1">
      <alignment horizontal="center" vertical="center"/>
      <protection locked="0"/>
    </xf>
    <xf numFmtId="49" fontId="14" fillId="14" borderId="1" xfId="0" applyNumberFormat="1" applyFont="1" applyFill="1" applyBorder="1" applyAlignment="1">
      <alignment horizontal="center" vertical="center"/>
    </xf>
    <xf numFmtId="0" fontId="14" fillId="14" borderId="1" xfId="4" applyNumberFormat="1" applyFont="1" applyFill="1" applyBorder="1" applyProtection="1">
      <alignment vertical="center"/>
      <protection locked="0"/>
    </xf>
    <xf numFmtId="180" fontId="16" fillId="14" borderId="1" xfId="2" applyNumberFormat="1" applyFont="1" applyFill="1" applyBorder="1">
      <alignment vertical="center"/>
    </xf>
    <xf numFmtId="0" fontId="14" fillId="14" borderId="1" xfId="0" applyFont="1" applyFill="1" applyBorder="1">
      <alignment vertical="center"/>
    </xf>
    <xf numFmtId="0" fontId="15" fillId="0" borderId="0" xfId="1" applyFont="1" applyBorder="1">
      <alignment vertical="center"/>
    </xf>
    <xf numFmtId="176" fontId="13" fillId="0" borderId="1" xfId="0" applyNumberFormat="1" applyFont="1" applyBorder="1" applyAlignment="1">
      <alignment horizontal="center" vertical="center" wrapText="1"/>
    </xf>
    <xf numFmtId="176" fontId="14" fillId="0" borderId="3" xfId="0" applyNumberFormat="1" applyFont="1" applyBorder="1" applyAlignment="1">
      <alignment horizontal="center" vertical="center" wrapText="1"/>
    </xf>
    <xf numFmtId="0" fontId="14" fillId="0" borderId="0" xfId="0" applyFont="1" applyAlignment="1"/>
    <xf numFmtId="0" fontId="15" fillId="0" borderId="5" xfId="1" applyFont="1" applyBorder="1">
      <alignment vertical="center"/>
    </xf>
    <xf numFmtId="3" fontId="13" fillId="0" borderId="4" xfId="0" applyNumberFormat="1" applyFont="1" applyBorder="1" applyAlignment="1">
      <alignment vertical="center" wrapText="1"/>
    </xf>
    <xf numFmtId="3" fontId="14" fillId="0" borderId="1" xfId="0" applyNumberFormat="1" applyFont="1" applyBorder="1" applyAlignment="1">
      <alignment vertical="center" wrapText="1"/>
    </xf>
    <xf numFmtId="3" fontId="14" fillId="0" borderId="4" xfId="2" applyNumberFormat="1" applyFont="1" applyBorder="1" applyAlignment="1">
      <alignment vertical="center" wrapText="1"/>
    </xf>
    <xf numFmtId="3" fontId="13" fillId="0" borderId="3" xfId="0" applyNumberFormat="1" applyFont="1" applyBorder="1" applyAlignment="1">
      <alignment vertical="center" wrapText="1"/>
    </xf>
    <xf numFmtId="3" fontId="14" fillId="0" borderId="3" xfId="2" applyNumberFormat="1" applyFont="1" applyBorder="1" applyAlignment="1">
      <alignment vertical="center" wrapText="1"/>
    </xf>
    <xf numFmtId="178" fontId="14" fillId="0" borderId="0" xfId="4" applyNumberFormat="1" applyFont="1" applyAlignment="1">
      <alignment horizontal="right" vertical="center"/>
    </xf>
    <xf numFmtId="183" fontId="14" fillId="0" borderId="0" xfId="4" applyNumberFormat="1" applyFont="1" applyProtection="1">
      <alignment vertical="center"/>
      <protection locked="0"/>
    </xf>
  </cellXfs>
  <cellStyles count="6">
    <cellStyle name="백분율 2" xfId="5" xr:uid="{00000000-0005-0000-0000-000000000000}"/>
    <cellStyle name="쉼표 [0] 2" xfId="4" xr:uid="{00000000-0005-0000-0000-000001000000}"/>
    <cellStyle name="좋음 2" xfId="3" xr:uid="{00000000-0005-0000-0000-000002000000}"/>
    <cellStyle name="표준" xfId="0" builtinId="0"/>
    <cellStyle name="표준 2" xfId="2" xr:uid="{00000000-0005-0000-0000-000004000000}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40408_&#51228;32&#54924;%20&#51339;&#51008;&#44592;&#50629;&#49345;_&#51221;&#47049;&#54217;&#44032;&#51089;&#50629;_V1%20(&#52712;&#54633;).xls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건전성"/>
      <sheetName val="1-1. 관계사체무보증금액 (환율 등)"/>
      <sheetName val="2.공정성"/>
      <sheetName val="3.사회공헌"/>
      <sheetName val="4.소비자보호"/>
      <sheetName val="5.환경경영"/>
      <sheetName val="6.직원만족"/>
      <sheetName val="종합"/>
    </sheetNames>
    <sheetDataSet>
      <sheetData sheetId="0"/>
      <sheetData sheetId="1">
        <row r="3">
          <cell r="A3"/>
          <cell r="B3"/>
          <cell r="C3"/>
          <cell r="D3" t="str">
            <v>종목코드</v>
          </cell>
          <cell r="E3" t="str">
            <v>282330</v>
          </cell>
          <cell r="F3" t="str">
            <v>001460</v>
          </cell>
          <cell r="G3" t="str">
            <v>000120</v>
          </cell>
          <cell r="H3" t="str">
            <v>011150</v>
          </cell>
          <cell r="I3" t="str">
            <v>097950</v>
          </cell>
          <cell r="J3" t="str">
            <v>012030</v>
          </cell>
          <cell r="K3" t="str">
            <v>005830</v>
          </cell>
          <cell r="L3" t="str">
            <v>000210</v>
          </cell>
          <cell r="M3" t="str">
            <v>001880</v>
          </cell>
          <cell r="N3" t="str">
            <v>375500</v>
          </cell>
          <cell r="O3" t="str">
            <v>007340</v>
          </cell>
          <cell r="P3" t="str">
            <v>155660</v>
          </cell>
          <cell r="Q3" t="str">
            <v>069730</v>
          </cell>
          <cell r="R3" t="str">
            <v>383220</v>
          </cell>
          <cell r="S3" t="str">
            <v>006360</v>
          </cell>
          <cell r="T3" t="str">
            <v>001250</v>
          </cell>
          <cell r="U3" t="str">
            <v>039570</v>
          </cell>
          <cell r="V3" t="str">
            <v>089470</v>
          </cell>
          <cell r="W3" t="str">
            <v>294870</v>
          </cell>
          <cell r="X3" t="str">
            <v>322000</v>
          </cell>
          <cell r="Y3" t="str">
            <v>014790</v>
          </cell>
          <cell r="Z3" t="str">
            <v>011200</v>
          </cell>
          <cell r="AA3" t="str">
            <v>234080</v>
          </cell>
          <cell r="AB3" t="str">
            <v>016380</v>
          </cell>
          <cell r="AC3" t="str">
            <v>025000</v>
          </cell>
          <cell r="AD3" t="str">
            <v>044450</v>
          </cell>
          <cell r="AE3" t="str">
            <v>058850</v>
          </cell>
          <cell r="AF3" t="str">
            <v>058860</v>
          </cell>
          <cell r="AG3" t="str">
            <v>093050</v>
          </cell>
          <cell r="AH3" t="str">
            <v>051900</v>
          </cell>
          <cell r="AI3" t="str">
            <v>032640</v>
          </cell>
          <cell r="AJ3" t="str">
            <v>011070</v>
          </cell>
          <cell r="AK3" t="str">
            <v>079550</v>
          </cell>
          <cell r="AL3" t="str">
            <v>001120</v>
          </cell>
          <cell r="AM3" t="str">
            <v>005940</v>
          </cell>
          <cell r="AN3" t="str">
            <v>008260</v>
          </cell>
          <cell r="AO3" t="str">
            <v>178920</v>
          </cell>
          <cell r="AP3" t="str">
            <v>005090</v>
          </cell>
          <cell r="AQ3" t="str">
            <v>001770</v>
          </cell>
          <cell r="AR3" t="str">
            <v>009160</v>
          </cell>
          <cell r="AS3" t="str">
            <v>018670</v>
          </cell>
          <cell r="AT3" t="str">
            <v>068400</v>
          </cell>
          <cell r="AU3" t="str">
            <v>302440</v>
          </cell>
          <cell r="AV3" t="str">
            <v>096770</v>
          </cell>
          <cell r="AW3" t="str">
            <v>001510</v>
          </cell>
          <cell r="AX3" t="str">
            <v>285130</v>
          </cell>
          <cell r="AY3" t="str">
            <v>017670</v>
          </cell>
          <cell r="AZ3" t="str">
            <v>000660</v>
          </cell>
          <cell r="BA3" t="str">
            <v>003570</v>
          </cell>
          <cell r="BB3" t="str">
            <v>064960</v>
          </cell>
          <cell r="BC3" t="str">
            <v>000500</v>
          </cell>
          <cell r="BD3" t="str">
            <v>011420</v>
          </cell>
          <cell r="BE3" t="str">
            <v>002100</v>
          </cell>
          <cell r="BF3" t="str">
            <v>267290</v>
          </cell>
          <cell r="BG3" t="str">
            <v>013580</v>
          </cell>
          <cell r="BH3" t="str">
            <v>002140</v>
          </cell>
          <cell r="BI3" t="str">
            <v>010130</v>
          </cell>
          <cell r="BJ3" t="str">
            <v>002240</v>
          </cell>
          <cell r="BK3" t="str">
            <v>009290</v>
          </cell>
          <cell r="BL3" t="str">
            <v>017040</v>
          </cell>
          <cell r="BM3" t="str">
            <v>037710</v>
          </cell>
          <cell r="BN3" t="str">
            <v>030610</v>
          </cell>
          <cell r="BO3" t="str">
            <v>339770</v>
          </cell>
          <cell r="BP3" t="str">
            <v>083420</v>
          </cell>
          <cell r="BQ3" t="str">
            <v>014530</v>
          </cell>
          <cell r="BR3" t="str">
            <v>002990</v>
          </cell>
          <cell r="BS3" t="str">
            <v>011780</v>
          </cell>
          <cell r="BT3" t="str">
            <v>092440</v>
          </cell>
          <cell r="BU3" t="str">
            <v>000270</v>
          </cell>
          <cell r="BV3" t="str">
            <v>001260</v>
          </cell>
          <cell r="BW3" t="str">
            <v>025860</v>
          </cell>
          <cell r="BX3" t="str">
            <v>005720</v>
          </cell>
          <cell r="BY3" t="str">
            <v>090350</v>
          </cell>
          <cell r="BZ3" t="str">
            <v>006280</v>
          </cell>
          <cell r="CA3" t="str">
            <v>030210</v>
          </cell>
          <cell r="CB3" t="str">
            <v>000490</v>
          </cell>
          <cell r="CC3" t="str">
            <v>001680</v>
          </cell>
          <cell r="CD3" t="str">
            <v>128820</v>
          </cell>
          <cell r="CE3" t="str">
            <v>117580</v>
          </cell>
          <cell r="CF3" t="str">
            <v>047040</v>
          </cell>
          <cell r="CG3" t="str">
            <v>003090</v>
          </cell>
          <cell r="CH3" t="str">
            <v>069620</v>
          </cell>
          <cell r="CI3" t="str">
            <v>000430</v>
          </cell>
          <cell r="CJ3" t="str">
            <v>003220</v>
          </cell>
          <cell r="CK3" t="str">
            <v>015230</v>
          </cell>
          <cell r="CL3" t="str">
            <v>001440</v>
          </cell>
          <cell r="CM3" t="str">
            <v>084010</v>
          </cell>
          <cell r="CN3" t="str">
            <v>001130</v>
          </cell>
          <cell r="CO3" t="str">
            <v>003830</v>
          </cell>
          <cell r="CP3" t="str">
            <v>016090</v>
          </cell>
          <cell r="CQ3" t="str">
            <v>012510</v>
          </cell>
          <cell r="CR3" t="str">
            <v>004830</v>
          </cell>
          <cell r="CS3" t="str">
            <v>145720</v>
          </cell>
          <cell r="CT3" t="str">
            <v>002150</v>
          </cell>
          <cell r="CU3" t="str">
            <v>023450</v>
          </cell>
          <cell r="CV3" t="str">
            <v>007590</v>
          </cell>
          <cell r="CW3" t="str">
            <v>005960</v>
          </cell>
          <cell r="CX3" t="str">
            <v>026960</v>
          </cell>
          <cell r="CY3" t="str">
            <v>170900</v>
          </cell>
          <cell r="CZ3" t="str">
            <v>282690</v>
          </cell>
          <cell r="DA3" t="str">
            <v>082640</v>
          </cell>
          <cell r="DB3" t="str">
            <v>049770</v>
          </cell>
          <cell r="DC3" t="str">
            <v>014820</v>
          </cell>
          <cell r="DD3" t="str">
            <v>163560</v>
          </cell>
          <cell r="DE3" t="str">
            <v>004890</v>
          </cell>
          <cell r="DF3" t="str">
            <v>002690</v>
          </cell>
          <cell r="DG3" t="str">
            <v>000020</v>
          </cell>
          <cell r="DH3" t="str">
            <v>336260</v>
          </cell>
          <cell r="DI3" t="str">
            <v>016740</v>
          </cell>
          <cell r="DJ3" t="str">
            <v>024090</v>
          </cell>
          <cell r="DK3" t="str">
            <v>003160</v>
          </cell>
          <cell r="DL3" t="str">
            <v>210540</v>
          </cell>
          <cell r="DM3" t="str">
            <v>089860</v>
          </cell>
          <cell r="DN3" t="str">
            <v>020150</v>
          </cell>
          <cell r="DO3" t="str">
            <v>280360</v>
          </cell>
          <cell r="DP3" t="str">
            <v>004000</v>
          </cell>
          <cell r="DQ3" t="str">
            <v>001080</v>
          </cell>
          <cell r="DR3" t="str">
            <v>009680</v>
          </cell>
          <cell r="DS3" t="str">
            <v>008420</v>
          </cell>
          <cell r="DT3" t="str">
            <v>085620</v>
          </cell>
          <cell r="DU3" t="str">
            <v>006800</v>
          </cell>
          <cell r="DV3" t="str">
            <v>002840</v>
          </cell>
          <cell r="DW3" t="str">
            <v>268280</v>
          </cell>
          <cell r="DX3" t="str">
            <v>134380</v>
          </cell>
          <cell r="DY3" t="str">
            <v>003650</v>
          </cell>
          <cell r="DZ3" t="str">
            <v>003610</v>
          </cell>
          <cell r="EA3" t="str">
            <v>001340</v>
          </cell>
          <cell r="EB3" t="str">
            <v>002760</v>
          </cell>
          <cell r="EC3" t="str">
            <v>001270</v>
          </cell>
          <cell r="ED3" t="str">
            <v>026940</v>
          </cell>
          <cell r="EE3" t="str">
            <v>014710</v>
          </cell>
          <cell r="EF3" t="str">
            <v>006090</v>
          </cell>
          <cell r="EG3" t="str">
            <v>006400</v>
          </cell>
          <cell r="EH3" t="str">
            <v>028260</v>
          </cell>
          <cell r="EI3" t="str">
            <v>032830</v>
          </cell>
          <cell r="EJ3" t="str">
            <v>018260</v>
          </cell>
          <cell r="EK3" t="str">
            <v>028050</v>
          </cell>
          <cell r="EL3" t="str">
            <v>009150</v>
          </cell>
          <cell r="EM3" t="str">
            <v>005930</v>
          </cell>
          <cell r="EN3" t="str">
            <v>016360</v>
          </cell>
          <cell r="EO3" t="str">
            <v>029780</v>
          </cell>
          <cell r="EP3" t="str">
            <v>000810</v>
          </cell>
          <cell r="EQ3" t="str">
            <v>006110</v>
          </cell>
          <cell r="ER3" t="str">
            <v>145990</v>
          </cell>
          <cell r="ES3" t="str">
            <v>003230</v>
          </cell>
          <cell r="ET3" t="str">
            <v>002170</v>
          </cell>
          <cell r="EU3" t="str">
            <v>003720</v>
          </cell>
          <cell r="EV3" t="str">
            <v>002810</v>
          </cell>
          <cell r="EW3" t="str">
            <v>005680</v>
          </cell>
          <cell r="EX3" t="str">
            <v>023000</v>
          </cell>
          <cell r="EY3" t="str">
            <v>004380</v>
          </cell>
          <cell r="EZ3" t="str">
            <v>002450</v>
          </cell>
          <cell r="FA3" t="str">
            <v>005500</v>
          </cell>
          <cell r="FB3" t="str">
            <v>010960</v>
          </cell>
          <cell r="FC3" t="str">
            <v>009470</v>
          </cell>
          <cell r="FD3" t="str">
            <v>001820</v>
          </cell>
          <cell r="FE3" t="str">
            <v>041650</v>
          </cell>
          <cell r="FF3" t="str">
            <v>248170</v>
          </cell>
          <cell r="FG3" t="str">
            <v>017390</v>
          </cell>
          <cell r="FH3" t="str">
            <v>136490</v>
          </cell>
          <cell r="FI3" t="str">
            <v>004360</v>
          </cell>
          <cell r="FJ3" t="str">
            <v>004490</v>
          </cell>
          <cell r="FK3" t="str">
            <v>306200</v>
          </cell>
          <cell r="FL3" t="str">
            <v>013000</v>
          </cell>
          <cell r="FM3" t="str">
            <v>021820</v>
          </cell>
          <cell r="FN3" t="str">
            <v>067830</v>
          </cell>
          <cell r="FO3" t="str">
            <v>068270</v>
          </cell>
          <cell r="FP3" t="str">
            <v>248070</v>
          </cell>
          <cell r="FQ3" t="str">
            <v>004430</v>
          </cell>
          <cell r="FR3" t="str">
            <v>017550</v>
          </cell>
          <cell r="FS3" t="str">
            <v>134790</v>
          </cell>
          <cell r="FT3" t="str">
            <v>016590</v>
          </cell>
          <cell r="FU3" t="str">
            <v>004970</v>
          </cell>
          <cell r="FV3" t="str">
            <v>005390</v>
          </cell>
          <cell r="FW3" t="str">
            <v>004170</v>
          </cell>
          <cell r="FX3" t="str">
            <v>031430</v>
          </cell>
          <cell r="FY3" t="str">
            <v>005800</v>
          </cell>
          <cell r="FZ3" t="str">
            <v>001720</v>
          </cell>
          <cell r="GA3" t="str">
            <v>002700</v>
          </cell>
          <cell r="GB3" t="str">
            <v>004080</v>
          </cell>
          <cell r="GC3" t="str">
            <v>003410</v>
          </cell>
          <cell r="GD3" t="str">
            <v>004770</v>
          </cell>
          <cell r="GE3" t="str">
            <v>008700</v>
          </cell>
          <cell r="GF3" t="str">
            <v>183190</v>
          </cell>
          <cell r="GG3" t="str">
            <v>002310</v>
          </cell>
          <cell r="GH3" t="str">
            <v>122900</v>
          </cell>
          <cell r="GI3" t="str">
            <v>010780</v>
          </cell>
          <cell r="GJ3" t="str">
            <v>018250</v>
          </cell>
          <cell r="GK3" t="str">
            <v>161000</v>
          </cell>
          <cell r="GL3" t="str">
            <v>137310</v>
          </cell>
          <cell r="GM3" t="str">
            <v>005850</v>
          </cell>
          <cell r="GN3" t="str">
            <v>012750</v>
          </cell>
          <cell r="GO3" t="str">
            <v>244920</v>
          </cell>
          <cell r="GP3" t="str">
            <v>004250</v>
          </cell>
          <cell r="GQ3" t="str">
            <v>097520</v>
          </cell>
          <cell r="GR3" t="str">
            <v>014440</v>
          </cell>
          <cell r="GS3" t="str">
            <v>111770</v>
          </cell>
          <cell r="GT3" t="str">
            <v>006740</v>
          </cell>
          <cell r="GU3" t="str">
            <v>271560</v>
          </cell>
          <cell r="GV3" t="str">
            <v>049800</v>
          </cell>
          <cell r="GW3" t="str">
            <v>095720</v>
          </cell>
          <cell r="GX3" t="str">
            <v>033270</v>
          </cell>
          <cell r="GY3" t="str">
            <v>014830</v>
          </cell>
          <cell r="GZ3" t="str">
            <v>011330</v>
          </cell>
          <cell r="HA3" t="str">
            <v>077500</v>
          </cell>
          <cell r="HB3" t="str">
            <v>003470</v>
          </cell>
          <cell r="HC3" t="str">
            <v>001200</v>
          </cell>
          <cell r="HD3" t="str">
            <v>000100</v>
          </cell>
          <cell r="HE3" t="str">
            <v>025820</v>
          </cell>
          <cell r="HF3" t="str">
            <v>214320</v>
          </cell>
          <cell r="HG3" t="str">
            <v>139480</v>
          </cell>
          <cell r="HH3" t="str">
            <v>007660</v>
          </cell>
          <cell r="HI3" t="str">
            <v>102460</v>
          </cell>
          <cell r="HJ3" t="str">
            <v>034590</v>
          </cell>
          <cell r="HK3" t="str">
            <v>129260</v>
          </cell>
          <cell r="HL3" t="str">
            <v>023810</v>
          </cell>
          <cell r="HM3" t="str">
            <v>013360</v>
          </cell>
          <cell r="HN3" t="str">
            <v>007110</v>
          </cell>
          <cell r="HO3" t="str">
            <v>007570</v>
          </cell>
          <cell r="HP3" t="str">
            <v>103590</v>
          </cell>
          <cell r="HQ3" t="str">
            <v>271940</v>
          </cell>
          <cell r="HR3" t="str">
            <v>317400</v>
          </cell>
          <cell r="HS3" t="str">
            <v>030000</v>
          </cell>
          <cell r="HT3" t="str">
            <v>001560</v>
          </cell>
          <cell r="HU3" t="str">
            <v>006220</v>
          </cell>
          <cell r="HV3" t="str">
            <v>004700</v>
          </cell>
          <cell r="HW3" t="str">
            <v>001550</v>
          </cell>
          <cell r="HX3" t="str">
            <v>120030</v>
          </cell>
          <cell r="HY3" t="str">
            <v>002600</v>
          </cell>
          <cell r="HZ3" t="str">
            <v>185750</v>
          </cell>
          <cell r="IA3" t="str">
            <v>013890</v>
          </cell>
          <cell r="IB3" t="str">
            <v>003780</v>
          </cell>
          <cell r="IC3" t="str">
            <v>010640</v>
          </cell>
          <cell r="ID3" t="str">
            <v>002780</v>
          </cell>
          <cell r="IE3" t="str">
            <v>323410</v>
          </cell>
          <cell r="IF3" t="str">
            <v>029460</v>
          </cell>
          <cell r="IG3" t="str">
            <v>002380</v>
          </cell>
          <cell r="IH3" t="str">
            <v>281820</v>
          </cell>
          <cell r="II3" t="str">
            <v>009070</v>
          </cell>
          <cell r="IJ3" t="str">
            <v>381970</v>
          </cell>
          <cell r="IK3" t="str">
            <v>030200</v>
          </cell>
          <cell r="IL3" t="str">
            <v>053210</v>
          </cell>
          <cell r="IM3" t="str">
            <v>033780</v>
          </cell>
          <cell r="IN3" t="str">
            <v>007810</v>
          </cell>
          <cell r="IO3" t="str">
            <v>003690</v>
          </cell>
          <cell r="IP3" t="str">
            <v>005070</v>
          </cell>
          <cell r="IQ3" t="str">
            <v>021240</v>
          </cell>
          <cell r="IR3" t="str">
            <v>284740</v>
          </cell>
          <cell r="IS3" t="str">
            <v>264900</v>
          </cell>
          <cell r="IT3" t="str">
            <v>259960</v>
          </cell>
          <cell r="IU3" t="str">
            <v>039490</v>
          </cell>
          <cell r="IV3" t="str">
            <v>014580</v>
          </cell>
          <cell r="IW3" t="str">
            <v>015890</v>
          </cell>
          <cell r="IX3" t="str">
            <v>006890</v>
          </cell>
          <cell r="IY3" t="str">
            <v>009410</v>
          </cell>
          <cell r="IZ3" t="str">
            <v>007980</v>
          </cell>
          <cell r="JA3" t="str">
            <v>055490</v>
          </cell>
          <cell r="JB3" t="str">
            <v>078000</v>
          </cell>
          <cell r="JC3" t="str">
            <v>069260</v>
          </cell>
          <cell r="JD3" t="str">
            <v>005690</v>
          </cell>
          <cell r="JE3" t="str">
            <v>028670</v>
          </cell>
          <cell r="JF3" t="str">
            <v>010820</v>
          </cell>
          <cell r="JG3" t="str">
            <v>016800</v>
          </cell>
          <cell r="JH3" t="str">
            <v>058430</v>
          </cell>
          <cell r="JI3" t="str">
            <v>003670</v>
          </cell>
          <cell r="JJ3" t="str">
            <v>017810</v>
          </cell>
          <cell r="JK3" t="str">
            <v>103140</v>
          </cell>
          <cell r="JL3" t="str">
            <v>293480</v>
          </cell>
          <cell r="JM3" t="str">
            <v>000080</v>
          </cell>
          <cell r="JN3" t="str">
            <v>010040</v>
          </cell>
          <cell r="JO3" t="str">
            <v>025540</v>
          </cell>
          <cell r="JP3" t="str">
            <v>010100</v>
          </cell>
          <cell r="JQ3" t="str">
            <v>002200</v>
          </cell>
          <cell r="JR3" t="str">
            <v>002960</v>
          </cell>
          <cell r="JS3" t="str">
            <v>023350</v>
          </cell>
          <cell r="JT3" t="str">
            <v>000970</v>
          </cell>
          <cell r="JU3" t="str">
            <v>017960</v>
          </cell>
          <cell r="JV3" t="str">
            <v>007280</v>
          </cell>
          <cell r="JW3" t="str">
            <v>002390</v>
          </cell>
          <cell r="JX3" t="str">
            <v>053690</v>
          </cell>
          <cell r="JY3" t="str">
            <v>042700</v>
          </cell>
          <cell r="JZ3" t="str">
            <v>128940</v>
          </cell>
          <cell r="KA3" t="str">
            <v>020000</v>
          </cell>
          <cell r="KB3" t="str">
            <v>105630</v>
          </cell>
          <cell r="KC3" t="str">
            <v>009180</v>
          </cell>
          <cell r="KD3" t="str">
            <v>014680</v>
          </cell>
          <cell r="KE3" t="str">
            <v>010420</v>
          </cell>
          <cell r="KF3" t="str">
            <v>004960</v>
          </cell>
          <cell r="KG3" t="str">
            <v>001750</v>
          </cell>
          <cell r="KH3" t="str">
            <v>009420</v>
          </cell>
          <cell r="KI3" t="str">
            <v>300720</v>
          </cell>
          <cell r="KJ3" t="str">
            <v>006390</v>
          </cell>
          <cell r="KK3" t="str">
            <v>130660</v>
          </cell>
          <cell r="KL3" t="str">
            <v>002320</v>
          </cell>
          <cell r="KM3" t="str">
            <v>372910</v>
          </cell>
          <cell r="KN3" t="str">
            <v>088350</v>
          </cell>
          <cell r="KO3" t="str">
            <v>000370</v>
          </cell>
          <cell r="KP3" t="str">
            <v>272210</v>
          </cell>
          <cell r="KQ3" t="str">
            <v>000720</v>
          </cell>
          <cell r="KR3" t="str">
            <v>086280</v>
          </cell>
          <cell r="KS3" t="str">
            <v>064350</v>
          </cell>
          <cell r="KT3" t="str">
            <v>012330</v>
          </cell>
          <cell r="KU3" t="str">
            <v>069960</v>
          </cell>
          <cell r="KV3" t="str">
            <v>017800</v>
          </cell>
          <cell r="KW3" t="str">
            <v>307950</v>
          </cell>
          <cell r="KX3" t="str">
            <v>005380</v>
          </cell>
          <cell r="KY3" t="str">
            <v>001500</v>
          </cell>
          <cell r="KZ3" t="str">
            <v>011760</v>
          </cell>
          <cell r="LA3" t="str">
            <v>001450</v>
          </cell>
          <cell r="LB3" t="str">
            <v>057050</v>
          </cell>
          <cell r="LC3" t="str">
            <v>002460</v>
          </cell>
          <cell r="LD3" t="str">
            <v>378850</v>
          </cell>
          <cell r="LE3" t="str">
            <v>241590</v>
          </cell>
          <cell r="LF3" t="str">
            <v>000850</v>
          </cell>
          <cell r="LG3" t="str">
            <v>032560</v>
          </cell>
          <cell r="LH3" t="str">
            <v>094280</v>
          </cell>
          <cell r="LI3" t="str">
            <v>298050</v>
          </cell>
          <cell r="LJ3" t="str">
            <v>298020</v>
          </cell>
          <cell r="LK3" t="str">
            <v>093370</v>
          </cell>
          <cell r="LL3" t="str">
            <v>005870</v>
          </cell>
          <cell r="LM3" t="str">
            <v>000540</v>
          </cell>
        </row>
        <row r="4">
          <cell r="B4">
            <v>1265.8227848101264</v>
          </cell>
        </row>
        <row r="33">
          <cell r="A33" t="str">
            <v>합계 (원화, 천단위)</v>
          </cell>
          <cell r="B33"/>
          <cell r="C33"/>
          <cell r="D33"/>
          <cell r="E33">
            <v>11092000</v>
          </cell>
          <cell r="F33">
            <v>15189873.417721517</v>
          </cell>
          <cell r="G33">
            <v>75200000</v>
          </cell>
          <cell r="H33">
            <v>0</v>
          </cell>
          <cell r="I33">
            <v>5268581332.4639053</v>
          </cell>
          <cell r="J33">
            <v>0</v>
          </cell>
          <cell r="K33">
            <v>0</v>
          </cell>
          <cell r="L33">
            <v>15129000</v>
          </cell>
          <cell r="M33">
            <v>70000000</v>
          </cell>
          <cell r="N33">
            <v>1846030379.7468352</v>
          </cell>
          <cell r="O33">
            <v>2652273640.5467606</v>
          </cell>
          <cell r="P33">
            <v>10297639.411563462</v>
          </cell>
          <cell r="Q33">
            <v>10297639.411563462</v>
          </cell>
          <cell r="R33">
            <v>41070381.231671557</v>
          </cell>
          <cell r="S33">
            <v>2025061948.3967221</v>
          </cell>
          <cell r="T33">
            <v>611998645.56962025</v>
          </cell>
          <cell r="U33">
            <v>95000000</v>
          </cell>
          <cell r="V33">
            <v>37557000</v>
          </cell>
          <cell r="W33">
            <v>230000000</v>
          </cell>
          <cell r="X33">
            <v>0</v>
          </cell>
          <cell r="Y33">
            <v>8308000</v>
          </cell>
          <cell r="Z33">
            <v>1443472000</v>
          </cell>
          <cell r="AA33">
            <v>18778000</v>
          </cell>
          <cell r="AB33">
            <v>20268341.772151899</v>
          </cell>
          <cell r="AC33">
            <v>10114525.214234229</v>
          </cell>
          <cell r="AD33">
            <v>0</v>
          </cell>
          <cell r="AE33">
            <v>0</v>
          </cell>
          <cell r="AF33">
            <v>0</v>
          </cell>
          <cell r="AG33">
            <v>101037780.92754345</v>
          </cell>
          <cell r="AH33">
            <v>0</v>
          </cell>
          <cell r="AI33">
            <v>0</v>
          </cell>
          <cell r="AJ33">
            <v>1125948000</v>
          </cell>
          <cell r="AK33">
            <v>0</v>
          </cell>
          <cell r="AL33">
            <v>1637002000</v>
          </cell>
          <cell r="AM33">
            <v>530000000</v>
          </cell>
          <cell r="AN33">
            <v>0</v>
          </cell>
          <cell r="AO33">
            <v>0</v>
          </cell>
          <cell r="AP33">
            <v>1144339697</v>
          </cell>
          <cell r="AQ33">
            <v>0</v>
          </cell>
          <cell r="AR33">
            <v>0</v>
          </cell>
          <cell r="AS33">
            <v>520401136.82278478</v>
          </cell>
          <cell r="AT33">
            <v>0</v>
          </cell>
          <cell r="AU33">
            <v>0</v>
          </cell>
          <cell r="AV33">
            <v>17638812000</v>
          </cell>
          <cell r="AW33">
            <v>0</v>
          </cell>
          <cell r="AX33">
            <v>48642504.027617946</v>
          </cell>
          <cell r="AY33">
            <v>38705000</v>
          </cell>
          <cell r="AZ33">
            <v>341378596.08745682</v>
          </cell>
          <cell r="BA33">
            <v>396958575.83544302</v>
          </cell>
          <cell r="BB33">
            <v>264770910.75949365</v>
          </cell>
          <cell r="BC33">
            <v>0</v>
          </cell>
          <cell r="BD33">
            <v>0</v>
          </cell>
          <cell r="BE33">
            <v>0</v>
          </cell>
          <cell r="BF33">
            <v>707000</v>
          </cell>
          <cell r="BG33">
            <v>313559000</v>
          </cell>
          <cell r="BH33">
            <v>0</v>
          </cell>
          <cell r="BI33">
            <v>0</v>
          </cell>
          <cell r="BJ33">
            <v>95625477.324988514</v>
          </cell>
          <cell r="BK33">
            <v>0</v>
          </cell>
          <cell r="BL33">
            <v>12000000</v>
          </cell>
          <cell r="BM33">
            <v>0</v>
          </cell>
          <cell r="BN33">
            <v>15000000</v>
          </cell>
          <cell r="BO33">
            <v>6246752</v>
          </cell>
          <cell r="BP33">
            <v>0</v>
          </cell>
          <cell r="BQ33">
            <v>0</v>
          </cell>
          <cell r="BR33">
            <v>0</v>
          </cell>
          <cell r="BS33">
            <v>6545454.5454545459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27179926.798720799</v>
          </cell>
          <cell r="BY33">
            <v>13264416</v>
          </cell>
          <cell r="BZ33">
            <v>2400000</v>
          </cell>
          <cell r="CA33">
            <v>0</v>
          </cell>
          <cell r="CB33">
            <v>55180150</v>
          </cell>
          <cell r="CC33">
            <v>160826000</v>
          </cell>
          <cell r="CD33">
            <v>3900000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152185635.60220161</v>
          </cell>
          <cell r="CJ33">
            <v>0</v>
          </cell>
          <cell r="CK33">
            <v>9113924.0506329108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545454.54545454553</v>
          </cell>
          <cell r="CS33">
            <v>688989.94074686512</v>
          </cell>
          <cell r="CT33">
            <v>229506.32911392403</v>
          </cell>
          <cell r="CU33">
            <v>0</v>
          </cell>
          <cell r="CV33">
            <v>0</v>
          </cell>
          <cell r="CW33">
            <v>675847000</v>
          </cell>
          <cell r="CX33">
            <v>0</v>
          </cell>
          <cell r="CY33">
            <v>0</v>
          </cell>
          <cell r="CZ33">
            <v>0</v>
          </cell>
          <cell r="DA33">
            <v>0</v>
          </cell>
          <cell r="DB33">
            <v>20000000</v>
          </cell>
          <cell r="DC33">
            <v>0</v>
          </cell>
          <cell r="DD33">
            <v>30379746.835443035</v>
          </cell>
          <cell r="DE33">
            <v>0</v>
          </cell>
          <cell r="DF33">
            <v>0</v>
          </cell>
          <cell r="DG33">
            <v>408108</v>
          </cell>
          <cell r="DH33">
            <v>0</v>
          </cell>
          <cell r="DI33">
            <v>24871941.031941034</v>
          </cell>
          <cell r="DJ33">
            <v>0</v>
          </cell>
          <cell r="DK33">
            <v>0</v>
          </cell>
          <cell r="DL33">
            <v>19607903.673973445</v>
          </cell>
          <cell r="DM33">
            <v>123037974.68354429</v>
          </cell>
          <cell r="DN33">
            <v>0</v>
          </cell>
          <cell r="DO33">
            <v>82784810.126582265</v>
          </cell>
          <cell r="DP33">
            <v>301621621.62162161</v>
          </cell>
          <cell r="DQ33">
            <v>0</v>
          </cell>
          <cell r="DR33">
            <v>0</v>
          </cell>
          <cell r="DS33">
            <v>0</v>
          </cell>
          <cell r="DT33">
            <v>0</v>
          </cell>
          <cell r="DU33">
            <v>0</v>
          </cell>
          <cell r="DV33">
            <v>0</v>
          </cell>
          <cell r="DW33">
            <v>39493670.886075944</v>
          </cell>
          <cell r="DX33">
            <v>0</v>
          </cell>
          <cell r="DY33">
            <v>0</v>
          </cell>
          <cell r="DZ33">
            <v>6329113.9240506319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8474000</v>
          </cell>
          <cell r="EF33">
            <v>0</v>
          </cell>
          <cell r="EG33">
            <v>3441208584.4678278</v>
          </cell>
          <cell r="EH33">
            <v>807756000</v>
          </cell>
          <cell r="EI33">
            <v>0</v>
          </cell>
          <cell r="EJ33">
            <v>8950000</v>
          </cell>
          <cell r="EK33">
            <v>2927116000</v>
          </cell>
          <cell r="EL33">
            <v>0</v>
          </cell>
          <cell r="EM33">
            <v>544906329.11392403</v>
          </cell>
          <cell r="EN33">
            <v>0</v>
          </cell>
          <cell r="EO33">
            <v>0</v>
          </cell>
          <cell r="EP33">
            <v>0</v>
          </cell>
          <cell r="EQ33">
            <v>0</v>
          </cell>
          <cell r="ER33">
            <v>104805084.50222373</v>
          </cell>
          <cell r="ES33">
            <v>408000</v>
          </cell>
          <cell r="ET33">
            <v>0</v>
          </cell>
          <cell r="EU33">
            <v>0</v>
          </cell>
          <cell r="EV33">
            <v>0</v>
          </cell>
          <cell r="EW33">
            <v>0</v>
          </cell>
          <cell r="EX33">
            <v>0</v>
          </cell>
          <cell r="EY33">
            <v>0</v>
          </cell>
          <cell r="EZ33">
            <v>36161477.933629826</v>
          </cell>
          <cell r="FA33">
            <v>0</v>
          </cell>
          <cell r="FB33">
            <v>0</v>
          </cell>
          <cell r="FC33">
            <v>6119544.3037974685</v>
          </cell>
          <cell r="FD33">
            <v>6417875</v>
          </cell>
          <cell r="FE33">
            <v>102765301.18723512</v>
          </cell>
          <cell r="FF33">
            <v>12658227.848101264</v>
          </cell>
          <cell r="FG33">
            <v>900000</v>
          </cell>
          <cell r="FH33">
            <v>77272441</v>
          </cell>
          <cell r="FI33">
            <v>93776602.088607594</v>
          </cell>
          <cell r="FJ33">
            <v>96446450</v>
          </cell>
          <cell r="FK33">
            <v>0</v>
          </cell>
          <cell r="FL33">
            <v>0</v>
          </cell>
          <cell r="FM33">
            <v>102957422.32451093</v>
          </cell>
          <cell r="FN33">
            <v>18700000</v>
          </cell>
          <cell r="FO33">
            <v>42687007.749682888</v>
          </cell>
          <cell r="FP33">
            <v>268629832.36400956</v>
          </cell>
          <cell r="FQ33">
            <v>0</v>
          </cell>
          <cell r="FR33">
            <v>18000000</v>
          </cell>
          <cell r="FS33">
            <v>0</v>
          </cell>
          <cell r="FT33">
            <v>0</v>
          </cell>
          <cell r="FU33">
            <v>75853164.556962013</v>
          </cell>
          <cell r="FV33">
            <v>19866377.445339471</v>
          </cell>
          <cell r="FW33">
            <v>205565000</v>
          </cell>
          <cell r="FX33">
            <v>0</v>
          </cell>
          <cell r="FY33">
            <v>0</v>
          </cell>
          <cell r="FZ33">
            <v>0</v>
          </cell>
          <cell r="GA33">
            <v>0</v>
          </cell>
          <cell r="GB33">
            <v>2923000</v>
          </cell>
          <cell r="GC33">
            <v>0</v>
          </cell>
          <cell r="GD33">
            <v>0</v>
          </cell>
          <cell r="GE33">
            <v>30253164.556962021</v>
          </cell>
          <cell r="GF33">
            <v>120000000</v>
          </cell>
          <cell r="GG33">
            <v>0</v>
          </cell>
          <cell r="GH33">
            <v>76252531.645569623</v>
          </cell>
          <cell r="GI33">
            <v>7850000</v>
          </cell>
          <cell r="GJ33">
            <v>0</v>
          </cell>
          <cell r="GK33">
            <v>61070195.627157651</v>
          </cell>
          <cell r="GL33">
            <v>0</v>
          </cell>
          <cell r="GM33">
            <v>538009379.72773921</v>
          </cell>
          <cell r="GN33">
            <v>0</v>
          </cell>
          <cell r="GO33">
            <v>0</v>
          </cell>
          <cell r="GP33">
            <v>25112785166.833252</v>
          </cell>
          <cell r="GQ33">
            <v>0</v>
          </cell>
          <cell r="GR33">
            <v>0</v>
          </cell>
          <cell r="GS33">
            <v>0</v>
          </cell>
          <cell r="GT33">
            <v>0</v>
          </cell>
          <cell r="GU33">
            <v>0</v>
          </cell>
          <cell r="GV33">
            <v>0</v>
          </cell>
          <cell r="GW33">
            <v>0</v>
          </cell>
          <cell r="GX33">
            <v>34683880</v>
          </cell>
          <cell r="GY33">
            <v>19636363.63636364</v>
          </cell>
          <cell r="GZ33">
            <v>11346000</v>
          </cell>
          <cell r="HA33">
            <v>0</v>
          </cell>
          <cell r="HB33">
            <v>0</v>
          </cell>
          <cell r="HC33">
            <v>0</v>
          </cell>
          <cell r="HD33">
            <v>0</v>
          </cell>
          <cell r="HE33">
            <v>0</v>
          </cell>
          <cell r="HF33">
            <v>0</v>
          </cell>
          <cell r="HG33">
            <v>287974683.54430377</v>
          </cell>
          <cell r="HH33">
            <v>51086653</v>
          </cell>
          <cell r="HI33">
            <v>0</v>
          </cell>
          <cell r="HJ33">
            <v>0</v>
          </cell>
          <cell r="HK33">
            <v>4000000</v>
          </cell>
          <cell r="HL33">
            <v>84219780.424843714</v>
          </cell>
          <cell r="HM33">
            <v>0</v>
          </cell>
          <cell r="HN33">
            <v>0</v>
          </cell>
          <cell r="HO33">
            <v>0</v>
          </cell>
          <cell r="HP33">
            <v>0</v>
          </cell>
          <cell r="HQ33">
            <v>2000000</v>
          </cell>
          <cell r="HR33">
            <v>52000000</v>
          </cell>
          <cell r="HS33">
            <v>12658227.848101264</v>
          </cell>
          <cell r="HT33">
            <v>0</v>
          </cell>
          <cell r="HU33">
            <v>0</v>
          </cell>
          <cell r="HV33">
            <v>0</v>
          </cell>
          <cell r="HW33">
            <v>0</v>
          </cell>
          <cell r="HX33">
            <v>0</v>
          </cell>
          <cell r="HY33">
            <v>0</v>
          </cell>
          <cell r="HZ33">
            <v>17055000</v>
          </cell>
          <cell r="IA33">
            <v>0</v>
          </cell>
          <cell r="IB33">
            <v>0</v>
          </cell>
          <cell r="IC33">
            <v>0</v>
          </cell>
          <cell r="ID33">
            <v>0</v>
          </cell>
          <cell r="IE33">
            <v>0</v>
          </cell>
          <cell r="IF33">
            <v>0</v>
          </cell>
          <cell r="IG33">
            <v>1271402000</v>
          </cell>
          <cell r="IH33">
            <v>0</v>
          </cell>
          <cell r="II33">
            <v>0</v>
          </cell>
          <cell r="IJ33">
            <v>0</v>
          </cell>
          <cell r="IK33">
            <v>0</v>
          </cell>
          <cell r="IL33">
            <v>0</v>
          </cell>
          <cell r="IM33">
            <v>0</v>
          </cell>
          <cell r="IN33">
            <v>0</v>
          </cell>
          <cell r="IO33">
            <v>0</v>
          </cell>
          <cell r="IP33">
            <v>0</v>
          </cell>
          <cell r="IQ33">
            <v>319299318</v>
          </cell>
          <cell r="IR33">
            <v>0</v>
          </cell>
          <cell r="IS33">
            <v>0</v>
          </cell>
          <cell r="IT33">
            <v>6963291.1392405052</v>
          </cell>
          <cell r="IU33">
            <v>0</v>
          </cell>
          <cell r="IV33">
            <v>0</v>
          </cell>
          <cell r="IW33">
            <v>0</v>
          </cell>
          <cell r="IX33">
            <v>0</v>
          </cell>
          <cell r="IY33">
            <v>3194809539</v>
          </cell>
          <cell r="IZ33">
            <v>0</v>
          </cell>
          <cell r="JA33">
            <v>0</v>
          </cell>
          <cell r="JB33">
            <v>0</v>
          </cell>
          <cell r="JC33">
            <v>10800000</v>
          </cell>
          <cell r="JD33">
            <v>0</v>
          </cell>
          <cell r="JE33">
            <v>210063291.03797463</v>
          </cell>
          <cell r="JF33">
            <v>0</v>
          </cell>
          <cell r="JG33">
            <v>0</v>
          </cell>
          <cell r="JH33">
            <v>0</v>
          </cell>
          <cell r="JI33">
            <v>0</v>
          </cell>
          <cell r="JJ33">
            <v>61364316.521480076</v>
          </cell>
          <cell r="JK33">
            <v>199638947.67910379</v>
          </cell>
          <cell r="JL33">
            <v>0</v>
          </cell>
          <cell r="JM33">
            <v>3047945.2054794519</v>
          </cell>
          <cell r="JN33">
            <v>0</v>
          </cell>
          <cell r="JO33">
            <v>0</v>
          </cell>
          <cell r="JP33">
            <v>223168612.53532797</v>
          </cell>
          <cell r="JQ33">
            <v>0</v>
          </cell>
          <cell r="JR33">
            <v>0</v>
          </cell>
          <cell r="JS33">
            <v>0</v>
          </cell>
          <cell r="JT33">
            <v>0</v>
          </cell>
          <cell r="JU33">
            <v>11502620</v>
          </cell>
          <cell r="JV33">
            <v>0</v>
          </cell>
          <cell r="JW33">
            <v>0</v>
          </cell>
          <cell r="JX33">
            <v>4439629939.12677</v>
          </cell>
          <cell r="JY33">
            <v>0</v>
          </cell>
          <cell r="JZ33">
            <v>0</v>
          </cell>
          <cell r="KA33">
            <v>0</v>
          </cell>
          <cell r="KB33">
            <v>239240000</v>
          </cell>
          <cell r="KC33">
            <v>19893090.90909091</v>
          </cell>
          <cell r="KD33">
            <v>0</v>
          </cell>
          <cell r="KE33">
            <v>0</v>
          </cell>
          <cell r="KF33">
            <v>0</v>
          </cell>
          <cell r="KG33">
            <v>0</v>
          </cell>
          <cell r="KH33">
            <v>0</v>
          </cell>
          <cell r="KI33">
            <v>30921555.875824809</v>
          </cell>
          <cell r="KJ33">
            <v>0</v>
          </cell>
          <cell r="KK33">
            <v>0</v>
          </cell>
          <cell r="KL33">
            <v>63410000</v>
          </cell>
          <cell r="KM33">
            <v>3633987</v>
          </cell>
          <cell r="KN33">
            <v>0</v>
          </cell>
          <cell r="KO33">
            <v>0</v>
          </cell>
          <cell r="KP33">
            <v>0</v>
          </cell>
          <cell r="KQ33">
            <v>222256962.02531645</v>
          </cell>
          <cell r="KR33">
            <v>110255098.07275631</v>
          </cell>
          <cell r="KS33">
            <v>41891891.891891897</v>
          </cell>
          <cell r="KT33">
            <v>1628725478.0390337</v>
          </cell>
          <cell r="KU33">
            <v>0</v>
          </cell>
          <cell r="KV33">
            <v>170386087.45684695</v>
          </cell>
          <cell r="KW33">
            <v>0</v>
          </cell>
          <cell r="KX33">
            <v>1064160000</v>
          </cell>
          <cell r="KY33">
            <v>0</v>
          </cell>
          <cell r="KZ33">
            <v>467613924.05063283</v>
          </cell>
          <cell r="LA33">
            <v>0</v>
          </cell>
          <cell r="LB33">
            <v>135818181.81818181</v>
          </cell>
          <cell r="LC33">
            <v>0</v>
          </cell>
          <cell r="LD33">
            <v>87810100.115074798</v>
          </cell>
          <cell r="LE33">
            <v>492639669.62025309</v>
          </cell>
          <cell r="LF33">
            <v>0</v>
          </cell>
          <cell r="LG33">
            <v>0</v>
          </cell>
          <cell r="LH33">
            <v>0</v>
          </cell>
          <cell r="LI33">
            <v>1149160000</v>
          </cell>
          <cell r="LJ33">
            <v>1189834000</v>
          </cell>
          <cell r="LK33">
            <v>219843068.20358908</v>
          </cell>
          <cell r="LL33">
            <v>0</v>
          </cell>
          <cell r="LM33">
            <v>0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정호철" id="{09D47D2F-92C7-4CD5-8336-B5B20E222234}" userId="S::hcjung@ccej.or.kr::800af3d3-5658-4488-94b0-1ba2878b01ab" providerId="AD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G2" dT="2024-01-05T07:42:54.39" personId="{09D47D2F-92C7-4CD5-8336-B5B20E222234}" id="{AA9AA304-E7FD-437F-A543-E9F7BB6B91EA}">
    <text>미공시</text>
  </threadedComment>
  <threadedComment ref="BG3" dT="2024-01-05T07:42:54.39" personId="{09D47D2F-92C7-4CD5-8336-B5B20E222234}" id="{492789FB-499E-4232-8EC0-522E1278BEBB}">
    <text>미공시</text>
  </threadedComment>
  <threadedComment ref="BG4" dT="2024-01-05T07:42:54.39" personId="{09D47D2F-92C7-4CD5-8336-B5B20E222234}" id="{A7314884-5A3D-41DD-B42C-7E856D4A0A89}">
    <text>미공시</text>
  </threadedComment>
  <threadedComment ref="BG5" dT="2024-01-05T07:42:54.39" personId="{09D47D2F-92C7-4CD5-8336-B5B20E222234}" id="{B1C1704D-CA79-4405-AC75-76307C9764C5}">
    <text>미공시</text>
  </threadedComment>
  <threadedComment ref="BG6" dT="2024-01-05T07:42:54.39" personId="{09D47D2F-92C7-4CD5-8336-B5B20E222234}" id="{34C0553E-5297-40D4-91A7-FD6F53C7916F}">
    <text>미공시</text>
  </threadedComment>
  <threadedComment ref="BG7" dT="2024-01-05T07:42:54.39" personId="{09D47D2F-92C7-4CD5-8336-B5B20E222234}" id="{93833191-6AF9-468B-8734-1B20D11158ED}">
    <text>미공시</text>
  </threadedComment>
  <threadedComment ref="BG9" dT="2024-01-05T07:42:54.39" personId="{09D47D2F-92C7-4CD5-8336-B5B20E222234}" id="{F70D028F-88DE-4D1D-88CD-C9444E3EF2B9}">
    <text>미공시</text>
  </threadedComment>
  <threadedComment ref="BG10" dT="2024-01-05T07:42:54.39" personId="{09D47D2F-92C7-4CD5-8336-B5B20E222234}" id="{8029887A-6C2E-4C97-A4BF-08A9BFA0F886}">
    <text>미공시</text>
  </threadedComment>
  <threadedComment ref="BG11" dT="2024-01-05T07:42:54.39" personId="{09D47D2F-92C7-4CD5-8336-B5B20E222234}" id="{BEF64EA4-A7F5-4C30-AB9C-002EB37BC954}">
    <text>미공시</text>
  </threadedComment>
  <threadedComment ref="BG12" dT="2024-01-05T07:42:54.39" personId="{09D47D2F-92C7-4CD5-8336-B5B20E222234}" id="{657909F8-E41F-4577-A1C0-182A0FFA0A36}">
    <text>미공시</text>
  </threadedComment>
  <threadedComment ref="BG13" dT="2024-01-05T07:42:54.39" personId="{09D47D2F-92C7-4CD5-8336-B5B20E222234}" id="{76140300-1B84-4866-B5EA-21D5BC65779B}">
    <text>미공시</text>
  </threadedComment>
  <threadedComment ref="BG14" dT="2024-01-05T07:42:54.39" personId="{09D47D2F-92C7-4CD5-8336-B5B20E222234}" id="{B41CFC06-8D8C-45AB-8CAF-35A1368A64BB}">
    <text>미공시</text>
  </threadedComment>
  <threadedComment ref="BG16" dT="2024-01-05T07:42:54.39" personId="{09D47D2F-92C7-4CD5-8336-B5B20E222234}" id="{5558493E-7FAA-43AF-AD16-E54EFC20B8A0}">
    <text>미공시</text>
  </threadedComment>
  <threadedComment ref="AM20" dT="2023-12-28T05:43:57.87" personId="{09D47D2F-92C7-4CD5-8336-B5B20E222234}" id="{6D05A5F8-D185-4C0B-AE0F-1EE22F873018}">
    <text>동일인</text>
  </threadedComment>
  <threadedComment ref="U21" dT="2023-12-13T04:41:14.86" personId="{09D47D2F-92C7-4CD5-8336-B5B20E222234}" id="{B9BFC68A-A45C-43A5-BD6F-FA2FFA61F906}">
    <text>비영리재단 동일인</text>
  </threadedComment>
  <threadedComment ref="X21" dT="2023-12-13T04:41:22.58" personId="{09D47D2F-92C7-4CD5-8336-B5B20E222234}" id="{83E912EA-6E46-46E5-836E-0B5A36FC6315}">
    <text>비영리재단 동일인</text>
  </threadedComment>
  <threadedComment ref="AM22" dT="2023-12-28T03:04:25.17" personId="{09D47D2F-92C7-4CD5-8336-B5B20E222234}" id="{181C1E21-AB30-402C-A879-9D4624425CD1}">
    <text>동일인</text>
  </threadedComment>
  <threadedComment ref="BG23" dT="2024-01-05T07:42:54.39" personId="{09D47D2F-92C7-4CD5-8336-B5B20E222234}" id="{00BA51F4-3955-411A-B359-9073BD8F59B0}">
    <text>미공시</text>
  </threadedComment>
  <threadedComment ref="BO24" dT="2024-01-05T07:42:54.39" personId="{09D47D2F-92C7-4CD5-8336-B5B20E222234}" id="{F21E8FBE-6A13-4262-8A6A-2EB7B323C988}">
    <text>미공시</text>
  </threadedComment>
  <threadedComment ref="CH24" dT="2024-03-21T04:49:56.67" personId="{09D47D2F-92C7-4CD5-8336-B5B20E222234}" id="{166FC166-4287-4799-9E29-96926B84367B}">
    <text>수기계산 : 신용위험 / 총자산</text>
  </threadedComment>
  <threadedComment ref="BG29" dT="2024-01-05T07:42:54.39" personId="{09D47D2F-92C7-4CD5-8336-B5B20E222234}" id="{66B37E5A-A272-4419-BB9A-A83A81DDAE5A}">
    <text>미공시</text>
  </threadedComment>
  <threadedComment ref="BG30" dT="2024-01-05T07:42:54.39" personId="{09D47D2F-92C7-4CD5-8336-B5B20E222234}" id="{129B9508-81A0-47B2-A0A3-30AEB6350192}">
    <text>미공시</text>
  </threadedComment>
  <threadedComment ref="BG31" dT="2024-01-05T07:42:54.39" personId="{09D47D2F-92C7-4CD5-8336-B5B20E222234}" id="{9A00035F-146D-4FF8-A7D0-DD53150E4E96}">
    <text>미공시</text>
  </threadedComment>
  <threadedComment ref="AM32" dT="2023-12-28T05:43:57.87" personId="{09D47D2F-92C7-4CD5-8336-B5B20E222234}" id="{73186E63-912D-4C15-8DAA-D4F43D34B9D5}">
    <text>동일인</text>
  </threadedComment>
  <threadedComment ref="BG32" dT="2024-01-05T07:42:54.39" personId="{09D47D2F-92C7-4CD5-8336-B5B20E222234}" id="{EBFDF140-6328-4824-91D7-53FD810C8754}">
    <text>미공시</text>
  </threadedComment>
  <threadedComment ref="BG33" dT="2024-01-05T07:42:54.39" personId="{09D47D2F-92C7-4CD5-8336-B5B20E222234}" id="{E664B03C-44FA-4525-93A2-8ED8483FE72E}">
    <text>미공시</text>
  </threadedComment>
  <threadedComment ref="BG34" dT="2024-01-05T07:42:54.39" personId="{09D47D2F-92C7-4CD5-8336-B5B20E222234}" id="{FACA2677-81DE-49BF-91D2-4978CF89E6A1}">
    <text>미공시</text>
  </threadedComment>
  <threadedComment ref="BG37" dT="2024-01-05T07:42:54.39" personId="{09D47D2F-92C7-4CD5-8336-B5B20E222234}" id="{1D7FA3DD-21AE-4D95-BE7B-42876B468722}">
    <text>미공시</text>
  </threadedComment>
  <threadedComment ref="AM38" dT="2023-12-28T04:16:31.29" personId="{09D47D2F-92C7-4CD5-8336-B5B20E222234}" id="{60E7DB0A-35A9-477C-A1E4-0138345DDF9C}">
    <text>동일인</text>
  </threadedComment>
  <threadedComment ref="BG39" dT="2024-01-05T07:42:54.39" personId="{09D47D2F-92C7-4CD5-8336-B5B20E222234}" id="{FEBA29B8-22C2-419B-B0BE-8B2DCF3A6214}">
    <text>미공시</text>
  </threadedComment>
  <threadedComment ref="BG40" dT="2024-01-05T07:42:54.39" personId="{09D47D2F-92C7-4CD5-8336-B5B20E222234}" id="{FD4BE536-9499-4FA9-9043-55424F3AB1A5}">
    <text>미공시</text>
  </threadedComment>
  <threadedComment ref="BG41" dT="2024-01-05T07:42:54.39" personId="{09D47D2F-92C7-4CD5-8336-B5B20E222234}" id="{F513BEE0-FE36-4F0E-A1CE-7CE6AD567D7B}">
    <text>미공시</text>
  </threadedComment>
  <threadedComment ref="BG42" dT="2024-01-05T07:42:54.39" personId="{09D47D2F-92C7-4CD5-8336-B5B20E222234}" id="{658EFE60-C1F8-449F-B230-83B7D2F049F9}">
    <text>미공시</text>
  </threadedComment>
  <threadedComment ref="BG45" dT="2024-01-05T07:42:54.39" personId="{09D47D2F-92C7-4CD5-8336-B5B20E222234}" id="{EDFD8DCB-A4CC-4949-A111-CB9C485C9387}">
    <text>미공시</text>
  </threadedComment>
  <threadedComment ref="BG46" dT="2024-01-05T07:42:54.39" personId="{09D47D2F-92C7-4CD5-8336-B5B20E222234}" id="{92E1B341-9305-4576-9D3B-C29CC657989F}">
    <text>미공시</text>
  </threadedComment>
  <threadedComment ref="U47" dT="2023-12-13T03:14:20.17" personId="{09D47D2F-92C7-4CD5-8336-B5B20E222234}" id="{89670DD3-F15B-430E-A83B-C4505337B5D5}">
    <text>국민연금 대주주 동일인 없음</text>
  </threadedComment>
  <threadedComment ref="BG47" dT="2024-01-05T07:42:54.39" personId="{09D47D2F-92C7-4CD5-8336-B5B20E222234}" id="{F1C47A28-1882-43FD-90E4-5B48EF5DE88B}">
    <text>미공시</text>
  </threadedComment>
  <threadedComment ref="U48" dT="2023-12-13T03:14:20.17" personId="{09D47D2F-92C7-4CD5-8336-B5B20E222234}" id="{A7EBB443-BFB1-400D-9A21-CD602454288C}">
    <text>국민연금 대주주 동일인 없음</text>
  </threadedComment>
  <threadedComment ref="BG48" dT="2024-01-05T07:42:54.39" personId="{09D47D2F-92C7-4CD5-8336-B5B20E222234}" id="{88414A7B-32E8-4F87-9BDC-2E9C89EAA71F}">
    <text>미공시</text>
  </threadedComment>
  <threadedComment ref="AM51" dT="2023-12-28T02:12:07.47" personId="{09D47D2F-92C7-4CD5-8336-B5B20E222234}" id="{6B0A4E94-6D6A-49F2-A048-DAC8D5ED315F}">
    <text>동일인</text>
  </threadedComment>
  <threadedComment ref="BG51" dT="2024-01-05T07:42:54.39" personId="{09D47D2F-92C7-4CD5-8336-B5B20E222234}" id="{6FFCF986-C87C-4C60-B9DC-42C6B8722B52}">
    <text>미공시</text>
  </threadedComment>
  <threadedComment ref="BG53" dT="2024-01-05T07:42:54.39" personId="{09D47D2F-92C7-4CD5-8336-B5B20E222234}" id="{EDA82C12-163F-4752-9B1A-0DD55038EE88}">
    <text>미공시</text>
  </threadedComment>
  <threadedComment ref="AM54" dT="2023-12-28T05:43:57.87" personId="{09D47D2F-92C7-4CD5-8336-B5B20E222234}" id="{485C0EB7-3443-4A7B-A9E1-74780A16BAEE}">
    <text>동일인</text>
  </threadedComment>
  <threadedComment ref="BG54" dT="2024-01-05T07:42:54.39" personId="{09D47D2F-92C7-4CD5-8336-B5B20E222234}" id="{516C9813-73ED-4BFA-A470-55167FE95DEC}">
    <text>미공시</text>
  </threadedComment>
  <threadedComment ref="AM55" dT="2023-12-28T05:02:23.83" personId="{09D47D2F-92C7-4CD5-8336-B5B20E222234}" id="{12E0EAE9-F768-4462-A4C9-B07832CE6835}">
    <text>동일인</text>
  </threadedComment>
  <threadedComment ref="BG55" dT="2024-01-05T07:42:54.39" personId="{09D47D2F-92C7-4CD5-8336-B5B20E222234}" id="{022B6CA4-F3F5-4112-BC3A-731B756E3B61}">
    <text>미공시</text>
  </threadedComment>
  <threadedComment ref="BG56" dT="2024-01-05T07:42:54.39" personId="{09D47D2F-92C7-4CD5-8336-B5B20E222234}" id="{A1F4DA78-B1CA-46C0-942F-B51369CDDDE2}">
    <text>미공시</text>
  </threadedComment>
  <threadedComment ref="BG58" dT="2024-01-05T07:42:54.39" personId="{09D47D2F-92C7-4CD5-8336-B5B20E222234}" id="{51EFED38-E60B-4A9D-B0B1-91DFE8C08A21}">
    <text>미공시</text>
  </threadedComment>
  <threadedComment ref="AM60" dT="2023-12-28T05:43:57.87" personId="{09D47D2F-92C7-4CD5-8336-B5B20E222234}" id="{69CF0892-4962-4A42-A568-82EAA02A53C1}">
    <text>동일인</text>
  </threadedComment>
  <threadedComment ref="BG60" dT="2024-01-05T07:42:54.39" personId="{09D47D2F-92C7-4CD5-8336-B5B20E222234}" id="{086C6BE3-1751-44EC-BBBF-440768E9A794}">
    <text>미공시</text>
  </threadedComment>
  <threadedComment ref="AM62" dT="2023-12-28T04:16:31.29" personId="{09D47D2F-92C7-4CD5-8336-B5B20E222234}" id="{9B1E4EA0-B49B-4283-B9D5-1448C79469B2}">
    <text>동일인</text>
  </threadedComment>
  <threadedComment ref="BG62" dT="2024-01-05T07:42:54.39" personId="{09D47D2F-92C7-4CD5-8336-B5B20E222234}" id="{B18B79CC-2BE2-4303-BC4A-22ED1FEF5D36}">
    <text>미공시</text>
  </threadedComment>
  <threadedComment ref="AM63" dT="2023-12-28T05:43:57.87" personId="{09D47D2F-92C7-4CD5-8336-B5B20E222234}" id="{FEF7E119-6EE6-4298-82C4-DE91919EBA6D}">
    <text>동일인</text>
  </threadedComment>
  <threadedComment ref="BG63" dT="2024-01-05T07:42:54.39" personId="{09D47D2F-92C7-4CD5-8336-B5B20E222234}" id="{D124675C-BE55-4BE2-B0CD-263B6F10757E}">
    <text>미공시</text>
  </threadedComment>
  <threadedComment ref="AM64" dT="2023-12-28T05:43:57.87" personId="{09D47D2F-92C7-4CD5-8336-B5B20E222234}" id="{E974FE23-5D43-4B72-8D73-A5C2F4A297BF}">
    <text>동일인</text>
  </threadedComment>
  <threadedComment ref="U66" dT="2023-12-13T04:45:55.71" personId="{09D47D2F-92C7-4CD5-8336-B5B20E222234}" id="{61B24862-6DFC-4EDF-BF14-98F03399157D}">
    <text>비영리법인 동일인</text>
  </threadedComment>
  <threadedComment ref="X66" dT="2023-12-13T04:41:22.58" personId="{09D47D2F-92C7-4CD5-8336-B5B20E222234}" id="{8D2F2EF8-CC5E-46AC-B303-E75FCDEF8471}">
    <text>비영리재단 동일인</text>
  </threadedComment>
  <threadedComment ref="BG66" dT="2024-01-05T07:42:54.39" personId="{09D47D2F-92C7-4CD5-8336-B5B20E222234}" id="{114C77A8-6E51-49FE-A0FC-96DDB2F97D04}">
    <text>미공시</text>
  </threadedComment>
  <threadedComment ref="BG67" dT="2024-01-05T07:42:54.39" personId="{09D47D2F-92C7-4CD5-8336-B5B20E222234}" id="{3F3CE0E8-8F1C-4F37-9E89-64F00AB9D39B}">
    <text>미공시</text>
  </threadedComment>
  <threadedComment ref="BG69" dT="2024-01-05T07:42:54.39" personId="{09D47D2F-92C7-4CD5-8336-B5B20E222234}" id="{2739D8EC-7FD5-4DF1-AF34-FF19053B8D05}">
    <text>미공시</text>
  </threadedComment>
  <threadedComment ref="BG70" dT="2024-01-05T07:42:54.39" personId="{09D47D2F-92C7-4CD5-8336-B5B20E222234}" id="{B47AFDDB-045A-4A44-804A-9FFD1E19D6E0}">
    <text>미공시</text>
  </threadedComment>
  <threadedComment ref="BG72" dT="2024-01-05T07:42:54.39" personId="{09D47D2F-92C7-4CD5-8336-B5B20E222234}" id="{9D576469-D704-4157-81DA-84029C303BB6}">
    <text>미공시</text>
  </threadedComment>
  <threadedComment ref="BG74" dT="2024-01-05T07:42:54.39" personId="{09D47D2F-92C7-4CD5-8336-B5B20E222234}" id="{A4736A8B-756C-44F0-BE3F-53ABD365DFC3}">
    <text>미공시</text>
  </threadedComment>
  <threadedComment ref="BG76" dT="2024-01-05T07:42:54.39" personId="{09D47D2F-92C7-4CD5-8336-B5B20E222234}" id="{3C5A7F7C-1A5F-4A6D-914C-90AC358AD204}">
    <text>미공시</text>
  </threadedComment>
  <threadedComment ref="BG77" dT="2024-01-05T07:42:54.39" personId="{09D47D2F-92C7-4CD5-8336-B5B20E222234}" id="{D2D6ECCF-F628-4474-AE90-76E598263003}">
    <text>미공시</text>
  </threadedComment>
  <threadedComment ref="V78" dT="2023-12-28T03:28:26.68" personId="{09D47D2F-92C7-4CD5-8336-B5B20E222234}" id="{91B1974E-D915-498F-AE18-5055E218BCE0}">
    <text>Dart 공시 오류</text>
  </threadedComment>
  <threadedComment ref="U79" dT="2023-12-13T00:39:35.35" personId="{09D47D2F-92C7-4CD5-8336-B5B20E222234}" id="{BFA5C3C0-D3A2-45A3-AFE1-EC0932D6AAA5}">
    <text>비영리법인 동일인</text>
  </threadedComment>
  <threadedComment ref="X79" dT="2023-12-13T00:39:45.32" personId="{09D47D2F-92C7-4CD5-8336-B5B20E222234}" id="{DBF1593E-F348-44BF-821D-3989BFF7B578}">
    <text>비영리법인 동일인</text>
  </threadedComment>
  <threadedComment ref="BG81" dT="2024-01-05T07:42:54.39" personId="{09D47D2F-92C7-4CD5-8336-B5B20E222234}" id="{36335D32-BD85-448A-BEF8-F2E3AC1B3C29}">
    <text>미공시</text>
  </threadedComment>
  <threadedComment ref="BG82" dT="2024-01-05T07:42:54.39" personId="{09D47D2F-92C7-4CD5-8336-B5B20E222234}" id="{3292E84F-B80C-4B4E-A19D-24100B8F1C1B}">
    <text>미공시</text>
  </threadedComment>
  <threadedComment ref="AM83" dT="2023-12-28T04:35:20.84" personId="{09D47D2F-92C7-4CD5-8336-B5B20E222234}" id="{B8F560EA-0964-4E78-89EC-23411980A97C}">
    <text>동일인</text>
  </threadedComment>
  <threadedComment ref="BG83" dT="2024-01-05T07:42:54.39" personId="{09D47D2F-92C7-4CD5-8336-B5B20E222234}" id="{E29E7B0F-0200-4D89-81F2-40CEA78A21C8}">
    <text>미공시</text>
  </threadedComment>
  <threadedComment ref="BG85" dT="2024-01-05T07:42:54.39" personId="{09D47D2F-92C7-4CD5-8336-B5B20E222234}" id="{8BE66964-35DE-4671-BD17-3D57D29E7B20}">
    <text>미공시</text>
  </threadedComment>
  <threadedComment ref="BG88" dT="2024-01-05T07:42:54.39" personId="{09D47D2F-92C7-4CD5-8336-B5B20E222234}" id="{3363FFC5-A899-44E0-B1D8-B6AF0355E18A}">
    <text>미공시</text>
  </threadedComment>
  <threadedComment ref="BG89" dT="2024-01-05T07:42:54.39" personId="{09D47D2F-92C7-4CD5-8336-B5B20E222234}" id="{BF7CA869-80BA-40FA-AE00-CD974AC90998}">
    <text>미공시</text>
  </threadedComment>
  <threadedComment ref="W92" dT="2023-12-15T08:39:25.29" personId="{09D47D2F-92C7-4CD5-8336-B5B20E222234}" id="{6B3EC4FF-B95D-4E3E-8EEF-1588A3931A5A}">
    <text>주주현황 누락공시</text>
  </threadedComment>
  <threadedComment ref="BG92" dT="2024-01-05T07:42:54.39" personId="{09D47D2F-92C7-4CD5-8336-B5B20E222234}" id="{F2F50BE6-65CA-4747-9C72-1AC3958961E1}">
    <text>미공시</text>
  </threadedComment>
  <threadedComment ref="BG93" dT="2024-01-05T07:42:54.39" personId="{09D47D2F-92C7-4CD5-8336-B5B20E222234}" id="{4BF9BADB-06BB-4353-9DEC-5EA870309417}">
    <text>미공시</text>
  </threadedComment>
  <threadedComment ref="BG94" dT="2024-01-05T07:42:54.39" personId="{09D47D2F-92C7-4CD5-8336-B5B20E222234}" id="{173EBB96-FB74-40F1-BB11-DF20DB0C54FD}">
    <text>미공시</text>
  </threadedComment>
  <threadedComment ref="BG95" dT="2024-01-05T07:42:54.39" personId="{09D47D2F-92C7-4CD5-8336-B5B20E222234}" id="{5799C3E3-F2AB-4647-A735-24A636EFF7E8}">
    <text>미공시</text>
  </threadedComment>
  <threadedComment ref="BG99" dT="2024-01-05T07:42:54.39" personId="{09D47D2F-92C7-4CD5-8336-B5B20E222234}" id="{C94D8AC5-4AEC-481A-B79A-C9435BE62845}">
    <text>미공시</text>
  </threadedComment>
  <threadedComment ref="BG102" dT="2024-01-05T07:42:54.39" personId="{09D47D2F-92C7-4CD5-8336-B5B20E222234}" id="{D2AA32E6-6957-48E9-B05B-D67EBAC8CF3D}">
    <text>미공시</text>
  </threadedComment>
  <threadedComment ref="BG104" dT="2024-01-05T07:42:54.39" personId="{09D47D2F-92C7-4CD5-8336-B5B20E222234}" id="{ACFBA44B-9949-4007-B1B9-0F88A4D853E9}">
    <text>미공시</text>
  </threadedComment>
  <threadedComment ref="BS104" dT="2024-01-09T02:14:32.09" personId="{09D47D2F-92C7-4CD5-8336-B5B20E222234}" id="{27F91D83-281C-4B09-B310-3AA9791EF070}">
    <text>관계사 인수합병</text>
  </threadedComment>
  <threadedComment ref="BG106" dT="2024-01-05T07:42:54.39" personId="{09D47D2F-92C7-4CD5-8336-B5B20E222234}" id="{36D87750-95E5-4AF4-9AD3-40780E98D3CE}">
    <text>미공시</text>
  </threadedComment>
  <threadedComment ref="AM107" dT="2023-12-28T01:52:12.85" personId="{09D47D2F-92C7-4CD5-8336-B5B20E222234}" id="{EBA0CEBB-A5A2-494B-976B-3872E8AB7A25}">
    <text>동일인</text>
  </threadedComment>
  <threadedComment ref="BG107" dT="2024-01-05T07:42:54.39" personId="{09D47D2F-92C7-4CD5-8336-B5B20E222234}" id="{DB268A9B-C434-48A0-B00B-4E7593EB15ED}">
    <text>미공시</text>
  </threadedComment>
  <threadedComment ref="AM109" dT="2023-12-28T05:43:57.87" personId="{09D47D2F-92C7-4CD5-8336-B5B20E222234}" id="{5D9B6F99-DF58-4D2B-8E7F-0C63FE9F5FDA}">
    <text>동일인</text>
  </threadedComment>
  <threadedComment ref="BG109" dT="2024-01-05T07:42:54.39" personId="{09D47D2F-92C7-4CD5-8336-B5B20E222234}" id="{883C925F-1F76-497F-BF38-4EE9F1586C87}">
    <text>미공시</text>
  </threadedComment>
  <threadedComment ref="AM110" dT="2023-12-28T03:04:25.17" personId="{09D47D2F-92C7-4CD5-8336-B5B20E222234}" id="{16FD38FD-17F7-495E-9F89-7244A4F6042C}">
    <text>동일인</text>
  </threadedComment>
  <threadedComment ref="BG110" dT="2024-01-05T07:42:54.39" personId="{09D47D2F-92C7-4CD5-8336-B5B20E222234}" id="{FD1CA0E4-2862-4E7A-A465-A7108642CBAC}">
    <text>미공시</text>
  </threadedComment>
  <threadedComment ref="AM112" dT="2023-12-28T04:35:20.84" personId="{09D47D2F-92C7-4CD5-8336-B5B20E222234}" id="{EDA89523-3910-4684-B4F6-386F5F491F62}">
    <text>동일인</text>
  </threadedComment>
  <threadedComment ref="BG114" dT="2024-01-05T07:42:54.39" personId="{09D47D2F-92C7-4CD5-8336-B5B20E222234}" id="{DDE93B46-2615-4F14-A473-A7082C117F7F}">
    <text>미공시</text>
  </threadedComment>
  <threadedComment ref="BG115" dT="2024-01-05T07:42:54.39" personId="{09D47D2F-92C7-4CD5-8336-B5B20E222234}" id="{435450AB-14AE-462E-8513-690580A854E4}">
    <text>미공시</text>
  </threadedComment>
  <threadedComment ref="BG116" dT="2024-01-05T07:42:54.39" personId="{09D47D2F-92C7-4CD5-8336-B5B20E222234}" id="{9BC77E54-E4B3-46CD-AD61-7081BECA77CD}">
    <text>미공시</text>
  </threadedComment>
  <threadedComment ref="AM117" dT="2023-12-28T05:43:57.87" personId="{09D47D2F-92C7-4CD5-8336-B5B20E222234}" id="{0B5F2762-535E-4491-B5DB-5D921B432432}">
    <text>동일인</text>
  </threadedComment>
  <threadedComment ref="AM119" dT="2023-12-28T05:43:57.87" personId="{09D47D2F-92C7-4CD5-8336-B5B20E222234}" id="{32C5878D-431F-4732-8EB3-83FEC5248BE2}">
    <text>동일인</text>
  </threadedComment>
  <threadedComment ref="AM120" dT="2023-12-28T05:43:57.87" personId="{09D47D2F-92C7-4CD5-8336-B5B20E222234}" id="{2AF141B0-1EFB-4B55-81F0-3911C3D1813A}">
    <text>동일인</text>
  </threadedComment>
  <threadedComment ref="AM121" dT="2023-12-28T05:43:57.87" personId="{09D47D2F-92C7-4CD5-8336-B5B20E222234}" id="{BEA13892-8101-4A6D-AA8B-801C9BB3FA11}">
    <text>동일인</text>
  </threadedComment>
  <threadedComment ref="BG121" dT="2024-01-05T07:42:54.39" personId="{09D47D2F-92C7-4CD5-8336-B5B20E222234}" id="{04A040F1-1F18-4FF2-A7EB-0B98D24A0324}">
    <text>미공시</text>
  </threadedComment>
  <threadedComment ref="BG122" dT="2024-01-05T07:42:54.39" personId="{09D47D2F-92C7-4CD5-8336-B5B20E222234}" id="{F04AEECC-8A48-486D-85C8-E764B3A87BB7}">
    <text>미공시</text>
  </threadedComment>
  <threadedComment ref="BG123" dT="2024-01-05T07:42:54.39" personId="{09D47D2F-92C7-4CD5-8336-B5B20E222234}" id="{307B1C28-0A35-4655-901E-F9642C45A1F7}">
    <text>미공시</text>
  </threadedComment>
  <threadedComment ref="BG125" dT="2024-01-05T07:42:54.39" personId="{09D47D2F-92C7-4CD5-8336-B5B20E222234}" id="{1E465C33-74EA-45E6-A6B3-ECCCC8A7E2A2}">
    <text>미공시</text>
  </threadedComment>
  <threadedComment ref="BG128" dT="2024-01-05T07:42:54.39" personId="{09D47D2F-92C7-4CD5-8336-B5B20E222234}" id="{D3512467-90C1-4727-AC5B-E5CBE58BB9F0}">
    <text>미공시</text>
  </threadedComment>
  <threadedComment ref="AM129" dT="2023-12-28T02:12:07.47" personId="{09D47D2F-92C7-4CD5-8336-B5B20E222234}" id="{D33B0551-9339-47CC-BB3B-7B6182B230F2}">
    <text>동일인</text>
  </threadedComment>
  <threadedComment ref="BG132" dT="2024-01-05T07:42:54.39" personId="{09D47D2F-92C7-4CD5-8336-B5B20E222234}" id="{F6C3BAF4-E15D-4878-86B1-8793CA335429}">
    <text>미공시</text>
  </threadedComment>
  <threadedComment ref="BG133" dT="2024-01-05T07:42:54.39" personId="{09D47D2F-92C7-4CD5-8336-B5B20E222234}" id="{0E190BC2-061C-4371-BC31-EE14021D30A6}">
    <text>미공시</text>
  </threadedComment>
  <threadedComment ref="AM134" dT="2023-12-28T05:43:57.87" personId="{09D47D2F-92C7-4CD5-8336-B5B20E222234}" id="{03D1974C-7A24-40F4-8D4D-032DF972D66E}">
    <text>동일인</text>
  </threadedComment>
  <threadedComment ref="AM135" dT="2023-12-28T05:43:57.87" personId="{09D47D2F-92C7-4CD5-8336-B5B20E222234}" id="{F8B6FC79-6AC3-4286-AE98-2412F1252328}">
    <text>동일인</text>
  </threadedComment>
  <threadedComment ref="BG135" dT="2024-01-05T07:42:54.39" personId="{09D47D2F-92C7-4CD5-8336-B5B20E222234}" id="{08C736A2-CD06-447F-B5A6-2AB470B503EB}">
    <text>미공시</text>
  </threadedComment>
  <threadedComment ref="BG137" dT="2024-01-05T07:42:54.39" personId="{09D47D2F-92C7-4CD5-8336-B5B20E222234}" id="{3B0A5C6E-2BB9-497B-88B6-2008410EEBFF}">
    <text>미공시</text>
  </threadedComment>
  <threadedComment ref="BG138" dT="2024-01-05T07:42:54.39" personId="{09D47D2F-92C7-4CD5-8336-B5B20E222234}" id="{98CD4464-B518-4AC0-A4F3-441C4AC470B1}">
    <text>미공시</text>
  </threadedComment>
  <threadedComment ref="AM140" dT="2023-12-28T04:35:20.84" personId="{09D47D2F-92C7-4CD5-8336-B5B20E222234}" id="{4145B969-2A15-40AE-9EAB-6D400D508735}">
    <text>동일인</text>
  </threadedComment>
  <threadedComment ref="BG142" dT="2024-01-05T07:42:54.39" personId="{09D47D2F-92C7-4CD5-8336-B5B20E222234}" id="{8448E939-2684-41A2-878A-203CCEC4B0CE}">
    <text>미공시</text>
  </threadedComment>
  <threadedComment ref="BG145" dT="2024-01-05T07:42:54.39" personId="{09D47D2F-92C7-4CD5-8336-B5B20E222234}" id="{9A47C3AC-0552-4ADF-BFA9-3B5C969037B9}">
    <text>미공시</text>
  </threadedComment>
  <threadedComment ref="BG146" dT="2024-01-05T07:42:54.39" personId="{09D47D2F-92C7-4CD5-8336-B5B20E222234}" id="{406A1D53-EE50-4361-91D6-C2FED47340EC}">
    <text>미공시</text>
  </threadedComment>
  <threadedComment ref="BG148" dT="2024-01-05T07:42:54.39" personId="{09D47D2F-92C7-4CD5-8336-B5B20E222234}" id="{77857671-BFC7-416F-822A-D311FA36A971}">
    <text>미공시</text>
  </threadedComment>
  <threadedComment ref="AM154" dT="2023-12-28T04:32:09.39" personId="{09D47D2F-92C7-4CD5-8336-B5B20E222234}" id="{2A0A630B-03FE-4E00-B5CE-7BDB2A75DD7A}">
    <text>동일인</text>
  </threadedComment>
  <threadedComment ref="AM155" dT="2023-12-28T05:43:57.87" personId="{09D47D2F-92C7-4CD5-8336-B5B20E222234}" id="{E1C6FBB7-0F08-4F5E-B0C7-4CF9673835AB}">
    <text>동일인</text>
  </threadedComment>
  <threadedComment ref="BG155" dT="2024-01-05T07:42:54.39" personId="{09D47D2F-92C7-4CD5-8336-B5B20E222234}" id="{3893F6ED-05D5-43BB-BF3F-3A47511E9D55}">
    <text>미공시</text>
  </threadedComment>
  <threadedComment ref="BG156" dT="2024-01-05T07:42:54.39" personId="{09D47D2F-92C7-4CD5-8336-B5B20E222234}" id="{E0CA7A40-B43E-41D7-A7E9-E8786C79A714}">
    <text>미공시</text>
  </threadedComment>
  <threadedComment ref="BG157" dT="2024-01-05T07:42:54.39" personId="{09D47D2F-92C7-4CD5-8336-B5B20E222234}" id="{54904909-EF4D-4656-B181-B8FF22B7568C}">
    <text>미공시</text>
  </threadedComment>
  <threadedComment ref="AM161" dT="2023-12-28T05:43:57.87" personId="{09D47D2F-92C7-4CD5-8336-B5B20E222234}" id="{991B4DB9-E0C3-4417-9102-8DE136BAD32C}">
    <text>동일인</text>
  </threadedComment>
  <threadedComment ref="BG162" dT="2024-01-05T07:42:54.39" personId="{09D47D2F-92C7-4CD5-8336-B5B20E222234}" id="{46CB66F5-B2CD-4F36-AC4A-2B0A90B540A1}">
    <text>미공시</text>
  </threadedComment>
  <threadedComment ref="BG163" dT="2024-01-05T07:42:54.39" personId="{09D47D2F-92C7-4CD5-8336-B5B20E222234}" id="{AAFD985F-C2C4-477A-A947-54A289EB05FD}">
    <text>미공시</text>
  </threadedComment>
  <threadedComment ref="BG165" dT="2024-01-05T07:42:54.39" personId="{09D47D2F-92C7-4CD5-8336-B5B20E222234}" id="{6360991D-39DF-416C-8FFB-582F99E25DCC}">
    <text>미공시</text>
  </threadedComment>
  <threadedComment ref="AM168" dT="2023-12-28T03:13:53.36" personId="{09D47D2F-92C7-4CD5-8336-B5B20E222234}" id="{F5B07D6A-8F0B-43FE-B969-4213FE43AB03}">
    <text>동일인</text>
  </threadedComment>
  <threadedComment ref="BG168" dT="2024-01-05T07:42:54.39" personId="{09D47D2F-92C7-4CD5-8336-B5B20E222234}" id="{580BF9E4-F44C-4E00-B942-40E6E0EA9EC5}">
    <text>미공시</text>
  </threadedComment>
  <threadedComment ref="BG171" dT="2024-01-05T07:42:54.39" personId="{09D47D2F-92C7-4CD5-8336-B5B20E222234}" id="{5BC1E829-C289-48DB-93C5-17542615372E}">
    <text>미공시</text>
  </threadedComment>
  <threadedComment ref="AM172" dT="2023-12-28T03:54:02.27" personId="{09D47D2F-92C7-4CD5-8336-B5B20E222234}" id="{B0D82AB3-9927-4FB7-BBDB-C851E6E81533}">
    <text>동일인</text>
  </threadedComment>
  <threadedComment ref="AM173" dT="2023-12-28T05:43:57.87" personId="{09D47D2F-92C7-4CD5-8336-B5B20E222234}" id="{C6D6F7BD-AA87-4B2B-B157-28E61107BD6D}">
    <text>동일인</text>
  </threadedComment>
  <threadedComment ref="BG173" dT="2024-01-05T07:42:54.39" personId="{09D47D2F-92C7-4CD5-8336-B5B20E222234}" id="{64743E15-F572-4C6D-8CF2-E43A7178DF95}">
    <text>미공시</text>
  </threadedComment>
  <threadedComment ref="BG177" dT="2024-01-05T07:42:54.39" personId="{09D47D2F-92C7-4CD5-8336-B5B20E222234}" id="{D924BD21-02DE-4DDE-AD24-4AEE93E5C39B}">
    <text>미공시</text>
  </threadedComment>
  <threadedComment ref="BG178" dT="2024-01-05T07:42:54.39" personId="{09D47D2F-92C7-4CD5-8336-B5B20E222234}" id="{1381B5D2-D3F6-4034-8B61-91739ABCDF3F}">
    <text>미공시</text>
  </threadedComment>
  <threadedComment ref="V185" dT="2023-12-28T01:31:57.62" personId="{09D47D2F-92C7-4CD5-8336-B5B20E222234}" id="{CADE798A-B3DC-4F53-B02E-D90078F5C250}">
    <text>이조영 (누락공시) 친족 간주</text>
  </threadedComment>
  <threadedComment ref="AM186" dT="2023-12-28T05:43:57.87" personId="{09D47D2F-92C7-4CD5-8336-B5B20E222234}" id="{2474763A-5E6A-4EE3-97CE-9E34DC02372B}">
    <text>동일인</text>
  </threadedComment>
  <threadedComment ref="BG186" dT="2024-01-05T07:42:54.39" personId="{09D47D2F-92C7-4CD5-8336-B5B20E222234}" id="{06CB9014-D678-4C03-AB86-BC9CEA3D1269}">
    <text>미공시</text>
  </threadedComment>
  <threadedComment ref="BG188" dT="2024-01-05T07:42:54.39" personId="{09D47D2F-92C7-4CD5-8336-B5B20E222234}" id="{47EFE0E8-0946-40C5-ACF5-430FDD4EAFE0}">
    <text>미공시</text>
  </threadedComment>
  <threadedComment ref="AM193" dT="2023-12-28T02:12:07.47" personId="{09D47D2F-92C7-4CD5-8336-B5B20E222234}" id="{5293A488-15D1-4A71-B905-F77CDE45C049}">
    <text>동일인</text>
  </threadedComment>
  <threadedComment ref="BG193" dT="2024-01-05T07:42:54.39" personId="{09D47D2F-92C7-4CD5-8336-B5B20E222234}" id="{33B669BD-7C8C-4B77-86DA-000E03B672BB}">
    <text>미공시</text>
  </threadedComment>
  <threadedComment ref="AM194" dT="2023-12-28T03:54:02.27" personId="{09D47D2F-92C7-4CD5-8336-B5B20E222234}" id="{E2ACD08E-CD7D-43F7-BAC0-6FA7B9473E88}">
    <text>동일인</text>
  </threadedComment>
  <threadedComment ref="BG194" dT="2024-01-05T07:42:54.39" personId="{09D47D2F-92C7-4CD5-8336-B5B20E222234}" id="{1AFE2A5A-907E-42D0-BB3E-00028E9AFA82}">
    <text>미공시</text>
  </threadedComment>
  <threadedComment ref="BG195" dT="2024-01-05T07:42:54.39" personId="{09D47D2F-92C7-4CD5-8336-B5B20E222234}" id="{305F585B-F3B1-4C82-BBA9-003834EC1352}">
    <text>미공시</text>
  </threadedComment>
  <threadedComment ref="U196" dT="2023-12-13T02:27:17.61" personId="{09D47D2F-92C7-4CD5-8336-B5B20E222234}" id="{9FEAB612-79C8-40DC-8995-E679DAD05E17}">
    <text>비영리법인 동일인</text>
  </threadedComment>
  <threadedComment ref="X196" dT="2023-12-13T02:27:26.97" personId="{09D47D2F-92C7-4CD5-8336-B5B20E222234}" id="{08F6EE13-75AB-411A-A9B0-E40DA81D4BF1}">
    <text>비영리법인 동일인</text>
  </threadedComment>
  <threadedComment ref="V198" dT="2023-12-11T08:03:24.63" personId="{09D47D2F-92C7-4CD5-8336-B5B20E222234}" id="{92AE167E-70E3-429A-BA8D-CD64EC87686B}">
    <text>https://img.seoul.co.kr//img/upload/2015/06/17/SSI_20150617204304.jpg</text>
    <extLst>
      <x:ext xmlns:xltc2="http://schemas.microsoft.com/office/spreadsheetml/2020/threadedcomments2" uri="{F7C98A9C-CBB3-438F-8F68-D28B6AF4A901}">
        <xltc2:checksum>86387656</xltc2:checksum>
        <xltc2:hyperlink startIndex="0" length="69" url="https://img.seoul.co.kr//img/upload/2015/06/17/SSI_20150617204304.jpg"/>
      </x:ext>
    </extLst>
  </threadedComment>
  <threadedComment ref="AM200" dT="2023-12-28T05:43:57.87" personId="{09D47D2F-92C7-4CD5-8336-B5B20E222234}" id="{525256D8-F1AF-4E5A-A6BA-564944800713}">
    <text>동일인</text>
  </threadedComment>
  <threadedComment ref="BG200" dT="2024-01-05T07:42:54.39" personId="{09D47D2F-92C7-4CD5-8336-B5B20E222234}" id="{D5CF21C5-DA6F-4ABE-8F7B-E41A9166656B}">
    <text>미공시</text>
  </threadedComment>
  <threadedComment ref="AM202" dT="2023-12-28T01:52:12.85" personId="{09D47D2F-92C7-4CD5-8336-B5B20E222234}" id="{BCD97830-6437-4B2F-BD29-41EC08FAE3C3}">
    <text>동일인</text>
  </threadedComment>
  <threadedComment ref="AM203" dT="2023-12-28T05:43:57.87" personId="{09D47D2F-92C7-4CD5-8336-B5B20E222234}" id="{DA0A9E64-91BF-4617-96C2-741B8417E9B3}">
    <text>동일인</text>
  </threadedComment>
  <threadedComment ref="BG204" dT="2024-01-05T07:42:54.39" personId="{09D47D2F-92C7-4CD5-8336-B5B20E222234}" id="{4A648317-0ED6-4C83-90D3-030DFACBBB48}">
    <text>미공시</text>
  </threadedComment>
  <threadedComment ref="AM205" dT="2023-12-28T03:45:25.89" personId="{09D47D2F-92C7-4CD5-8336-B5B20E222234}" id="{CF1AD1E8-B8D1-4BB3-BEE9-35A7D2B00A27}">
    <text>동일인 미등기(누락공시)</text>
  </threadedComment>
  <threadedComment ref="BG206" dT="2024-01-05T07:42:54.39" personId="{09D47D2F-92C7-4CD5-8336-B5B20E222234}" id="{EB40D90D-5191-43F4-B753-1C028CA73DCE}">
    <text>미공시</text>
  </threadedComment>
  <threadedComment ref="BG208" dT="2024-01-05T07:42:54.39" personId="{09D47D2F-92C7-4CD5-8336-B5B20E222234}" id="{CB0E8549-0987-4351-A94C-14ECFEA34230}">
    <text>미공시</text>
  </threadedComment>
  <threadedComment ref="AZ209" dT="2024-01-03T01:09:59.73" personId="{09D47D2F-92C7-4CD5-8336-B5B20E222234}" id="{C09685AD-A68D-4759-99FF-0EA11BF1CE88}">
    <text>미공시, 최하점</text>
  </threadedComment>
  <threadedComment ref="BG209" dT="2024-01-05T07:42:54.39" personId="{09D47D2F-92C7-4CD5-8336-B5B20E222234}" id="{FF1E1F26-088A-4026-93BE-31B353DF9DEC}">
    <text>미공시</text>
  </threadedComment>
  <threadedComment ref="AM211" dT="2023-12-28T05:43:57.87" personId="{09D47D2F-92C7-4CD5-8336-B5B20E222234}" id="{5067944B-4763-4473-8F52-2C62F213C65C}">
    <text>동일인</text>
  </threadedComment>
  <threadedComment ref="AM213" dT="2023-12-28T05:02:23.83" personId="{09D47D2F-92C7-4CD5-8336-B5B20E222234}" id="{B2409A2E-92E7-4AC3-810D-5130DB33F332}">
    <text>동일인</text>
  </threadedComment>
  <threadedComment ref="BG215" dT="2024-01-05T07:42:54.39" personId="{09D47D2F-92C7-4CD5-8336-B5B20E222234}" id="{AFCE64AC-5FBD-4AE2-9E24-A873B513D088}">
    <text>미공시</text>
  </threadedComment>
  <threadedComment ref="AM216" dT="2023-12-28T02:12:07.47" personId="{09D47D2F-92C7-4CD5-8336-B5B20E222234}" id="{B7C94831-028A-4456-913B-71C05CAB2502}">
    <text>동일인</text>
  </threadedComment>
  <threadedComment ref="AM221" dT="2023-12-28T05:43:57.87" personId="{09D47D2F-92C7-4CD5-8336-B5B20E222234}" id="{3B495411-19AE-4904-B078-FA68D62F05A8}">
    <text>동일인</text>
  </threadedComment>
  <threadedComment ref="AM223" dT="2023-12-28T05:43:57.87" personId="{09D47D2F-92C7-4CD5-8336-B5B20E222234}" id="{0080BC50-5617-4A28-B1A4-DBEA5D9563A1}">
    <text>동일인</text>
  </threadedComment>
  <threadedComment ref="AM233" dT="2023-12-27T08:30:04.65" personId="{09D47D2F-92C7-4CD5-8336-B5B20E222234}" id="{B634570B-AF44-4EA6-8E3D-AE75856A3C13}">
    <text>모회사 대주주</text>
  </threadedComment>
  <threadedComment ref="BG238" dT="2024-01-05T07:42:54.39" personId="{09D47D2F-92C7-4CD5-8336-B5B20E222234}" id="{E0519D60-7F3C-4A85-BB06-60C1CBEF49BB}">
    <text>미공시</text>
  </threadedComment>
  <threadedComment ref="AM239" dT="2023-12-28T05:43:57.87" personId="{09D47D2F-92C7-4CD5-8336-B5B20E222234}" id="{D0C0034A-5BC9-46C7-A884-C65D77805B2F}">
    <text>동일인</text>
  </threadedComment>
  <threadedComment ref="AM240" dT="2023-12-28T01:24:00.88" personId="{09D47D2F-92C7-4CD5-8336-B5B20E222234}" id="{E5675618-4230-49C9-9E1D-D461CBA7FCD3}">
    <text>윤형덕, 윤새봄 동일인 간주</text>
  </threadedComment>
  <threadedComment ref="BO240" dT="2024-01-09T03:47:16.52" personId="{09D47D2F-92C7-4CD5-8336-B5B20E222234}" id="{ECF48F09-2EE7-4160-9C7A-F64959CAF52F}">
    <text>100% 정부보조금</text>
  </threadedComment>
  <threadedComment ref="BG241" dT="2024-01-05T07:42:54.39" personId="{09D47D2F-92C7-4CD5-8336-B5B20E222234}" id="{4A8E5FBD-BA2B-42F2-8499-DB28A9F8D26A}">
    <text>미공시</text>
  </threadedComment>
  <threadedComment ref="BG242" dT="2024-01-05T07:42:54.39" personId="{09D47D2F-92C7-4CD5-8336-B5B20E222234}" id="{CDA5A381-28DA-4D09-8596-98A71F06C834}">
    <text>미공시</text>
  </threadedComment>
  <threadedComment ref="BG250" dT="2024-01-05T07:42:54.39" personId="{09D47D2F-92C7-4CD5-8336-B5B20E222234}" id="{22CFA96E-8834-4190-A2D7-2A74809EA62F}">
    <text>미공시</text>
  </threadedComment>
  <threadedComment ref="AM252" dT="2023-12-28T05:43:57.87" personId="{09D47D2F-92C7-4CD5-8336-B5B20E222234}" id="{96716474-B4FD-4B17-AB2B-D909E1D047A3}">
    <text>동일인 홍사승</text>
  </threadedComment>
  <threadedComment ref="BG260" dT="2024-01-05T07:42:54.39" personId="{09D47D2F-92C7-4CD5-8336-B5B20E222234}" id="{9AD7164C-BF75-4B7D-99AA-EE707D78D412}">
    <text>미공시</text>
  </threadedComment>
  <threadedComment ref="AZ262" dT="2024-01-03T01:09:59.73" personId="{09D47D2F-92C7-4CD5-8336-B5B20E222234}" id="{23C51839-0BBA-4D72-AE46-51EABFF220E1}">
    <text>미공시, 최하점</text>
  </threadedComment>
  <threadedComment ref="BG266" dT="2024-01-05T07:42:54.39" personId="{09D47D2F-92C7-4CD5-8336-B5B20E222234}" id="{5208D8CB-ADBB-4578-A3CD-E60495719C95}">
    <text>미공시</text>
  </threadedComment>
  <threadedComment ref="AM268" dT="2023-12-28T05:43:57.87" personId="{09D47D2F-92C7-4CD5-8336-B5B20E222234}" id="{E160A4B0-28ED-4FFE-AF8F-B60FBCA0BD2D}">
    <text>동일인</text>
  </threadedComment>
  <threadedComment ref="BG271" dT="2024-01-05T07:42:54.39" personId="{09D47D2F-92C7-4CD5-8336-B5B20E222234}" id="{EC58937C-BB62-4561-AC76-A7F144139AD6}">
    <text>미공시</text>
  </threadedComment>
  <threadedComment ref="Z280" dT="2023-12-12T02:37:41.70" personId="{09D47D2F-92C7-4CD5-8336-B5B20E222234}" id="{8A5B9FBA-55AC-4269-8DA6-631941EE108B}">
    <text>리빙소프트㈜ 특수관계 회사</text>
  </threadedComment>
  <threadedComment ref="AM284" dT="2023-12-28T05:43:57.87" personId="{09D47D2F-92C7-4CD5-8336-B5B20E222234}" id="{D716EF03-1388-4263-890E-62F41A480EAE}">
    <text>동일인</text>
  </threadedComment>
  <threadedComment ref="BG288" dT="2024-01-05T07:42:54.39" personId="{09D47D2F-92C7-4CD5-8336-B5B20E222234}" id="{87A5D2D7-8ADF-4AC3-B6E6-90ED05DB39F3}">
    <text>미공시</text>
  </threadedComment>
  <threadedComment ref="AM295" dT="2023-12-28T05:43:57.87" personId="{09D47D2F-92C7-4CD5-8336-B5B20E222234}" id="{DE8CD95B-EC1A-4474-9A92-5A68ACFEE10E}">
    <text>동일인</text>
  </threadedComment>
  <threadedComment ref="V299" dT="2023-12-28T03:16:41.45" personId="{09D47D2F-92C7-4CD5-8336-B5B20E222234}" id="{9C0CF271-08ED-45E3-AA4F-48A8BEC9696B}">
    <text>윤영만 누락공시 친족 간주</text>
  </threadedComment>
  <threadedComment ref="BG299" dT="2024-01-05T07:42:54.39" personId="{09D47D2F-92C7-4CD5-8336-B5B20E222234}" id="{FEE76BBC-ECC9-4D97-8A6E-5595DEDE5560}">
    <text>미공시</text>
  </threadedComment>
  <threadedComment ref="AM302" dT="2023-12-28T05:02:23.83" personId="{09D47D2F-92C7-4CD5-8336-B5B20E222234}" id="{F29FDDC3-6513-4464-A022-DA97015C0843}">
    <text>동일인</text>
  </threadedComment>
  <threadedComment ref="BG302" dT="2024-01-05T07:42:54.39" personId="{09D47D2F-92C7-4CD5-8336-B5B20E222234}" id="{33581963-77AA-4094-9696-C545D6ACB5C7}">
    <text>미공시</text>
  </threadedComment>
  <threadedComment ref="AM307" dT="2023-12-28T05:43:57.87" personId="{09D47D2F-92C7-4CD5-8336-B5B20E222234}" id="{F9627E93-B60F-4065-A51A-E83E8A044579}">
    <text>동일인</text>
  </threadedComment>
  <threadedComment ref="AM308" dT="2023-12-27T08:30:04.65" personId="{09D47D2F-92C7-4CD5-8336-B5B20E222234}" id="{60CB7DDB-6421-438F-A9E6-6BE150CA8FF7}">
    <text>모회사 대주주</text>
  </threadedComment>
  <threadedComment ref="BG311" dT="2024-01-05T07:42:54.39" personId="{09D47D2F-92C7-4CD5-8336-B5B20E222234}" id="{1E49AE7D-369C-45B2-B4D5-3F3EA97579DF}">
    <text>미공시</text>
  </threadedComment>
  <threadedComment ref="V313" dT="2023-12-12T08:51:53.73" personId="{09D47D2F-92C7-4CD5-8336-B5B20E222234}" id="{5EADAFB0-496D-49D3-8C9D-B689C84331A3}">
    <text>엔디케이㈜ 총수일가</text>
  </threadedComment>
  <threadedComment ref="AM314" dT="2023-12-28T05:43:57.87" personId="{09D47D2F-92C7-4CD5-8336-B5B20E222234}" id="{BBD9EDEF-3D53-4719-91A7-F29353F98BAF}">
    <text>동일인</text>
  </threadedComment>
  <threadedComment ref="AM316" dT="2023-12-28T03:13:53.36" personId="{09D47D2F-92C7-4CD5-8336-B5B20E222234}" id="{E638A0A8-F9A9-4FC6-AB46-D8A7F98D66EA}">
    <text>동일인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M2" dT="2023-12-28T05:43:57.87" personId="{09D47D2F-92C7-4CD5-8336-B5B20E222234}" id="{DBEE9557-BA09-4825-BF5B-17B3A454FC5F}">
    <text>동일인</text>
  </threadedComment>
  <threadedComment ref="BG2" dT="2024-01-05T07:42:54.39" personId="{09D47D2F-92C7-4CD5-8336-B5B20E222234}" id="{A33C10C6-CC9B-4FFB-9585-B220D0DFEDB4}">
    <text>미공시</text>
  </threadedComment>
  <threadedComment ref="BG5" dT="2024-01-05T07:42:54.39" personId="{09D47D2F-92C7-4CD5-8336-B5B20E222234}" id="{F6F7524D-65DA-483F-A0BA-DC1CA81B5508}">
    <text>미공시</text>
  </threadedComment>
  <threadedComment ref="AM6" dT="2023-12-28T05:43:57.87" personId="{09D47D2F-92C7-4CD5-8336-B5B20E222234}" id="{EA311704-5B6F-4DAB-8FDF-DA7E4F3293FC}">
    <text>동일인</text>
  </threadedComment>
  <threadedComment ref="BG6" dT="2024-01-05T07:42:54.39" personId="{09D47D2F-92C7-4CD5-8336-B5B20E222234}" id="{3C774BF5-7CEE-4190-9CC6-C90409EECDF1}">
    <text>미공시</text>
  </threadedComment>
  <threadedComment ref="BG7" dT="2024-01-05T07:42:54.39" personId="{09D47D2F-92C7-4CD5-8336-B5B20E222234}" id="{328B2304-83CD-41E4-B39D-C90BB6ECD2FA}">
    <text>미공시</text>
  </threadedComment>
  <threadedComment ref="BG8" dT="2024-01-05T07:42:54.39" personId="{09D47D2F-92C7-4CD5-8336-B5B20E222234}" id="{6821C1F7-1C4E-49E9-A69E-AB8271DB54F5}">
    <text>미공시</text>
  </threadedComment>
  <threadedComment ref="AM9" dT="2023-12-28T05:43:57.87" personId="{09D47D2F-92C7-4CD5-8336-B5B20E222234}" id="{D0CCA1E4-3705-417F-AED8-FE6D9EE6B2C9}">
    <text>동일인</text>
  </threadedComment>
  <threadedComment ref="BG9" dT="2024-01-05T07:42:54.39" personId="{09D47D2F-92C7-4CD5-8336-B5B20E222234}" id="{F88C4490-95B7-4E46-8C4A-778CCE800AA1}">
    <text>미공시</text>
  </threadedComment>
  <threadedComment ref="AM11" dT="2023-12-28T05:43:57.87" personId="{09D47D2F-92C7-4CD5-8336-B5B20E222234}" id="{94D29EAF-C772-4085-BF38-A771E9B3854F}">
    <text>동일인</text>
  </threadedComment>
  <threadedComment ref="BG11" dT="2024-01-05T07:42:54.39" personId="{09D47D2F-92C7-4CD5-8336-B5B20E222234}" id="{AA84A882-9317-4F14-97DE-AC8C1A5E7281}">
    <text>미공시</text>
  </threadedComment>
  <threadedComment ref="BG13" dT="2024-01-05T07:42:54.39" personId="{09D47D2F-92C7-4CD5-8336-B5B20E222234}" id="{0FDE95BB-EE4F-43F6-B928-D1A4694B2816}">
    <text>미공시</text>
  </threadedComment>
  <threadedComment ref="BG16" dT="2024-01-05T07:42:54.39" personId="{09D47D2F-92C7-4CD5-8336-B5B20E222234}" id="{8538BD89-0268-49D8-B57E-2A466A4B4D71}">
    <text>미공시</text>
  </threadedComment>
  <threadedComment ref="AM19" dT="2023-12-28T05:43:57.87" personId="{09D47D2F-92C7-4CD5-8336-B5B20E222234}" id="{AB3E3060-AC83-4A44-B5A2-9BA5ECAB20B1}">
    <text>동일인</text>
  </threadedComment>
  <threadedComment ref="BG20" dT="2024-01-05T07:42:54.39" personId="{09D47D2F-92C7-4CD5-8336-B5B20E222234}" id="{90D6338B-90F7-4AA8-9344-A50D06709966}">
    <text>미공시</text>
  </threadedComment>
  <threadedComment ref="BG21" dT="2024-01-05T07:42:54.39" personId="{09D47D2F-92C7-4CD5-8336-B5B20E222234}" id="{63E086E1-DADA-4F0A-87A8-964539E11AE2}">
    <text>미공시</text>
  </threadedComment>
  <threadedComment ref="BG23" dT="2024-01-05T07:42:54.39" personId="{09D47D2F-92C7-4CD5-8336-B5B20E222234}" id="{57144C22-DAA8-49B8-BB0F-FFAE9827A4C5}">
    <text>미공시</text>
  </threadedComment>
  <threadedComment ref="AM24" dT="2023-12-28T05:43:57.87" personId="{09D47D2F-92C7-4CD5-8336-B5B20E222234}" id="{A0EEBA11-0E77-419A-98B9-BB5A482B0EE1}">
    <text>동일인</text>
  </threadedComment>
  <threadedComment ref="AM25" dT="2023-12-28T05:43:57.87" personId="{09D47D2F-92C7-4CD5-8336-B5B20E222234}" id="{F5004F49-885F-4828-9E05-BF91518C3C3A}">
    <text>동일인</text>
  </threadedComment>
  <threadedComment ref="BG25" dT="2024-01-05T07:42:54.39" personId="{09D47D2F-92C7-4CD5-8336-B5B20E222234}" id="{97DD115F-C390-4804-AF0C-B3AF6D531316}">
    <text>미공시</text>
  </threadedComment>
  <threadedComment ref="AM26" dT="2023-12-28T05:43:57.87" personId="{09D47D2F-92C7-4CD5-8336-B5B20E222234}" id="{DF9AF9C7-8339-4494-ADB2-F8C2AE5160E5}">
    <text>동일인</text>
  </threadedComment>
  <threadedComment ref="BG27" dT="2024-01-05T07:42:54.39" personId="{09D47D2F-92C7-4CD5-8336-B5B20E222234}" id="{21C06C91-5599-4C70-BB92-F7ADFB7E83CE}">
    <text>미공시</text>
  </threadedComment>
  <threadedComment ref="BG29" dT="2024-01-05T07:42:54.39" personId="{09D47D2F-92C7-4CD5-8336-B5B20E222234}" id="{5EBCBA1A-D5FC-40B4-86BA-CBDE2E28A0CE}">
    <text>미공시</text>
  </threadedComment>
  <threadedComment ref="BG30" dT="2024-01-05T07:42:54.39" personId="{09D47D2F-92C7-4CD5-8336-B5B20E222234}" id="{D365CEE5-CDAC-4E62-8C92-6A857147184D}">
    <text>미공시</text>
  </threadedComment>
  <threadedComment ref="BG31" dT="2024-01-05T07:42:54.39" personId="{09D47D2F-92C7-4CD5-8336-B5B20E222234}" id="{C4318128-B0DF-4109-89BC-0292155253B3}">
    <text>미공시</text>
  </threadedComment>
  <threadedComment ref="BG32" dT="2024-01-05T07:42:54.39" personId="{09D47D2F-92C7-4CD5-8336-B5B20E222234}" id="{0F8D4DDF-7B7B-4040-BDA1-277E061A18D7}">
    <text>미공시</text>
  </threadedComment>
  <threadedComment ref="BG33" dT="2024-01-05T07:42:54.39" personId="{09D47D2F-92C7-4CD5-8336-B5B20E222234}" id="{A18629D9-A3F0-4591-BC79-6E48A206F604}">
    <text>미공시</text>
  </threadedComment>
  <threadedComment ref="AM34" dT="2023-12-28T05:43:57.87" personId="{09D47D2F-92C7-4CD5-8336-B5B20E222234}" id="{E2675718-ED43-42B5-AA0E-556FDFDA6878}">
    <text>동일인</text>
  </threadedComment>
  <threadedComment ref="BG34" dT="2024-01-05T07:42:54.39" personId="{09D47D2F-92C7-4CD5-8336-B5B20E222234}" id="{538A4F67-7D89-4391-A7B7-B04BC7F22A14}">
    <text>미공시</text>
  </threadedComment>
  <threadedComment ref="BG35" dT="2024-01-05T07:42:54.39" personId="{09D47D2F-92C7-4CD5-8336-B5B20E222234}" id="{18FE1370-52E7-439B-9C31-54A84B83FFC9}">
    <text>미공시</text>
  </threadedComment>
  <threadedComment ref="BG41" dT="2024-01-05T07:42:54.39" personId="{09D47D2F-92C7-4CD5-8336-B5B20E222234}" id="{53B648E5-5587-458B-90EE-8A328B20DB4D}">
    <text>미공시</text>
  </threadedComment>
  <threadedComment ref="AM42" dT="2023-12-28T05:43:57.87" personId="{09D47D2F-92C7-4CD5-8336-B5B20E222234}" id="{EDAA9BA5-E59C-487D-AED9-7AB7E11BC781}">
    <text>동일인</text>
  </threadedComment>
  <threadedComment ref="AM45" dT="2023-12-28T05:43:57.87" personId="{09D47D2F-92C7-4CD5-8336-B5B20E222234}" id="{5E83AE71-3625-4674-B2AF-BC147E0DB05B}">
    <text>동일인</text>
  </threadedComment>
  <threadedComment ref="BG45" dT="2024-01-05T07:42:54.39" personId="{09D47D2F-92C7-4CD5-8336-B5B20E222234}" id="{47E30F68-AAB3-463B-B68B-B54935B5C623}">
    <text>미공시</text>
  </threadedComment>
  <threadedComment ref="AM48" dT="2023-12-28T05:43:57.87" personId="{09D47D2F-92C7-4CD5-8336-B5B20E222234}" id="{9D7FDB97-C1C6-454C-B305-DD90A6E4BD67}">
    <text>동일인</text>
  </threadedComment>
  <threadedComment ref="BG48" dT="2024-01-05T07:42:54.39" personId="{09D47D2F-92C7-4CD5-8336-B5B20E222234}" id="{CD3D630E-0F58-4ABF-B40F-E54FEDCB8BE7}">
    <text>미공시</text>
  </threadedComment>
  <threadedComment ref="AM49" dT="2023-12-28T05:43:57.87" personId="{09D47D2F-92C7-4CD5-8336-B5B20E222234}" id="{1D9AE957-363E-4DB9-938F-DA03B495FD31}">
    <text>동일인</text>
  </threadedComment>
  <threadedComment ref="BG49" dT="2024-01-05T07:42:54.39" personId="{09D47D2F-92C7-4CD5-8336-B5B20E222234}" id="{C505B658-C342-4BD0-8E1C-F08F9D941581}">
    <text>미공시</text>
  </threadedComment>
  <threadedComment ref="BG54" dT="2024-01-05T07:42:54.39" personId="{09D47D2F-92C7-4CD5-8336-B5B20E222234}" id="{02D4349B-A427-4828-B15B-B473A79ED355}">
    <text>미공시</text>
  </threadedComment>
  <threadedComment ref="BG55" dT="2024-01-05T07:42:54.39" personId="{09D47D2F-92C7-4CD5-8336-B5B20E222234}" id="{812DD7D6-4DB5-48C8-9369-8C074B68CA0C}">
    <text>미공시</text>
  </threadedComment>
  <threadedComment ref="V58" dT="2023-12-11T08:03:24.63" personId="{09D47D2F-92C7-4CD5-8336-B5B20E222234}" id="{8C745FFC-3226-4C1A-A715-24192DA9F978}">
    <text>https://img.seoul.co.kr//img/upload/2015/06/17/SSI_20150617204304.jpg</text>
    <extLst>
      <x:ext xmlns:xltc2="http://schemas.microsoft.com/office/spreadsheetml/2020/threadedcomments2" uri="{F7C98A9C-CBB3-438F-8F68-D28B6AF4A901}">
        <xltc2:checksum>86387656</xltc2:checksum>
        <xltc2:hyperlink startIndex="0" length="69" url="https://img.seoul.co.kr//img/upload/2015/06/17/SSI_20150617204304.jpg"/>
      </x:ext>
    </extLst>
  </threadedComment>
  <threadedComment ref="BG62" dT="2024-01-05T07:42:54.39" personId="{09D47D2F-92C7-4CD5-8336-B5B20E222234}" id="{4D38274A-D3D8-41BD-B471-94F9FBD2A1E2}">
    <text>미공시</text>
  </threadedComment>
  <threadedComment ref="BG65" dT="2024-01-05T07:42:54.39" personId="{09D47D2F-92C7-4CD5-8336-B5B20E222234}" id="{38A86182-3C91-41D8-9C0E-CB0AA808037F}">
    <text>미공시</text>
  </threadedComment>
  <threadedComment ref="BG72" dT="2024-01-05T07:42:54.39" personId="{09D47D2F-92C7-4CD5-8336-B5B20E222234}" id="{C88ED3B0-D88B-4C2A-8735-321664EF3ECD}">
    <text>미공시</text>
  </threadedComment>
  <threadedComment ref="AM74" dT="2023-12-28T05:43:57.87" personId="{09D47D2F-92C7-4CD5-8336-B5B20E222234}" id="{C31A0714-1A75-45C3-8AC0-2ED7CD845946}">
    <text>동일인</text>
  </threadedComment>
  <threadedComment ref="AM75" dT="2023-12-28T05:43:57.87" personId="{09D47D2F-92C7-4CD5-8336-B5B20E222234}" id="{505402D8-B92F-4B42-BE04-C854A710BECC}">
    <text>동일인</text>
  </threadedComment>
  <threadedComment ref="BG75" dT="2024-01-05T07:42:54.39" personId="{09D47D2F-92C7-4CD5-8336-B5B20E222234}" id="{8C80216E-D638-4154-AC4C-F06986B8B004}">
    <text>미공시</text>
  </threadedComment>
  <threadedComment ref="AM78" dT="2023-12-28T05:43:57.87" personId="{09D47D2F-92C7-4CD5-8336-B5B20E222234}" id="{05258974-DBDB-4CA1-903B-AE14AE689896}">
    <text>동일인</text>
  </threadedComment>
  <threadedComment ref="AM80" dT="2023-12-28T05:43:57.87" personId="{09D47D2F-92C7-4CD5-8336-B5B20E222234}" id="{BCD21505-4C10-4953-B094-D2937BB67EE8}">
    <text>동일인</text>
  </threadedComment>
  <threadedComment ref="BG81" dT="2024-01-05T07:42:54.39" personId="{09D47D2F-92C7-4CD5-8336-B5B20E222234}" id="{BD973C3F-A1AA-44D1-9C03-F890F14E9F75}">
    <text>미공시</text>
  </threadedComment>
  <threadedComment ref="AM83" dT="2023-12-28T05:43:57.87" personId="{09D47D2F-92C7-4CD5-8336-B5B20E222234}" id="{0C5739FC-7EE5-4F10-AACB-915511B0FE17}">
    <text>동일인</text>
  </threadedComment>
  <threadedComment ref="BG87" dT="2024-01-05T07:42:54.39" personId="{09D47D2F-92C7-4CD5-8336-B5B20E222234}" id="{E9BCFF98-E3FD-4166-B047-390B8221E710}">
    <text>미공시</text>
  </threadedComment>
  <threadedComment ref="Z89" dT="2023-12-12T02:37:41.70" personId="{09D47D2F-92C7-4CD5-8336-B5B20E222234}" id="{F3A97E8E-61D9-4CCB-AA3B-F272CACD8503}">
    <text>리빙소프트㈜ 특수관계 회사</text>
  </threadedComment>
  <threadedComment ref="BG91" dT="2024-01-05T07:42:54.39" personId="{09D47D2F-92C7-4CD5-8336-B5B20E222234}" id="{9866DD40-D421-425A-8D4B-6AE4A8534AD6}">
    <text>미공시</text>
  </threadedComment>
  <threadedComment ref="BG102" dT="2024-01-05T07:42:54.39" personId="{09D47D2F-92C7-4CD5-8336-B5B20E222234}" id="{D930A360-041B-4B56-9FD3-A6BDFB176AA8}">
    <text>미공시</text>
  </threadedComment>
  <threadedComment ref="BG108" dT="2024-01-05T07:42:54.39" personId="{09D47D2F-92C7-4CD5-8336-B5B20E222234}" id="{7684B7E4-AD90-4ECB-9203-58880EB989E9}">
    <text>미공시</text>
  </threadedComment>
  <threadedComment ref="BG109" dT="2024-01-05T07:42:54.39" personId="{09D47D2F-92C7-4CD5-8336-B5B20E222234}" id="{80BD8C05-87D7-41AA-9333-B92DF53EE091}">
    <text>미공시</text>
  </threadedComment>
  <threadedComment ref="BG115" dT="2024-01-05T07:42:54.39" personId="{09D47D2F-92C7-4CD5-8336-B5B20E222234}" id="{FE62C169-EADC-4153-BDF4-7E1B7E03A2AB}">
    <text>미공시</text>
  </threadedComment>
  <threadedComment ref="BG117" dT="2024-01-05T07:42:54.39" personId="{09D47D2F-92C7-4CD5-8336-B5B20E222234}" id="{D75ACE61-156B-4D0B-B461-18D436663B16}">
    <text>미공시</text>
  </threadedComment>
  <threadedComment ref="BG121" dT="2024-01-05T07:42:54.39" personId="{09D47D2F-92C7-4CD5-8336-B5B20E222234}" id="{EB7F6191-0E87-47DF-A897-A142DD8FF662}">
    <text>미공시</text>
  </threadedComment>
  <threadedComment ref="AM122" dT="2023-12-28T05:43:57.87" personId="{09D47D2F-92C7-4CD5-8336-B5B20E222234}" id="{70F36C22-FA19-46E8-9452-176C2AA8CC6F}">
    <text>동일인</text>
  </threadedComment>
  <threadedComment ref="AZ131" dT="2024-01-03T01:09:59.73" personId="{09D47D2F-92C7-4CD5-8336-B5B20E222234}" id="{9F1476D4-B82A-4DD6-A7AE-0E9BF8D0445C}">
    <text>미공시, 최하점</text>
  </threadedComment>
  <threadedComment ref="AM132" dT="2023-12-28T05:43:57.87" personId="{09D47D2F-92C7-4CD5-8336-B5B20E222234}" id="{03CFABB1-A835-4C0B-9C6B-DF8EADC0B37D}">
    <text>동일인</text>
  </threadedComment>
  <threadedComment ref="AM133" dT="2023-12-28T05:43:57.87" personId="{09D47D2F-92C7-4CD5-8336-B5B20E222234}" id="{5AA8248D-44CE-40BF-BFC9-1ADA101C18DC}">
    <text>동일인</text>
  </threadedComment>
  <threadedComment ref="BG134" dT="2024-01-05T07:42:54.39" personId="{09D47D2F-92C7-4CD5-8336-B5B20E222234}" id="{72E9227B-6C3B-4B41-83BB-FE7C833661AF}">
    <text>미공시</text>
  </threadedComment>
  <threadedComment ref="BG135" dT="2024-01-05T07:42:54.39" personId="{09D47D2F-92C7-4CD5-8336-B5B20E222234}" id="{A7696E0F-B610-47B4-AADC-8A9AB79AE1E5}">
    <text>미공시</text>
  </threadedComment>
  <threadedComment ref="BG136" dT="2024-01-05T07:42:54.39" personId="{09D47D2F-92C7-4CD5-8336-B5B20E222234}" id="{A93467C9-2ABD-4567-9FA3-E7571F78B127}">
    <text>미공시</text>
  </threadedComment>
  <threadedComment ref="BG138" dT="2024-01-05T07:42:54.39" personId="{09D47D2F-92C7-4CD5-8336-B5B20E222234}" id="{2FF6FFBF-B09B-4EFB-88F8-A59A04EA134A}">
    <text>미공시</text>
  </threadedComment>
  <threadedComment ref="BG139" dT="2024-01-05T07:42:54.39" personId="{09D47D2F-92C7-4CD5-8336-B5B20E222234}" id="{1C781E54-AEFA-4AED-817F-0A5837B60CA4}">
    <text>미공시</text>
  </threadedComment>
  <threadedComment ref="BG140" dT="2024-01-05T07:42:54.39" personId="{09D47D2F-92C7-4CD5-8336-B5B20E222234}" id="{F195E195-5B72-4450-B9EE-E9FF6E2D45D1}">
    <text>미공시</text>
  </threadedComment>
  <threadedComment ref="BG141" dT="2024-01-05T07:42:54.39" personId="{09D47D2F-92C7-4CD5-8336-B5B20E222234}" id="{55F213C6-1235-4378-84E5-FB63C641F799}">
    <text>미공시</text>
  </threadedComment>
  <threadedComment ref="BG142" dT="2024-01-05T07:42:54.39" personId="{09D47D2F-92C7-4CD5-8336-B5B20E222234}" id="{A9D2C902-1C75-4A23-BF0B-64C64AB5E013}">
    <text>미공시</text>
  </threadedComment>
  <threadedComment ref="BG143" dT="2024-01-05T07:42:54.39" personId="{09D47D2F-92C7-4CD5-8336-B5B20E222234}" id="{09D2C313-2C7C-427F-80A9-08D9BB6E75A6}">
    <text>미공시</text>
  </threadedComment>
  <threadedComment ref="AM145" dT="2023-12-28T05:43:57.87" personId="{09D47D2F-92C7-4CD5-8336-B5B20E222234}" id="{E1229ED2-D7E9-430F-B926-B02354596E83}">
    <text>동일인</text>
  </threadedComment>
  <threadedComment ref="BG145" dT="2024-01-05T07:42:54.39" personId="{09D47D2F-92C7-4CD5-8336-B5B20E222234}" id="{3251B6D9-5050-4550-B234-3DBE373D8C36}">
    <text>미공시</text>
  </threadedComment>
  <threadedComment ref="BG146" dT="2024-01-05T07:42:54.39" personId="{09D47D2F-92C7-4CD5-8336-B5B20E222234}" id="{95CB7DE6-1D4B-42FF-B18C-780BB06E641E}">
    <text>미공시</text>
  </threadedComment>
  <threadedComment ref="BS146" dT="2024-01-09T02:14:32.09" personId="{09D47D2F-92C7-4CD5-8336-B5B20E222234}" id="{5B9658F7-F4A2-4B92-BB02-929538C97ADA}">
    <text>관계사 인수합병</text>
  </threadedComment>
  <threadedComment ref="W150" dT="2023-12-15T08:39:25.29" personId="{09D47D2F-92C7-4CD5-8336-B5B20E222234}" id="{B98761B8-1C96-4230-82A2-F0BF14CC8F07}">
    <text>주주현황 누락공시</text>
  </threadedComment>
  <threadedComment ref="BG150" dT="2024-01-05T07:42:54.39" personId="{09D47D2F-92C7-4CD5-8336-B5B20E222234}" id="{0871EB36-5863-42ED-BAB1-52C3FE0B8998}">
    <text>미공시</text>
  </threadedComment>
  <threadedComment ref="BG153" dT="2024-01-05T07:42:54.39" personId="{09D47D2F-92C7-4CD5-8336-B5B20E222234}" id="{12B1B9E8-D97E-42FF-AEEF-502F79DDD3FA}">
    <text>미공시</text>
  </threadedComment>
  <threadedComment ref="BG157" dT="2024-01-05T07:42:54.39" personId="{09D47D2F-92C7-4CD5-8336-B5B20E222234}" id="{435FBCE6-9C3D-4167-BC09-E7EFF13BF784}">
    <text>미공시</text>
  </threadedComment>
  <threadedComment ref="AM159" dT="2023-12-28T05:43:57.87" personId="{09D47D2F-92C7-4CD5-8336-B5B20E222234}" id="{7E92101C-A348-434F-B19D-4504ABBE1751}">
    <text>동일인</text>
  </threadedComment>
  <threadedComment ref="AM161" dT="2023-12-27T08:30:04.65" personId="{09D47D2F-92C7-4CD5-8336-B5B20E222234}" id="{A0DEF2D6-FC28-4AC9-B2F2-1635CBEF0A91}">
    <text>모회사 대주주</text>
  </threadedComment>
  <threadedComment ref="AM163" dT="2023-12-27T08:30:04.65" personId="{09D47D2F-92C7-4CD5-8336-B5B20E222234}" id="{BAE15A30-2148-49EB-BF60-F8303FD00D82}">
    <text>모회사 대주주</text>
  </threadedComment>
  <threadedComment ref="BG164" dT="2024-01-05T07:42:54.39" personId="{09D47D2F-92C7-4CD5-8336-B5B20E222234}" id="{BDF105AC-DDD3-4239-9DE7-884731E312D1}">
    <text>미공시</text>
  </threadedComment>
  <threadedComment ref="BG166" dT="2024-01-05T07:42:54.39" personId="{09D47D2F-92C7-4CD5-8336-B5B20E222234}" id="{C283B724-E6FE-4FD5-A048-A07C76B232B6}">
    <text>미공시</text>
  </threadedComment>
  <threadedComment ref="AM168" dT="2023-12-28T05:43:57.87" personId="{09D47D2F-92C7-4CD5-8336-B5B20E222234}" id="{CCFC07A1-08DA-41CF-BD1E-236C105A6B76}">
    <text>동일인</text>
  </threadedComment>
  <threadedComment ref="BG169" dT="2024-01-05T07:42:54.39" personId="{09D47D2F-92C7-4CD5-8336-B5B20E222234}" id="{1D7685D4-BDCD-445D-BF1A-321E310E3436}">
    <text>미공시</text>
  </threadedComment>
  <threadedComment ref="AZ172" dT="2024-01-03T01:09:59.73" personId="{09D47D2F-92C7-4CD5-8336-B5B20E222234}" id="{35A122F7-6A6B-4BEF-9FE3-AA9A173BF25E}">
    <text>미공시, 최하점</text>
  </threadedComment>
  <threadedComment ref="BG172" dT="2024-01-05T07:42:54.39" personId="{09D47D2F-92C7-4CD5-8336-B5B20E222234}" id="{04AB5BF0-0BD5-44BE-9499-DA057F45ABA1}">
    <text>미공시</text>
  </threadedComment>
  <threadedComment ref="AM174" dT="2023-12-28T05:43:57.87" personId="{09D47D2F-92C7-4CD5-8336-B5B20E222234}" id="{32F405F3-97B0-4419-8268-E3A34F98D558}">
    <text>동일인</text>
  </threadedComment>
  <threadedComment ref="BG176" dT="2024-01-05T07:42:54.39" personId="{09D47D2F-92C7-4CD5-8336-B5B20E222234}" id="{2E986E8A-2021-4588-86BE-9BB2C2D37B49}">
    <text>미공시</text>
  </threadedComment>
  <threadedComment ref="BG180" dT="2024-01-05T07:42:54.39" personId="{09D47D2F-92C7-4CD5-8336-B5B20E222234}" id="{CDCDCE3D-73EA-4D6F-8C75-4D6A7DEA58DB}">
    <text>미공시</text>
  </threadedComment>
  <threadedComment ref="BG181" dT="2024-01-05T07:42:54.39" personId="{09D47D2F-92C7-4CD5-8336-B5B20E222234}" id="{96D0D9BE-243A-424D-822B-C116ABA7ED97}">
    <text>미공시</text>
  </threadedComment>
  <threadedComment ref="AM182" dT="2023-12-28T05:43:57.87" personId="{09D47D2F-92C7-4CD5-8336-B5B20E222234}" id="{AF4FC6DF-CABA-456A-A609-502C959D643E}">
    <text>동일인 홍사승</text>
  </threadedComment>
  <threadedComment ref="AM186" dT="2023-12-28T05:43:57.87" personId="{09D47D2F-92C7-4CD5-8336-B5B20E222234}" id="{355AB5CD-FB3A-40A5-A26E-0575BE5F9081}">
    <text>동일인</text>
  </threadedComment>
  <threadedComment ref="AM187" dT="2023-12-28T05:43:57.87" personId="{09D47D2F-92C7-4CD5-8336-B5B20E222234}" id="{C7B4F327-1272-4B42-A4F8-7B1B2651D07D}">
    <text>동일인</text>
  </threadedComment>
  <threadedComment ref="BG193" dT="2024-01-05T07:42:54.39" personId="{09D47D2F-92C7-4CD5-8336-B5B20E222234}" id="{CBCC8DC3-A210-4C0B-BEEE-4A6958B5C306}">
    <text>미공시</text>
  </threadedComment>
  <threadedComment ref="BO194" dT="2024-01-05T07:42:54.39" personId="{09D47D2F-92C7-4CD5-8336-B5B20E222234}" id="{D3EB2A99-2773-45D7-AAB9-D78FD4FC1A50}">
    <text>미공시</text>
  </threadedComment>
  <threadedComment ref="CH194" dT="2024-03-21T04:49:56.67" personId="{09D47D2F-92C7-4CD5-8336-B5B20E222234}" id="{40FA85EE-DCED-4DBF-B5ED-A9DB605AE0E6}">
    <text>수기계산 : 신용위험 / 총자산</text>
  </threadedComment>
  <threadedComment ref="V195" dT="2023-12-12T08:51:53.73" personId="{09D47D2F-92C7-4CD5-8336-B5B20E222234}" id="{7D03984F-2959-46DB-9442-87AD1D7004A7}">
    <text>엔디케이㈜ 총수일가</text>
  </threadedComment>
  <threadedComment ref="AM198" dT="2023-12-28T05:43:57.87" personId="{09D47D2F-92C7-4CD5-8336-B5B20E222234}" id="{E838781E-1044-4C4A-B704-5E6982BDBB5F}">
    <text>동일인</text>
  </threadedComment>
  <threadedComment ref="BG199" dT="2024-01-05T07:42:54.39" personId="{09D47D2F-92C7-4CD5-8336-B5B20E222234}" id="{3BAC79A0-ED00-4657-8147-EC10AE0E6909}">
    <text>미공시</text>
  </threadedComment>
  <threadedComment ref="BG200" dT="2024-01-05T07:42:54.39" personId="{09D47D2F-92C7-4CD5-8336-B5B20E222234}" id="{6142AD56-0FA0-453B-A5E6-ADCB051861FD}">
    <text>미공시</text>
  </threadedComment>
  <threadedComment ref="AM202" dT="2023-12-28T01:24:00.88" personId="{09D47D2F-92C7-4CD5-8336-B5B20E222234}" id="{4D4D74C6-41A8-42A8-8A02-52F429774F90}">
    <text>윤형덕, 윤새봄 동일인 간주</text>
  </threadedComment>
  <threadedComment ref="BO202" dT="2024-01-09T03:47:16.52" personId="{09D47D2F-92C7-4CD5-8336-B5B20E222234}" id="{5FB60DFC-0AEF-4E79-8ECF-EAE0FD3984A0}">
    <text>100% 정부보조금</text>
  </threadedComment>
  <threadedComment ref="V205" dT="2023-12-28T01:31:57.62" personId="{09D47D2F-92C7-4CD5-8336-B5B20E222234}" id="{9CF39CCA-EE34-475C-BD75-D04854D3001C}">
    <text>이조영 (누락공시) 친족 간주</text>
  </threadedComment>
  <threadedComment ref="U209" dT="2023-12-13T00:39:35.35" personId="{09D47D2F-92C7-4CD5-8336-B5B20E222234}" id="{2AA2B4BF-7123-45EB-8422-9272BE900506}">
    <text>비영리법인 동일인</text>
  </threadedComment>
  <threadedComment ref="X209" dT="2023-12-13T00:39:45.32" personId="{09D47D2F-92C7-4CD5-8336-B5B20E222234}" id="{B4334B04-9FC5-4C9F-A9D5-A324B9930593}">
    <text>비영리법인 동일인</text>
  </threadedComment>
  <threadedComment ref="BG212" dT="2024-01-05T07:42:54.39" personId="{09D47D2F-92C7-4CD5-8336-B5B20E222234}" id="{5583DE2E-4E59-4A2A-959E-B514EBD42429}">
    <text>미공시</text>
  </threadedComment>
  <threadedComment ref="AM213" dT="2023-12-28T01:52:12.85" personId="{09D47D2F-92C7-4CD5-8336-B5B20E222234}" id="{E2866D7D-9EB6-4383-AC88-42A995250B7F}">
    <text>동일인</text>
  </threadedComment>
  <threadedComment ref="BG214" dT="2024-01-05T07:42:54.39" personId="{09D47D2F-92C7-4CD5-8336-B5B20E222234}" id="{E74314FA-48D0-459F-A349-1F62912ECCAB}">
    <text>미공시</text>
  </threadedComment>
  <threadedComment ref="U219" dT="2023-12-13T02:27:17.61" personId="{09D47D2F-92C7-4CD5-8336-B5B20E222234}" id="{FFD2C959-9825-4874-AF5B-0820912B8505}">
    <text>비영리법인 동일인</text>
  </threadedComment>
  <threadedComment ref="X219" dT="2023-12-13T02:27:26.97" personId="{09D47D2F-92C7-4CD5-8336-B5B20E222234}" id="{5C02034E-E87E-4D09-B74B-24E84A37D975}">
    <text>비영리법인 동일인</text>
  </threadedComment>
  <threadedComment ref="AM221" dT="2023-12-28T01:52:12.85" personId="{09D47D2F-92C7-4CD5-8336-B5B20E222234}" id="{3C5FB4B4-3518-4A2F-884F-CB91DC4D8B9C}">
    <text>동일인</text>
  </threadedComment>
  <threadedComment ref="BG221" dT="2024-01-05T07:42:54.39" personId="{09D47D2F-92C7-4CD5-8336-B5B20E222234}" id="{096579C4-71C3-4593-9A8F-E67A4F3D2369}">
    <text>미공시</text>
  </threadedComment>
  <threadedComment ref="BG222" dT="2024-01-05T07:42:54.39" personId="{09D47D2F-92C7-4CD5-8336-B5B20E222234}" id="{408557EE-4D94-42AC-B000-F1E7D858E16C}">
    <text>미공시</text>
  </threadedComment>
  <threadedComment ref="BG223" dT="2024-01-05T07:42:54.39" personId="{09D47D2F-92C7-4CD5-8336-B5B20E222234}" id="{4396FA07-AA34-4125-9F6C-0D5CF6A38331}">
    <text>미공시</text>
  </threadedComment>
  <threadedComment ref="BG225" dT="2024-01-05T07:42:54.39" personId="{09D47D2F-92C7-4CD5-8336-B5B20E222234}" id="{10FF156D-084C-4F3F-A984-954070BEF0C4}">
    <text>미공시</text>
  </threadedComment>
  <threadedComment ref="BG226" dT="2024-01-05T07:42:54.39" personId="{09D47D2F-92C7-4CD5-8336-B5B20E222234}" id="{FB6B9EEE-A86A-4539-9183-72C9772C0DEB}">
    <text>미공시</text>
  </threadedComment>
  <threadedComment ref="AM228" dT="2023-12-28T02:12:07.47" personId="{09D47D2F-92C7-4CD5-8336-B5B20E222234}" id="{11F5CBD4-FCC4-45C5-B824-94E7FB0077A6}">
    <text>동일인</text>
  </threadedComment>
  <threadedComment ref="BG228" dT="2024-01-05T07:42:54.39" personId="{09D47D2F-92C7-4CD5-8336-B5B20E222234}" id="{0CBC8F57-6B04-4D3B-9534-ED9628A1A4CB}">
    <text>미공시</text>
  </threadedComment>
  <threadedComment ref="BG231" dT="2024-01-05T07:42:54.39" personId="{09D47D2F-92C7-4CD5-8336-B5B20E222234}" id="{10CF0746-EC08-44AF-BF04-2B33F6EE7816}">
    <text>미공시</text>
  </threadedComment>
  <threadedComment ref="BG232" dT="2024-01-05T07:42:54.39" personId="{09D47D2F-92C7-4CD5-8336-B5B20E222234}" id="{B4C85B02-AFA5-42E6-8392-418E9EFB99F8}">
    <text>미공시</text>
  </threadedComment>
  <threadedComment ref="AM234" dT="2023-12-28T02:12:07.47" personId="{09D47D2F-92C7-4CD5-8336-B5B20E222234}" id="{80E908E4-E008-4C42-96A1-518664568454}">
    <text>동일인</text>
  </threadedComment>
  <threadedComment ref="BG236" dT="2024-01-05T07:42:54.39" personId="{09D47D2F-92C7-4CD5-8336-B5B20E222234}" id="{7D01D96E-A99E-4644-A884-301E61CD2253}">
    <text>미공시</text>
  </threadedComment>
  <threadedComment ref="BG238" dT="2024-01-05T07:42:54.39" personId="{09D47D2F-92C7-4CD5-8336-B5B20E222234}" id="{4DC9B03E-C6F4-453F-AEA4-E4F9080A5772}">
    <text>미공시</text>
  </threadedComment>
  <threadedComment ref="U242" dT="2023-12-13T03:14:20.17" personId="{09D47D2F-92C7-4CD5-8336-B5B20E222234}" id="{D5573A1D-20FF-46D2-B460-1AE4C4DEDFE7}">
    <text>국민연금 대주주 동일인 없음</text>
  </threadedComment>
  <threadedComment ref="BG242" dT="2024-01-05T07:42:54.39" personId="{09D47D2F-92C7-4CD5-8336-B5B20E222234}" id="{4507CD8B-5514-418C-9294-8AA6F7CA707D}">
    <text>미공시</text>
  </threadedComment>
  <threadedComment ref="BG243" dT="2024-01-05T07:42:54.39" personId="{09D47D2F-92C7-4CD5-8336-B5B20E222234}" id="{D6585A65-5491-4006-B4F6-0768466AFE81}">
    <text>미공시</text>
  </threadedComment>
  <threadedComment ref="U244" dT="2023-12-13T03:14:20.17" personId="{09D47D2F-92C7-4CD5-8336-B5B20E222234}" id="{36858DE4-B483-49A2-9607-2DC294523E87}">
    <text>국민연금 대주주 동일인 없음</text>
  </threadedComment>
  <threadedComment ref="BG244" dT="2024-01-05T07:42:54.39" personId="{09D47D2F-92C7-4CD5-8336-B5B20E222234}" id="{256BADB5-9E2F-4CBD-B9F9-D52994B6DD61}">
    <text>미공시</text>
  </threadedComment>
  <threadedComment ref="BG246" dT="2024-01-05T07:42:54.39" personId="{09D47D2F-92C7-4CD5-8336-B5B20E222234}" id="{207BBE58-5767-4269-9268-645D2FDFD934}">
    <text>미공시</text>
  </threadedComment>
  <threadedComment ref="AM247" dT="2023-12-28T02:12:07.47" personId="{09D47D2F-92C7-4CD5-8336-B5B20E222234}" id="{38203E9C-8709-403F-A460-8BF8E965E40A}">
    <text>동일인</text>
  </threadedComment>
  <threadedComment ref="AM248" dT="2023-12-28T02:12:07.47" personId="{09D47D2F-92C7-4CD5-8336-B5B20E222234}" id="{30897321-7C0A-4652-900D-EC0E98390BCA}">
    <text>동일인</text>
  </threadedComment>
  <threadedComment ref="BG248" dT="2024-01-05T07:42:54.39" personId="{09D47D2F-92C7-4CD5-8336-B5B20E222234}" id="{C1A7B8CD-DC10-4BD5-8AD4-F18D5762D34D}">
    <text>미공시</text>
  </threadedComment>
  <threadedComment ref="BG249" dT="2024-01-05T07:42:54.39" personId="{09D47D2F-92C7-4CD5-8336-B5B20E222234}" id="{F5506332-8450-4D24-BCE3-1ADACA304C34}">
    <text>미공시</text>
  </threadedComment>
  <threadedComment ref="AM250" dT="2023-12-28T03:04:25.17" personId="{09D47D2F-92C7-4CD5-8336-B5B20E222234}" id="{216DA38E-56CB-4C6B-A61E-358388CB0F10}">
    <text>동일인</text>
  </threadedComment>
  <threadedComment ref="BG250" dT="2024-01-05T07:42:54.39" personId="{09D47D2F-92C7-4CD5-8336-B5B20E222234}" id="{130B283B-E96F-4844-BBC0-190D36DD4AD9}">
    <text>미공시</text>
  </threadedComment>
  <threadedComment ref="BG251" dT="2024-01-05T07:42:54.39" personId="{09D47D2F-92C7-4CD5-8336-B5B20E222234}" id="{3251B323-F79D-42A2-9734-F6B08C45DE4D}">
    <text>미공시</text>
  </threadedComment>
  <threadedComment ref="AM252" dT="2023-12-28T03:04:25.17" personId="{09D47D2F-92C7-4CD5-8336-B5B20E222234}" id="{95545E7E-2B0F-4B79-8273-1111325C5C9D}">
    <text>동일인</text>
  </threadedComment>
  <threadedComment ref="AM255" dT="2023-12-28T03:13:53.36" personId="{09D47D2F-92C7-4CD5-8336-B5B20E222234}" id="{CF14A85D-0565-4405-B6EF-A78233D22B9A}">
    <text>동일인</text>
  </threadedComment>
  <threadedComment ref="V256" dT="2023-12-28T03:16:41.45" personId="{09D47D2F-92C7-4CD5-8336-B5B20E222234}" id="{8F0AE38C-DF6E-4C9E-9ACB-4EC2D61274BF}">
    <text>윤영만 누락공시 친족 간주</text>
  </threadedComment>
  <threadedComment ref="BG256" dT="2024-01-05T07:42:54.39" personId="{09D47D2F-92C7-4CD5-8336-B5B20E222234}" id="{67B40D11-5974-43E1-B1B7-516EFF37A59E}">
    <text>미공시</text>
  </threadedComment>
  <threadedComment ref="V258" dT="2023-12-28T03:28:26.68" personId="{09D47D2F-92C7-4CD5-8336-B5B20E222234}" id="{DEC89D45-FA0F-42BF-812B-07D78072DC60}">
    <text>Dart 공시 오류</text>
  </threadedComment>
  <threadedComment ref="BG260" dT="2024-01-05T07:42:54.39" personId="{09D47D2F-92C7-4CD5-8336-B5B20E222234}" id="{270FE987-1321-4D98-9A8B-2A8A0E82E966}">
    <text>미공시</text>
  </threadedComment>
  <threadedComment ref="BG261" dT="2024-01-05T07:42:54.39" personId="{09D47D2F-92C7-4CD5-8336-B5B20E222234}" id="{34A716EF-2308-4117-AA50-5590A4798790}">
    <text>미공시</text>
  </threadedComment>
  <threadedComment ref="AM262" dT="2023-12-28T03:13:53.36" personId="{09D47D2F-92C7-4CD5-8336-B5B20E222234}" id="{B7C499D8-9EAB-49EC-A007-CE0DD7E77AB0}">
    <text>동일인</text>
  </threadedComment>
  <threadedComment ref="BG262" dT="2024-01-05T07:42:54.39" personId="{09D47D2F-92C7-4CD5-8336-B5B20E222234}" id="{CA93AB9E-D638-4420-AD22-3DC5B478C25D}">
    <text>미공시</text>
  </threadedComment>
  <threadedComment ref="AM264" dT="2023-12-28T03:45:25.89" personId="{09D47D2F-92C7-4CD5-8336-B5B20E222234}" id="{832E6C08-C031-443E-B0BA-D5361BD86039}">
    <text>동일인 미등기(누락공시)</text>
  </threadedComment>
  <threadedComment ref="BG266" dT="2024-01-05T07:42:54.39" personId="{09D47D2F-92C7-4CD5-8336-B5B20E222234}" id="{A0EF5F1B-57FA-42B6-8D9D-F5D12A9A639F}">
    <text>미공시</text>
  </threadedComment>
  <threadedComment ref="BG267" dT="2024-01-05T07:42:54.39" personId="{09D47D2F-92C7-4CD5-8336-B5B20E222234}" id="{399D3A90-787A-4DE9-8239-69FA1486C6DD}">
    <text>미공시</text>
  </threadedComment>
  <threadedComment ref="AM268" dT="2023-12-28T03:54:02.27" personId="{09D47D2F-92C7-4CD5-8336-B5B20E222234}" id="{4D9005BF-2DC1-4526-8FD4-E9526B40BAA8}">
    <text>동일인</text>
  </threadedComment>
  <threadedComment ref="BG270" dT="2024-01-05T07:42:54.39" personId="{09D47D2F-92C7-4CD5-8336-B5B20E222234}" id="{7D464D76-16AF-4C52-BA99-00ED61308626}">
    <text>미공시</text>
  </threadedComment>
  <threadedComment ref="BG276" dT="2024-01-05T07:42:54.39" personId="{09D47D2F-92C7-4CD5-8336-B5B20E222234}" id="{351AF340-9BF3-4DE8-8325-C979AAC96311}">
    <text>미공시</text>
  </threadedComment>
  <threadedComment ref="AM279" dT="2023-12-28T03:54:02.27" personId="{09D47D2F-92C7-4CD5-8336-B5B20E222234}" id="{3F8416B2-F694-42CD-A237-0CB65939DB4B}">
    <text>동일인</text>
  </threadedComment>
  <threadedComment ref="BG279" dT="2024-01-05T07:42:54.39" personId="{09D47D2F-92C7-4CD5-8336-B5B20E222234}" id="{32064B16-9784-46C9-84AF-1BAA49DC7CDC}">
    <text>미공시</text>
  </threadedComment>
  <threadedComment ref="BG280" dT="2024-01-05T07:42:54.39" personId="{09D47D2F-92C7-4CD5-8336-B5B20E222234}" id="{3615B6A4-7A7C-47C1-9ACC-BAED6E295C1C}">
    <text>미공시</text>
  </threadedComment>
  <threadedComment ref="BG281" dT="2024-01-05T07:42:54.39" personId="{09D47D2F-92C7-4CD5-8336-B5B20E222234}" id="{B94857C1-2ABE-4AE4-97AD-35728A5B62BF}">
    <text>미공시</text>
  </threadedComment>
  <threadedComment ref="AM283" dT="2023-12-28T04:16:31.29" personId="{09D47D2F-92C7-4CD5-8336-B5B20E222234}" id="{59FE71A3-2770-4614-B242-E17AE6F7B4B5}">
    <text>동일인</text>
  </threadedComment>
  <threadedComment ref="BG283" dT="2024-01-05T07:42:54.39" personId="{09D47D2F-92C7-4CD5-8336-B5B20E222234}" id="{D6D752EA-1E67-4407-86C3-960BF86C19D5}">
    <text>미공시</text>
  </threadedComment>
  <threadedComment ref="U290" dT="2023-12-13T04:41:14.86" personId="{09D47D2F-92C7-4CD5-8336-B5B20E222234}" id="{02833418-A360-4BCD-8F0B-C054DBE99D5A}">
    <text>비영리재단 동일인</text>
  </threadedComment>
  <threadedComment ref="X290" dT="2023-12-13T04:41:22.58" personId="{09D47D2F-92C7-4CD5-8336-B5B20E222234}" id="{881F4672-7763-4508-AFB6-E07DF8791590}">
    <text>비영리재단 동일인</text>
  </threadedComment>
  <threadedComment ref="AM291" dT="2023-12-28T04:16:31.29" personId="{09D47D2F-92C7-4CD5-8336-B5B20E222234}" id="{6ED3D575-922C-43EE-8798-921E0171A5F1}">
    <text>동일인</text>
  </threadedComment>
  <threadedComment ref="AM293" dT="2023-12-28T04:32:09.39" personId="{09D47D2F-92C7-4CD5-8336-B5B20E222234}" id="{83E086A0-18AA-4F52-9A3C-0C71B84E9B49}">
    <text>동일인</text>
  </threadedComment>
  <threadedComment ref="U294" dT="2023-12-13T04:45:55.71" personId="{09D47D2F-92C7-4CD5-8336-B5B20E222234}" id="{61B964DF-1AA7-4803-98B8-8CBFF2B77319}">
    <text>비영리법인 동일인</text>
  </threadedComment>
  <threadedComment ref="X294" dT="2023-12-13T04:41:22.58" personId="{09D47D2F-92C7-4CD5-8336-B5B20E222234}" id="{DDAE85D9-6992-49AF-A2BC-3C1BCE22F4B7}">
    <text>비영리재단 동일인</text>
  </threadedComment>
  <threadedComment ref="BG294" dT="2024-01-05T07:42:54.39" personId="{09D47D2F-92C7-4CD5-8336-B5B20E222234}" id="{AFA39EC5-A1A5-46C7-96D8-F5DD8923D760}">
    <text>미공시</text>
  </threadedComment>
  <threadedComment ref="AM295" dT="2023-12-28T04:35:20.84" personId="{09D47D2F-92C7-4CD5-8336-B5B20E222234}" id="{502A7CEC-6872-4F31-8B2E-5A493497DD90}">
    <text>동일인</text>
  </threadedComment>
  <threadedComment ref="AM296" dT="2023-12-28T04:35:20.84" personId="{09D47D2F-92C7-4CD5-8336-B5B20E222234}" id="{2B4F56CB-0AD8-414C-A75A-E29417DDD728}">
    <text>동일인</text>
  </threadedComment>
  <threadedComment ref="BG297" dT="2024-01-05T07:42:54.39" personId="{09D47D2F-92C7-4CD5-8336-B5B20E222234}" id="{0307C6FF-41B6-4498-A20D-93E2BB544662}">
    <text>미공시</text>
  </threadedComment>
  <threadedComment ref="BG298" dT="2024-01-05T07:42:54.39" personId="{09D47D2F-92C7-4CD5-8336-B5B20E222234}" id="{26F7C740-CCDA-44D2-A804-E8D701B7ACF2}">
    <text>미공시</text>
  </threadedComment>
  <threadedComment ref="AM299" dT="2023-12-28T04:35:20.84" personId="{09D47D2F-92C7-4CD5-8336-B5B20E222234}" id="{09313615-54C2-4F70-8488-7DB43CE027EB}">
    <text>동일인</text>
  </threadedComment>
  <threadedComment ref="BG299" dT="2024-01-05T07:42:54.39" personId="{09D47D2F-92C7-4CD5-8336-B5B20E222234}" id="{4A2B35D5-4F8C-4BED-AA27-4676CBA0B6B6}">
    <text>미공시</text>
  </threadedComment>
  <threadedComment ref="BG300" dT="2024-01-05T07:42:54.39" personId="{09D47D2F-92C7-4CD5-8336-B5B20E222234}" id="{4B1C30DD-5367-4322-A0B2-E91065854306}">
    <text>미공시</text>
  </threadedComment>
  <threadedComment ref="BG301" dT="2024-01-05T07:42:54.39" personId="{09D47D2F-92C7-4CD5-8336-B5B20E222234}" id="{1956B411-190E-4D40-AEFC-39061952C46A}">
    <text>미공시</text>
  </threadedComment>
  <threadedComment ref="AM303" dT="2023-12-28T05:02:23.83" personId="{09D47D2F-92C7-4CD5-8336-B5B20E222234}" id="{946DB80F-1704-4CF1-B78F-DDBA364871BB}">
    <text>동일인</text>
  </threadedComment>
  <threadedComment ref="BG303" dT="2024-01-05T07:42:54.39" personId="{09D47D2F-92C7-4CD5-8336-B5B20E222234}" id="{AAB3AA58-5779-4635-96EA-0388B75961DC}">
    <text>미공시</text>
  </threadedComment>
  <threadedComment ref="BG305" dT="2024-01-05T07:42:54.39" personId="{09D47D2F-92C7-4CD5-8336-B5B20E222234}" id="{935E7D8E-F5C9-4AA7-B037-A0EB274C053C}">
    <text>미공시</text>
  </threadedComment>
  <threadedComment ref="BG306" dT="2024-01-05T07:42:54.39" personId="{09D47D2F-92C7-4CD5-8336-B5B20E222234}" id="{A7921C29-37FC-4D78-B8C6-CDE8340A675E}">
    <text>미공시</text>
  </threadedComment>
  <threadedComment ref="BG307" dT="2024-01-05T07:42:54.39" personId="{09D47D2F-92C7-4CD5-8336-B5B20E222234}" id="{EF2ACA91-1A69-4DEC-9A7E-E3C7A69DAE8F}">
    <text>미공시</text>
  </threadedComment>
  <threadedComment ref="BG310" dT="2024-01-05T07:42:54.39" personId="{09D47D2F-92C7-4CD5-8336-B5B20E222234}" id="{AE40723A-E814-4675-A028-055EA143D0D9}">
    <text>미공시</text>
  </threadedComment>
  <threadedComment ref="AM311" dT="2023-12-28T05:02:23.83" personId="{09D47D2F-92C7-4CD5-8336-B5B20E222234}" id="{896F141C-4D53-45BB-97BB-516A984212E1}">
    <text>동일인</text>
  </threadedComment>
  <threadedComment ref="AM314" dT="2023-12-28T05:02:23.83" personId="{09D47D2F-92C7-4CD5-8336-B5B20E222234}" id="{294A7E96-C86F-4E16-9802-1F86F48F7E2B}">
    <text>동일인</text>
  </threadedComment>
  <threadedComment ref="BG314" dT="2024-01-05T07:42:54.39" personId="{09D47D2F-92C7-4CD5-8336-B5B20E222234}" id="{5F9AD6F6-D060-4189-BDB6-1EB91D894B06}">
    <text>미공시</text>
  </threadedComment>
  <threadedComment ref="BG318" dT="2024-01-05T07:42:54.39" personId="{09D47D2F-92C7-4CD5-8336-B5B20E222234}" id="{EE6B29FA-E9B8-407C-A11C-008182250B83}">
    <text>미공시</text>
  </threadedComment>
  <threadedComment ref="BG319" dT="2024-01-05T07:42:54.39" personId="{09D47D2F-92C7-4CD5-8336-B5B20E222234}" id="{31B96C0D-0DD8-4CA6-B79A-C26C84BA0240}">
    <text>미공시</text>
  </threadedComment>
  <threadedComment ref="BG320" dT="2024-01-05T07:42:54.39" personId="{09D47D2F-92C7-4CD5-8336-B5B20E222234}" id="{CB4A2432-A60A-41FD-9262-B04261E21704}">
    <text>미공시</text>
  </threadedComment>
  <threadedComment ref="BG321" dT="2024-01-05T07:42:54.39" personId="{09D47D2F-92C7-4CD5-8336-B5B20E222234}" id="{973C17A5-32D1-4552-A9E2-5BCC06220A52}">
    <text>미공시</text>
  </threadedComment>
  <threadedComment ref="BG322" dT="2024-01-05T07:42:54.39" personId="{09D47D2F-92C7-4CD5-8336-B5B20E222234}" id="{C3CE1DE4-089A-4EBE-8F18-FE6CDDBD055C}">
    <text>미공시</text>
  </threadedComment>
</ThreadedComments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art.fss.or.kr/dsaf001/main.do?rcpNo=20230323001050" TargetMode="External"/><Relationship Id="rId299" Type="http://schemas.openxmlformats.org/officeDocument/2006/relationships/hyperlink" Target="https://dart.fss.or.kr/dsaf001/main.do?rcpNo=20230315001327" TargetMode="External"/><Relationship Id="rId21" Type="http://schemas.openxmlformats.org/officeDocument/2006/relationships/hyperlink" Target="https://dart.fss.or.kr/dsaf001/main.do?rcpNo=20230315001407" TargetMode="External"/><Relationship Id="rId63" Type="http://schemas.openxmlformats.org/officeDocument/2006/relationships/hyperlink" Target="https://dart.fss.or.kr/dsaf001/main.do?rcpNo=20230322001068" TargetMode="External"/><Relationship Id="rId159" Type="http://schemas.openxmlformats.org/officeDocument/2006/relationships/hyperlink" Target="https://dart.fss.or.kr/dsaf001/main.do?rcpNo=20230317000349" TargetMode="External"/><Relationship Id="rId324" Type="http://schemas.openxmlformats.org/officeDocument/2006/relationships/hyperlink" Target="https://dart.fss.or.kr/dsaf001/main.do?rcpNo=20230316001454" TargetMode="External"/><Relationship Id="rId170" Type="http://schemas.openxmlformats.org/officeDocument/2006/relationships/hyperlink" Target="https://dart.fss.or.kr/dsaf001/main.do?rcpNo=20230320000954" TargetMode="External"/><Relationship Id="rId226" Type="http://schemas.openxmlformats.org/officeDocument/2006/relationships/hyperlink" Target="https://dart.fss.or.kr/dsaf001/main.do?rcpNo=20230321000389" TargetMode="External"/><Relationship Id="rId268" Type="http://schemas.openxmlformats.org/officeDocument/2006/relationships/hyperlink" Target="https://dart.fss.or.kr/dsaf001/main.do?rcpNo=20230322001245" TargetMode="External"/><Relationship Id="rId32" Type="http://schemas.openxmlformats.org/officeDocument/2006/relationships/hyperlink" Target="https://dart.fss.or.kr/dsaf001/main.do?rcpNo=20230222002549" TargetMode="External"/><Relationship Id="rId74" Type="http://schemas.openxmlformats.org/officeDocument/2006/relationships/hyperlink" Target="https://dart.fss.or.kr/dsaf001/main.do?rcpNo=20230321001403" TargetMode="External"/><Relationship Id="rId128" Type="http://schemas.openxmlformats.org/officeDocument/2006/relationships/hyperlink" Target="https://dart.fss.or.kr/dsaf001/main.do?rcpNo=20230327000678" TargetMode="External"/><Relationship Id="rId335" Type="http://schemas.microsoft.com/office/2017/10/relationships/threadedComment" Target="../threadedComments/threadedComment1.xml"/><Relationship Id="rId5" Type="http://schemas.openxmlformats.org/officeDocument/2006/relationships/hyperlink" Target="https://dart.fss.or.kr/dsaf001/main.do?rcpNo=20230814001661" TargetMode="External"/><Relationship Id="rId181" Type="http://schemas.openxmlformats.org/officeDocument/2006/relationships/hyperlink" Target="https://dart.fss.or.kr/dsaf001/main.do?rcpNo=20230323000459" TargetMode="External"/><Relationship Id="rId237" Type="http://schemas.openxmlformats.org/officeDocument/2006/relationships/hyperlink" Target="https://dart.fss.or.kr/dsaf001/main.do?rcpNo=20230321001298" TargetMode="External"/><Relationship Id="rId279" Type="http://schemas.openxmlformats.org/officeDocument/2006/relationships/hyperlink" Target="https://dart.fss.or.kr/dsaf001/main.do?rcpNo=20230316000941" TargetMode="External"/><Relationship Id="rId43" Type="http://schemas.openxmlformats.org/officeDocument/2006/relationships/hyperlink" Target="https://dart.fss.or.kr/dsaf001/main.do?rcpNo=20230317000869" TargetMode="External"/><Relationship Id="rId139" Type="http://schemas.openxmlformats.org/officeDocument/2006/relationships/hyperlink" Target="https://dart.fss.or.kr/dsaf001/main.do?rcpNo=20230831001403" TargetMode="External"/><Relationship Id="rId290" Type="http://schemas.openxmlformats.org/officeDocument/2006/relationships/hyperlink" Target="https://dart.fss.or.kr/dsaf001/main.do?rcpNo=20230314001231" TargetMode="External"/><Relationship Id="rId304" Type="http://schemas.openxmlformats.org/officeDocument/2006/relationships/hyperlink" Target="https://dart.fss.or.kr/dsaf001/main.do?rcpNo=20230310001083" TargetMode="External"/><Relationship Id="rId85" Type="http://schemas.openxmlformats.org/officeDocument/2006/relationships/hyperlink" Target="https://dart.fss.or.kr/dsaf001/main.do?rcpNo=20230317000005" TargetMode="External"/><Relationship Id="rId150" Type="http://schemas.openxmlformats.org/officeDocument/2006/relationships/hyperlink" Target="https://dart.fss.or.kr/dsaf001/main.do?rcpNo=20230524000304" TargetMode="External"/><Relationship Id="rId192" Type="http://schemas.openxmlformats.org/officeDocument/2006/relationships/hyperlink" Target="https://dart.fss.or.kr/dsaf001/main.do?rcpNo=20230515000371" TargetMode="External"/><Relationship Id="rId206" Type="http://schemas.openxmlformats.org/officeDocument/2006/relationships/hyperlink" Target="https://dart.fss.or.kr/dsaf001/main.do?rcpNo=20230329000065" TargetMode="External"/><Relationship Id="rId248" Type="http://schemas.openxmlformats.org/officeDocument/2006/relationships/hyperlink" Target="https://dart.fss.or.kr/dsaf001/main.do?rcpNo=20230315000297" TargetMode="External"/><Relationship Id="rId12" Type="http://schemas.openxmlformats.org/officeDocument/2006/relationships/hyperlink" Target="https://dart.fss.or.kr/dsaf001/main.do?rcpNo=20230320000736" TargetMode="External"/><Relationship Id="rId108" Type="http://schemas.openxmlformats.org/officeDocument/2006/relationships/hyperlink" Target="https://dart.fss.or.kr/dsaf001/main.do?rcpNo=20230324000928" TargetMode="External"/><Relationship Id="rId315" Type="http://schemas.openxmlformats.org/officeDocument/2006/relationships/hyperlink" Target="https://dart.fss.or.kr/dsaf001/main.do?rcpNo=20230321000920" TargetMode="External"/><Relationship Id="rId54" Type="http://schemas.openxmlformats.org/officeDocument/2006/relationships/hyperlink" Target="https://dart.fss.or.kr/dsaf001/main.do?rcpNo=20230314001158" TargetMode="External"/><Relationship Id="rId96" Type="http://schemas.openxmlformats.org/officeDocument/2006/relationships/hyperlink" Target="https://dart.fss.or.kr/dsaf001/main.do?rcpNo=20230322001007" TargetMode="External"/><Relationship Id="rId161" Type="http://schemas.openxmlformats.org/officeDocument/2006/relationships/hyperlink" Target="https://dart.fss.or.kr/dsaf001/main.do?rcpNo=20230315000963" TargetMode="External"/><Relationship Id="rId217" Type="http://schemas.openxmlformats.org/officeDocument/2006/relationships/hyperlink" Target="https://dart.fss.or.kr/dsaf001/main.do?rcpNo=20230320000322" TargetMode="External"/><Relationship Id="rId259" Type="http://schemas.openxmlformats.org/officeDocument/2006/relationships/hyperlink" Target="https://dart.fss.or.kr/dsaf001/main.do?rcpNo=20230310000763" TargetMode="External"/><Relationship Id="rId23" Type="http://schemas.openxmlformats.org/officeDocument/2006/relationships/hyperlink" Target="https://dart.fss.or.kr/dsaf001/main.do?rcpNo=20230321001126" TargetMode="External"/><Relationship Id="rId119" Type="http://schemas.openxmlformats.org/officeDocument/2006/relationships/hyperlink" Target="https://dart.fss.or.kr/dsaf001/main.do?rcpNo=20230314001159" TargetMode="External"/><Relationship Id="rId270" Type="http://schemas.openxmlformats.org/officeDocument/2006/relationships/hyperlink" Target="https://dart.fss.or.kr/dsaf001/main.do?rcpNo=20230712000281" TargetMode="External"/><Relationship Id="rId326" Type="http://schemas.openxmlformats.org/officeDocument/2006/relationships/hyperlink" Target="https://www.sj.co.kr/" TargetMode="External"/><Relationship Id="rId65" Type="http://schemas.openxmlformats.org/officeDocument/2006/relationships/hyperlink" Target="https://dart.fss.or.kr/dsaf001/main.do?rcpNo=20230323000821" TargetMode="External"/><Relationship Id="rId130" Type="http://schemas.openxmlformats.org/officeDocument/2006/relationships/hyperlink" Target="https://dart.fss.or.kr/dsaf001/main.do?rcpNo=20230831001561" TargetMode="External"/><Relationship Id="rId172" Type="http://schemas.openxmlformats.org/officeDocument/2006/relationships/hyperlink" Target="https://dart.fss.or.kr/dsaf001/main.do?rcpNo=20230323001156" TargetMode="External"/><Relationship Id="rId228" Type="http://schemas.openxmlformats.org/officeDocument/2006/relationships/hyperlink" Target="https://dart.fss.or.kr/dsaf001/main.do?rcpNo=20230316001017" TargetMode="External"/><Relationship Id="rId281" Type="http://schemas.openxmlformats.org/officeDocument/2006/relationships/hyperlink" Target="https://dart.fss.or.kr/dsaf001/main.do?rcpNo=20230317000867" TargetMode="External"/><Relationship Id="rId34" Type="http://schemas.openxmlformats.org/officeDocument/2006/relationships/hyperlink" Target="https://dart.fss.or.kr/dsaf001/main.do?rcpNo=20230315000850" TargetMode="External"/><Relationship Id="rId76" Type="http://schemas.openxmlformats.org/officeDocument/2006/relationships/hyperlink" Target="https://dart.fss.or.kr/dsaf001/main.do?rcpNo=20230322000832" TargetMode="External"/><Relationship Id="rId141" Type="http://schemas.openxmlformats.org/officeDocument/2006/relationships/hyperlink" Target="https://dart.fss.or.kr/dsaf001/main.do?rcpNo=20230307000542" TargetMode="External"/><Relationship Id="rId7" Type="http://schemas.openxmlformats.org/officeDocument/2006/relationships/hyperlink" Target="https://dart.fss.or.kr/dsaf001/main.do?rcpNo=20230831001199" TargetMode="External"/><Relationship Id="rId183" Type="http://schemas.openxmlformats.org/officeDocument/2006/relationships/hyperlink" Target="https://dart.fss.or.kr/dsaf001/main.do?rcpNo=20230321001494" TargetMode="External"/><Relationship Id="rId239" Type="http://schemas.openxmlformats.org/officeDocument/2006/relationships/hyperlink" Target="https://dart.fss.or.kr/dsaf001/main.do?rcpNo=20230316000762" TargetMode="External"/><Relationship Id="rId250" Type="http://schemas.openxmlformats.org/officeDocument/2006/relationships/hyperlink" Target="https://dart.fss.or.kr/dsaf001/main.do?rcpNo=20230403003576" TargetMode="External"/><Relationship Id="rId292" Type="http://schemas.openxmlformats.org/officeDocument/2006/relationships/hyperlink" Target="https://dart.fss.or.kr/dsaf001/main.do?rcpNo=20230315000894" TargetMode="External"/><Relationship Id="rId306" Type="http://schemas.openxmlformats.org/officeDocument/2006/relationships/hyperlink" Target="https://dart.fss.or.kr/dsaf001/main.do?rcpNo=20230320001061" TargetMode="External"/><Relationship Id="rId24" Type="http://schemas.openxmlformats.org/officeDocument/2006/relationships/hyperlink" Target="https://dart.fss.or.kr/dsaf001/main.do?rcpNo=20230315000071" TargetMode="External"/><Relationship Id="rId45" Type="http://schemas.openxmlformats.org/officeDocument/2006/relationships/hyperlink" Target="https://dart.fss.or.kr/dsaf001/main.do?rcpNo=20230324000127" TargetMode="External"/><Relationship Id="rId66" Type="http://schemas.openxmlformats.org/officeDocument/2006/relationships/hyperlink" Target="https://dart.fss.or.kr/dsaf001/main.do?rcpNo=20230320000409" TargetMode="External"/><Relationship Id="rId87" Type="http://schemas.openxmlformats.org/officeDocument/2006/relationships/hyperlink" Target="https://www.noroopaint.com/kor/index.asp?conntype=1" TargetMode="External"/><Relationship Id="rId110" Type="http://schemas.openxmlformats.org/officeDocument/2006/relationships/hyperlink" Target="https://dart.fss.or.kr/dsaf001/main.do?rcpNo=20230315001100" TargetMode="External"/><Relationship Id="rId131" Type="http://schemas.openxmlformats.org/officeDocument/2006/relationships/hyperlink" Target="https://dart.fss.or.kr/dsaf001/main.do?rcpNo=20230316000878" TargetMode="External"/><Relationship Id="rId327" Type="http://schemas.openxmlformats.org/officeDocument/2006/relationships/hyperlink" Target="https://www.aplusga.com/" TargetMode="External"/><Relationship Id="rId152" Type="http://schemas.openxmlformats.org/officeDocument/2006/relationships/hyperlink" Target="https://dart.fss.or.kr/dsaf001/main.do?rcpNo=20230314000085" TargetMode="External"/><Relationship Id="rId173" Type="http://schemas.openxmlformats.org/officeDocument/2006/relationships/hyperlink" Target="https://dart.fss.or.kr/dsaf001/main.do?rcpNo=20230316001196" TargetMode="External"/><Relationship Id="rId194" Type="http://schemas.openxmlformats.org/officeDocument/2006/relationships/hyperlink" Target="https://dart.fss.or.kr/dsaf001/main.do?rcpNo=20230307000691" TargetMode="External"/><Relationship Id="rId208" Type="http://schemas.openxmlformats.org/officeDocument/2006/relationships/hyperlink" Target="https://dart.fss.or.kr/dsaf001/main.do?rcpNo=20230314000094" TargetMode="External"/><Relationship Id="rId229" Type="http://schemas.openxmlformats.org/officeDocument/2006/relationships/hyperlink" Target="https://dart.fss.or.kr/dsaf001/main.do?rcpNo=20230322000622" TargetMode="External"/><Relationship Id="rId240" Type="http://schemas.openxmlformats.org/officeDocument/2006/relationships/hyperlink" Target="https://dart.fss.or.kr/dsaf001/main.do?rcpNo=20230321001167" TargetMode="External"/><Relationship Id="rId261" Type="http://schemas.openxmlformats.org/officeDocument/2006/relationships/hyperlink" Target="https://dart.fss.or.kr/dsaf001/main.do?rcpNo=20230316001190" TargetMode="External"/><Relationship Id="rId14" Type="http://schemas.openxmlformats.org/officeDocument/2006/relationships/hyperlink" Target="https://dart.fss.or.kr/dsaf001/main.do?rcpNo=20230831001367" TargetMode="External"/><Relationship Id="rId35" Type="http://schemas.openxmlformats.org/officeDocument/2006/relationships/hyperlink" Target="https://dart.fss.or.kr/dsaf001/main.do?rcpNo=20230315000964" TargetMode="External"/><Relationship Id="rId56" Type="http://schemas.openxmlformats.org/officeDocument/2006/relationships/hyperlink" Target="https://dart.fss.or.kr/dsaf001/main.do?rcpNo=20230316000629" TargetMode="External"/><Relationship Id="rId77" Type="http://schemas.openxmlformats.org/officeDocument/2006/relationships/hyperlink" Target="https://dart.fss.or.kr/dsaf001/main.do?rcpNo=20230316001258" TargetMode="External"/><Relationship Id="rId100" Type="http://schemas.openxmlformats.org/officeDocument/2006/relationships/hyperlink" Target="https://dart.fss.or.kr/dsaf001/main.do?rcpNo=20230314001212" TargetMode="External"/><Relationship Id="rId282" Type="http://schemas.openxmlformats.org/officeDocument/2006/relationships/hyperlink" Target="https://dart.fss.or.kr/dsaf001/main.do?rcpNo=20230316000780" TargetMode="External"/><Relationship Id="rId317" Type="http://schemas.openxmlformats.org/officeDocument/2006/relationships/hyperlink" Target="https://dart.fss.or.kr/dsaf001/main.do?rcpNo=20230315000315" TargetMode="External"/><Relationship Id="rId8" Type="http://schemas.openxmlformats.org/officeDocument/2006/relationships/hyperlink" Target="https://dart.fss.or.kr/dsaf001/main.do?rcpNo=20230728000644" TargetMode="External"/><Relationship Id="rId98" Type="http://schemas.openxmlformats.org/officeDocument/2006/relationships/hyperlink" Target="https://dart.fss.or.kr/dsaf001/main.do?rcpNo=20230314001293" TargetMode="External"/><Relationship Id="rId121" Type="http://schemas.openxmlformats.org/officeDocument/2006/relationships/hyperlink" Target="https://dart.fss.or.kr/dsaf001/main.do?rcpNo=20230316000602" TargetMode="External"/><Relationship Id="rId142" Type="http://schemas.openxmlformats.org/officeDocument/2006/relationships/hyperlink" Target="https://dart.fss.or.kr/dsaf001/main.do?rcpNo=20230309000572" TargetMode="External"/><Relationship Id="rId163" Type="http://schemas.openxmlformats.org/officeDocument/2006/relationships/hyperlink" Target="https://dart.fss.or.kr/dsaf001/main.do?rcpNo=20230316000928" TargetMode="External"/><Relationship Id="rId184" Type="http://schemas.openxmlformats.org/officeDocument/2006/relationships/hyperlink" Target="https://dart.fss.or.kr/dsaf001/main.do?rcpNo=20230317001042" TargetMode="External"/><Relationship Id="rId219" Type="http://schemas.openxmlformats.org/officeDocument/2006/relationships/hyperlink" Target="https://dart.fss.or.kr/dsaf001/main.do?rcpNo=20230317000389" TargetMode="External"/><Relationship Id="rId230" Type="http://schemas.openxmlformats.org/officeDocument/2006/relationships/hyperlink" Target="https://dart.fss.or.kr/dsaf001/main.do?rcpNo=20230331002546" TargetMode="External"/><Relationship Id="rId251" Type="http://schemas.openxmlformats.org/officeDocument/2006/relationships/hyperlink" Target="https://dart.fss.or.kr/dsaf001/main.do?rcpNo=20230331000007" TargetMode="External"/><Relationship Id="rId25" Type="http://schemas.openxmlformats.org/officeDocument/2006/relationships/hyperlink" Target="https://dart.fss.or.kr/dsaf001/main.do?rcpNo=20230316000950" TargetMode="External"/><Relationship Id="rId46" Type="http://schemas.openxmlformats.org/officeDocument/2006/relationships/hyperlink" Target="https://dart.fss.or.kr/dsaf001/main.do?rcpNo=20230320000964" TargetMode="External"/><Relationship Id="rId67" Type="http://schemas.openxmlformats.org/officeDocument/2006/relationships/hyperlink" Target="https://dart.fss.or.kr/dsaf001/main.do?rcpNo=20230316001213" TargetMode="External"/><Relationship Id="rId272" Type="http://schemas.openxmlformats.org/officeDocument/2006/relationships/hyperlink" Target="https://dart.fss.or.kr/dsaf001/main.do?rcpNo=20230320000791" TargetMode="External"/><Relationship Id="rId293" Type="http://schemas.openxmlformats.org/officeDocument/2006/relationships/hyperlink" Target="https://dart.fss.or.kr/dsaf001/main.do?rcpNo=20230321000255" TargetMode="External"/><Relationship Id="rId307" Type="http://schemas.openxmlformats.org/officeDocument/2006/relationships/hyperlink" Target="https://dart.fss.or.kr/dsaf001/main.do?rcpNo=20230321001479" TargetMode="External"/><Relationship Id="rId328" Type="http://schemas.openxmlformats.org/officeDocument/2006/relationships/hyperlink" Target="https://www.youngone.co.kr/" TargetMode="External"/><Relationship Id="rId88" Type="http://schemas.openxmlformats.org/officeDocument/2006/relationships/hyperlink" Target="https://www.dlenc.co.kr/main.do" TargetMode="External"/><Relationship Id="rId111" Type="http://schemas.openxmlformats.org/officeDocument/2006/relationships/hyperlink" Target="https://dart.fss.or.kr/dsaf001/main.do?rcpNo=20230321001259" TargetMode="External"/><Relationship Id="rId132" Type="http://schemas.openxmlformats.org/officeDocument/2006/relationships/hyperlink" Target="https://dart.fss.or.kr/dsaf001/main.do?rcpNo=20230328000107" TargetMode="External"/><Relationship Id="rId153" Type="http://schemas.openxmlformats.org/officeDocument/2006/relationships/hyperlink" Target="https://dart.fss.or.kr/dsaf001/main.do?rcpNo=20230316001338" TargetMode="External"/><Relationship Id="rId174" Type="http://schemas.openxmlformats.org/officeDocument/2006/relationships/hyperlink" Target="https://dart.fss.or.kr/dsaf001/main.do?rcpNo=20230322000910" TargetMode="External"/><Relationship Id="rId195" Type="http://schemas.openxmlformats.org/officeDocument/2006/relationships/hyperlink" Target="https://dart.fss.or.kr/dsaf001/main.do?rcpNo=20230321001261" TargetMode="External"/><Relationship Id="rId209" Type="http://schemas.openxmlformats.org/officeDocument/2006/relationships/hyperlink" Target="https://dart.fss.or.kr/dsaf001/main.do?rcpNo=20230315000887" TargetMode="External"/><Relationship Id="rId220" Type="http://schemas.openxmlformats.org/officeDocument/2006/relationships/hyperlink" Target="https://dart.fss.or.kr/dsaf001/main.do?rcpNo=20230323001151" TargetMode="External"/><Relationship Id="rId241" Type="http://schemas.openxmlformats.org/officeDocument/2006/relationships/hyperlink" Target="https://dart.fss.or.kr/dsaf001/main.do?rcpNo=20230316001262" TargetMode="External"/><Relationship Id="rId15" Type="http://schemas.openxmlformats.org/officeDocument/2006/relationships/hyperlink" Target="https://dart.fss.or.kr/dsaf001/main.do?rcpNo=20230316001014" TargetMode="External"/><Relationship Id="rId36" Type="http://schemas.openxmlformats.org/officeDocument/2006/relationships/hyperlink" Target="https://dart.fss.or.kr/dsaf001/main.do?rcpNo=20230316000724" TargetMode="External"/><Relationship Id="rId57" Type="http://schemas.openxmlformats.org/officeDocument/2006/relationships/hyperlink" Target="https://dart.fss.or.kr/dsaf001/main.do?rcpNo=20230309000731" TargetMode="External"/><Relationship Id="rId262" Type="http://schemas.openxmlformats.org/officeDocument/2006/relationships/hyperlink" Target="https://dart.fss.or.kr/dsaf001/main.do?rcpNo=20230314000892" TargetMode="External"/><Relationship Id="rId283" Type="http://schemas.openxmlformats.org/officeDocument/2006/relationships/hyperlink" Target="https://dart.fss.or.kr/dsaf001/main.do?rcpNo=20230316001135" TargetMode="External"/><Relationship Id="rId318" Type="http://schemas.openxmlformats.org/officeDocument/2006/relationships/hyperlink" Target="https://dart.fss.or.kr/dsaf001/main.do?rcpNo=20230320000391" TargetMode="External"/><Relationship Id="rId78" Type="http://schemas.openxmlformats.org/officeDocument/2006/relationships/hyperlink" Target="https://dart.fss.or.kr/dsaf001/main.do?rcpNo=20230316000896" TargetMode="External"/><Relationship Id="rId99" Type="http://schemas.openxmlformats.org/officeDocument/2006/relationships/hyperlink" Target="https://dart.fss.or.kr/dsaf001/main.do?rcpNo=20230316000733" TargetMode="External"/><Relationship Id="rId101" Type="http://schemas.openxmlformats.org/officeDocument/2006/relationships/hyperlink" Target="https://dart.fss.or.kr/dsaf001/main.do?rcpNo=20230316000463" TargetMode="External"/><Relationship Id="rId122" Type="http://schemas.openxmlformats.org/officeDocument/2006/relationships/hyperlink" Target="https://dart.fss.or.kr/dsaf001/main.do?rcpNo=20230316000931" TargetMode="External"/><Relationship Id="rId143" Type="http://schemas.openxmlformats.org/officeDocument/2006/relationships/hyperlink" Target="https://dart.fss.or.kr/dsaf001/main.do?rcpNo=20230308000723" TargetMode="External"/><Relationship Id="rId164" Type="http://schemas.openxmlformats.org/officeDocument/2006/relationships/hyperlink" Target="https://dart.fss.or.kr/dsaf001/main.do?rcpNo=20230308000717" TargetMode="External"/><Relationship Id="rId185" Type="http://schemas.openxmlformats.org/officeDocument/2006/relationships/hyperlink" Target="https://dart.fss.or.kr/dsaf001/main.do?rcpNo=20230316000657" TargetMode="External"/><Relationship Id="rId9" Type="http://schemas.openxmlformats.org/officeDocument/2006/relationships/hyperlink" Target="https://dart.fss.or.kr/dsaf001/main.do?rcpNo=20230315000019" TargetMode="External"/><Relationship Id="rId210" Type="http://schemas.openxmlformats.org/officeDocument/2006/relationships/hyperlink" Target="https://dart.fss.or.kr/dsaf001/main.do?rcpNo=20230315001431" TargetMode="External"/><Relationship Id="rId26" Type="http://schemas.openxmlformats.org/officeDocument/2006/relationships/hyperlink" Target="https://dart.fss.or.kr/dsaf001/main.do?rcpNo=20230316000684" TargetMode="External"/><Relationship Id="rId231" Type="http://schemas.openxmlformats.org/officeDocument/2006/relationships/hyperlink" Target="https://dart.fss.or.kr/dsaf001/main.do?rcpNo=20230309000626" TargetMode="External"/><Relationship Id="rId252" Type="http://schemas.openxmlformats.org/officeDocument/2006/relationships/hyperlink" Target="https://dart.fss.or.kr/dsaf001/main.do?rcpNo=20230320000728" TargetMode="External"/><Relationship Id="rId273" Type="http://schemas.openxmlformats.org/officeDocument/2006/relationships/hyperlink" Target="http://www.fskrc.co.kr/" TargetMode="External"/><Relationship Id="rId294" Type="http://schemas.openxmlformats.org/officeDocument/2006/relationships/hyperlink" Target="https://dart.fss.or.kr/dsaf001/main.do?rcpNo=20230317000994" TargetMode="External"/><Relationship Id="rId308" Type="http://schemas.openxmlformats.org/officeDocument/2006/relationships/hyperlink" Target="https://dart.fss.or.kr/dsaf001/main.do?rcpNo=20230317000639" TargetMode="External"/><Relationship Id="rId329" Type="http://schemas.openxmlformats.org/officeDocument/2006/relationships/hyperlink" Target="http://www.iljinelectric.co.kr/main.jsp" TargetMode="External"/><Relationship Id="rId47" Type="http://schemas.openxmlformats.org/officeDocument/2006/relationships/hyperlink" Target="https://dart.fss.or.kr/dsaf001/main.do?rcpNo=20230320000235" TargetMode="External"/><Relationship Id="rId68" Type="http://schemas.openxmlformats.org/officeDocument/2006/relationships/hyperlink" Target="https://dart.fss.or.kr/dsaf001/main.do?rcpNo=20230608000512" TargetMode="External"/><Relationship Id="rId89" Type="http://schemas.openxmlformats.org/officeDocument/2006/relationships/hyperlink" Target="https://dart.fss.or.kr/dsaf001/main.do?rcpNo=20230322001136" TargetMode="External"/><Relationship Id="rId112" Type="http://schemas.openxmlformats.org/officeDocument/2006/relationships/hyperlink" Target="https://dart.fss.or.kr/dsaf001/main.do?rcpNo=20230713000062" TargetMode="External"/><Relationship Id="rId133" Type="http://schemas.openxmlformats.org/officeDocument/2006/relationships/hyperlink" Target="https://dart.fss.or.kr/dsaf001/main.do?rcpNo=20230323000263" TargetMode="External"/><Relationship Id="rId154" Type="http://schemas.openxmlformats.org/officeDocument/2006/relationships/hyperlink" Target="https://dart.fss.or.kr/dsaf001/main.do?rcpNo=20230322000313" TargetMode="External"/><Relationship Id="rId175" Type="http://schemas.openxmlformats.org/officeDocument/2006/relationships/hyperlink" Target="https://dart.fss.or.kr/dsaf001/main.do?rcpNo=20230315001315" TargetMode="External"/><Relationship Id="rId196" Type="http://schemas.openxmlformats.org/officeDocument/2006/relationships/hyperlink" Target="https://dart.fss.or.kr/dsaf001/main.do?rcpNo=20230323001360" TargetMode="External"/><Relationship Id="rId200" Type="http://schemas.openxmlformats.org/officeDocument/2006/relationships/hyperlink" Target="https://dart.fss.or.kr/dsaf001/main.do?rcpNo=20230712000496" TargetMode="External"/><Relationship Id="rId16" Type="http://schemas.openxmlformats.org/officeDocument/2006/relationships/hyperlink" Target="https://dart.fss.or.kr/dsaf001/main.do?rcpNo=20230315001215" TargetMode="External"/><Relationship Id="rId221" Type="http://schemas.openxmlformats.org/officeDocument/2006/relationships/hyperlink" Target="https://dart.fss.or.kr/dsaf001/main.do?rcpNo=20230316000222" TargetMode="External"/><Relationship Id="rId242" Type="http://schemas.openxmlformats.org/officeDocument/2006/relationships/hyperlink" Target="https://dart.fss.or.kr/dsaf001/main.do?rcpNo=20230407002574" TargetMode="External"/><Relationship Id="rId263" Type="http://schemas.openxmlformats.org/officeDocument/2006/relationships/hyperlink" Target="https://dart.fss.or.kr/dsaf001/main.do?rcpNo=20230321001130" TargetMode="External"/><Relationship Id="rId284" Type="http://schemas.openxmlformats.org/officeDocument/2006/relationships/hyperlink" Target="https://dart.fss.or.kr/dsaf001/main.do?rcpNo=20230316001554" TargetMode="External"/><Relationship Id="rId319" Type="http://schemas.openxmlformats.org/officeDocument/2006/relationships/hyperlink" Target="https://dart.fss.or.kr/dsaf001/main.do?rcpNo=20230315001063" TargetMode="External"/><Relationship Id="rId37" Type="http://schemas.openxmlformats.org/officeDocument/2006/relationships/hyperlink" Target="https://dart.fss.or.kr/dsaf001/main.do?rcpNo=20230315000084" TargetMode="External"/><Relationship Id="rId58" Type="http://schemas.openxmlformats.org/officeDocument/2006/relationships/hyperlink" Target="https://dart.fss.or.kr/dsaf001/main.do?rcpNo=20230316001326" TargetMode="External"/><Relationship Id="rId79" Type="http://schemas.openxmlformats.org/officeDocument/2006/relationships/hyperlink" Target="http://www.daesung.co.kr/" TargetMode="External"/><Relationship Id="rId102" Type="http://schemas.openxmlformats.org/officeDocument/2006/relationships/hyperlink" Target="https://dart.fss.or.kr/dsaf001/main.do?rcpNo=20230320001075" TargetMode="External"/><Relationship Id="rId123" Type="http://schemas.openxmlformats.org/officeDocument/2006/relationships/hyperlink" Target="https://dart.fss.or.kr/dsaf001/main.do?rcpNo=20230317001035" TargetMode="External"/><Relationship Id="rId144" Type="http://schemas.openxmlformats.org/officeDocument/2006/relationships/hyperlink" Target="https://dart.fss.or.kr/dsaf001/main.do?rcpNo=20230309000772" TargetMode="External"/><Relationship Id="rId330" Type="http://schemas.openxmlformats.org/officeDocument/2006/relationships/hyperlink" Target="https://m.kakaobank.com/" TargetMode="External"/><Relationship Id="rId90" Type="http://schemas.openxmlformats.org/officeDocument/2006/relationships/hyperlink" Target="https://dart.fss.or.kr/dsaf001/main.do?rcpNo=20230331003410" TargetMode="External"/><Relationship Id="rId165" Type="http://schemas.openxmlformats.org/officeDocument/2006/relationships/hyperlink" Target="https://dart.fss.or.kr/dsaf001/main.do?rcpNo=20230314001166" TargetMode="External"/><Relationship Id="rId186" Type="http://schemas.openxmlformats.org/officeDocument/2006/relationships/hyperlink" Target="https://dart.fss.or.kr/dsaf001/main.do?rcpNo=20230315001378" TargetMode="External"/><Relationship Id="rId211" Type="http://schemas.openxmlformats.org/officeDocument/2006/relationships/hyperlink" Target="https://dart.fss.or.kr/dsaf001/main.do?rcpNo=20230315000658" TargetMode="External"/><Relationship Id="rId232" Type="http://schemas.openxmlformats.org/officeDocument/2006/relationships/hyperlink" Target="https://dart.fss.or.kr/dsaf001/main.do?rcpNo=20230316000376" TargetMode="External"/><Relationship Id="rId253" Type="http://schemas.openxmlformats.org/officeDocument/2006/relationships/hyperlink" Target="https://dart.fss.or.kr/dsaf001/main.do?rcpNo=20230320001037" TargetMode="External"/><Relationship Id="rId274" Type="http://schemas.openxmlformats.org/officeDocument/2006/relationships/hyperlink" Target="https://dart.fss.or.kr/dsaf001/main.do?rcpNo=20230323000756" TargetMode="External"/><Relationship Id="rId295" Type="http://schemas.openxmlformats.org/officeDocument/2006/relationships/hyperlink" Target="https://dart.fss.or.kr/dsaf001/main.do?rcpNo=20230317000982" TargetMode="External"/><Relationship Id="rId309" Type="http://schemas.openxmlformats.org/officeDocument/2006/relationships/hyperlink" Target="https://dart.fss.or.kr/dsaf001/main.do?rcpNo=20230315001030" TargetMode="External"/><Relationship Id="rId27" Type="http://schemas.openxmlformats.org/officeDocument/2006/relationships/hyperlink" Target="https://dart.fss.or.kr/dsaf001/main.do?rcpNo=20230322000776" TargetMode="External"/><Relationship Id="rId48" Type="http://schemas.openxmlformats.org/officeDocument/2006/relationships/hyperlink" Target="https://dart.fss.or.kr/dsaf001/main.do?rcpNo=20230321001209" TargetMode="External"/><Relationship Id="rId69" Type="http://schemas.openxmlformats.org/officeDocument/2006/relationships/hyperlink" Target="https://dart.fss.or.kr/dsaf001/main.do?rcpNo=20230309000734" TargetMode="External"/><Relationship Id="rId113" Type="http://schemas.openxmlformats.org/officeDocument/2006/relationships/hyperlink" Target="https://dart.fss.or.kr/dsaf001/main.do?rcpNo=20230315000573" TargetMode="External"/><Relationship Id="rId134" Type="http://schemas.openxmlformats.org/officeDocument/2006/relationships/hyperlink" Target="https://dart.fss.or.kr/dsaf001/main.do?rcpNo=20230315001385" TargetMode="External"/><Relationship Id="rId320" Type="http://schemas.openxmlformats.org/officeDocument/2006/relationships/hyperlink" Target="https://dart.fss.or.kr/dsaf001/main.do?rcpNo=20230308000691" TargetMode="External"/><Relationship Id="rId80" Type="http://schemas.openxmlformats.org/officeDocument/2006/relationships/hyperlink" Target="https://dart.fss.or.kr/dsaf001/main.do?rcpNo=20230321000870" TargetMode="External"/><Relationship Id="rId155" Type="http://schemas.openxmlformats.org/officeDocument/2006/relationships/hyperlink" Target="https://dart.fss.or.kr/dsaf001/main.do?rcpNo=20230410003453" TargetMode="External"/><Relationship Id="rId176" Type="http://schemas.openxmlformats.org/officeDocument/2006/relationships/hyperlink" Target="https://dart.fss.or.kr/dsaf001/main.do?rcpNo=20220920000318" TargetMode="External"/><Relationship Id="rId197" Type="http://schemas.openxmlformats.org/officeDocument/2006/relationships/hyperlink" Target="https://dart.fss.or.kr/dsaf001/main.do?rcpNo=20230314000700" TargetMode="External"/><Relationship Id="rId201" Type="http://schemas.openxmlformats.org/officeDocument/2006/relationships/hyperlink" Target="https://dart.fss.or.kr/dsaf001/main.do?rcpNo=20230315001259" TargetMode="External"/><Relationship Id="rId222" Type="http://schemas.openxmlformats.org/officeDocument/2006/relationships/hyperlink" Target="https://dart.fss.or.kr/dsaf001/main.do?rcpNo=20230315000560" TargetMode="External"/><Relationship Id="rId243" Type="http://schemas.openxmlformats.org/officeDocument/2006/relationships/hyperlink" Target="https://dart.fss.or.kr/dsaf001/main.do?rcpNo=20230323001449" TargetMode="External"/><Relationship Id="rId264" Type="http://schemas.openxmlformats.org/officeDocument/2006/relationships/hyperlink" Target="https://dart.fss.or.kr/dsaf001/main.do?rcpNo=20230321001315" TargetMode="External"/><Relationship Id="rId285" Type="http://schemas.openxmlformats.org/officeDocument/2006/relationships/hyperlink" Target="https://dart.fss.or.kr/dsaf001/main.do?rcpNo=20230321001525" TargetMode="External"/><Relationship Id="rId17" Type="http://schemas.openxmlformats.org/officeDocument/2006/relationships/hyperlink" Target="https://dart.fss.or.kr/dsaf001/main.do?rcpNo=20230316001339" TargetMode="External"/><Relationship Id="rId38" Type="http://schemas.openxmlformats.org/officeDocument/2006/relationships/hyperlink" Target="https://dart.fss.or.kr/dsaf001/main.do?rcpNo=20230309000859" TargetMode="External"/><Relationship Id="rId59" Type="http://schemas.openxmlformats.org/officeDocument/2006/relationships/hyperlink" Target="https://dart.fss.or.kr/dsaf001/main.do?rcpNo=20230321001353" TargetMode="External"/><Relationship Id="rId103" Type="http://schemas.openxmlformats.org/officeDocument/2006/relationships/hyperlink" Target="https://dart.fss.or.kr/dsaf001/main.do?rcpNo=20230316000692" TargetMode="External"/><Relationship Id="rId124" Type="http://schemas.openxmlformats.org/officeDocument/2006/relationships/hyperlink" Target="https://dart.fss.or.kr/dsaf001/main.do?rcpNo=20230315001134" TargetMode="External"/><Relationship Id="rId310" Type="http://schemas.openxmlformats.org/officeDocument/2006/relationships/hyperlink" Target="https://dart.fss.or.kr/dsaf001/main.do?rcpNo=20230315000803" TargetMode="External"/><Relationship Id="rId70" Type="http://schemas.openxmlformats.org/officeDocument/2006/relationships/hyperlink" Target="https://dart.fss.or.kr/dsaf001/main.do?rcpNo=20230712000089" TargetMode="External"/><Relationship Id="rId91" Type="http://schemas.openxmlformats.org/officeDocument/2006/relationships/hyperlink" Target="https://dart.fss.or.kr/dsaf001/main.do?rcpNo=20230316001412" TargetMode="External"/><Relationship Id="rId145" Type="http://schemas.openxmlformats.org/officeDocument/2006/relationships/hyperlink" Target="https://dart.fss.or.kr/dsaf001/main.do?rcpNo=20230315001212" TargetMode="External"/><Relationship Id="rId166" Type="http://schemas.openxmlformats.org/officeDocument/2006/relationships/hyperlink" Target="https://dart.fss.or.kr/dsaf001/main.do?rcpNo=20230724000235" TargetMode="External"/><Relationship Id="rId187" Type="http://schemas.openxmlformats.org/officeDocument/2006/relationships/hyperlink" Target="https://dart.fss.or.kr/dsaf001/main.do?rcpNo=20230309000717" TargetMode="External"/><Relationship Id="rId331" Type="http://schemas.openxmlformats.org/officeDocument/2006/relationships/hyperlink" Target="https://www.hanmi.co.kr/" TargetMode="External"/><Relationship Id="rId1" Type="http://schemas.openxmlformats.org/officeDocument/2006/relationships/hyperlink" Target="https://dart.fss.or.kr/dsaf001/main.do?rcpNo=20230320000886" TargetMode="External"/><Relationship Id="rId212" Type="http://schemas.openxmlformats.org/officeDocument/2006/relationships/hyperlink" Target="https://dart.fss.or.kr/dsaf001/main.do?rcpNo=20230322001078" TargetMode="External"/><Relationship Id="rId233" Type="http://schemas.openxmlformats.org/officeDocument/2006/relationships/hyperlink" Target="https://dart.fss.or.kr/dsaf001/main.do?rcpNo=20230315001428" TargetMode="External"/><Relationship Id="rId254" Type="http://schemas.openxmlformats.org/officeDocument/2006/relationships/hyperlink" Target="https://dart.fss.or.kr/dsaf001/main.do?rcpNo=20230316001157" TargetMode="External"/><Relationship Id="rId28" Type="http://schemas.openxmlformats.org/officeDocument/2006/relationships/hyperlink" Target="https://dart.fss.or.kr/dsaf001/main.do?rcpNo=20230323000613" TargetMode="External"/><Relationship Id="rId49" Type="http://schemas.openxmlformats.org/officeDocument/2006/relationships/hyperlink" Target="https://dart.fss.or.kr/dsaf001/main.do?rcpNo=20230220001625" TargetMode="External"/><Relationship Id="rId114" Type="http://schemas.openxmlformats.org/officeDocument/2006/relationships/hyperlink" Target="https://dart.fss.or.kr/dsaf001/main.do?rcpNo=20230316001051" TargetMode="External"/><Relationship Id="rId275" Type="http://schemas.openxmlformats.org/officeDocument/2006/relationships/hyperlink" Target="https://dart.fss.or.kr/dsaf001/main.do?rcpNo=20230323000478" TargetMode="External"/><Relationship Id="rId296" Type="http://schemas.openxmlformats.org/officeDocument/2006/relationships/hyperlink" Target="https://dart.fss.or.kr/dsaf001/main.do?rcpNo=20230323001346" TargetMode="External"/><Relationship Id="rId300" Type="http://schemas.openxmlformats.org/officeDocument/2006/relationships/hyperlink" Target="https://dart.fss.or.kr/dsaf001/main.do?rcpNo=20230314001218" TargetMode="External"/><Relationship Id="rId60" Type="http://schemas.openxmlformats.org/officeDocument/2006/relationships/hyperlink" Target="https://dart.fss.or.kr/dsaf001/main.do?rcpNo=20230321000645" TargetMode="External"/><Relationship Id="rId81" Type="http://schemas.openxmlformats.org/officeDocument/2006/relationships/hyperlink" Target="https://dart.fss.or.kr/dsaf001/main.do?rcpNo=20230320000675" TargetMode="External"/><Relationship Id="rId135" Type="http://schemas.openxmlformats.org/officeDocument/2006/relationships/hyperlink" Target="https://dart.fss.or.kr/dsaf001/main.do?rcpNo=20230315001257" TargetMode="External"/><Relationship Id="rId156" Type="http://schemas.openxmlformats.org/officeDocument/2006/relationships/hyperlink" Target="https://dart.fss.or.kr/dsaf001/main.do?rcpNo=20230320000375" TargetMode="External"/><Relationship Id="rId177" Type="http://schemas.openxmlformats.org/officeDocument/2006/relationships/hyperlink" Target="https://dart.fss.or.kr/dsaf001/main.do?rcpNo=20230315001319" TargetMode="External"/><Relationship Id="rId198" Type="http://schemas.openxmlformats.org/officeDocument/2006/relationships/hyperlink" Target="https://dart.fss.or.kr/dsaf001/main.do?rcpNo=20230315000345" TargetMode="External"/><Relationship Id="rId321" Type="http://schemas.openxmlformats.org/officeDocument/2006/relationships/hyperlink" Target="https://dart.fss.or.kr/dsaf001/main.do?rcpNo=20230308000741" TargetMode="External"/><Relationship Id="rId202" Type="http://schemas.openxmlformats.org/officeDocument/2006/relationships/hyperlink" Target="https://dart.fss.or.kr/dsaf001/main.do?rcpNo=20230322000913" TargetMode="External"/><Relationship Id="rId223" Type="http://schemas.openxmlformats.org/officeDocument/2006/relationships/hyperlink" Target="https://dart.fss.or.kr/dsaf001/main.do?rcpNo=20230315001068" TargetMode="External"/><Relationship Id="rId244" Type="http://schemas.openxmlformats.org/officeDocument/2006/relationships/hyperlink" Target="https://dart.fss.or.kr/dsaf001/main.do?rcpNo=20230323001208" TargetMode="External"/><Relationship Id="rId18" Type="http://schemas.openxmlformats.org/officeDocument/2006/relationships/hyperlink" Target="https://dart.fss.or.kr/dsaf001/main.do?rcpNo=20230315001033" TargetMode="External"/><Relationship Id="rId39" Type="http://schemas.openxmlformats.org/officeDocument/2006/relationships/hyperlink" Target="https://dart.fss.or.kr/dsaf001/main.do?rcpNo=20230321000569" TargetMode="External"/><Relationship Id="rId265" Type="http://schemas.openxmlformats.org/officeDocument/2006/relationships/hyperlink" Target="https://dart.fss.or.kr/dsaf001/main.do?rcpNo=20230316001331" TargetMode="External"/><Relationship Id="rId286" Type="http://schemas.openxmlformats.org/officeDocument/2006/relationships/hyperlink" Target="https://dart.fss.or.kr/dsaf001/main.do?rcpNo=20230315001312" TargetMode="External"/><Relationship Id="rId50" Type="http://schemas.openxmlformats.org/officeDocument/2006/relationships/hyperlink" Target="https://dart.fss.or.kr/dsaf001/main.do?rcpNo=20230220001611" TargetMode="External"/><Relationship Id="rId104" Type="http://schemas.openxmlformats.org/officeDocument/2006/relationships/hyperlink" Target="https://dart.fss.or.kr/dsaf001/main.do?rcpNo=20230322001102" TargetMode="External"/><Relationship Id="rId125" Type="http://schemas.openxmlformats.org/officeDocument/2006/relationships/hyperlink" Target="https://dart.fss.or.kr/dsaf001/main.do?rcpNo=20230320000972" TargetMode="External"/><Relationship Id="rId146" Type="http://schemas.openxmlformats.org/officeDocument/2006/relationships/hyperlink" Target="https://dart.fss.or.kr/dsaf001/main.do?rcpNo=20230315001060" TargetMode="External"/><Relationship Id="rId167" Type="http://schemas.openxmlformats.org/officeDocument/2006/relationships/hyperlink" Target="https://dart.fss.or.kr/dsaf001/main.do?rcpNo=20230228006867" TargetMode="External"/><Relationship Id="rId188" Type="http://schemas.openxmlformats.org/officeDocument/2006/relationships/hyperlink" Target="https://dart.fss.or.kr/dsaf001/main.do?rcpNo=20230322000722" TargetMode="External"/><Relationship Id="rId311" Type="http://schemas.openxmlformats.org/officeDocument/2006/relationships/hyperlink" Target="https://dart.fss.or.kr/dsaf001/main.do?rcpNo=20230321001082" TargetMode="External"/><Relationship Id="rId332" Type="http://schemas.openxmlformats.org/officeDocument/2006/relationships/printerSettings" Target="../printerSettings/printerSettings1.bin"/><Relationship Id="rId71" Type="http://schemas.openxmlformats.org/officeDocument/2006/relationships/hyperlink" Target="https://dart.fss.or.kr/dsaf001/main.do?rcpNo=20230316001430" TargetMode="External"/><Relationship Id="rId92" Type="http://schemas.openxmlformats.org/officeDocument/2006/relationships/hyperlink" Target="https://dart.fss.or.kr/dsaf001/main.do?rcpNo=20230323001351" TargetMode="External"/><Relationship Id="rId213" Type="http://schemas.openxmlformats.org/officeDocument/2006/relationships/hyperlink" Target="https://dart.fss.or.kr/dsaf001/main.do?rcpNo=20230321000409" TargetMode="External"/><Relationship Id="rId234" Type="http://schemas.openxmlformats.org/officeDocument/2006/relationships/hyperlink" Target="https://dart.fss.or.kr/dsaf001/main.do?rcpNo=20230308000725" TargetMode="External"/><Relationship Id="rId2" Type="http://schemas.openxmlformats.org/officeDocument/2006/relationships/hyperlink" Target="https://dart.fss.or.kr/dsaf001/main.do?rcpNo=20230316001312" TargetMode="External"/><Relationship Id="rId29" Type="http://schemas.openxmlformats.org/officeDocument/2006/relationships/hyperlink" Target="https://dart.fss.or.kr/dsaf001/main.do?rcpNo=20230320000688" TargetMode="External"/><Relationship Id="rId255" Type="http://schemas.openxmlformats.org/officeDocument/2006/relationships/hyperlink" Target="https://dart.fss.or.kr/dsaf001/main.do?rcpNo=20230323001143" TargetMode="External"/><Relationship Id="rId276" Type="http://schemas.openxmlformats.org/officeDocument/2006/relationships/hyperlink" Target="https://dart.fss.or.kr/dsaf001/main.do?rcpNo=20230315000812" TargetMode="External"/><Relationship Id="rId297" Type="http://schemas.openxmlformats.org/officeDocument/2006/relationships/hyperlink" Target="https://dart.fss.or.kr/dsaf001/main.do?rcpNo=20230315001412" TargetMode="External"/><Relationship Id="rId40" Type="http://schemas.openxmlformats.org/officeDocument/2006/relationships/hyperlink" Target="https://dart.fss.or.kr/dsaf001/main.do?rcpNo=20230320000844" TargetMode="External"/><Relationship Id="rId115" Type="http://schemas.openxmlformats.org/officeDocument/2006/relationships/hyperlink" Target="https://dart.fss.or.kr/dsaf001/main.do?rcpNo=20230315001395" TargetMode="External"/><Relationship Id="rId136" Type="http://schemas.openxmlformats.org/officeDocument/2006/relationships/hyperlink" Target="https://dart.fss.or.kr/dsaf001/main.do?rcpNo=20230313000726" TargetMode="External"/><Relationship Id="rId157" Type="http://schemas.openxmlformats.org/officeDocument/2006/relationships/hyperlink" Target="https://dart.fss.or.kr/dsaf001/main.do?rcpNo=20230316001182" TargetMode="External"/><Relationship Id="rId178" Type="http://schemas.openxmlformats.org/officeDocument/2006/relationships/hyperlink" Target="https://dart.fss.or.kr/dsaf001/main.do?rcpNo=20230314001079" TargetMode="External"/><Relationship Id="rId301" Type="http://schemas.openxmlformats.org/officeDocument/2006/relationships/hyperlink" Target="https://dart.fss.or.kr/dsaf001/main.do?rcpNo=20230411001656" TargetMode="External"/><Relationship Id="rId322" Type="http://schemas.openxmlformats.org/officeDocument/2006/relationships/hyperlink" Target="https://dart.fss.or.kr/dsaf001/main.do?rcpNo=20230321000387" TargetMode="External"/><Relationship Id="rId61" Type="http://schemas.openxmlformats.org/officeDocument/2006/relationships/hyperlink" Target="https://dart.fss.or.kr/dsaf001/main.do?rcpNo=20230314000982" TargetMode="External"/><Relationship Id="rId82" Type="http://schemas.openxmlformats.org/officeDocument/2006/relationships/hyperlink" Target="https://dart.fss.or.kr/dsaf001/main.do?rcpNo=20230321000752" TargetMode="External"/><Relationship Id="rId199" Type="http://schemas.openxmlformats.org/officeDocument/2006/relationships/hyperlink" Target="https://dart.fss.or.kr/dsaf001/main.do?rcpNo=20230321001365" TargetMode="External"/><Relationship Id="rId203" Type="http://schemas.openxmlformats.org/officeDocument/2006/relationships/hyperlink" Target="https://dart.fss.or.kr/dsaf001/main.do?rcpNo=20230316001571" TargetMode="External"/><Relationship Id="rId19" Type="http://schemas.openxmlformats.org/officeDocument/2006/relationships/hyperlink" Target="https://dart.fss.or.kr/dsaf001/main.do?rcpNo=20230713000082" TargetMode="External"/><Relationship Id="rId224" Type="http://schemas.openxmlformats.org/officeDocument/2006/relationships/hyperlink" Target="https://dart.fss.or.kr/dsaf001/main.do?rcpNo=20230714000214" TargetMode="External"/><Relationship Id="rId245" Type="http://schemas.openxmlformats.org/officeDocument/2006/relationships/hyperlink" Target="https://dart.fss.or.kr/dsaf001/main.do?rcpNo=20230320001005" TargetMode="External"/><Relationship Id="rId266" Type="http://schemas.openxmlformats.org/officeDocument/2006/relationships/hyperlink" Target="https://dart.fss.or.kr/dsaf001/main.do?rcpNo=20230313000443" TargetMode="External"/><Relationship Id="rId287" Type="http://schemas.openxmlformats.org/officeDocument/2006/relationships/hyperlink" Target="https://dart.fss.or.kr/dsaf001/main.do?rcpNo=20230320000937" TargetMode="External"/><Relationship Id="rId30" Type="http://schemas.openxmlformats.org/officeDocument/2006/relationships/hyperlink" Target="https://dart.fss.or.kr/dsaf001/main.do?rcpNo=20230320000833" TargetMode="External"/><Relationship Id="rId105" Type="http://schemas.openxmlformats.org/officeDocument/2006/relationships/hyperlink" Target="https://dart.fss.or.kr/dsaf001/main.do?rcpNo=20230317000669" TargetMode="External"/><Relationship Id="rId126" Type="http://schemas.openxmlformats.org/officeDocument/2006/relationships/hyperlink" Target="https://dart.fss.or.kr/dsaf001/main.do?rcpNo=20230315001384" TargetMode="External"/><Relationship Id="rId147" Type="http://schemas.openxmlformats.org/officeDocument/2006/relationships/hyperlink" Target="https://dart.fss.or.kr/dsaf001/main.do?rcpNo=20230321001381" TargetMode="External"/><Relationship Id="rId168" Type="http://schemas.openxmlformats.org/officeDocument/2006/relationships/hyperlink" Target="https://dart.fss.or.kr/dsaf001/main.do?rcpNo=20230316000461" TargetMode="External"/><Relationship Id="rId312" Type="http://schemas.openxmlformats.org/officeDocument/2006/relationships/hyperlink" Target="https://dart.fss.or.kr/dsaf001/main.do?rcpNo=20230309000797" TargetMode="External"/><Relationship Id="rId333" Type="http://schemas.openxmlformats.org/officeDocument/2006/relationships/vmlDrawing" Target="../drawings/vmlDrawing1.vml"/><Relationship Id="rId51" Type="http://schemas.openxmlformats.org/officeDocument/2006/relationships/hyperlink" Target="https://dart.fss.or.kr/dsaf001/main.do?rcpNo=20230315001078" TargetMode="External"/><Relationship Id="rId72" Type="http://schemas.openxmlformats.org/officeDocument/2006/relationships/hyperlink" Target="https://dart.fss.or.kr/dsaf001/main.do?rcpNo=20230321000737" TargetMode="External"/><Relationship Id="rId93" Type="http://schemas.openxmlformats.org/officeDocument/2006/relationships/hyperlink" Target="https://dart.fss.or.kr/dsaf001/main.do?rcpNo=20230316001384" TargetMode="External"/><Relationship Id="rId189" Type="http://schemas.openxmlformats.org/officeDocument/2006/relationships/hyperlink" Target="https://dart.fss.or.kr/dsaf001/main.do?rcpNo=20230323001296" TargetMode="External"/><Relationship Id="rId3" Type="http://schemas.openxmlformats.org/officeDocument/2006/relationships/hyperlink" Target="https://dart.fss.or.kr/dsaf001/main.do?rcpNo=20230317000857" TargetMode="External"/><Relationship Id="rId214" Type="http://schemas.openxmlformats.org/officeDocument/2006/relationships/hyperlink" Target="https://dart.fss.or.kr/dsaf001/main.do?rcpNo=20230323001335" TargetMode="External"/><Relationship Id="rId235" Type="http://schemas.openxmlformats.org/officeDocument/2006/relationships/hyperlink" Target="https://dart.fss.or.kr/dsaf001/main.do?rcpNo=20230306000422" TargetMode="External"/><Relationship Id="rId256" Type="http://schemas.openxmlformats.org/officeDocument/2006/relationships/hyperlink" Target="https://dart.fss.or.kr/dsaf001/main.do?rcpNo=20230314000862" TargetMode="External"/><Relationship Id="rId277" Type="http://schemas.openxmlformats.org/officeDocument/2006/relationships/hyperlink" Target="https://dart.fss.or.kr/dsaf001/main.do?rcpNo=20230323000970" TargetMode="External"/><Relationship Id="rId298" Type="http://schemas.openxmlformats.org/officeDocument/2006/relationships/hyperlink" Target="https://dart.fss.or.kr/dsaf001/main.do?rcpNo=20230315000557" TargetMode="External"/><Relationship Id="rId116" Type="http://schemas.openxmlformats.org/officeDocument/2006/relationships/hyperlink" Target="https://dart.fss.or.kr/dsaf001/main.do?rcpNo=20230424000485" TargetMode="External"/><Relationship Id="rId137" Type="http://schemas.openxmlformats.org/officeDocument/2006/relationships/hyperlink" Target="https://dart.fss.or.kr/dsaf001/main.do?rcpNo=20230308000737" TargetMode="External"/><Relationship Id="rId158" Type="http://schemas.openxmlformats.org/officeDocument/2006/relationships/hyperlink" Target="https://dart.fss.or.kr/dsaf001/main.do?rcpNo=20230316001232" TargetMode="External"/><Relationship Id="rId302" Type="http://schemas.openxmlformats.org/officeDocument/2006/relationships/hyperlink" Target="https://dart.fss.or.kr/dsaf001/main.do?rcpNo=20230315001104" TargetMode="External"/><Relationship Id="rId323" Type="http://schemas.openxmlformats.org/officeDocument/2006/relationships/hyperlink" Target="https://dart.fss.or.kr/dsaf001/main.do?rcpNo=20230313000533" TargetMode="External"/><Relationship Id="rId20" Type="http://schemas.openxmlformats.org/officeDocument/2006/relationships/hyperlink" Target="https://dart.fss.or.kr/dsaf001/main.do?rcpNo=20230317000301" TargetMode="External"/><Relationship Id="rId41" Type="http://schemas.openxmlformats.org/officeDocument/2006/relationships/hyperlink" Target="https://dart.fss.or.kr/dsaf001/main.do?rcpNo=20230315000990" TargetMode="External"/><Relationship Id="rId62" Type="http://schemas.openxmlformats.org/officeDocument/2006/relationships/hyperlink" Target="https://dart.fss.or.kr/dsaf001/main.do?rcpNo=20230314000692" TargetMode="External"/><Relationship Id="rId83" Type="http://schemas.openxmlformats.org/officeDocument/2006/relationships/hyperlink" Target="https://dart.fss.or.kr/dsaf001/main.do?rcpNo=20230321000740" TargetMode="External"/><Relationship Id="rId179" Type="http://schemas.openxmlformats.org/officeDocument/2006/relationships/hyperlink" Target="https://dart.fss.or.kr/dsaf001/main.do?rcpNo=20230316001089" TargetMode="External"/><Relationship Id="rId190" Type="http://schemas.openxmlformats.org/officeDocument/2006/relationships/hyperlink" Target="https://dart.fss.or.kr/dsaf001/main.do?rcpNo=20230315001190" TargetMode="External"/><Relationship Id="rId204" Type="http://schemas.openxmlformats.org/officeDocument/2006/relationships/hyperlink" Target="https://dart.fss.or.kr/dsaf001/main.do?rcpNo=20230317000918" TargetMode="External"/><Relationship Id="rId225" Type="http://schemas.openxmlformats.org/officeDocument/2006/relationships/hyperlink" Target="https://dart.fss.or.kr/dsaf001/main.do?rcpNo=20230308000451" TargetMode="External"/><Relationship Id="rId246" Type="http://schemas.openxmlformats.org/officeDocument/2006/relationships/hyperlink" Target="https://dart.fss.or.kr/dsaf001/main.do?rcpNo=20230317001037" TargetMode="External"/><Relationship Id="rId267" Type="http://schemas.openxmlformats.org/officeDocument/2006/relationships/hyperlink" Target="https://dart.fss.or.kr/dsaf001/main.do?rcpNo=20230317000751" TargetMode="External"/><Relationship Id="rId288" Type="http://schemas.openxmlformats.org/officeDocument/2006/relationships/hyperlink" Target="https://dart.fss.or.kr/dsaf001/main.do?rcpNo=20230314000521" TargetMode="External"/><Relationship Id="rId106" Type="http://schemas.openxmlformats.org/officeDocument/2006/relationships/hyperlink" Target="https://dart.fss.or.kr/dsaf001/main.do?rcpNo=20230320000820" TargetMode="External"/><Relationship Id="rId127" Type="http://schemas.openxmlformats.org/officeDocument/2006/relationships/hyperlink" Target="https://dart.fss.or.kr/dsaf001/main.do?rcpNo=20230310000296" TargetMode="External"/><Relationship Id="rId313" Type="http://schemas.openxmlformats.org/officeDocument/2006/relationships/hyperlink" Target="https://dart.fss.or.kr/dsaf001/main.do?rcpNo=20230315001376" TargetMode="External"/><Relationship Id="rId10" Type="http://schemas.openxmlformats.org/officeDocument/2006/relationships/hyperlink" Target="https://dart.fss.or.kr/dsaf001/main.do?rcpNo=20230315001420" TargetMode="External"/><Relationship Id="rId31" Type="http://schemas.openxmlformats.org/officeDocument/2006/relationships/hyperlink" Target="https://dart.fss.or.kr/dsaf001/main.do?rcpNo=20230302000615" TargetMode="External"/><Relationship Id="rId52" Type="http://schemas.openxmlformats.org/officeDocument/2006/relationships/hyperlink" Target="https://dart.fss.or.kr/dsaf001/main.do?rcpNo=20230322000815" TargetMode="External"/><Relationship Id="rId73" Type="http://schemas.openxmlformats.org/officeDocument/2006/relationships/hyperlink" Target="https://dart.fss.or.kr/dsaf001/main.do?rcpNo=20230316000929" TargetMode="External"/><Relationship Id="rId94" Type="http://schemas.openxmlformats.org/officeDocument/2006/relationships/hyperlink" Target="https://dart.fss.or.kr/dsaf001/main.do?rcpNo=20230315001173" TargetMode="External"/><Relationship Id="rId148" Type="http://schemas.openxmlformats.org/officeDocument/2006/relationships/hyperlink" Target="https://dart.fss.or.kr/dsaf001/main.do?rcpNo=20230315001242" TargetMode="External"/><Relationship Id="rId169" Type="http://schemas.openxmlformats.org/officeDocument/2006/relationships/hyperlink" Target="https://dart.fss.or.kr/dsaf001/main.do?rcpNo=20230320000842" TargetMode="External"/><Relationship Id="rId334" Type="http://schemas.openxmlformats.org/officeDocument/2006/relationships/comments" Target="../comments1.xml"/><Relationship Id="rId4" Type="http://schemas.openxmlformats.org/officeDocument/2006/relationships/hyperlink" Target="https://dart.fss.or.kr/dsaf001/main.do?rcpNo=20230320000740" TargetMode="External"/><Relationship Id="rId180" Type="http://schemas.openxmlformats.org/officeDocument/2006/relationships/hyperlink" Target="https://dart.fss.or.kr/dsaf001/main.do?rcpNo=20230615000542" TargetMode="External"/><Relationship Id="rId215" Type="http://schemas.openxmlformats.org/officeDocument/2006/relationships/hyperlink" Target="https://dart.fss.or.kr/dsaf001/main.do?rcpNo=20230309000433" TargetMode="External"/><Relationship Id="rId236" Type="http://schemas.openxmlformats.org/officeDocument/2006/relationships/hyperlink" Target="https://dart.fss.or.kr/dsaf001/main.do?rcpNo=20230320000418" TargetMode="External"/><Relationship Id="rId257" Type="http://schemas.openxmlformats.org/officeDocument/2006/relationships/hyperlink" Target="https://dart.fss.or.kr/dsaf001/main.do?rcpNo=20230317000233" TargetMode="External"/><Relationship Id="rId278" Type="http://schemas.openxmlformats.org/officeDocument/2006/relationships/hyperlink" Target="https://dart.fss.or.kr/dsaf001/main.do?rcpNo=20230316001234" TargetMode="External"/><Relationship Id="rId303" Type="http://schemas.openxmlformats.org/officeDocument/2006/relationships/hyperlink" Target="https://dart.fss.or.kr/dsaf001/main.do?rcpNo=20230321001449" TargetMode="External"/><Relationship Id="rId42" Type="http://schemas.openxmlformats.org/officeDocument/2006/relationships/hyperlink" Target="https://dart.fss.or.kr/dsaf001/main.do?rcpNo=20230320000162" TargetMode="External"/><Relationship Id="rId84" Type="http://schemas.openxmlformats.org/officeDocument/2006/relationships/hyperlink" Target="https://dart.fss.or.kr/dsaf001/main.do?rcpNo=20230324000880" TargetMode="External"/><Relationship Id="rId138" Type="http://schemas.openxmlformats.org/officeDocument/2006/relationships/hyperlink" Target="https://dart.fss.or.kr/dsaf001/main.do?rcpNo=20230307000606" TargetMode="External"/><Relationship Id="rId191" Type="http://schemas.openxmlformats.org/officeDocument/2006/relationships/hyperlink" Target="https://dart.fss.or.kr/dsaf001/main.do?rcpNo=20230320001088" TargetMode="External"/><Relationship Id="rId205" Type="http://schemas.openxmlformats.org/officeDocument/2006/relationships/hyperlink" Target="https://dart.fss.or.kr/dsaf001/main.do?rcpNo=20230308000675" TargetMode="External"/><Relationship Id="rId247" Type="http://schemas.openxmlformats.org/officeDocument/2006/relationships/hyperlink" Target="https://dart.fss.or.kr/dsaf001/main.do?rcpNo=20230323001465" TargetMode="External"/><Relationship Id="rId107" Type="http://schemas.openxmlformats.org/officeDocument/2006/relationships/hyperlink" Target="https://dart.fss.or.kr/dsaf001/main.do?rcpNo=20230314000884" TargetMode="External"/><Relationship Id="rId289" Type="http://schemas.openxmlformats.org/officeDocument/2006/relationships/hyperlink" Target="https://dart.fss.or.kr/dsaf001/main.do?rcpNo=20230313000732" TargetMode="External"/><Relationship Id="rId11" Type="http://schemas.openxmlformats.org/officeDocument/2006/relationships/hyperlink" Target="https://dart.fss.or.kr/dsaf001/main.do?rcpNo=20230322001200" TargetMode="External"/><Relationship Id="rId53" Type="http://schemas.openxmlformats.org/officeDocument/2006/relationships/hyperlink" Target="https://dart.fss.or.kr/dsaf001/main.do?rcpNo=20230322000774" TargetMode="External"/><Relationship Id="rId149" Type="http://schemas.openxmlformats.org/officeDocument/2006/relationships/hyperlink" Target="https://dart.fss.or.kr/dsaf001/main.do?rcpNo=20230713000197" TargetMode="External"/><Relationship Id="rId314" Type="http://schemas.openxmlformats.org/officeDocument/2006/relationships/hyperlink" Target="https://dart.fss.or.kr/dsaf001/main.do?rcpNo=20230316001392" TargetMode="External"/><Relationship Id="rId95" Type="http://schemas.openxmlformats.org/officeDocument/2006/relationships/hyperlink" Target="https://dart.fss.or.kr/dsaf001/main.do?rcpNo=20230317000725" TargetMode="External"/><Relationship Id="rId160" Type="http://schemas.openxmlformats.org/officeDocument/2006/relationships/hyperlink" Target="https://dart.fss.or.kr/dsaf001/main.do?rcpNo=20230310000633" TargetMode="External"/><Relationship Id="rId216" Type="http://schemas.openxmlformats.org/officeDocument/2006/relationships/hyperlink" Target="https://dart.fss.or.kr/dsaf001/main.do?rcpNo=20230323001183" TargetMode="External"/><Relationship Id="rId258" Type="http://schemas.openxmlformats.org/officeDocument/2006/relationships/hyperlink" Target="https://dart.fss.or.kr/dsaf001/main.do?rcpNo=20230322000780" TargetMode="External"/><Relationship Id="rId22" Type="http://schemas.openxmlformats.org/officeDocument/2006/relationships/hyperlink" Target="https://dart.fss.or.kr/dsaf001/main.do?rcpNo=20230714000061" TargetMode="External"/><Relationship Id="rId64" Type="http://schemas.openxmlformats.org/officeDocument/2006/relationships/hyperlink" Target="https://dart.fss.or.kr/dsaf001/main.do?rcpNo=20230314000467" TargetMode="External"/><Relationship Id="rId118" Type="http://schemas.openxmlformats.org/officeDocument/2006/relationships/hyperlink" Target="https://dart.fss.or.kr/dsaf001/main.do?rcpNo=20230315000646" TargetMode="External"/><Relationship Id="rId325" Type="http://schemas.openxmlformats.org/officeDocument/2006/relationships/hyperlink" Target="https://dart.fss.or.kr/dsaf001/main.do?rcpNo=20230309000761" TargetMode="External"/><Relationship Id="rId171" Type="http://schemas.openxmlformats.org/officeDocument/2006/relationships/hyperlink" Target="https://dart.fss.or.kr/dsaf001/main.do?rcpNo=20230302000104" TargetMode="External"/><Relationship Id="rId227" Type="http://schemas.openxmlformats.org/officeDocument/2006/relationships/hyperlink" Target="https://dart.fss.or.kr/dsaf001/main.do?rcpNo=20230314001271" TargetMode="External"/><Relationship Id="rId269" Type="http://schemas.openxmlformats.org/officeDocument/2006/relationships/hyperlink" Target="https://dart.fss.or.kr/dsaf001/main.do?rcpNo=20230316001467" TargetMode="External"/><Relationship Id="rId33" Type="http://schemas.openxmlformats.org/officeDocument/2006/relationships/hyperlink" Target="https://dart.fss.or.kr/dsaf001/main.do?rcpNo=20230317000276" TargetMode="External"/><Relationship Id="rId129" Type="http://schemas.openxmlformats.org/officeDocument/2006/relationships/hyperlink" Target="https://dart.fss.or.kr/dsaf001/main.do?rcpNo=20221230000430" TargetMode="External"/><Relationship Id="rId280" Type="http://schemas.openxmlformats.org/officeDocument/2006/relationships/hyperlink" Target="https://dart.fss.or.kr/dsaf001/main.do?rcpNo=20230321001102" TargetMode="External"/><Relationship Id="rId75" Type="http://schemas.openxmlformats.org/officeDocument/2006/relationships/hyperlink" Target="https://dart.fss.or.kr/dsaf001/main.do?rcpNo=20230316000958" TargetMode="External"/><Relationship Id="rId140" Type="http://schemas.openxmlformats.org/officeDocument/2006/relationships/hyperlink" Target="https://dart.fss.or.kr/dsaf001/main.do?rcpNo=20230307000653" TargetMode="External"/><Relationship Id="rId182" Type="http://schemas.openxmlformats.org/officeDocument/2006/relationships/hyperlink" Target="https://dart.fss.or.kr/dsaf001/main.do?rcpNo=20230411002838" TargetMode="External"/><Relationship Id="rId6" Type="http://schemas.openxmlformats.org/officeDocument/2006/relationships/hyperlink" Target="https://dart.fss.or.kr/dsaf001/main.do?rcpNo=20230321001132" TargetMode="External"/><Relationship Id="rId238" Type="http://schemas.openxmlformats.org/officeDocument/2006/relationships/hyperlink" Target="https://dart.fss.or.kr/dsaf001/main.do?rcpNo=20230321001309" TargetMode="External"/><Relationship Id="rId291" Type="http://schemas.openxmlformats.org/officeDocument/2006/relationships/hyperlink" Target="https://dart.fss.or.kr/dsaf001/main.do?rcpNo=20230315001227" TargetMode="External"/><Relationship Id="rId305" Type="http://schemas.openxmlformats.org/officeDocument/2006/relationships/hyperlink" Target="https://dart.fss.or.kr/dsaf001/main.do?rcpNo=20230321001162" TargetMode="External"/><Relationship Id="rId44" Type="http://schemas.openxmlformats.org/officeDocument/2006/relationships/hyperlink" Target="https://dart.fss.or.kr/dsaf001/main.do?rcpNo=20230322000906" TargetMode="External"/><Relationship Id="rId86" Type="http://schemas.openxmlformats.org/officeDocument/2006/relationships/hyperlink" Target="https://dart.fss.or.kr/dsaf001/main.do?rcpNo=20230323000406" TargetMode="External"/><Relationship Id="rId151" Type="http://schemas.openxmlformats.org/officeDocument/2006/relationships/hyperlink" Target="https://dart.fss.or.kr/dsaf001/main.do?rcpNo=20230316001053" TargetMode="External"/><Relationship Id="rId193" Type="http://schemas.openxmlformats.org/officeDocument/2006/relationships/hyperlink" Target="https://dart.fss.or.kr/dsaf001/main.do?rcpNo=20230321001134" TargetMode="External"/><Relationship Id="rId207" Type="http://schemas.openxmlformats.org/officeDocument/2006/relationships/hyperlink" Target="https://dart.fss.or.kr/dsaf001/main.do?rcpNo=20230323001413" TargetMode="External"/><Relationship Id="rId249" Type="http://schemas.openxmlformats.org/officeDocument/2006/relationships/hyperlink" Target="https://dart.fss.or.kr/dsaf001/main.do?rcpNo=20230321000862" TargetMode="External"/><Relationship Id="rId13" Type="http://schemas.openxmlformats.org/officeDocument/2006/relationships/hyperlink" Target="https://dart.fss.or.kr/dsaf001/main.do?rcpNo=20230320000604" TargetMode="External"/><Relationship Id="rId109" Type="http://schemas.openxmlformats.org/officeDocument/2006/relationships/hyperlink" Target="https://dart.fss.or.kr/dsaf001/main.do?rcpNo=20230322001127" TargetMode="External"/><Relationship Id="rId260" Type="http://schemas.openxmlformats.org/officeDocument/2006/relationships/hyperlink" Target="https://dart.fss.or.kr/dsaf001/main.do?rcpNo=20230316001321" TargetMode="External"/><Relationship Id="rId316" Type="http://schemas.openxmlformats.org/officeDocument/2006/relationships/hyperlink" Target="https://dart.fss.or.kr/dsaf001/main.do?rcpNo=20230317000130" TargetMode="External"/><Relationship Id="rId55" Type="http://schemas.openxmlformats.org/officeDocument/2006/relationships/hyperlink" Target="https://dart.fss.or.kr/dsaf001/main.do?rcpNo=20230320000720" TargetMode="External"/><Relationship Id="rId97" Type="http://schemas.openxmlformats.org/officeDocument/2006/relationships/hyperlink" Target="https://dart.fss.or.kr/dsaf001/main.do?rcpNo=20230316001141" TargetMode="External"/><Relationship Id="rId120" Type="http://schemas.openxmlformats.org/officeDocument/2006/relationships/hyperlink" Target="https://dart.fss.or.kr/dsaf001/main.do?rcpNo=20220915000334" TargetMode="External"/><Relationship Id="rId162" Type="http://schemas.openxmlformats.org/officeDocument/2006/relationships/hyperlink" Target="https://dart.fss.or.kr/dsaf001/main.do?rcpNo=20230323000638" TargetMode="External"/><Relationship Id="rId218" Type="http://schemas.openxmlformats.org/officeDocument/2006/relationships/hyperlink" Target="https://dart.fss.or.kr/dsaf001/main.do?rcpNo=20230322000936" TargetMode="External"/><Relationship Id="rId271" Type="http://schemas.openxmlformats.org/officeDocument/2006/relationships/hyperlink" Target="https://dart.fss.or.kr/dsaf001/main.do?rcpNo=20230316001349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dart.fss.or.kr/dsaf001/main.do?rcpNo=20230323001050" TargetMode="External"/><Relationship Id="rId299" Type="http://schemas.openxmlformats.org/officeDocument/2006/relationships/hyperlink" Target="https://dart.fss.or.kr/dsaf001/main.do?rcpNo=20230315001327" TargetMode="External"/><Relationship Id="rId21" Type="http://schemas.openxmlformats.org/officeDocument/2006/relationships/hyperlink" Target="https://dart.fss.or.kr/dsaf001/main.do?rcpNo=20230315001407" TargetMode="External"/><Relationship Id="rId63" Type="http://schemas.openxmlformats.org/officeDocument/2006/relationships/hyperlink" Target="https://dart.fss.or.kr/dsaf001/main.do?rcpNo=20230322001068" TargetMode="External"/><Relationship Id="rId159" Type="http://schemas.openxmlformats.org/officeDocument/2006/relationships/hyperlink" Target="https://dart.fss.or.kr/dsaf001/main.do?rcpNo=20230317000349" TargetMode="External"/><Relationship Id="rId324" Type="http://schemas.openxmlformats.org/officeDocument/2006/relationships/hyperlink" Target="https://dart.fss.or.kr/dsaf001/main.do?rcpNo=20230316001454" TargetMode="External"/><Relationship Id="rId170" Type="http://schemas.openxmlformats.org/officeDocument/2006/relationships/hyperlink" Target="https://dart.fss.or.kr/dsaf001/main.do?rcpNo=20230320000954" TargetMode="External"/><Relationship Id="rId226" Type="http://schemas.openxmlformats.org/officeDocument/2006/relationships/hyperlink" Target="https://dart.fss.or.kr/dsaf001/main.do?rcpNo=20230321000389" TargetMode="External"/><Relationship Id="rId268" Type="http://schemas.openxmlformats.org/officeDocument/2006/relationships/hyperlink" Target="https://dart.fss.or.kr/dsaf001/main.do?rcpNo=20230322001245" TargetMode="External"/><Relationship Id="rId32" Type="http://schemas.openxmlformats.org/officeDocument/2006/relationships/hyperlink" Target="https://dart.fss.or.kr/dsaf001/main.do?rcpNo=20230222002549" TargetMode="External"/><Relationship Id="rId74" Type="http://schemas.openxmlformats.org/officeDocument/2006/relationships/hyperlink" Target="https://dart.fss.or.kr/dsaf001/main.do?rcpNo=20230321001403" TargetMode="External"/><Relationship Id="rId128" Type="http://schemas.openxmlformats.org/officeDocument/2006/relationships/hyperlink" Target="https://dart.fss.or.kr/dsaf001/main.do?rcpNo=20230327000678" TargetMode="External"/><Relationship Id="rId335" Type="http://schemas.microsoft.com/office/2017/10/relationships/threadedComment" Target="../threadedComments/threadedComment2.xml"/><Relationship Id="rId5" Type="http://schemas.openxmlformats.org/officeDocument/2006/relationships/hyperlink" Target="https://dart.fss.or.kr/dsaf001/main.do?rcpNo=20230814001661" TargetMode="External"/><Relationship Id="rId181" Type="http://schemas.openxmlformats.org/officeDocument/2006/relationships/hyperlink" Target="https://dart.fss.or.kr/dsaf001/main.do?rcpNo=20230323000459" TargetMode="External"/><Relationship Id="rId237" Type="http://schemas.openxmlformats.org/officeDocument/2006/relationships/hyperlink" Target="https://dart.fss.or.kr/dsaf001/main.do?rcpNo=20230321001298" TargetMode="External"/><Relationship Id="rId279" Type="http://schemas.openxmlformats.org/officeDocument/2006/relationships/hyperlink" Target="https://dart.fss.or.kr/dsaf001/main.do?rcpNo=20230316000941" TargetMode="External"/><Relationship Id="rId43" Type="http://schemas.openxmlformats.org/officeDocument/2006/relationships/hyperlink" Target="https://dart.fss.or.kr/dsaf001/main.do?rcpNo=20230317000869" TargetMode="External"/><Relationship Id="rId139" Type="http://schemas.openxmlformats.org/officeDocument/2006/relationships/hyperlink" Target="https://dart.fss.or.kr/dsaf001/main.do?rcpNo=20230831001403" TargetMode="External"/><Relationship Id="rId290" Type="http://schemas.openxmlformats.org/officeDocument/2006/relationships/hyperlink" Target="https://dart.fss.or.kr/dsaf001/main.do?rcpNo=20230314001231" TargetMode="External"/><Relationship Id="rId304" Type="http://schemas.openxmlformats.org/officeDocument/2006/relationships/hyperlink" Target="https://dart.fss.or.kr/dsaf001/main.do?rcpNo=20230310001083" TargetMode="External"/><Relationship Id="rId85" Type="http://schemas.openxmlformats.org/officeDocument/2006/relationships/hyperlink" Target="https://dart.fss.or.kr/dsaf001/main.do?rcpNo=20230317000005" TargetMode="External"/><Relationship Id="rId150" Type="http://schemas.openxmlformats.org/officeDocument/2006/relationships/hyperlink" Target="https://dart.fss.or.kr/dsaf001/main.do?rcpNo=20230524000304" TargetMode="External"/><Relationship Id="rId192" Type="http://schemas.openxmlformats.org/officeDocument/2006/relationships/hyperlink" Target="https://dart.fss.or.kr/dsaf001/main.do?rcpNo=20230515000371" TargetMode="External"/><Relationship Id="rId206" Type="http://schemas.openxmlformats.org/officeDocument/2006/relationships/hyperlink" Target="https://dart.fss.or.kr/dsaf001/main.do?rcpNo=20230329000065" TargetMode="External"/><Relationship Id="rId248" Type="http://schemas.openxmlformats.org/officeDocument/2006/relationships/hyperlink" Target="https://dart.fss.or.kr/dsaf001/main.do?rcpNo=20230315000297" TargetMode="External"/><Relationship Id="rId12" Type="http://schemas.openxmlformats.org/officeDocument/2006/relationships/hyperlink" Target="https://dart.fss.or.kr/dsaf001/main.do?rcpNo=20230320000736" TargetMode="External"/><Relationship Id="rId108" Type="http://schemas.openxmlformats.org/officeDocument/2006/relationships/hyperlink" Target="https://dart.fss.or.kr/dsaf001/main.do?rcpNo=20230324000928" TargetMode="External"/><Relationship Id="rId315" Type="http://schemas.openxmlformats.org/officeDocument/2006/relationships/hyperlink" Target="https://dart.fss.or.kr/dsaf001/main.do?rcpNo=20230321000920" TargetMode="External"/><Relationship Id="rId54" Type="http://schemas.openxmlformats.org/officeDocument/2006/relationships/hyperlink" Target="https://dart.fss.or.kr/dsaf001/main.do?rcpNo=20230314001158" TargetMode="External"/><Relationship Id="rId96" Type="http://schemas.openxmlformats.org/officeDocument/2006/relationships/hyperlink" Target="https://dart.fss.or.kr/dsaf001/main.do?rcpNo=20230322001007" TargetMode="External"/><Relationship Id="rId161" Type="http://schemas.openxmlformats.org/officeDocument/2006/relationships/hyperlink" Target="https://dart.fss.or.kr/dsaf001/main.do?rcpNo=20230315000963" TargetMode="External"/><Relationship Id="rId217" Type="http://schemas.openxmlformats.org/officeDocument/2006/relationships/hyperlink" Target="https://dart.fss.or.kr/dsaf001/main.do?rcpNo=20230320000322" TargetMode="External"/><Relationship Id="rId259" Type="http://schemas.openxmlformats.org/officeDocument/2006/relationships/hyperlink" Target="https://dart.fss.or.kr/dsaf001/main.do?rcpNo=20230310000763" TargetMode="External"/><Relationship Id="rId23" Type="http://schemas.openxmlformats.org/officeDocument/2006/relationships/hyperlink" Target="https://dart.fss.or.kr/dsaf001/main.do?rcpNo=20230321001126" TargetMode="External"/><Relationship Id="rId119" Type="http://schemas.openxmlformats.org/officeDocument/2006/relationships/hyperlink" Target="https://dart.fss.or.kr/dsaf001/main.do?rcpNo=20230314001159" TargetMode="External"/><Relationship Id="rId270" Type="http://schemas.openxmlformats.org/officeDocument/2006/relationships/hyperlink" Target="https://dart.fss.or.kr/dsaf001/main.do?rcpNo=20230712000281" TargetMode="External"/><Relationship Id="rId326" Type="http://schemas.openxmlformats.org/officeDocument/2006/relationships/hyperlink" Target="https://www.sj.co.kr/" TargetMode="External"/><Relationship Id="rId65" Type="http://schemas.openxmlformats.org/officeDocument/2006/relationships/hyperlink" Target="https://dart.fss.or.kr/dsaf001/main.do?rcpNo=20230323000821" TargetMode="External"/><Relationship Id="rId130" Type="http://schemas.openxmlformats.org/officeDocument/2006/relationships/hyperlink" Target="https://dart.fss.or.kr/dsaf001/main.do?rcpNo=20230831001561" TargetMode="External"/><Relationship Id="rId172" Type="http://schemas.openxmlformats.org/officeDocument/2006/relationships/hyperlink" Target="https://dart.fss.or.kr/dsaf001/main.do?rcpNo=20230323001156" TargetMode="External"/><Relationship Id="rId228" Type="http://schemas.openxmlformats.org/officeDocument/2006/relationships/hyperlink" Target="https://dart.fss.or.kr/dsaf001/main.do?rcpNo=20230316001017" TargetMode="External"/><Relationship Id="rId281" Type="http://schemas.openxmlformats.org/officeDocument/2006/relationships/hyperlink" Target="https://dart.fss.or.kr/dsaf001/main.do?rcpNo=20230317000867" TargetMode="External"/><Relationship Id="rId34" Type="http://schemas.openxmlformats.org/officeDocument/2006/relationships/hyperlink" Target="https://dart.fss.or.kr/dsaf001/main.do?rcpNo=20230315000850" TargetMode="External"/><Relationship Id="rId76" Type="http://schemas.openxmlformats.org/officeDocument/2006/relationships/hyperlink" Target="https://dart.fss.or.kr/dsaf001/main.do?rcpNo=20230322000832" TargetMode="External"/><Relationship Id="rId141" Type="http://schemas.openxmlformats.org/officeDocument/2006/relationships/hyperlink" Target="https://dart.fss.or.kr/dsaf001/main.do?rcpNo=20230307000542" TargetMode="External"/><Relationship Id="rId7" Type="http://schemas.openxmlformats.org/officeDocument/2006/relationships/hyperlink" Target="https://dart.fss.or.kr/dsaf001/main.do?rcpNo=20230831001199" TargetMode="External"/><Relationship Id="rId183" Type="http://schemas.openxmlformats.org/officeDocument/2006/relationships/hyperlink" Target="https://dart.fss.or.kr/dsaf001/main.do?rcpNo=20230321001494" TargetMode="External"/><Relationship Id="rId239" Type="http://schemas.openxmlformats.org/officeDocument/2006/relationships/hyperlink" Target="https://dart.fss.or.kr/dsaf001/main.do?rcpNo=20230316000762" TargetMode="External"/><Relationship Id="rId250" Type="http://schemas.openxmlformats.org/officeDocument/2006/relationships/hyperlink" Target="https://dart.fss.or.kr/dsaf001/main.do?rcpNo=20230403003576" TargetMode="External"/><Relationship Id="rId292" Type="http://schemas.openxmlformats.org/officeDocument/2006/relationships/hyperlink" Target="https://dart.fss.or.kr/dsaf001/main.do?rcpNo=20230315000894" TargetMode="External"/><Relationship Id="rId306" Type="http://schemas.openxmlformats.org/officeDocument/2006/relationships/hyperlink" Target="https://dart.fss.or.kr/dsaf001/main.do?rcpNo=20230320001061" TargetMode="External"/><Relationship Id="rId24" Type="http://schemas.openxmlformats.org/officeDocument/2006/relationships/hyperlink" Target="https://dart.fss.or.kr/dsaf001/main.do?rcpNo=20230315000071" TargetMode="External"/><Relationship Id="rId45" Type="http://schemas.openxmlformats.org/officeDocument/2006/relationships/hyperlink" Target="https://dart.fss.or.kr/dsaf001/main.do?rcpNo=20230324000127" TargetMode="External"/><Relationship Id="rId66" Type="http://schemas.openxmlformats.org/officeDocument/2006/relationships/hyperlink" Target="https://dart.fss.or.kr/dsaf001/main.do?rcpNo=20230320000409" TargetMode="External"/><Relationship Id="rId87" Type="http://schemas.openxmlformats.org/officeDocument/2006/relationships/hyperlink" Target="https://www.noroopaint.com/kor/index.asp?conntype=1" TargetMode="External"/><Relationship Id="rId110" Type="http://schemas.openxmlformats.org/officeDocument/2006/relationships/hyperlink" Target="https://dart.fss.or.kr/dsaf001/main.do?rcpNo=20230315001100" TargetMode="External"/><Relationship Id="rId131" Type="http://schemas.openxmlformats.org/officeDocument/2006/relationships/hyperlink" Target="https://dart.fss.or.kr/dsaf001/main.do?rcpNo=20230316000878" TargetMode="External"/><Relationship Id="rId327" Type="http://schemas.openxmlformats.org/officeDocument/2006/relationships/hyperlink" Target="https://www.aplusga.com/" TargetMode="External"/><Relationship Id="rId152" Type="http://schemas.openxmlformats.org/officeDocument/2006/relationships/hyperlink" Target="https://dart.fss.or.kr/dsaf001/main.do?rcpNo=20230314000085" TargetMode="External"/><Relationship Id="rId173" Type="http://schemas.openxmlformats.org/officeDocument/2006/relationships/hyperlink" Target="https://dart.fss.or.kr/dsaf001/main.do?rcpNo=20230316001196" TargetMode="External"/><Relationship Id="rId194" Type="http://schemas.openxmlformats.org/officeDocument/2006/relationships/hyperlink" Target="https://dart.fss.or.kr/dsaf001/main.do?rcpNo=20230307000691" TargetMode="External"/><Relationship Id="rId208" Type="http://schemas.openxmlformats.org/officeDocument/2006/relationships/hyperlink" Target="https://dart.fss.or.kr/dsaf001/main.do?rcpNo=20230314000094" TargetMode="External"/><Relationship Id="rId229" Type="http://schemas.openxmlformats.org/officeDocument/2006/relationships/hyperlink" Target="https://dart.fss.or.kr/dsaf001/main.do?rcpNo=20230322000622" TargetMode="External"/><Relationship Id="rId240" Type="http://schemas.openxmlformats.org/officeDocument/2006/relationships/hyperlink" Target="https://dart.fss.or.kr/dsaf001/main.do?rcpNo=20230321001167" TargetMode="External"/><Relationship Id="rId261" Type="http://schemas.openxmlformats.org/officeDocument/2006/relationships/hyperlink" Target="https://dart.fss.or.kr/dsaf001/main.do?rcpNo=20230316001190" TargetMode="External"/><Relationship Id="rId14" Type="http://schemas.openxmlformats.org/officeDocument/2006/relationships/hyperlink" Target="https://dart.fss.or.kr/dsaf001/main.do?rcpNo=20230831001367" TargetMode="External"/><Relationship Id="rId35" Type="http://schemas.openxmlformats.org/officeDocument/2006/relationships/hyperlink" Target="https://dart.fss.or.kr/dsaf001/main.do?rcpNo=20230315000964" TargetMode="External"/><Relationship Id="rId56" Type="http://schemas.openxmlformats.org/officeDocument/2006/relationships/hyperlink" Target="https://dart.fss.or.kr/dsaf001/main.do?rcpNo=20230316000629" TargetMode="External"/><Relationship Id="rId77" Type="http://schemas.openxmlformats.org/officeDocument/2006/relationships/hyperlink" Target="https://dart.fss.or.kr/dsaf001/main.do?rcpNo=20230316001258" TargetMode="External"/><Relationship Id="rId100" Type="http://schemas.openxmlformats.org/officeDocument/2006/relationships/hyperlink" Target="https://dart.fss.or.kr/dsaf001/main.do?rcpNo=20230314001212" TargetMode="External"/><Relationship Id="rId282" Type="http://schemas.openxmlformats.org/officeDocument/2006/relationships/hyperlink" Target="https://dart.fss.or.kr/dsaf001/main.do?rcpNo=20230316000780" TargetMode="External"/><Relationship Id="rId317" Type="http://schemas.openxmlformats.org/officeDocument/2006/relationships/hyperlink" Target="https://dart.fss.or.kr/dsaf001/main.do?rcpNo=20230315000315" TargetMode="External"/><Relationship Id="rId8" Type="http://schemas.openxmlformats.org/officeDocument/2006/relationships/hyperlink" Target="https://dart.fss.or.kr/dsaf001/main.do?rcpNo=20230728000644" TargetMode="External"/><Relationship Id="rId98" Type="http://schemas.openxmlformats.org/officeDocument/2006/relationships/hyperlink" Target="https://dart.fss.or.kr/dsaf001/main.do?rcpNo=20230314001293" TargetMode="External"/><Relationship Id="rId121" Type="http://schemas.openxmlformats.org/officeDocument/2006/relationships/hyperlink" Target="https://dart.fss.or.kr/dsaf001/main.do?rcpNo=20230316000602" TargetMode="External"/><Relationship Id="rId142" Type="http://schemas.openxmlformats.org/officeDocument/2006/relationships/hyperlink" Target="https://dart.fss.or.kr/dsaf001/main.do?rcpNo=20230309000572" TargetMode="External"/><Relationship Id="rId163" Type="http://schemas.openxmlformats.org/officeDocument/2006/relationships/hyperlink" Target="https://dart.fss.or.kr/dsaf001/main.do?rcpNo=20230316000928" TargetMode="External"/><Relationship Id="rId184" Type="http://schemas.openxmlformats.org/officeDocument/2006/relationships/hyperlink" Target="https://dart.fss.or.kr/dsaf001/main.do?rcpNo=20230317001042" TargetMode="External"/><Relationship Id="rId219" Type="http://schemas.openxmlformats.org/officeDocument/2006/relationships/hyperlink" Target="https://dart.fss.or.kr/dsaf001/main.do?rcpNo=20230317000389" TargetMode="External"/><Relationship Id="rId230" Type="http://schemas.openxmlformats.org/officeDocument/2006/relationships/hyperlink" Target="https://dart.fss.or.kr/dsaf001/main.do?rcpNo=20230331002546" TargetMode="External"/><Relationship Id="rId251" Type="http://schemas.openxmlformats.org/officeDocument/2006/relationships/hyperlink" Target="https://dart.fss.or.kr/dsaf001/main.do?rcpNo=20230331000007" TargetMode="External"/><Relationship Id="rId25" Type="http://schemas.openxmlformats.org/officeDocument/2006/relationships/hyperlink" Target="https://dart.fss.or.kr/dsaf001/main.do?rcpNo=20230316000950" TargetMode="External"/><Relationship Id="rId46" Type="http://schemas.openxmlformats.org/officeDocument/2006/relationships/hyperlink" Target="https://dart.fss.or.kr/dsaf001/main.do?rcpNo=20230320000964" TargetMode="External"/><Relationship Id="rId67" Type="http://schemas.openxmlformats.org/officeDocument/2006/relationships/hyperlink" Target="https://dart.fss.or.kr/dsaf001/main.do?rcpNo=20230316001213" TargetMode="External"/><Relationship Id="rId272" Type="http://schemas.openxmlformats.org/officeDocument/2006/relationships/hyperlink" Target="https://dart.fss.or.kr/dsaf001/main.do?rcpNo=20230320000791" TargetMode="External"/><Relationship Id="rId293" Type="http://schemas.openxmlformats.org/officeDocument/2006/relationships/hyperlink" Target="https://dart.fss.or.kr/dsaf001/main.do?rcpNo=20230321000255" TargetMode="External"/><Relationship Id="rId307" Type="http://schemas.openxmlformats.org/officeDocument/2006/relationships/hyperlink" Target="https://dart.fss.or.kr/dsaf001/main.do?rcpNo=20230321001479" TargetMode="External"/><Relationship Id="rId328" Type="http://schemas.openxmlformats.org/officeDocument/2006/relationships/hyperlink" Target="https://www.youngone.co.kr/" TargetMode="External"/><Relationship Id="rId88" Type="http://schemas.openxmlformats.org/officeDocument/2006/relationships/hyperlink" Target="https://www.dlenc.co.kr/main.do" TargetMode="External"/><Relationship Id="rId111" Type="http://schemas.openxmlformats.org/officeDocument/2006/relationships/hyperlink" Target="https://dart.fss.or.kr/dsaf001/main.do?rcpNo=20230321001259" TargetMode="External"/><Relationship Id="rId132" Type="http://schemas.openxmlformats.org/officeDocument/2006/relationships/hyperlink" Target="https://dart.fss.or.kr/dsaf001/main.do?rcpNo=20230328000107" TargetMode="External"/><Relationship Id="rId153" Type="http://schemas.openxmlformats.org/officeDocument/2006/relationships/hyperlink" Target="https://dart.fss.or.kr/dsaf001/main.do?rcpNo=20230316001338" TargetMode="External"/><Relationship Id="rId174" Type="http://schemas.openxmlformats.org/officeDocument/2006/relationships/hyperlink" Target="https://dart.fss.or.kr/dsaf001/main.do?rcpNo=20230322000910" TargetMode="External"/><Relationship Id="rId195" Type="http://schemas.openxmlformats.org/officeDocument/2006/relationships/hyperlink" Target="https://dart.fss.or.kr/dsaf001/main.do?rcpNo=20230321001261" TargetMode="External"/><Relationship Id="rId209" Type="http://schemas.openxmlformats.org/officeDocument/2006/relationships/hyperlink" Target="https://dart.fss.or.kr/dsaf001/main.do?rcpNo=20230315000887" TargetMode="External"/><Relationship Id="rId220" Type="http://schemas.openxmlformats.org/officeDocument/2006/relationships/hyperlink" Target="https://dart.fss.or.kr/dsaf001/main.do?rcpNo=20230323001151" TargetMode="External"/><Relationship Id="rId241" Type="http://schemas.openxmlformats.org/officeDocument/2006/relationships/hyperlink" Target="https://dart.fss.or.kr/dsaf001/main.do?rcpNo=20230316001262" TargetMode="External"/><Relationship Id="rId15" Type="http://schemas.openxmlformats.org/officeDocument/2006/relationships/hyperlink" Target="https://dart.fss.or.kr/dsaf001/main.do?rcpNo=20230316001014" TargetMode="External"/><Relationship Id="rId36" Type="http://schemas.openxmlformats.org/officeDocument/2006/relationships/hyperlink" Target="https://dart.fss.or.kr/dsaf001/main.do?rcpNo=20230316000724" TargetMode="External"/><Relationship Id="rId57" Type="http://schemas.openxmlformats.org/officeDocument/2006/relationships/hyperlink" Target="https://dart.fss.or.kr/dsaf001/main.do?rcpNo=20230309000731" TargetMode="External"/><Relationship Id="rId262" Type="http://schemas.openxmlformats.org/officeDocument/2006/relationships/hyperlink" Target="https://dart.fss.or.kr/dsaf001/main.do?rcpNo=20230314000892" TargetMode="External"/><Relationship Id="rId283" Type="http://schemas.openxmlformats.org/officeDocument/2006/relationships/hyperlink" Target="https://dart.fss.or.kr/dsaf001/main.do?rcpNo=20230316001135" TargetMode="External"/><Relationship Id="rId318" Type="http://schemas.openxmlformats.org/officeDocument/2006/relationships/hyperlink" Target="https://dart.fss.or.kr/dsaf001/main.do?rcpNo=20230320000391" TargetMode="External"/><Relationship Id="rId78" Type="http://schemas.openxmlformats.org/officeDocument/2006/relationships/hyperlink" Target="https://dart.fss.or.kr/dsaf001/main.do?rcpNo=20230316000896" TargetMode="External"/><Relationship Id="rId99" Type="http://schemas.openxmlformats.org/officeDocument/2006/relationships/hyperlink" Target="https://dart.fss.or.kr/dsaf001/main.do?rcpNo=20230316000733" TargetMode="External"/><Relationship Id="rId101" Type="http://schemas.openxmlformats.org/officeDocument/2006/relationships/hyperlink" Target="https://dart.fss.or.kr/dsaf001/main.do?rcpNo=20230316000463" TargetMode="External"/><Relationship Id="rId122" Type="http://schemas.openxmlformats.org/officeDocument/2006/relationships/hyperlink" Target="https://dart.fss.or.kr/dsaf001/main.do?rcpNo=20230316000931" TargetMode="External"/><Relationship Id="rId143" Type="http://schemas.openxmlformats.org/officeDocument/2006/relationships/hyperlink" Target="https://dart.fss.or.kr/dsaf001/main.do?rcpNo=20230308000723" TargetMode="External"/><Relationship Id="rId164" Type="http://schemas.openxmlformats.org/officeDocument/2006/relationships/hyperlink" Target="https://dart.fss.or.kr/dsaf001/main.do?rcpNo=20230308000717" TargetMode="External"/><Relationship Id="rId185" Type="http://schemas.openxmlformats.org/officeDocument/2006/relationships/hyperlink" Target="https://dart.fss.or.kr/dsaf001/main.do?rcpNo=20230316000657" TargetMode="External"/><Relationship Id="rId9" Type="http://schemas.openxmlformats.org/officeDocument/2006/relationships/hyperlink" Target="https://dart.fss.or.kr/dsaf001/main.do?rcpNo=20230315000019" TargetMode="External"/><Relationship Id="rId210" Type="http://schemas.openxmlformats.org/officeDocument/2006/relationships/hyperlink" Target="https://dart.fss.or.kr/dsaf001/main.do?rcpNo=20230315001431" TargetMode="External"/><Relationship Id="rId26" Type="http://schemas.openxmlformats.org/officeDocument/2006/relationships/hyperlink" Target="https://dart.fss.or.kr/dsaf001/main.do?rcpNo=20230316000684" TargetMode="External"/><Relationship Id="rId231" Type="http://schemas.openxmlformats.org/officeDocument/2006/relationships/hyperlink" Target="https://dart.fss.or.kr/dsaf001/main.do?rcpNo=20230309000626" TargetMode="External"/><Relationship Id="rId252" Type="http://schemas.openxmlformats.org/officeDocument/2006/relationships/hyperlink" Target="https://dart.fss.or.kr/dsaf001/main.do?rcpNo=20230320000728" TargetMode="External"/><Relationship Id="rId273" Type="http://schemas.openxmlformats.org/officeDocument/2006/relationships/hyperlink" Target="http://www.fskrc.co.kr/" TargetMode="External"/><Relationship Id="rId294" Type="http://schemas.openxmlformats.org/officeDocument/2006/relationships/hyperlink" Target="https://dart.fss.or.kr/dsaf001/main.do?rcpNo=20230317000994" TargetMode="External"/><Relationship Id="rId308" Type="http://schemas.openxmlformats.org/officeDocument/2006/relationships/hyperlink" Target="https://dart.fss.or.kr/dsaf001/main.do?rcpNo=20230317000639" TargetMode="External"/><Relationship Id="rId329" Type="http://schemas.openxmlformats.org/officeDocument/2006/relationships/hyperlink" Target="http://www.iljinelectric.co.kr/main.jsp" TargetMode="External"/><Relationship Id="rId47" Type="http://schemas.openxmlformats.org/officeDocument/2006/relationships/hyperlink" Target="https://dart.fss.or.kr/dsaf001/main.do?rcpNo=20230320000235" TargetMode="External"/><Relationship Id="rId68" Type="http://schemas.openxmlformats.org/officeDocument/2006/relationships/hyperlink" Target="https://dart.fss.or.kr/dsaf001/main.do?rcpNo=20230608000512" TargetMode="External"/><Relationship Id="rId89" Type="http://schemas.openxmlformats.org/officeDocument/2006/relationships/hyperlink" Target="https://dart.fss.or.kr/dsaf001/main.do?rcpNo=20230322001136" TargetMode="External"/><Relationship Id="rId112" Type="http://schemas.openxmlformats.org/officeDocument/2006/relationships/hyperlink" Target="https://dart.fss.or.kr/dsaf001/main.do?rcpNo=20230713000062" TargetMode="External"/><Relationship Id="rId133" Type="http://schemas.openxmlformats.org/officeDocument/2006/relationships/hyperlink" Target="https://dart.fss.or.kr/dsaf001/main.do?rcpNo=20230323000263" TargetMode="External"/><Relationship Id="rId154" Type="http://schemas.openxmlformats.org/officeDocument/2006/relationships/hyperlink" Target="https://dart.fss.or.kr/dsaf001/main.do?rcpNo=20230322000313" TargetMode="External"/><Relationship Id="rId175" Type="http://schemas.openxmlformats.org/officeDocument/2006/relationships/hyperlink" Target="https://dart.fss.or.kr/dsaf001/main.do?rcpNo=20230315001315" TargetMode="External"/><Relationship Id="rId196" Type="http://schemas.openxmlformats.org/officeDocument/2006/relationships/hyperlink" Target="https://dart.fss.or.kr/dsaf001/main.do?rcpNo=20230323001360" TargetMode="External"/><Relationship Id="rId200" Type="http://schemas.openxmlformats.org/officeDocument/2006/relationships/hyperlink" Target="https://dart.fss.or.kr/dsaf001/main.do?rcpNo=20230712000496" TargetMode="External"/><Relationship Id="rId16" Type="http://schemas.openxmlformats.org/officeDocument/2006/relationships/hyperlink" Target="https://dart.fss.or.kr/dsaf001/main.do?rcpNo=20230315001215" TargetMode="External"/><Relationship Id="rId221" Type="http://schemas.openxmlformats.org/officeDocument/2006/relationships/hyperlink" Target="https://dart.fss.or.kr/dsaf001/main.do?rcpNo=20230316000222" TargetMode="External"/><Relationship Id="rId242" Type="http://schemas.openxmlformats.org/officeDocument/2006/relationships/hyperlink" Target="https://dart.fss.or.kr/dsaf001/main.do?rcpNo=20230407002574" TargetMode="External"/><Relationship Id="rId263" Type="http://schemas.openxmlformats.org/officeDocument/2006/relationships/hyperlink" Target="https://dart.fss.or.kr/dsaf001/main.do?rcpNo=20230321001130" TargetMode="External"/><Relationship Id="rId284" Type="http://schemas.openxmlformats.org/officeDocument/2006/relationships/hyperlink" Target="https://dart.fss.or.kr/dsaf001/main.do?rcpNo=20230316001554" TargetMode="External"/><Relationship Id="rId319" Type="http://schemas.openxmlformats.org/officeDocument/2006/relationships/hyperlink" Target="https://dart.fss.or.kr/dsaf001/main.do?rcpNo=20230315001063" TargetMode="External"/><Relationship Id="rId37" Type="http://schemas.openxmlformats.org/officeDocument/2006/relationships/hyperlink" Target="https://dart.fss.or.kr/dsaf001/main.do?rcpNo=20230315000084" TargetMode="External"/><Relationship Id="rId58" Type="http://schemas.openxmlformats.org/officeDocument/2006/relationships/hyperlink" Target="https://dart.fss.or.kr/dsaf001/main.do?rcpNo=20230316001326" TargetMode="External"/><Relationship Id="rId79" Type="http://schemas.openxmlformats.org/officeDocument/2006/relationships/hyperlink" Target="http://www.daesung.co.kr/" TargetMode="External"/><Relationship Id="rId102" Type="http://schemas.openxmlformats.org/officeDocument/2006/relationships/hyperlink" Target="https://dart.fss.or.kr/dsaf001/main.do?rcpNo=20230320001075" TargetMode="External"/><Relationship Id="rId123" Type="http://schemas.openxmlformats.org/officeDocument/2006/relationships/hyperlink" Target="https://dart.fss.or.kr/dsaf001/main.do?rcpNo=20230317001035" TargetMode="External"/><Relationship Id="rId144" Type="http://schemas.openxmlformats.org/officeDocument/2006/relationships/hyperlink" Target="https://dart.fss.or.kr/dsaf001/main.do?rcpNo=20230309000772" TargetMode="External"/><Relationship Id="rId330" Type="http://schemas.openxmlformats.org/officeDocument/2006/relationships/hyperlink" Target="https://m.kakaobank.com/" TargetMode="External"/><Relationship Id="rId90" Type="http://schemas.openxmlformats.org/officeDocument/2006/relationships/hyperlink" Target="https://dart.fss.or.kr/dsaf001/main.do?rcpNo=20230331003410" TargetMode="External"/><Relationship Id="rId165" Type="http://schemas.openxmlformats.org/officeDocument/2006/relationships/hyperlink" Target="https://dart.fss.or.kr/dsaf001/main.do?rcpNo=20230314001166" TargetMode="External"/><Relationship Id="rId186" Type="http://schemas.openxmlformats.org/officeDocument/2006/relationships/hyperlink" Target="https://dart.fss.or.kr/dsaf001/main.do?rcpNo=20230315001378" TargetMode="External"/><Relationship Id="rId211" Type="http://schemas.openxmlformats.org/officeDocument/2006/relationships/hyperlink" Target="https://dart.fss.or.kr/dsaf001/main.do?rcpNo=20230315000658" TargetMode="External"/><Relationship Id="rId232" Type="http://schemas.openxmlformats.org/officeDocument/2006/relationships/hyperlink" Target="https://dart.fss.or.kr/dsaf001/main.do?rcpNo=20230316000376" TargetMode="External"/><Relationship Id="rId253" Type="http://schemas.openxmlformats.org/officeDocument/2006/relationships/hyperlink" Target="https://dart.fss.or.kr/dsaf001/main.do?rcpNo=20230320001037" TargetMode="External"/><Relationship Id="rId274" Type="http://schemas.openxmlformats.org/officeDocument/2006/relationships/hyperlink" Target="https://dart.fss.or.kr/dsaf001/main.do?rcpNo=20230323000756" TargetMode="External"/><Relationship Id="rId295" Type="http://schemas.openxmlformats.org/officeDocument/2006/relationships/hyperlink" Target="https://dart.fss.or.kr/dsaf001/main.do?rcpNo=20230317000982" TargetMode="External"/><Relationship Id="rId309" Type="http://schemas.openxmlformats.org/officeDocument/2006/relationships/hyperlink" Target="https://dart.fss.or.kr/dsaf001/main.do?rcpNo=20230315001030" TargetMode="External"/><Relationship Id="rId27" Type="http://schemas.openxmlformats.org/officeDocument/2006/relationships/hyperlink" Target="https://dart.fss.or.kr/dsaf001/main.do?rcpNo=20230322000776" TargetMode="External"/><Relationship Id="rId48" Type="http://schemas.openxmlformats.org/officeDocument/2006/relationships/hyperlink" Target="https://dart.fss.or.kr/dsaf001/main.do?rcpNo=20230321001209" TargetMode="External"/><Relationship Id="rId69" Type="http://schemas.openxmlformats.org/officeDocument/2006/relationships/hyperlink" Target="https://dart.fss.or.kr/dsaf001/main.do?rcpNo=20230309000734" TargetMode="External"/><Relationship Id="rId113" Type="http://schemas.openxmlformats.org/officeDocument/2006/relationships/hyperlink" Target="https://dart.fss.or.kr/dsaf001/main.do?rcpNo=20230315000573" TargetMode="External"/><Relationship Id="rId134" Type="http://schemas.openxmlformats.org/officeDocument/2006/relationships/hyperlink" Target="https://dart.fss.or.kr/dsaf001/main.do?rcpNo=20230315001385" TargetMode="External"/><Relationship Id="rId320" Type="http://schemas.openxmlformats.org/officeDocument/2006/relationships/hyperlink" Target="https://dart.fss.or.kr/dsaf001/main.do?rcpNo=20230308000691" TargetMode="External"/><Relationship Id="rId80" Type="http://schemas.openxmlformats.org/officeDocument/2006/relationships/hyperlink" Target="https://dart.fss.or.kr/dsaf001/main.do?rcpNo=20230321000870" TargetMode="External"/><Relationship Id="rId155" Type="http://schemas.openxmlformats.org/officeDocument/2006/relationships/hyperlink" Target="https://dart.fss.or.kr/dsaf001/main.do?rcpNo=20230410003453" TargetMode="External"/><Relationship Id="rId176" Type="http://schemas.openxmlformats.org/officeDocument/2006/relationships/hyperlink" Target="https://dart.fss.or.kr/dsaf001/main.do?rcpNo=20220920000318" TargetMode="External"/><Relationship Id="rId197" Type="http://schemas.openxmlformats.org/officeDocument/2006/relationships/hyperlink" Target="https://dart.fss.or.kr/dsaf001/main.do?rcpNo=20230314000700" TargetMode="External"/><Relationship Id="rId201" Type="http://schemas.openxmlformats.org/officeDocument/2006/relationships/hyperlink" Target="https://dart.fss.or.kr/dsaf001/main.do?rcpNo=20230315001259" TargetMode="External"/><Relationship Id="rId222" Type="http://schemas.openxmlformats.org/officeDocument/2006/relationships/hyperlink" Target="https://dart.fss.or.kr/dsaf001/main.do?rcpNo=20230315000560" TargetMode="External"/><Relationship Id="rId243" Type="http://schemas.openxmlformats.org/officeDocument/2006/relationships/hyperlink" Target="https://dart.fss.or.kr/dsaf001/main.do?rcpNo=20230323001449" TargetMode="External"/><Relationship Id="rId264" Type="http://schemas.openxmlformats.org/officeDocument/2006/relationships/hyperlink" Target="https://dart.fss.or.kr/dsaf001/main.do?rcpNo=20230321001315" TargetMode="External"/><Relationship Id="rId285" Type="http://schemas.openxmlformats.org/officeDocument/2006/relationships/hyperlink" Target="https://dart.fss.or.kr/dsaf001/main.do?rcpNo=20230321001525" TargetMode="External"/><Relationship Id="rId17" Type="http://schemas.openxmlformats.org/officeDocument/2006/relationships/hyperlink" Target="https://dart.fss.or.kr/dsaf001/main.do?rcpNo=20230316001339" TargetMode="External"/><Relationship Id="rId38" Type="http://schemas.openxmlformats.org/officeDocument/2006/relationships/hyperlink" Target="https://dart.fss.or.kr/dsaf001/main.do?rcpNo=20230309000859" TargetMode="External"/><Relationship Id="rId59" Type="http://schemas.openxmlformats.org/officeDocument/2006/relationships/hyperlink" Target="https://dart.fss.or.kr/dsaf001/main.do?rcpNo=20230321001353" TargetMode="External"/><Relationship Id="rId103" Type="http://schemas.openxmlformats.org/officeDocument/2006/relationships/hyperlink" Target="https://dart.fss.or.kr/dsaf001/main.do?rcpNo=20230316000692" TargetMode="External"/><Relationship Id="rId124" Type="http://schemas.openxmlformats.org/officeDocument/2006/relationships/hyperlink" Target="https://dart.fss.or.kr/dsaf001/main.do?rcpNo=20230315001134" TargetMode="External"/><Relationship Id="rId310" Type="http://schemas.openxmlformats.org/officeDocument/2006/relationships/hyperlink" Target="https://dart.fss.or.kr/dsaf001/main.do?rcpNo=20230315000803" TargetMode="External"/><Relationship Id="rId70" Type="http://schemas.openxmlformats.org/officeDocument/2006/relationships/hyperlink" Target="https://dart.fss.or.kr/dsaf001/main.do?rcpNo=20230712000089" TargetMode="External"/><Relationship Id="rId91" Type="http://schemas.openxmlformats.org/officeDocument/2006/relationships/hyperlink" Target="https://dart.fss.or.kr/dsaf001/main.do?rcpNo=20230316001412" TargetMode="External"/><Relationship Id="rId145" Type="http://schemas.openxmlformats.org/officeDocument/2006/relationships/hyperlink" Target="https://dart.fss.or.kr/dsaf001/main.do?rcpNo=20230315001212" TargetMode="External"/><Relationship Id="rId166" Type="http://schemas.openxmlformats.org/officeDocument/2006/relationships/hyperlink" Target="https://dart.fss.or.kr/dsaf001/main.do?rcpNo=20230724000235" TargetMode="External"/><Relationship Id="rId187" Type="http://schemas.openxmlformats.org/officeDocument/2006/relationships/hyperlink" Target="https://dart.fss.or.kr/dsaf001/main.do?rcpNo=20230309000717" TargetMode="External"/><Relationship Id="rId331" Type="http://schemas.openxmlformats.org/officeDocument/2006/relationships/hyperlink" Target="https://www.hanmi.co.kr/" TargetMode="External"/><Relationship Id="rId1" Type="http://schemas.openxmlformats.org/officeDocument/2006/relationships/hyperlink" Target="https://dart.fss.or.kr/dsaf001/main.do?rcpNo=20230320000886" TargetMode="External"/><Relationship Id="rId212" Type="http://schemas.openxmlformats.org/officeDocument/2006/relationships/hyperlink" Target="https://dart.fss.or.kr/dsaf001/main.do?rcpNo=20230322001078" TargetMode="External"/><Relationship Id="rId233" Type="http://schemas.openxmlformats.org/officeDocument/2006/relationships/hyperlink" Target="https://dart.fss.or.kr/dsaf001/main.do?rcpNo=20230315001428" TargetMode="External"/><Relationship Id="rId254" Type="http://schemas.openxmlformats.org/officeDocument/2006/relationships/hyperlink" Target="https://dart.fss.or.kr/dsaf001/main.do?rcpNo=20230316001157" TargetMode="External"/><Relationship Id="rId28" Type="http://schemas.openxmlformats.org/officeDocument/2006/relationships/hyperlink" Target="https://dart.fss.or.kr/dsaf001/main.do?rcpNo=20230323000613" TargetMode="External"/><Relationship Id="rId49" Type="http://schemas.openxmlformats.org/officeDocument/2006/relationships/hyperlink" Target="https://dart.fss.or.kr/dsaf001/main.do?rcpNo=20230220001625" TargetMode="External"/><Relationship Id="rId114" Type="http://schemas.openxmlformats.org/officeDocument/2006/relationships/hyperlink" Target="https://dart.fss.or.kr/dsaf001/main.do?rcpNo=20230316001051" TargetMode="External"/><Relationship Id="rId275" Type="http://schemas.openxmlformats.org/officeDocument/2006/relationships/hyperlink" Target="https://dart.fss.or.kr/dsaf001/main.do?rcpNo=20230323000478" TargetMode="External"/><Relationship Id="rId296" Type="http://schemas.openxmlformats.org/officeDocument/2006/relationships/hyperlink" Target="https://dart.fss.or.kr/dsaf001/main.do?rcpNo=20230323001346" TargetMode="External"/><Relationship Id="rId300" Type="http://schemas.openxmlformats.org/officeDocument/2006/relationships/hyperlink" Target="https://dart.fss.or.kr/dsaf001/main.do?rcpNo=20230314001218" TargetMode="External"/><Relationship Id="rId60" Type="http://schemas.openxmlformats.org/officeDocument/2006/relationships/hyperlink" Target="https://dart.fss.or.kr/dsaf001/main.do?rcpNo=20230321000645" TargetMode="External"/><Relationship Id="rId81" Type="http://schemas.openxmlformats.org/officeDocument/2006/relationships/hyperlink" Target="https://dart.fss.or.kr/dsaf001/main.do?rcpNo=20230320000675" TargetMode="External"/><Relationship Id="rId135" Type="http://schemas.openxmlformats.org/officeDocument/2006/relationships/hyperlink" Target="https://dart.fss.or.kr/dsaf001/main.do?rcpNo=20230315001257" TargetMode="External"/><Relationship Id="rId156" Type="http://schemas.openxmlformats.org/officeDocument/2006/relationships/hyperlink" Target="https://dart.fss.or.kr/dsaf001/main.do?rcpNo=20230320000375" TargetMode="External"/><Relationship Id="rId177" Type="http://schemas.openxmlformats.org/officeDocument/2006/relationships/hyperlink" Target="https://dart.fss.or.kr/dsaf001/main.do?rcpNo=20230315001319" TargetMode="External"/><Relationship Id="rId198" Type="http://schemas.openxmlformats.org/officeDocument/2006/relationships/hyperlink" Target="https://dart.fss.or.kr/dsaf001/main.do?rcpNo=20230315000345" TargetMode="External"/><Relationship Id="rId321" Type="http://schemas.openxmlformats.org/officeDocument/2006/relationships/hyperlink" Target="https://dart.fss.or.kr/dsaf001/main.do?rcpNo=20230308000741" TargetMode="External"/><Relationship Id="rId202" Type="http://schemas.openxmlformats.org/officeDocument/2006/relationships/hyperlink" Target="https://dart.fss.or.kr/dsaf001/main.do?rcpNo=20230322000913" TargetMode="External"/><Relationship Id="rId223" Type="http://schemas.openxmlformats.org/officeDocument/2006/relationships/hyperlink" Target="https://dart.fss.or.kr/dsaf001/main.do?rcpNo=20230315001068" TargetMode="External"/><Relationship Id="rId244" Type="http://schemas.openxmlformats.org/officeDocument/2006/relationships/hyperlink" Target="https://dart.fss.or.kr/dsaf001/main.do?rcpNo=20230323001208" TargetMode="External"/><Relationship Id="rId18" Type="http://schemas.openxmlformats.org/officeDocument/2006/relationships/hyperlink" Target="https://dart.fss.or.kr/dsaf001/main.do?rcpNo=20230315001033" TargetMode="External"/><Relationship Id="rId39" Type="http://schemas.openxmlformats.org/officeDocument/2006/relationships/hyperlink" Target="https://dart.fss.or.kr/dsaf001/main.do?rcpNo=20230321000569" TargetMode="External"/><Relationship Id="rId265" Type="http://schemas.openxmlformats.org/officeDocument/2006/relationships/hyperlink" Target="https://dart.fss.or.kr/dsaf001/main.do?rcpNo=20230316001331" TargetMode="External"/><Relationship Id="rId286" Type="http://schemas.openxmlformats.org/officeDocument/2006/relationships/hyperlink" Target="https://dart.fss.or.kr/dsaf001/main.do?rcpNo=20230315001312" TargetMode="External"/><Relationship Id="rId50" Type="http://schemas.openxmlformats.org/officeDocument/2006/relationships/hyperlink" Target="https://dart.fss.or.kr/dsaf001/main.do?rcpNo=20230220001611" TargetMode="External"/><Relationship Id="rId104" Type="http://schemas.openxmlformats.org/officeDocument/2006/relationships/hyperlink" Target="https://dart.fss.or.kr/dsaf001/main.do?rcpNo=20230322001102" TargetMode="External"/><Relationship Id="rId125" Type="http://schemas.openxmlformats.org/officeDocument/2006/relationships/hyperlink" Target="https://dart.fss.or.kr/dsaf001/main.do?rcpNo=20230320000972" TargetMode="External"/><Relationship Id="rId146" Type="http://schemas.openxmlformats.org/officeDocument/2006/relationships/hyperlink" Target="https://dart.fss.or.kr/dsaf001/main.do?rcpNo=20230315001060" TargetMode="External"/><Relationship Id="rId167" Type="http://schemas.openxmlformats.org/officeDocument/2006/relationships/hyperlink" Target="https://dart.fss.or.kr/dsaf001/main.do?rcpNo=20230228006867" TargetMode="External"/><Relationship Id="rId188" Type="http://schemas.openxmlformats.org/officeDocument/2006/relationships/hyperlink" Target="https://dart.fss.or.kr/dsaf001/main.do?rcpNo=20230322000722" TargetMode="External"/><Relationship Id="rId311" Type="http://schemas.openxmlformats.org/officeDocument/2006/relationships/hyperlink" Target="https://dart.fss.or.kr/dsaf001/main.do?rcpNo=20230321001082" TargetMode="External"/><Relationship Id="rId332" Type="http://schemas.openxmlformats.org/officeDocument/2006/relationships/printerSettings" Target="../printerSettings/printerSettings2.bin"/><Relationship Id="rId71" Type="http://schemas.openxmlformats.org/officeDocument/2006/relationships/hyperlink" Target="https://dart.fss.or.kr/dsaf001/main.do?rcpNo=20230316001430" TargetMode="External"/><Relationship Id="rId92" Type="http://schemas.openxmlformats.org/officeDocument/2006/relationships/hyperlink" Target="https://dart.fss.or.kr/dsaf001/main.do?rcpNo=20230323001351" TargetMode="External"/><Relationship Id="rId213" Type="http://schemas.openxmlformats.org/officeDocument/2006/relationships/hyperlink" Target="https://dart.fss.or.kr/dsaf001/main.do?rcpNo=20230321000409" TargetMode="External"/><Relationship Id="rId234" Type="http://schemas.openxmlformats.org/officeDocument/2006/relationships/hyperlink" Target="https://dart.fss.or.kr/dsaf001/main.do?rcpNo=20230308000725" TargetMode="External"/><Relationship Id="rId2" Type="http://schemas.openxmlformats.org/officeDocument/2006/relationships/hyperlink" Target="https://dart.fss.or.kr/dsaf001/main.do?rcpNo=20230316001312" TargetMode="External"/><Relationship Id="rId29" Type="http://schemas.openxmlformats.org/officeDocument/2006/relationships/hyperlink" Target="https://dart.fss.or.kr/dsaf001/main.do?rcpNo=20230320000688" TargetMode="External"/><Relationship Id="rId255" Type="http://schemas.openxmlformats.org/officeDocument/2006/relationships/hyperlink" Target="https://dart.fss.or.kr/dsaf001/main.do?rcpNo=20230323001143" TargetMode="External"/><Relationship Id="rId276" Type="http://schemas.openxmlformats.org/officeDocument/2006/relationships/hyperlink" Target="https://dart.fss.or.kr/dsaf001/main.do?rcpNo=20230315000812" TargetMode="External"/><Relationship Id="rId297" Type="http://schemas.openxmlformats.org/officeDocument/2006/relationships/hyperlink" Target="https://dart.fss.or.kr/dsaf001/main.do?rcpNo=20230315001412" TargetMode="External"/><Relationship Id="rId40" Type="http://schemas.openxmlformats.org/officeDocument/2006/relationships/hyperlink" Target="https://dart.fss.or.kr/dsaf001/main.do?rcpNo=20230320000844" TargetMode="External"/><Relationship Id="rId115" Type="http://schemas.openxmlformats.org/officeDocument/2006/relationships/hyperlink" Target="https://dart.fss.or.kr/dsaf001/main.do?rcpNo=20230315001395" TargetMode="External"/><Relationship Id="rId136" Type="http://schemas.openxmlformats.org/officeDocument/2006/relationships/hyperlink" Target="https://dart.fss.or.kr/dsaf001/main.do?rcpNo=20230313000726" TargetMode="External"/><Relationship Id="rId157" Type="http://schemas.openxmlformats.org/officeDocument/2006/relationships/hyperlink" Target="https://dart.fss.or.kr/dsaf001/main.do?rcpNo=20230316001182" TargetMode="External"/><Relationship Id="rId178" Type="http://schemas.openxmlformats.org/officeDocument/2006/relationships/hyperlink" Target="https://dart.fss.or.kr/dsaf001/main.do?rcpNo=20230314001079" TargetMode="External"/><Relationship Id="rId301" Type="http://schemas.openxmlformats.org/officeDocument/2006/relationships/hyperlink" Target="https://dart.fss.or.kr/dsaf001/main.do?rcpNo=20230411001656" TargetMode="External"/><Relationship Id="rId322" Type="http://schemas.openxmlformats.org/officeDocument/2006/relationships/hyperlink" Target="https://dart.fss.or.kr/dsaf001/main.do?rcpNo=20230321000387" TargetMode="External"/><Relationship Id="rId61" Type="http://schemas.openxmlformats.org/officeDocument/2006/relationships/hyperlink" Target="https://dart.fss.or.kr/dsaf001/main.do?rcpNo=20230314000982" TargetMode="External"/><Relationship Id="rId82" Type="http://schemas.openxmlformats.org/officeDocument/2006/relationships/hyperlink" Target="https://dart.fss.or.kr/dsaf001/main.do?rcpNo=20230321000752" TargetMode="External"/><Relationship Id="rId199" Type="http://schemas.openxmlformats.org/officeDocument/2006/relationships/hyperlink" Target="https://dart.fss.or.kr/dsaf001/main.do?rcpNo=20230321001365" TargetMode="External"/><Relationship Id="rId203" Type="http://schemas.openxmlformats.org/officeDocument/2006/relationships/hyperlink" Target="https://dart.fss.or.kr/dsaf001/main.do?rcpNo=20230316001571" TargetMode="External"/><Relationship Id="rId19" Type="http://schemas.openxmlformats.org/officeDocument/2006/relationships/hyperlink" Target="https://dart.fss.or.kr/dsaf001/main.do?rcpNo=20230713000082" TargetMode="External"/><Relationship Id="rId224" Type="http://schemas.openxmlformats.org/officeDocument/2006/relationships/hyperlink" Target="https://dart.fss.or.kr/dsaf001/main.do?rcpNo=20230714000214" TargetMode="External"/><Relationship Id="rId245" Type="http://schemas.openxmlformats.org/officeDocument/2006/relationships/hyperlink" Target="https://dart.fss.or.kr/dsaf001/main.do?rcpNo=20230320001005" TargetMode="External"/><Relationship Id="rId266" Type="http://schemas.openxmlformats.org/officeDocument/2006/relationships/hyperlink" Target="https://dart.fss.or.kr/dsaf001/main.do?rcpNo=20230313000443" TargetMode="External"/><Relationship Id="rId287" Type="http://schemas.openxmlformats.org/officeDocument/2006/relationships/hyperlink" Target="https://dart.fss.or.kr/dsaf001/main.do?rcpNo=20230320000937" TargetMode="External"/><Relationship Id="rId30" Type="http://schemas.openxmlformats.org/officeDocument/2006/relationships/hyperlink" Target="https://dart.fss.or.kr/dsaf001/main.do?rcpNo=20230320000833" TargetMode="External"/><Relationship Id="rId105" Type="http://schemas.openxmlformats.org/officeDocument/2006/relationships/hyperlink" Target="https://dart.fss.or.kr/dsaf001/main.do?rcpNo=20230317000669" TargetMode="External"/><Relationship Id="rId126" Type="http://schemas.openxmlformats.org/officeDocument/2006/relationships/hyperlink" Target="https://dart.fss.or.kr/dsaf001/main.do?rcpNo=20230315001384" TargetMode="External"/><Relationship Id="rId147" Type="http://schemas.openxmlformats.org/officeDocument/2006/relationships/hyperlink" Target="https://dart.fss.or.kr/dsaf001/main.do?rcpNo=20230321001381" TargetMode="External"/><Relationship Id="rId168" Type="http://schemas.openxmlformats.org/officeDocument/2006/relationships/hyperlink" Target="https://dart.fss.or.kr/dsaf001/main.do?rcpNo=20230316000461" TargetMode="External"/><Relationship Id="rId312" Type="http://schemas.openxmlformats.org/officeDocument/2006/relationships/hyperlink" Target="https://dart.fss.or.kr/dsaf001/main.do?rcpNo=20230309000797" TargetMode="External"/><Relationship Id="rId333" Type="http://schemas.openxmlformats.org/officeDocument/2006/relationships/vmlDrawing" Target="../drawings/vmlDrawing2.vml"/><Relationship Id="rId51" Type="http://schemas.openxmlformats.org/officeDocument/2006/relationships/hyperlink" Target="https://dart.fss.or.kr/dsaf001/main.do?rcpNo=20230315001078" TargetMode="External"/><Relationship Id="rId72" Type="http://schemas.openxmlformats.org/officeDocument/2006/relationships/hyperlink" Target="https://dart.fss.or.kr/dsaf001/main.do?rcpNo=20230321000737" TargetMode="External"/><Relationship Id="rId93" Type="http://schemas.openxmlformats.org/officeDocument/2006/relationships/hyperlink" Target="https://dart.fss.or.kr/dsaf001/main.do?rcpNo=20230316001384" TargetMode="External"/><Relationship Id="rId189" Type="http://schemas.openxmlformats.org/officeDocument/2006/relationships/hyperlink" Target="https://dart.fss.or.kr/dsaf001/main.do?rcpNo=20230323001296" TargetMode="External"/><Relationship Id="rId3" Type="http://schemas.openxmlformats.org/officeDocument/2006/relationships/hyperlink" Target="https://dart.fss.or.kr/dsaf001/main.do?rcpNo=20230317000857" TargetMode="External"/><Relationship Id="rId214" Type="http://schemas.openxmlformats.org/officeDocument/2006/relationships/hyperlink" Target="https://dart.fss.or.kr/dsaf001/main.do?rcpNo=20230323001335" TargetMode="External"/><Relationship Id="rId235" Type="http://schemas.openxmlformats.org/officeDocument/2006/relationships/hyperlink" Target="https://dart.fss.or.kr/dsaf001/main.do?rcpNo=20230306000422" TargetMode="External"/><Relationship Id="rId256" Type="http://schemas.openxmlformats.org/officeDocument/2006/relationships/hyperlink" Target="https://dart.fss.or.kr/dsaf001/main.do?rcpNo=20230314000862" TargetMode="External"/><Relationship Id="rId277" Type="http://schemas.openxmlformats.org/officeDocument/2006/relationships/hyperlink" Target="https://dart.fss.or.kr/dsaf001/main.do?rcpNo=20230323000970" TargetMode="External"/><Relationship Id="rId298" Type="http://schemas.openxmlformats.org/officeDocument/2006/relationships/hyperlink" Target="https://dart.fss.or.kr/dsaf001/main.do?rcpNo=20230315000557" TargetMode="External"/><Relationship Id="rId116" Type="http://schemas.openxmlformats.org/officeDocument/2006/relationships/hyperlink" Target="https://dart.fss.or.kr/dsaf001/main.do?rcpNo=20230424000485" TargetMode="External"/><Relationship Id="rId137" Type="http://schemas.openxmlformats.org/officeDocument/2006/relationships/hyperlink" Target="https://dart.fss.or.kr/dsaf001/main.do?rcpNo=20230308000737" TargetMode="External"/><Relationship Id="rId158" Type="http://schemas.openxmlformats.org/officeDocument/2006/relationships/hyperlink" Target="https://dart.fss.or.kr/dsaf001/main.do?rcpNo=20230316001232" TargetMode="External"/><Relationship Id="rId302" Type="http://schemas.openxmlformats.org/officeDocument/2006/relationships/hyperlink" Target="https://dart.fss.or.kr/dsaf001/main.do?rcpNo=20230315001104" TargetMode="External"/><Relationship Id="rId323" Type="http://schemas.openxmlformats.org/officeDocument/2006/relationships/hyperlink" Target="https://dart.fss.or.kr/dsaf001/main.do?rcpNo=20230313000533" TargetMode="External"/><Relationship Id="rId20" Type="http://schemas.openxmlformats.org/officeDocument/2006/relationships/hyperlink" Target="https://dart.fss.or.kr/dsaf001/main.do?rcpNo=20230317000301" TargetMode="External"/><Relationship Id="rId41" Type="http://schemas.openxmlformats.org/officeDocument/2006/relationships/hyperlink" Target="https://dart.fss.or.kr/dsaf001/main.do?rcpNo=20230315000990" TargetMode="External"/><Relationship Id="rId62" Type="http://schemas.openxmlformats.org/officeDocument/2006/relationships/hyperlink" Target="https://dart.fss.or.kr/dsaf001/main.do?rcpNo=20230314000692" TargetMode="External"/><Relationship Id="rId83" Type="http://schemas.openxmlformats.org/officeDocument/2006/relationships/hyperlink" Target="https://dart.fss.or.kr/dsaf001/main.do?rcpNo=20230321000740" TargetMode="External"/><Relationship Id="rId179" Type="http://schemas.openxmlformats.org/officeDocument/2006/relationships/hyperlink" Target="https://dart.fss.or.kr/dsaf001/main.do?rcpNo=20230316001089" TargetMode="External"/><Relationship Id="rId190" Type="http://schemas.openxmlformats.org/officeDocument/2006/relationships/hyperlink" Target="https://dart.fss.or.kr/dsaf001/main.do?rcpNo=20230315001190" TargetMode="External"/><Relationship Id="rId204" Type="http://schemas.openxmlformats.org/officeDocument/2006/relationships/hyperlink" Target="https://dart.fss.or.kr/dsaf001/main.do?rcpNo=20230317000918" TargetMode="External"/><Relationship Id="rId225" Type="http://schemas.openxmlformats.org/officeDocument/2006/relationships/hyperlink" Target="https://dart.fss.or.kr/dsaf001/main.do?rcpNo=20230308000451" TargetMode="External"/><Relationship Id="rId246" Type="http://schemas.openxmlformats.org/officeDocument/2006/relationships/hyperlink" Target="https://dart.fss.or.kr/dsaf001/main.do?rcpNo=20230317001037" TargetMode="External"/><Relationship Id="rId267" Type="http://schemas.openxmlformats.org/officeDocument/2006/relationships/hyperlink" Target="https://dart.fss.or.kr/dsaf001/main.do?rcpNo=20230317000751" TargetMode="External"/><Relationship Id="rId288" Type="http://schemas.openxmlformats.org/officeDocument/2006/relationships/hyperlink" Target="https://dart.fss.or.kr/dsaf001/main.do?rcpNo=20230314000521" TargetMode="External"/><Relationship Id="rId106" Type="http://schemas.openxmlformats.org/officeDocument/2006/relationships/hyperlink" Target="https://dart.fss.or.kr/dsaf001/main.do?rcpNo=20230320000820" TargetMode="External"/><Relationship Id="rId127" Type="http://schemas.openxmlformats.org/officeDocument/2006/relationships/hyperlink" Target="https://dart.fss.or.kr/dsaf001/main.do?rcpNo=20230310000296" TargetMode="External"/><Relationship Id="rId313" Type="http://schemas.openxmlformats.org/officeDocument/2006/relationships/hyperlink" Target="https://dart.fss.or.kr/dsaf001/main.do?rcpNo=20230315001376" TargetMode="External"/><Relationship Id="rId10" Type="http://schemas.openxmlformats.org/officeDocument/2006/relationships/hyperlink" Target="https://dart.fss.or.kr/dsaf001/main.do?rcpNo=20230315001420" TargetMode="External"/><Relationship Id="rId31" Type="http://schemas.openxmlformats.org/officeDocument/2006/relationships/hyperlink" Target="https://dart.fss.or.kr/dsaf001/main.do?rcpNo=20230302000615" TargetMode="External"/><Relationship Id="rId52" Type="http://schemas.openxmlformats.org/officeDocument/2006/relationships/hyperlink" Target="https://dart.fss.or.kr/dsaf001/main.do?rcpNo=20230322000815" TargetMode="External"/><Relationship Id="rId73" Type="http://schemas.openxmlformats.org/officeDocument/2006/relationships/hyperlink" Target="https://dart.fss.or.kr/dsaf001/main.do?rcpNo=20230316000929" TargetMode="External"/><Relationship Id="rId94" Type="http://schemas.openxmlformats.org/officeDocument/2006/relationships/hyperlink" Target="https://dart.fss.or.kr/dsaf001/main.do?rcpNo=20230315001173" TargetMode="External"/><Relationship Id="rId148" Type="http://schemas.openxmlformats.org/officeDocument/2006/relationships/hyperlink" Target="https://dart.fss.or.kr/dsaf001/main.do?rcpNo=20230315001242" TargetMode="External"/><Relationship Id="rId169" Type="http://schemas.openxmlformats.org/officeDocument/2006/relationships/hyperlink" Target="https://dart.fss.or.kr/dsaf001/main.do?rcpNo=20230320000842" TargetMode="External"/><Relationship Id="rId334" Type="http://schemas.openxmlformats.org/officeDocument/2006/relationships/comments" Target="../comments2.xml"/><Relationship Id="rId4" Type="http://schemas.openxmlformats.org/officeDocument/2006/relationships/hyperlink" Target="https://dart.fss.or.kr/dsaf001/main.do?rcpNo=20230320000740" TargetMode="External"/><Relationship Id="rId180" Type="http://schemas.openxmlformats.org/officeDocument/2006/relationships/hyperlink" Target="https://dart.fss.or.kr/dsaf001/main.do?rcpNo=20230615000542" TargetMode="External"/><Relationship Id="rId215" Type="http://schemas.openxmlformats.org/officeDocument/2006/relationships/hyperlink" Target="https://dart.fss.or.kr/dsaf001/main.do?rcpNo=20230309000433" TargetMode="External"/><Relationship Id="rId236" Type="http://schemas.openxmlformats.org/officeDocument/2006/relationships/hyperlink" Target="https://dart.fss.or.kr/dsaf001/main.do?rcpNo=20230320000418" TargetMode="External"/><Relationship Id="rId257" Type="http://schemas.openxmlformats.org/officeDocument/2006/relationships/hyperlink" Target="https://dart.fss.or.kr/dsaf001/main.do?rcpNo=20230317000233" TargetMode="External"/><Relationship Id="rId278" Type="http://schemas.openxmlformats.org/officeDocument/2006/relationships/hyperlink" Target="https://dart.fss.or.kr/dsaf001/main.do?rcpNo=20230316001234" TargetMode="External"/><Relationship Id="rId303" Type="http://schemas.openxmlformats.org/officeDocument/2006/relationships/hyperlink" Target="https://dart.fss.or.kr/dsaf001/main.do?rcpNo=20230321001449" TargetMode="External"/><Relationship Id="rId42" Type="http://schemas.openxmlformats.org/officeDocument/2006/relationships/hyperlink" Target="https://dart.fss.or.kr/dsaf001/main.do?rcpNo=20230320000162" TargetMode="External"/><Relationship Id="rId84" Type="http://schemas.openxmlformats.org/officeDocument/2006/relationships/hyperlink" Target="https://dart.fss.or.kr/dsaf001/main.do?rcpNo=20230324000880" TargetMode="External"/><Relationship Id="rId138" Type="http://schemas.openxmlformats.org/officeDocument/2006/relationships/hyperlink" Target="https://dart.fss.or.kr/dsaf001/main.do?rcpNo=20230307000606" TargetMode="External"/><Relationship Id="rId191" Type="http://schemas.openxmlformats.org/officeDocument/2006/relationships/hyperlink" Target="https://dart.fss.or.kr/dsaf001/main.do?rcpNo=20230320001088" TargetMode="External"/><Relationship Id="rId205" Type="http://schemas.openxmlformats.org/officeDocument/2006/relationships/hyperlink" Target="https://dart.fss.or.kr/dsaf001/main.do?rcpNo=20230308000675" TargetMode="External"/><Relationship Id="rId247" Type="http://schemas.openxmlformats.org/officeDocument/2006/relationships/hyperlink" Target="https://dart.fss.or.kr/dsaf001/main.do?rcpNo=20230323001465" TargetMode="External"/><Relationship Id="rId107" Type="http://schemas.openxmlformats.org/officeDocument/2006/relationships/hyperlink" Target="https://dart.fss.or.kr/dsaf001/main.do?rcpNo=20230314000884" TargetMode="External"/><Relationship Id="rId289" Type="http://schemas.openxmlformats.org/officeDocument/2006/relationships/hyperlink" Target="https://dart.fss.or.kr/dsaf001/main.do?rcpNo=20230313000732" TargetMode="External"/><Relationship Id="rId11" Type="http://schemas.openxmlformats.org/officeDocument/2006/relationships/hyperlink" Target="https://dart.fss.or.kr/dsaf001/main.do?rcpNo=20230322001200" TargetMode="External"/><Relationship Id="rId53" Type="http://schemas.openxmlformats.org/officeDocument/2006/relationships/hyperlink" Target="https://dart.fss.or.kr/dsaf001/main.do?rcpNo=20230322000774" TargetMode="External"/><Relationship Id="rId149" Type="http://schemas.openxmlformats.org/officeDocument/2006/relationships/hyperlink" Target="https://dart.fss.or.kr/dsaf001/main.do?rcpNo=20230713000197" TargetMode="External"/><Relationship Id="rId314" Type="http://schemas.openxmlformats.org/officeDocument/2006/relationships/hyperlink" Target="https://dart.fss.or.kr/dsaf001/main.do?rcpNo=20230316001392" TargetMode="External"/><Relationship Id="rId95" Type="http://schemas.openxmlformats.org/officeDocument/2006/relationships/hyperlink" Target="https://dart.fss.or.kr/dsaf001/main.do?rcpNo=20230317000725" TargetMode="External"/><Relationship Id="rId160" Type="http://schemas.openxmlformats.org/officeDocument/2006/relationships/hyperlink" Target="https://dart.fss.or.kr/dsaf001/main.do?rcpNo=20230310000633" TargetMode="External"/><Relationship Id="rId216" Type="http://schemas.openxmlformats.org/officeDocument/2006/relationships/hyperlink" Target="https://dart.fss.or.kr/dsaf001/main.do?rcpNo=20230323001183" TargetMode="External"/><Relationship Id="rId258" Type="http://schemas.openxmlformats.org/officeDocument/2006/relationships/hyperlink" Target="https://dart.fss.or.kr/dsaf001/main.do?rcpNo=20230322000780" TargetMode="External"/><Relationship Id="rId22" Type="http://schemas.openxmlformats.org/officeDocument/2006/relationships/hyperlink" Target="https://dart.fss.or.kr/dsaf001/main.do?rcpNo=20230714000061" TargetMode="External"/><Relationship Id="rId64" Type="http://schemas.openxmlformats.org/officeDocument/2006/relationships/hyperlink" Target="https://dart.fss.or.kr/dsaf001/main.do?rcpNo=20230314000467" TargetMode="External"/><Relationship Id="rId118" Type="http://schemas.openxmlformats.org/officeDocument/2006/relationships/hyperlink" Target="https://dart.fss.or.kr/dsaf001/main.do?rcpNo=20230315000646" TargetMode="External"/><Relationship Id="rId325" Type="http://schemas.openxmlformats.org/officeDocument/2006/relationships/hyperlink" Target="https://dart.fss.or.kr/dsaf001/main.do?rcpNo=20230309000761" TargetMode="External"/><Relationship Id="rId171" Type="http://schemas.openxmlformats.org/officeDocument/2006/relationships/hyperlink" Target="https://dart.fss.or.kr/dsaf001/main.do?rcpNo=20230302000104" TargetMode="External"/><Relationship Id="rId227" Type="http://schemas.openxmlformats.org/officeDocument/2006/relationships/hyperlink" Target="https://dart.fss.or.kr/dsaf001/main.do?rcpNo=20230314001271" TargetMode="External"/><Relationship Id="rId269" Type="http://schemas.openxmlformats.org/officeDocument/2006/relationships/hyperlink" Target="https://dart.fss.or.kr/dsaf001/main.do?rcpNo=20230316001467" TargetMode="External"/><Relationship Id="rId33" Type="http://schemas.openxmlformats.org/officeDocument/2006/relationships/hyperlink" Target="https://dart.fss.or.kr/dsaf001/main.do?rcpNo=20230317000276" TargetMode="External"/><Relationship Id="rId129" Type="http://schemas.openxmlformats.org/officeDocument/2006/relationships/hyperlink" Target="https://dart.fss.or.kr/dsaf001/main.do?rcpNo=20221230000430" TargetMode="External"/><Relationship Id="rId280" Type="http://schemas.openxmlformats.org/officeDocument/2006/relationships/hyperlink" Target="https://dart.fss.or.kr/dsaf001/main.do?rcpNo=20230321001102" TargetMode="External"/><Relationship Id="rId75" Type="http://schemas.openxmlformats.org/officeDocument/2006/relationships/hyperlink" Target="https://dart.fss.or.kr/dsaf001/main.do?rcpNo=20230316000958" TargetMode="External"/><Relationship Id="rId140" Type="http://schemas.openxmlformats.org/officeDocument/2006/relationships/hyperlink" Target="https://dart.fss.or.kr/dsaf001/main.do?rcpNo=20230307000653" TargetMode="External"/><Relationship Id="rId182" Type="http://schemas.openxmlformats.org/officeDocument/2006/relationships/hyperlink" Target="https://dart.fss.or.kr/dsaf001/main.do?rcpNo=20230411002838" TargetMode="External"/><Relationship Id="rId6" Type="http://schemas.openxmlformats.org/officeDocument/2006/relationships/hyperlink" Target="https://dart.fss.or.kr/dsaf001/main.do?rcpNo=20230321001132" TargetMode="External"/><Relationship Id="rId238" Type="http://schemas.openxmlformats.org/officeDocument/2006/relationships/hyperlink" Target="https://dart.fss.or.kr/dsaf001/main.do?rcpNo=20230321001309" TargetMode="External"/><Relationship Id="rId291" Type="http://schemas.openxmlformats.org/officeDocument/2006/relationships/hyperlink" Target="https://dart.fss.or.kr/dsaf001/main.do?rcpNo=20230315001227" TargetMode="External"/><Relationship Id="rId305" Type="http://schemas.openxmlformats.org/officeDocument/2006/relationships/hyperlink" Target="https://dart.fss.or.kr/dsaf001/main.do?rcpNo=20230321001162" TargetMode="External"/><Relationship Id="rId44" Type="http://schemas.openxmlformats.org/officeDocument/2006/relationships/hyperlink" Target="https://dart.fss.or.kr/dsaf001/main.do?rcpNo=20230322000906" TargetMode="External"/><Relationship Id="rId86" Type="http://schemas.openxmlformats.org/officeDocument/2006/relationships/hyperlink" Target="https://dart.fss.or.kr/dsaf001/main.do?rcpNo=20230323000406" TargetMode="External"/><Relationship Id="rId151" Type="http://schemas.openxmlformats.org/officeDocument/2006/relationships/hyperlink" Target="https://dart.fss.or.kr/dsaf001/main.do?rcpNo=20230316001053" TargetMode="External"/><Relationship Id="rId193" Type="http://schemas.openxmlformats.org/officeDocument/2006/relationships/hyperlink" Target="https://dart.fss.or.kr/dsaf001/main.do?rcpNo=20230321001134" TargetMode="External"/><Relationship Id="rId207" Type="http://schemas.openxmlformats.org/officeDocument/2006/relationships/hyperlink" Target="https://dart.fss.or.kr/dsaf001/main.do?rcpNo=20230323001413" TargetMode="External"/><Relationship Id="rId249" Type="http://schemas.openxmlformats.org/officeDocument/2006/relationships/hyperlink" Target="https://dart.fss.or.kr/dsaf001/main.do?rcpNo=20230321000862" TargetMode="External"/><Relationship Id="rId13" Type="http://schemas.openxmlformats.org/officeDocument/2006/relationships/hyperlink" Target="https://dart.fss.or.kr/dsaf001/main.do?rcpNo=20230320000604" TargetMode="External"/><Relationship Id="rId109" Type="http://schemas.openxmlformats.org/officeDocument/2006/relationships/hyperlink" Target="https://dart.fss.or.kr/dsaf001/main.do?rcpNo=20230322001127" TargetMode="External"/><Relationship Id="rId260" Type="http://schemas.openxmlformats.org/officeDocument/2006/relationships/hyperlink" Target="https://dart.fss.or.kr/dsaf001/main.do?rcpNo=20230316001321" TargetMode="External"/><Relationship Id="rId316" Type="http://schemas.openxmlformats.org/officeDocument/2006/relationships/hyperlink" Target="https://dart.fss.or.kr/dsaf001/main.do?rcpNo=20230317000130" TargetMode="External"/><Relationship Id="rId55" Type="http://schemas.openxmlformats.org/officeDocument/2006/relationships/hyperlink" Target="https://dart.fss.or.kr/dsaf001/main.do?rcpNo=20230320000720" TargetMode="External"/><Relationship Id="rId97" Type="http://schemas.openxmlformats.org/officeDocument/2006/relationships/hyperlink" Target="https://dart.fss.or.kr/dsaf001/main.do?rcpNo=20230316001141" TargetMode="External"/><Relationship Id="rId120" Type="http://schemas.openxmlformats.org/officeDocument/2006/relationships/hyperlink" Target="https://dart.fss.or.kr/dsaf001/main.do?rcpNo=20220915000334" TargetMode="External"/><Relationship Id="rId162" Type="http://schemas.openxmlformats.org/officeDocument/2006/relationships/hyperlink" Target="https://dart.fss.or.kr/dsaf001/main.do?rcpNo=20230323000638" TargetMode="External"/><Relationship Id="rId218" Type="http://schemas.openxmlformats.org/officeDocument/2006/relationships/hyperlink" Target="https://dart.fss.or.kr/dsaf001/main.do?rcpNo=20230322000936" TargetMode="External"/><Relationship Id="rId271" Type="http://schemas.openxmlformats.org/officeDocument/2006/relationships/hyperlink" Target="https://dart.fss.or.kr/dsaf001/main.do?rcpNo=202303160013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22"/>
  <sheetViews>
    <sheetView tabSelected="1" zoomScaleNormal="100" workbookViewId="0">
      <pane xSplit="1" ySplit="1" topLeftCell="R81" activePane="bottomRight" state="frozen"/>
      <selection pane="topRight" activeCell="B1" sqref="B1"/>
      <selection pane="bottomLeft" activeCell="A2" sqref="A2"/>
      <selection pane="bottomRight" activeCell="AA88" sqref="AA88"/>
    </sheetView>
  </sheetViews>
  <sheetFormatPr defaultColWidth="9" defaultRowHeight="12.9" x14ac:dyDescent="0.55000000000000004"/>
  <cols>
    <col min="1" max="1" width="20.5703125" style="44" customWidth="1"/>
    <col min="2" max="2" width="11.35546875" style="44" customWidth="1"/>
    <col min="3" max="3" width="9.2109375" style="45" customWidth="1"/>
    <col min="4" max="4" width="20.5703125" style="44" customWidth="1"/>
    <col min="5" max="6" width="9" style="44" customWidth="1"/>
    <col min="7" max="7" width="11.0703125" style="44" customWidth="1"/>
    <col min="8" max="11" width="9" style="44" customWidth="1"/>
    <col min="12" max="13" width="15.0703125" style="44" customWidth="1"/>
    <col min="14" max="17" width="15.7109375" style="44" customWidth="1"/>
    <col min="18" max="18" width="14.5" style="44" customWidth="1"/>
    <col min="19" max="24" width="15.5703125" style="15" customWidth="1"/>
    <col min="25" max="25" width="15.5703125" style="24" customWidth="1"/>
    <col min="26" max="27" width="15.5703125" style="15" customWidth="1"/>
    <col min="28" max="28" width="15.5703125" style="136" customWidth="1"/>
    <col min="29" max="30" width="15.5703125" style="137" customWidth="1"/>
    <col min="31" max="31" width="10.5703125" style="137" customWidth="1"/>
    <col min="32" max="36" width="10.5703125" style="127" customWidth="1"/>
    <col min="37" max="40" width="10.5703125" style="113" customWidth="1"/>
    <col min="41" max="41" width="10.5703125" style="138" customWidth="1"/>
    <col min="42" max="42" width="10.5703125" style="113" customWidth="1"/>
    <col min="43" max="43" width="10.5703125" style="138" customWidth="1"/>
    <col min="44" max="49" width="10.5703125" style="118" customWidth="1"/>
    <col min="50" max="50" width="10.5703125" style="139" customWidth="1"/>
    <col min="51" max="55" width="10.5703125" style="114" customWidth="1"/>
    <col min="56" max="56" width="10.5703125" style="140" customWidth="1"/>
    <col min="57" max="58" width="15.5703125" style="141" customWidth="1"/>
    <col min="59" max="60" width="15.5703125" style="114" customWidth="1"/>
    <col min="61" max="64" width="15.5703125" style="127" customWidth="1"/>
    <col min="65" max="65" width="15.5703125" style="114" customWidth="1"/>
    <col min="66" max="66" width="10.5703125" style="127" customWidth="1"/>
    <col min="67" max="67" width="15.5703125" style="114" customWidth="1"/>
    <col min="68" max="68" width="10.5703125" style="127" customWidth="1"/>
    <col min="69" max="69" width="10.5703125" style="141" customWidth="1"/>
    <col min="70" max="70" width="10.5703125" style="127" customWidth="1"/>
    <col min="71" max="73" width="15.5703125" style="114" customWidth="1"/>
    <col min="74" max="77" width="10.5703125" style="114" customWidth="1"/>
    <col min="78" max="78" width="10.5703125" style="127" customWidth="1"/>
    <col min="79" max="80" width="10.5703125" style="114" customWidth="1"/>
    <col min="81" max="82" width="15.5703125" style="44" customWidth="1"/>
    <col min="83" max="83" width="10.5703125" style="44" customWidth="1"/>
    <col min="84" max="86" width="12.5703125" style="127" customWidth="1"/>
    <col min="87" max="87" width="10.5703125" style="114" customWidth="1"/>
    <col min="88" max="88" width="10.5703125" style="127" customWidth="1"/>
    <col min="89" max="90" width="10.5703125" style="116" customWidth="1"/>
    <col min="91" max="92" width="10.5703125" style="44" customWidth="1"/>
    <col min="93" max="93" width="15.5703125" style="114" customWidth="1"/>
    <col min="94" max="94" width="10.5703125" style="127" customWidth="1"/>
    <col min="95" max="95" width="10.5703125" style="142" customWidth="1"/>
    <col min="96" max="96" width="10.5703125" style="127" customWidth="1"/>
    <col min="97" max="97" width="15.5703125" style="114" customWidth="1"/>
    <col min="98" max="99" width="10.5703125" style="114" customWidth="1"/>
    <col min="100" max="101" width="10.5703125" style="127" customWidth="1"/>
    <col min="102" max="16384" width="9" style="44"/>
  </cols>
  <sheetData>
    <row r="1" spans="1:101" ht="100" customHeight="1" x14ac:dyDescent="0.55000000000000004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5" t="s">
        <v>2125</v>
      </c>
      <c r="T1" s="5" t="s">
        <v>2126</v>
      </c>
      <c r="U1" s="5" t="s">
        <v>2127</v>
      </c>
      <c r="V1" s="5" t="s">
        <v>2128</v>
      </c>
      <c r="W1" s="5" t="s">
        <v>2129</v>
      </c>
      <c r="X1" s="5" t="s">
        <v>2130</v>
      </c>
      <c r="Y1" s="6" t="s">
        <v>2131</v>
      </c>
      <c r="Z1" s="5" t="s">
        <v>2132</v>
      </c>
      <c r="AA1" s="5" t="s">
        <v>2133</v>
      </c>
      <c r="AB1" s="46" t="s">
        <v>2134</v>
      </c>
      <c r="AC1" s="47" t="s">
        <v>2135</v>
      </c>
      <c r="AD1" s="47" t="s">
        <v>2136</v>
      </c>
      <c r="AE1" s="48" t="s">
        <v>2137</v>
      </c>
      <c r="AF1" s="49" t="s">
        <v>2138</v>
      </c>
      <c r="AG1" s="49" t="s">
        <v>2139</v>
      </c>
      <c r="AH1" s="50" t="s">
        <v>2140</v>
      </c>
      <c r="AI1" s="50" t="s">
        <v>2141</v>
      </c>
      <c r="AJ1" s="51" t="s">
        <v>2142</v>
      </c>
      <c r="AK1" s="52" t="s">
        <v>2247</v>
      </c>
      <c r="AL1" s="52" t="s">
        <v>2248</v>
      </c>
      <c r="AM1" s="52" t="s">
        <v>2249</v>
      </c>
      <c r="AN1" s="53" t="s">
        <v>2143</v>
      </c>
      <c r="AO1" s="54" t="s">
        <v>2144</v>
      </c>
      <c r="AP1" s="55" t="s">
        <v>2145</v>
      </c>
      <c r="AQ1" s="56" t="s">
        <v>2146</v>
      </c>
      <c r="AR1" s="57" t="s">
        <v>2250</v>
      </c>
      <c r="AS1" s="58" t="s">
        <v>2147</v>
      </c>
      <c r="AT1" s="59" t="s">
        <v>2148</v>
      </c>
      <c r="AU1" s="59" t="s">
        <v>2149</v>
      </c>
      <c r="AV1" s="59" t="s">
        <v>2150</v>
      </c>
      <c r="AW1" s="59" t="s">
        <v>2151</v>
      </c>
      <c r="AX1" s="51" t="s">
        <v>2152</v>
      </c>
      <c r="AY1" s="57" t="s">
        <v>2251</v>
      </c>
      <c r="AZ1" s="57" t="s">
        <v>2252</v>
      </c>
      <c r="BA1" s="60" t="s">
        <v>2153</v>
      </c>
      <c r="BB1" s="58" t="s">
        <v>2154</v>
      </c>
      <c r="BC1" s="58" t="s">
        <v>2155</v>
      </c>
      <c r="BD1" s="51" t="s">
        <v>2156</v>
      </c>
      <c r="BE1" s="57" t="s">
        <v>2253</v>
      </c>
      <c r="BF1" s="57" t="s">
        <v>2254</v>
      </c>
      <c r="BG1" s="57" t="s">
        <v>2255</v>
      </c>
      <c r="BH1" s="61" t="s">
        <v>2157</v>
      </c>
      <c r="BI1" s="49" t="s">
        <v>2158</v>
      </c>
      <c r="BJ1" s="49" t="s">
        <v>2159</v>
      </c>
      <c r="BK1" s="62" t="s">
        <v>2160</v>
      </c>
      <c r="BL1" s="49" t="s">
        <v>2161</v>
      </c>
      <c r="BM1" s="60" t="s">
        <v>2162</v>
      </c>
      <c r="BN1" s="51" t="s">
        <v>2163</v>
      </c>
      <c r="BO1" s="63" t="s">
        <v>2256</v>
      </c>
      <c r="BP1" s="64" t="s">
        <v>2164</v>
      </c>
      <c r="BQ1" s="65" t="s">
        <v>2165</v>
      </c>
      <c r="BR1" s="51" t="s">
        <v>2166</v>
      </c>
      <c r="BS1" s="63" t="s">
        <v>2257</v>
      </c>
      <c r="BT1" s="63" t="s">
        <v>2258</v>
      </c>
      <c r="BU1" s="58" t="s">
        <v>2167</v>
      </c>
      <c r="BV1" s="58" t="s">
        <v>2168</v>
      </c>
      <c r="BW1" s="61" t="s">
        <v>2169</v>
      </c>
      <c r="BX1" s="61" t="s">
        <v>2170</v>
      </c>
      <c r="BY1" s="61" t="s">
        <v>2171</v>
      </c>
      <c r="BZ1" s="66" t="s">
        <v>2172</v>
      </c>
      <c r="CA1" s="60" t="s">
        <v>2173</v>
      </c>
      <c r="CB1" s="67" t="s">
        <v>2174</v>
      </c>
      <c r="CC1" s="68" t="s">
        <v>2175</v>
      </c>
      <c r="CD1" s="69" t="s">
        <v>2176</v>
      </c>
      <c r="CE1" s="70" t="s">
        <v>2177</v>
      </c>
      <c r="CF1" s="71" t="s">
        <v>2259</v>
      </c>
      <c r="CG1" s="71" t="s">
        <v>2260</v>
      </c>
      <c r="CH1" s="71" t="s">
        <v>2261</v>
      </c>
      <c r="CI1" s="60" t="s">
        <v>2178</v>
      </c>
      <c r="CJ1" s="51" t="s">
        <v>2179</v>
      </c>
      <c r="CK1" s="6" t="s">
        <v>2262</v>
      </c>
      <c r="CL1" s="6" t="s">
        <v>2263</v>
      </c>
      <c r="CM1" s="72" t="s">
        <v>2180</v>
      </c>
      <c r="CN1" s="70" t="s">
        <v>2181</v>
      </c>
      <c r="CO1" s="63" t="s">
        <v>2264</v>
      </c>
      <c r="CP1" s="50" t="s">
        <v>2182</v>
      </c>
      <c r="CQ1" s="65" t="s">
        <v>2183</v>
      </c>
      <c r="CR1" s="51" t="s">
        <v>2184</v>
      </c>
      <c r="CS1" s="63" t="s">
        <v>2265</v>
      </c>
      <c r="CT1" s="59" t="s">
        <v>2185</v>
      </c>
      <c r="CU1" s="59" t="s">
        <v>2186</v>
      </c>
      <c r="CV1" s="51" t="s">
        <v>2187</v>
      </c>
      <c r="CW1" s="73" t="s">
        <v>2188</v>
      </c>
    </row>
    <row r="2" spans="1:101" x14ac:dyDescent="0.35">
      <c r="A2" s="7" t="s">
        <v>1518</v>
      </c>
      <c r="B2" s="8" t="s">
        <v>1519</v>
      </c>
      <c r="C2" s="21" t="s">
        <v>1520</v>
      </c>
      <c r="D2" s="29" t="s">
        <v>935</v>
      </c>
      <c r="E2" s="11" t="s">
        <v>1459</v>
      </c>
      <c r="F2" s="11" t="s">
        <v>1521</v>
      </c>
      <c r="G2" s="12">
        <v>44414</v>
      </c>
      <c r="H2" s="11" t="s">
        <v>24</v>
      </c>
      <c r="I2" s="11" t="s">
        <v>1522</v>
      </c>
      <c r="J2" s="8" t="s">
        <v>1523</v>
      </c>
      <c r="K2" s="11" t="s">
        <v>50</v>
      </c>
      <c r="L2" s="41">
        <v>39516079000</v>
      </c>
      <c r="M2" s="41">
        <v>33800969000</v>
      </c>
      <c r="N2" s="41">
        <v>5715110000</v>
      </c>
      <c r="O2" s="41">
        <v>1605801000</v>
      </c>
      <c r="P2" s="41">
        <v>353186000</v>
      </c>
      <c r="Q2" s="41">
        <v>351733000</v>
      </c>
      <c r="R2" s="14">
        <v>263091000</v>
      </c>
      <c r="S2" s="15">
        <v>476730637</v>
      </c>
      <c r="T2" s="15">
        <v>0</v>
      </c>
      <c r="U2" s="15">
        <v>129533725</v>
      </c>
      <c r="V2" s="15">
        <v>0</v>
      </c>
      <c r="W2" s="15">
        <f>45000+6400+2452+8198+90000+2700+3000+50000+8000+85330+122621+30500+20000</f>
        <v>474201</v>
      </c>
      <c r="X2" s="15">
        <v>0</v>
      </c>
      <c r="Z2" s="15">
        <v>0</v>
      </c>
      <c r="AA2" s="15">
        <v>0</v>
      </c>
      <c r="AB2" s="74">
        <f t="shared" ref="AB2:AB65" si="0">SUM(U2,V2,Z2,W2,X2)</f>
        <v>130007926</v>
      </c>
      <c r="AC2" s="75">
        <f t="shared" ref="AC2:AC65" si="1">(AB2/S2)*100</f>
        <v>27.270730242579312</v>
      </c>
      <c r="AD2" s="75">
        <f t="shared" ref="AD2:AD65" si="2">100-(75*(AC2-0.1))/(87-0.1)</f>
        <v>76.550002667509233</v>
      </c>
      <c r="AE2" s="119">
        <f t="shared" ref="AE2:AE28" si="3">AD2*0.04</f>
        <v>3.0620001067003693</v>
      </c>
      <c r="AF2" s="77">
        <f t="shared" ref="AF2:AF65" si="4">(U2+V2)/(S2-T2-AA2)*100</f>
        <v>27.171260864444925</v>
      </c>
      <c r="AG2" s="77">
        <f t="shared" ref="AG2:AG65" si="5">(U2+V2+Z2+W2+X2-AA2)/(S2-T2-AA2)*100</f>
        <v>27.270730242579312</v>
      </c>
      <c r="AH2" s="77">
        <f t="shared" ref="AH2:AH65" si="6">AG2-AF2</f>
        <v>9.9469378134386943E-2</v>
      </c>
      <c r="AI2" s="78">
        <f t="shared" ref="AI2:AI65" si="7">IF(AH2&lt;10, 100, IF(AH2&lt;30, 80, IF(AH2&lt;50, 60, IF(AH2&lt;80, 40, IF(AH2&lt;=100, 20)))))</f>
        <v>100</v>
      </c>
      <c r="AJ2" s="120">
        <f t="shared" ref="AJ2:AJ28" si="8">AI2*0.05</f>
        <v>5</v>
      </c>
      <c r="AK2" s="113">
        <v>9</v>
      </c>
      <c r="AL2" s="113">
        <v>14</v>
      </c>
      <c r="AM2" s="113">
        <v>0</v>
      </c>
      <c r="AN2" s="81">
        <f t="shared" ref="AN2:AN65" si="9">SUM(AK2:AL2)</f>
        <v>23</v>
      </c>
      <c r="AO2" s="82">
        <f t="shared" ref="AO2:AO65" si="10">(AM2/AN2)*100</f>
        <v>0</v>
      </c>
      <c r="AP2" s="83">
        <f t="shared" ref="AP2:AP65" si="11">IF(AO2&lt;10, 100, IF(AO2&lt;20, 80, IF(AO2&lt;30, 60, IF(AO2&lt;50, 40, IF(AO2&gt;=50, 20)))))</f>
        <v>100</v>
      </c>
      <c r="AQ2" s="121">
        <f t="shared" ref="AQ2:AQ28" si="12">AP2*0.03</f>
        <v>3</v>
      </c>
      <c r="AR2" s="118">
        <v>6</v>
      </c>
      <c r="AS2" s="86">
        <f t="shared" ref="AS2:AS65" si="13">IF(L2&gt;=2000000000, 0.5, IF(L2&lt;2000000000, 0.25))</f>
        <v>0.5</v>
      </c>
      <c r="AT2" s="87">
        <f t="shared" ref="AT2:AT65" si="14">AK2*AS2</f>
        <v>4.5</v>
      </c>
      <c r="AU2" s="87">
        <f t="shared" ref="AU2:AU65" si="15">ROUNDDOWN(AT2,0)</f>
        <v>4</v>
      </c>
      <c r="AV2" s="88">
        <f t="shared" ref="AV2:AV65" si="16">(AR2-AU2)/AK2*100</f>
        <v>22.222222222222221</v>
      </c>
      <c r="AW2" s="78">
        <f t="shared" ref="AW2:AW65" si="17">IF(AV2&lt;0, 20, IF(AV2=0, 40, IF(AV2&lt;20, 60, IF(AV2&lt;40, 80, IF(AV2&gt;=40, 100)))))</f>
        <v>80</v>
      </c>
      <c r="AX2" s="122">
        <f t="shared" ref="AX2:AX28" si="18">AW2*0.02</f>
        <v>1.6</v>
      </c>
      <c r="AY2" s="114">
        <v>15</v>
      </c>
      <c r="AZ2" s="114">
        <f>15*6</f>
        <v>90</v>
      </c>
      <c r="BA2" s="91">
        <f t="shared" ref="BA2:BA65" si="19">AR2*AY2</f>
        <v>90</v>
      </c>
      <c r="BB2" s="77">
        <f t="shared" ref="BB2:BB65" si="20">(AZ2/BA2)*100</f>
        <v>100</v>
      </c>
      <c r="BC2" s="78">
        <f t="shared" ref="BC2:BC65" si="21">IF(BB2&lt;70, 25, IF(BB2&lt;80, 50, IF(BB2&lt;90, 75, IF(BB2&gt;=90, 100))))</f>
        <v>100</v>
      </c>
      <c r="BD2" s="120">
        <f t="shared" ref="BD2:BD28" si="22">BC2*0.02</f>
        <v>2</v>
      </c>
      <c r="BE2" s="92">
        <f>124488000+2488000</f>
        <v>126976000</v>
      </c>
      <c r="BF2" s="92">
        <f>9733000+3834000</f>
        <v>13567000</v>
      </c>
      <c r="BG2" s="93">
        <v>0</v>
      </c>
      <c r="BH2" s="94">
        <f t="shared" ref="BH2:BH65" si="23">SUM(BE2:BF2)</f>
        <v>140543000</v>
      </c>
      <c r="BI2" s="77">
        <f t="shared" ref="BI2:BI65" si="24">(BG2/BH2)*100</f>
        <v>0</v>
      </c>
      <c r="BJ2" s="95" t="str">
        <f t="shared" ref="BJ2:BJ65" si="25">IF(D2="금융업(보험)", "금융업", IF(D2="금융업(증권)", "금융업", IF(D2="금융업(종금)", "금융업", D2)))</f>
        <v>금융업</v>
      </c>
      <c r="BK2" s="96">
        <f t="shared" ref="BK2:BK65" si="26">AVERAGEIF(BJ:BJ, BJ2, BI:BI)</f>
        <v>2.7106886075318837</v>
      </c>
      <c r="BL2" s="97">
        <f t="shared" ref="BL2:BL65" si="27">BI2-BK2</f>
        <v>-2.7106886075318837</v>
      </c>
      <c r="BM2" s="98">
        <f t="shared" ref="BM2:BM65" si="28">IF(BL2&lt;-2, 100, IF(BL2&lt;0, 80, IF(BL2&lt;2, 60, IF(BL2&lt;10, 40, 20))))</f>
        <v>100</v>
      </c>
      <c r="BN2" s="99">
        <f t="shared" ref="BN2:BN65" si="29">BM2*0.02</f>
        <v>2</v>
      </c>
      <c r="BO2" s="114">
        <v>0</v>
      </c>
      <c r="BP2" s="101">
        <f t="shared" ref="BP2:BP65" si="30">(BO2/O2)*100</f>
        <v>0</v>
      </c>
      <c r="BQ2" s="78">
        <f t="shared" ref="BQ2:BQ65" si="31">IF(BP2=0, 25, IF(BP2&lt;0.1, 40, IF(BP2&lt;0.5, 55, IF(BP2&lt;2, 70, IF(BP2&lt;4, 85, IF(BP2&gt;=4, 100))))))</f>
        <v>25</v>
      </c>
      <c r="BR2" s="120">
        <f t="shared" ref="BR2:BR28" si="32">BQ2*0.01</f>
        <v>0.25</v>
      </c>
      <c r="BS2" s="102">
        <v>46453000</v>
      </c>
      <c r="BT2" s="102">
        <v>1962000</v>
      </c>
      <c r="BU2" s="103">
        <f t="shared" ref="BU2:BU65" si="33">BS2-BT2</f>
        <v>44491000</v>
      </c>
      <c r="BV2" s="77">
        <f t="shared" ref="BV2:BV65" si="34">BU2/O2*100</f>
        <v>2.7706421904084002</v>
      </c>
      <c r="BW2" s="96">
        <f t="shared" ref="BW2:BW65" si="35">AVERAGEIF(BJ:BJ, BJ2, BV:BV)</f>
        <v>0.39407896396795111</v>
      </c>
      <c r="BX2" s="96">
        <f t="shared" ref="BX2:BX65" si="36">(BV2-BW2)^2</f>
        <v>5.6480527692690368</v>
      </c>
      <c r="BY2" s="96">
        <f t="shared" ref="BY2:BY65" si="37">SQRT(SUMIF(BJ:BJ, BJ2, BX:BX)/COUNTIF(BJ:BJ, BJ2))</f>
        <v>1.5698937849002932</v>
      </c>
      <c r="BZ2" s="96">
        <f t="shared" ref="BZ2:BZ65" si="38">(1-_xlfn.NORM.DIST(BV2, BW2, BY2, TRUE))*100</f>
        <v>6.5033598675791175</v>
      </c>
      <c r="CA2" s="96">
        <f t="shared" ref="CA2:CA65" si="39">IF(BZ2&lt;=5, 100, IF(BZ2&lt;=15, 85, IF(BZ2&lt;=35, 70, IF(BZ2&lt;=60, 55, IF(BZ2&lt;=90, 40, 25)))))</f>
        <v>85</v>
      </c>
      <c r="CB2" s="104">
        <f t="shared" ref="CB2:CB65" si="40">CA2*0.02</f>
        <v>1.7</v>
      </c>
      <c r="CC2" s="123" t="s">
        <v>2200</v>
      </c>
      <c r="CD2" s="124" t="s">
        <v>2200</v>
      </c>
      <c r="CE2" s="125"/>
      <c r="CF2" s="127">
        <v>0.36</v>
      </c>
      <c r="CG2" s="126" t="s">
        <v>2201</v>
      </c>
      <c r="CH2" s="126" t="s">
        <v>2201</v>
      </c>
      <c r="CI2" s="128">
        <f>IF((100-(75*(CF2-1)))&gt;100,100,IF((100-(75*(CF2-1)))&lt;25,25,(100-(75*(CF2-1)))))</f>
        <v>100</v>
      </c>
      <c r="CJ2" s="129">
        <f t="shared" ref="CJ2:CJ28" si="41">CI2*0.04</f>
        <v>4</v>
      </c>
      <c r="CK2" s="116" t="s">
        <v>2212</v>
      </c>
      <c r="CL2" s="116" t="s">
        <v>2191</v>
      </c>
      <c r="CM2" s="111">
        <f t="shared" ref="CM2:CM65" si="42">IF(CL2="A", 100, IF(CL2="B", 85, IF(CL2="C", 70, IF(CL2="D", 55, IF(CL2="E", 40, 25)))))</f>
        <v>85</v>
      </c>
      <c r="CN2" s="130">
        <f t="shared" ref="CN2:CN28" si="43">CM2*0.03</f>
        <v>2.5499999999999998</v>
      </c>
      <c r="CO2" s="114">
        <v>0</v>
      </c>
      <c r="CP2" s="88">
        <f t="shared" ref="CP2:CP65" si="44">(CO2/N2)*100</f>
        <v>0</v>
      </c>
      <c r="CQ2" s="78">
        <f t="shared" ref="CQ2:CQ65" si="45">IF(CP2&lt;3, 100, IF(CP2&lt;10, 80, IF(CP2&lt;35, 60, IF(CP2&lt;100, 40, IF(CP2&gt;=100, 20)))))</f>
        <v>100</v>
      </c>
      <c r="CR2" s="120">
        <f t="shared" ref="CR2:CR28" si="46">CQ2*0.04</f>
        <v>4</v>
      </c>
      <c r="CS2" s="92">
        <f>_xlfn.XLOOKUP(C2, '[1]1-1. 관계사체무보증금액 (환율 등)'!$3:$3, '[1]1-1. 관계사체무보증금액 (환율 등)'!$33:$33)</f>
        <v>0</v>
      </c>
      <c r="CT2" s="77">
        <f t="shared" ref="CT2:CT65" si="47">(CS2/N2)*100</f>
        <v>0</v>
      </c>
      <c r="CU2" s="78">
        <f t="shared" ref="CU2:CU65" si="48">IF(CT2&lt;3, 100, IF(CT2&lt;10, 80, IF(CT2&lt;35, 60, IF(CT2&lt;100, 40, 20))))</f>
        <v>100</v>
      </c>
      <c r="CV2" s="131">
        <f t="shared" ref="CV2:CV28" si="49">CU2*0.03</f>
        <v>3</v>
      </c>
      <c r="CW2" s="112">
        <f t="shared" ref="CW2:CW65" si="50">AE2+AJ2+AQ2+AX2+BD2+BN2+BR2+CB2+CE2+CJ2+CN2+CR2+CV2</f>
        <v>32.162000106700368</v>
      </c>
    </row>
    <row r="3" spans="1:101" s="117" customFormat="1" x14ac:dyDescent="0.35">
      <c r="A3" s="7" t="s">
        <v>940</v>
      </c>
      <c r="B3" s="8" t="s">
        <v>941</v>
      </c>
      <c r="C3" s="21" t="s">
        <v>942</v>
      </c>
      <c r="D3" s="25" t="s">
        <v>67</v>
      </c>
      <c r="E3" s="11" t="s">
        <v>68</v>
      </c>
      <c r="F3" s="11" t="s">
        <v>943</v>
      </c>
      <c r="G3" s="12">
        <v>27575</v>
      </c>
      <c r="H3" s="11" t="s">
        <v>24</v>
      </c>
      <c r="I3" s="11" t="s">
        <v>944</v>
      </c>
      <c r="J3" s="11" t="s">
        <v>945</v>
      </c>
      <c r="K3" s="11" t="s">
        <v>27</v>
      </c>
      <c r="L3" s="41">
        <v>86856870802</v>
      </c>
      <c r="M3" s="41">
        <v>76041738670</v>
      </c>
      <c r="N3" s="41">
        <v>10815132132</v>
      </c>
      <c r="O3" s="41">
        <v>18511997130</v>
      </c>
      <c r="P3" s="41">
        <v>1524131094</v>
      </c>
      <c r="Q3" s="41">
        <v>1536847185</v>
      </c>
      <c r="R3" s="14">
        <v>1141384899</v>
      </c>
      <c r="S3" s="15">
        <v>47374837</v>
      </c>
      <c r="T3" s="15">
        <v>7546541</v>
      </c>
      <c r="U3" s="15">
        <f>7099088+44000</f>
        <v>7143088</v>
      </c>
      <c r="V3" s="15">
        <v>0</v>
      </c>
      <c r="W3" s="15">
        <f>2500+102+110+100*7+400+99+90+1700+123+150+77+10</f>
        <v>6061</v>
      </c>
      <c r="X3" s="15">
        <f>1451241+170517</f>
        <v>1621758</v>
      </c>
      <c r="Y3" s="24" t="s">
        <v>2081</v>
      </c>
      <c r="Z3" s="15">
        <v>0</v>
      </c>
      <c r="AA3" s="15">
        <v>0</v>
      </c>
      <c r="AB3" s="74">
        <f t="shared" si="0"/>
        <v>8770907</v>
      </c>
      <c r="AC3" s="75">
        <f t="shared" si="1"/>
        <v>18.513851562170018</v>
      </c>
      <c r="AD3" s="75">
        <f t="shared" si="2"/>
        <v>84.107723047609312</v>
      </c>
      <c r="AE3" s="119">
        <f t="shared" si="3"/>
        <v>3.3643089219043727</v>
      </c>
      <c r="AF3" s="77">
        <f t="shared" si="4"/>
        <v>17.934706521212959</v>
      </c>
      <c r="AG3" s="77">
        <f t="shared" si="5"/>
        <v>22.021798271259208</v>
      </c>
      <c r="AH3" s="77">
        <f t="shared" si="6"/>
        <v>4.0870917500462483</v>
      </c>
      <c r="AI3" s="78">
        <f t="shared" si="7"/>
        <v>100</v>
      </c>
      <c r="AJ3" s="120">
        <f t="shared" si="8"/>
        <v>5</v>
      </c>
      <c r="AK3" s="113">
        <v>6</v>
      </c>
      <c r="AL3" s="113">
        <v>57</v>
      </c>
      <c r="AM3" s="113">
        <v>0</v>
      </c>
      <c r="AN3" s="81">
        <f t="shared" si="9"/>
        <v>63</v>
      </c>
      <c r="AO3" s="82">
        <f t="shared" si="10"/>
        <v>0</v>
      </c>
      <c r="AP3" s="83">
        <f t="shared" si="11"/>
        <v>100</v>
      </c>
      <c r="AQ3" s="121">
        <f t="shared" si="12"/>
        <v>3</v>
      </c>
      <c r="AR3" s="118">
        <v>4</v>
      </c>
      <c r="AS3" s="86">
        <f t="shared" si="13"/>
        <v>0.5</v>
      </c>
      <c r="AT3" s="87">
        <f t="shared" si="14"/>
        <v>3</v>
      </c>
      <c r="AU3" s="87">
        <f t="shared" si="15"/>
        <v>3</v>
      </c>
      <c r="AV3" s="88">
        <f t="shared" si="16"/>
        <v>16.666666666666664</v>
      </c>
      <c r="AW3" s="78">
        <f t="shared" si="17"/>
        <v>60</v>
      </c>
      <c r="AX3" s="122">
        <f t="shared" si="18"/>
        <v>1.2</v>
      </c>
      <c r="AY3" s="114">
        <v>9</v>
      </c>
      <c r="AZ3" s="114">
        <f>36</f>
        <v>36</v>
      </c>
      <c r="BA3" s="91">
        <f t="shared" si="19"/>
        <v>36</v>
      </c>
      <c r="BB3" s="77">
        <f t="shared" si="20"/>
        <v>100</v>
      </c>
      <c r="BC3" s="78">
        <f t="shared" si="21"/>
        <v>100</v>
      </c>
      <c r="BD3" s="120">
        <f t="shared" si="22"/>
        <v>2</v>
      </c>
      <c r="BE3" s="92">
        <f>(579478+31505+101314)*1000</f>
        <v>712297000</v>
      </c>
      <c r="BF3" s="92">
        <f>(101314+2294+9656)*1000</f>
        <v>113264000</v>
      </c>
      <c r="BG3" s="93">
        <v>0</v>
      </c>
      <c r="BH3" s="94">
        <f t="shared" si="23"/>
        <v>825561000</v>
      </c>
      <c r="BI3" s="77">
        <f t="shared" si="24"/>
        <v>0</v>
      </c>
      <c r="BJ3" s="95" t="str">
        <f t="shared" si="25"/>
        <v>금융업</v>
      </c>
      <c r="BK3" s="96">
        <f t="shared" si="26"/>
        <v>2.7106886075318837</v>
      </c>
      <c r="BL3" s="97">
        <f t="shared" si="27"/>
        <v>-2.7106886075318837</v>
      </c>
      <c r="BM3" s="98">
        <f t="shared" si="28"/>
        <v>100</v>
      </c>
      <c r="BN3" s="99">
        <f t="shared" si="29"/>
        <v>2</v>
      </c>
      <c r="BO3" s="114">
        <v>0</v>
      </c>
      <c r="BP3" s="101">
        <f t="shared" si="30"/>
        <v>0</v>
      </c>
      <c r="BQ3" s="78">
        <f t="shared" si="31"/>
        <v>25</v>
      </c>
      <c r="BR3" s="120">
        <f t="shared" si="32"/>
        <v>0.25</v>
      </c>
      <c r="BS3" s="102">
        <v>38232879.636</v>
      </c>
      <c r="BT3" s="102">
        <v>134407.30499999999</v>
      </c>
      <c r="BU3" s="103">
        <f t="shared" si="33"/>
        <v>38098472.331</v>
      </c>
      <c r="BV3" s="77">
        <f t="shared" si="34"/>
        <v>0.20580422557033964</v>
      </c>
      <c r="BW3" s="96">
        <f t="shared" si="35"/>
        <v>0.39407896396795111</v>
      </c>
      <c r="BX3" s="96">
        <f t="shared" si="36"/>
        <v>3.5447377118689033E-2</v>
      </c>
      <c r="BY3" s="96">
        <f t="shared" si="37"/>
        <v>1.5698937849002932</v>
      </c>
      <c r="BZ3" s="96">
        <f t="shared" si="38"/>
        <v>54.773003845058746</v>
      </c>
      <c r="CA3" s="96">
        <f t="shared" si="39"/>
        <v>55</v>
      </c>
      <c r="CB3" s="104">
        <f t="shared" si="40"/>
        <v>1.1000000000000001</v>
      </c>
      <c r="CC3" s="123" t="s">
        <v>2200</v>
      </c>
      <c r="CD3" s="124" t="s">
        <v>2200</v>
      </c>
      <c r="CE3" s="125"/>
      <c r="CF3" s="126" t="s">
        <v>2201</v>
      </c>
      <c r="CG3" s="126" t="s">
        <v>2201</v>
      </c>
      <c r="CH3" s="127">
        <v>7.0000000000000007E-2</v>
      </c>
      <c r="CI3" s="128">
        <f>IF((100-(75*(CH3-10)/40))&gt;100, 100, IF((100-(75*(CH3-10)/40))&lt;25, 25, (100-(75*(CH3-10)/40))))</f>
        <v>100</v>
      </c>
      <c r="CJ3" s="129">
        <f t="shared" si="41"/>
        <v>4</v>
      </c>
      <c r="CK3" s="116" t="s">
        <v>2227</v>
      </c>
      <c r="CL3" s="116" t="s">
        <v>2204</v>
      </c>
      <c r="CM3" s="111">
        <f t="shared" si="42"/>
        <v>70</v>
      </c>
      <c r="CN3" s="130">
        <f t="shared" si="43"/>
        <v>2.1</v>
      </c>
      <c r="CO3" s="114">
        <v>210799000</v>
      </c>
      <c r="CP3" s="88">
        <f t="shared" si="44"/>
        <v>1.9491116467850105</v>
      </c>
      <c r="CQ3" s="78">
        <f t="shared" si="45"/>
        <v>100</v>
      </c>
      <c r="CR3" s="120">
        <f t="shared" si="46"/>
        <v>4</v>
      </c>
      <c r="CS3" s="92">
        <f>_xlfn.XLOOKUP(C3, '[1]1-1. 관계사체무보증금액 (환율 등)'!$3:$3, '[1]1-1. 관계사체무보증금액 (환율 등)'!$33:$33)</f>
        <v>0</v>
      </c>
      <c r="CT3" s="77">
        <f t="shared" si="47"/>
        <v>0</v>
      </c>
      <c r="CU3" s="78">
        <f t="shared" si="48"/>
        <v>100</v>
      </c>
      <c r="CV3" s="131">
        <f t="shared" si="49"/>
        <v>3</v>
      </c>
      <c r="CW3" s="112">
        <f t="shared" si="50"/>
        <v>31.014308921904373</v>
      </c>
    </row>
    <row r="4" spans="1:101" x14ac:dyDescent="0.35">
      <c r="A4" s="7" t="s">
        <v>926</v>
      </c>
      <c r="B4" s="8" t="s">
        <v>927</v>
      </c>
      <c r="C4" s="21" t="s">
        <v>928</v>
      </c>
      <c r="D4" s="25" t="s">
        <v>262</v>
      </c>
      <c r="E4" s="11" t="s">
        <v>263</v>
      </c>
      <c r="F4" s="11" t="s">
        <v>929</v>
      </c>
      <c r="G4" s="12">
        <v>32230</v>
      </c>
      <c r="H4" s="11" t="s">
        <v>24</v>
      </c>
      <c r="I4" s="11" t="s">
        <v>930</v>
      </c>
      <c r="J4" s="11" t="s">
        <v>931</v>
      </c>
      <c r="K4" s="11" t="s">
        <v>27</v>
      </c>
      <c r="L4" s="23">
        <v>47708236386</v>
      </c>
      <c r="M4" s="14">
        <v>41728539853</v>
      </c>
      <c r="N4" s="14">
        <v>5979696533</v>
      </c>
      <c r="O4" s="14">
        <v>13122029972</v>
      </c>
      <c r="P4" s="14">
        <v>522368891</v>
      </c>
      <c r="Q4" s="14">
        <v>514777360</v>
      </c>
      <c r="R4" s="14">
        <v>377508788</v>
      </c>
      <c r="S4" s="15">
        <v>89300000</v>
      </c>
      <c r="T4" s="15">
        <v>0</v>
      </c>
      <c r="U4" s="15">
        <f>26246112+5503</f>
        <v>26251615</v>
      </c>
      <c r="V4" s="15">
        <v>0</v>
      </c>
      <c r="W4" s="15">
        <f>6196+2341+3219+652+2000+2165+3000+659+79+147+122+1058+850</f>
        <v>22488</v>
      </c>
      <c r="X4" s="15">
        <v>195992</v>
      </c>
      <c r="Y4" s="24" t="s">
        <v>2083</v>
      </c>
      <c r="Z4" s="15">
        <v>0</v>
      </c>
      <c r="AA4" s="15">
        <v>0</v>
      </c>
      <c r="AB4" s="74">
        <f t="shared" si="0"/>
        <v>26470095</v>
      </c>
      <c r="AC4" s="75">
        <f t="shared" si="1"/>
        <v>29.641763717805151</v>
      </c>
      <c r="AD4" s="75">
        <f t="shared" si="2"/>
        <v>74.503656169903493</v>
      </c>
      <c r="AE4" s="119">
        <f t="shared" si="3"/>
        <v>2.9801462467961399</v>
      </c>
      <c r="AF4" s="77">
        <f t="shared" si="4"/>
        <v>29.397105263157897</v>
      </c>
      <c r="AG4" s="77">
        <f t="shared" si="5"/>
        <v>29.641763717805151</v>
      </c>
      <c r="AH4" s="77">
        <f t="shared" si="6"/>
        <v>0.24465845464725433</v>
      </c>
      <c r="AI4" s="78">
        <f t="shared" si="7"/>
        <v>100</v>
      </c>
      <c r="AJ4" s="120">
        <f t="shared" si="8"/>
        <v>5</v>
      </c>
      <c r="AK4" s="113">
        <v>6</v>
      </c>
      <c r="AL4" s="113">
        <v>25</v>
      </c>
      <c r="AM4" s="113">
        <v>0</v>
      </c>
      <c r="AN4" s="81">
        <f t="shared" si="9"/>
        <v>31</v>
      </c>
      <c r="AO4" s="82">
        <f t="shared" si="10"/>
        <v>0</v>
      </c>
      <c r="AP4" s="83">
        <f t="shared" si="11"/>
        <v>100</v>
      </c>
      <c r="AQ4" s="121">
        <f t="shared" si="12"/>
        <v>3</v>
      </c>
      <c r="AR4" s="118">
        <v>4</v>
      </c>
      <c r="AS4" s="86">
        <f t="shared" si="13"/>
        <v>0.5</v>
      </c>
      <c r="AT4" s="87">
        <f t="shared" si="14"/>
        <v>3</v>
      </c>
      <c r="AU4" s="87">
        <f t="shared" si="15"/>
        <v>3</v>
      </c>
      <c r="AV4" s="88">
        <f t="shared" si="16"/>
        <v>16.666666666666664</v>
      </c>
      <c r="AW4" s="78">
        <f t="shared" si="17"/>
        <v>60</v>
      </c>
      <c r="AX4" s="122">
        <f t="shared" si="18"/>
        <v>1.2</v>
      </c>
      <c r="AY4" s="114">
        <v>14</v>
      </c>
      <c r="AZ4" s="114">
        <f>14*4</f>
        <v>56</v>
      </c>
      <c r="BA4" s="91">
        <f t="shared" si="19"/>
        <v>56</v>
      </c>
      <c r="BB4" s="77">
        <f t="shared" si="20"/>
        <v>100</v>
      </c>
      <c r="BC4" s="78">
        <f t="shared" si="21"/>
        <v>100</v>
      </c>
      <c r="BD4" s="120">
        <f t="shared" si="22"/>
        <v>2</v>
      </c>
      <c r="BE4" s="92">
        <v>297536274</v>
      </c>
      <c r="BF4" s="92">
        <f>12993409+9038328+2695046</f>
        <v>24726783</v>
      </c>
      <c r="BG4" s="93">
        <v>0</v>
      </c>
      <c r="BH4" s="94">
        <f t="shared" si="23"/>
        <v>322263057</v>
      </c>
      <c r="BI4" s="77">
        <f t="shared" si="24"/>
        <v>0</v>
      </c>
      <c r="BJ4" s="95" t="str">
        <f t="shared" si="25"/>
        <v>금융업</v>
      </c>
      <c r="BK4" s="96">
        <f t="shared" si="26"/>
        <v>2.7106886075318837</v>
      </c>
      <c r="BL4" s="97">
        <f t="shared" si="27"/>
        <v>-2.7106886075318837</v>
      </c>
      <c r="BM4" s="98">
        <f t="shared" si="28"/>
        <v>100</v>
      </c>
      <c r="BN4" s="99">
        <f t="shared" si="29"/>
        <v>2</v>
      </c>
      <c r="BO4" s="114">
        <v>0</v>
      </c>
      <c r="BP4" s="101">
        <f t="shared" si="30"/>
        <v>0</v>
      </c>
      <c r="BQ4" s="78">
        <f t="shared" si="31"/>
        <v>25</v>
      </c>
      <c r="BR4" s="120">
        <f t="shared" si="32"/>
        <v>0.25</v>
      </c>
      <c r="BS4" s="102">
        <v>13604793.471000001</v>
      </c>
      <c r="BT4" s="102">
        <v>8215.1830000000009</v>
      </c>
      <c r="BU4" s="103">
        <f t="shared" si="33"/>
        <v>13596578.288000001</v>
      </c>
      <c r="BV4" s="77">
        <f t="shared" si="34"/>
        <v>0.1036164245700749</v>
      </c>
      <c r="BW4" s="96">
        <f t="shared" si="35"/>
        <v>0.39407896396795111</v>
      </c>
      <c r="BX4" s="96">
        <f t="shared" si="36"/>
        <v>8.4368486793462788E-2</v>
      </c>
      <c r="BY4" s="96">
        <f t="shared" si="37"/>
        <v>1.5698937849002932</v>
      </c>
      <c r="BZ4" s="96">
        <f t="shared" si="38"/>
        <v>57.33935233450498</v>
      </c>
      <c r="CA4" s="96">
        <f t="shared" si="39"/>
        <v>55</v>
      </c>
      <c r="CB4" s="104">
        <f t="shared" si="40"/>
        <v>1.1000000000000001</v>
      </c>
      <c r="CC4" s="123" t="s">
        <v>2200</v>
      </c>
      <c r="CD4" s="124" t="s">
        <v>2200</v>
      </c>
      <c r="CE4" s="125"/>
      <c r="CF4" s="126" t="s">
        <v>2201</v>
      </c>
      <c r="CG4" s="127">
        <v>0.48</v>
      </c>
      <c r="CH4" s="126" t="s">
        <v>2201</v>
      </c>
      <c r="CI4" s="128">
        <f>IF((100-(75*(CG4-1)/9))&gt;100,100,IF((100-(75*(CG4-1)/9))&lt;25,25,(100-(75*(CG4-1)/9))))</f>
        <v>100</v>
      </c>
      <c r="CJ4" s="129">
        <f t="shared" si="41"/>
        <v>4</v>
      </c>
      <c r="CK4" s="116" t="s">
        <v>2226</v>
      </c>
      <c r="CL4" s="116" t="s">
        <v>2191</v>
      </c>
      <c r="CM4" s="111">
        <f t="shared" si="42"/>
        <v>85</v>
      </c>
      <c r="CN4" s="130">
        <f t="shared" si="43"/>
        <v>2.5499999999999998</v>
      </c>
      <c r="CO4" s="114">
        <v>370999000</v>
      </c>
      <c r="CP4" s="88">
        <f t="shared" si="44"/>
        <v>6.2043115056521216</v>
      </c>
      <c r="CQ4" s="78">
        <f t="shared" si="45"/>
        <v>80</v>
      </c>
      <c r="CR4" s="120">
        <f t="shared" si="46"/>
        <v>3.2</v>
      </c>
      <c r="CS4" s="92">
        <f>_xlfn.XLOOKUP(C4, '[1]1-1. 관계사체무보증금액 (환율 등)'!$3:$3, '[1]1-1. 관계사체무보증금액 (환율 등)'!$33:$33)</f>
        <v>0</v>
      </c>
      <c r="CT4" s="77">
        <f t="shared" si="47"/>
        <v>0</v>
      </c>
      <c r="CU4" s="78">
        <f t="shared" si="48"/>
        <v>100</v>
      </c>
      <c r="CV4" s="131">
        <f t="shared" si="49"/>
        <v>3</v>
      </c>
      <c r="CW4" s="112">
        <f t="shared" si="50"/>
        <v>30.280146246796143</v>
      </c>
    </row>
    <row r="5" spans="1:101" x14ac:dyDescent="0.35">
      <c r="A5" s="7" t="s">
        <v>1456</v>
      </c>
      <c r="B5" s="8" t="s">
        <v>1457</v>
      </c>
      <c r="C5" s="21" t="s">
        <v>1458</v>
      </c>
      <c r="D5" s="29" t="s">
        <v>935</v>
      </c>
      <c r="E5" s="11" t="s">
        <v>1459</v>
      </c>
      <c r="F5" s="11" t="s">
        <v>1460</v>
      </c>
      <c r="G5" s="12">
        <v>26661</v>
      </c>
      <c r="H5" s="11" t="s">
        <v>24</v>
      </c>
      <c r="I5" s="11" t="s">
        <v>1461</v>
      </c>
      <c r="J5" s="11" t="s">
        <v>1462</v>
      </c>
      <c r="K5" s="11" t="s">
        <v>1463</v>
      </c>
      <c r="L5" s="23">
        <v>7311029000</v>
      </c>
      <c r="M5" s="14">
        <v>6789175000</v>
      </c>
      <c r="N5" s="14">
        <v>521854000</v>
      </c>
      <c r="O5" s="14">
        <v>275373000</v>
      </c>
      <c r="P5" s="14">
        <v>27020000</v>
      </c>
      <c r="Q5" s="14">
        <v>26964000</v>
      </c>
      <c r="R5" s="14">
        <v>22820000</v>
      </c>
      <c r="S5" s="15">
        <v>32128774</v>
      </c>
      <c r="T5" s="15">
        <v>0</v>
      </c>
      <c r="U5" s="15">
        <v>24196024</v>
      </c>
      <c r="V5" s="15">
        <v>0</v>
      </c>
      <c r="W5" s="15">
        <f>510+32</f>
        <v>542</v>
      </c>
      <c r="X5" s="15">
        <v>0</v>
      </c>
      <c r="Z5" s="15">
        <v>0</v>
      </c>
      <c r="AA5" s="15">
        <v>0</v>
      </c>
      <c r="AB5" s="74">
        <f t="shared" si="0"/>
        <v>24196566</v>
      </c>
      <c r="AC5" s="75">
        <f t="shared" si="1"/>
        <v>75.311202350889587</v>
      </c>
      <c r="AD5" s="75">
        <f t="shared" si="2"/>
        <v>35.08814526678114</v>
      </c>
      <c r="AE5" s="119">
        <f t="shared" si="3"/>
        <v>1.4035258106712456</v>
      </c>
      <c r="AF5" s="77">
        <f t="shared" si="4"/>
        <v>75.309515389538362</v>
      </c>
      <c r="AG5" s="77">
        <f t="shared" si="5"/>
        <v>75.311202350889587</v>
      </c>
      <c r="AH5" s="77">
        <f t="shared" si="6"/>
        <v>1.686961351225591E-3</v>
      </c>
      <c r="AI5" s="78">
        <f t="shared" si="7"/>
        <v>100</v>
      </c>
      <c r="AJ5" s="120">
        <f t="shared" si="8"/>
        <v>5</v>
      </c>
      <c r="AK5" s="113">
        <v>9</v>
      </c>
      <c r="AL5" s="113">
        <v>6</v>
      </c>
      <c r="AM5" s="113">
        <v>0</v>
      </c>
      <c r="AN5" s="81">
        <f t="shared" si="9"/>
        <v>15</v>
      </c>
      <c r="AO5" s="82">
        <f t="shared" si="10"/>
        <v>0</v>
      </c>
      <c r="AP5" s="83">
        <f t="shared" si="11"/>
        <v>100</v>
      </c>
      <c r="AQ5" s="121">
        <f t="shared" si="12"/>
        <v>3</v>
      </c>
      <c r="AR5" s="118">
        <v>5</v>
      </c>
      <c r="AS5" s="86">
        <f t="shared" si="13"/>
        <v>0.5</v>
      </c>
      <c r="AT5" s="87">
        <f t="shared" si="14"/>
        <v>4.5</v>
      </c>
      <c r="AU5" s="87">
        <f t="shared" si="15"/>
        <v>4</v>
      </c>
      <c r="AV5" s="88">
        <f t="shared" si="16"/>
        <v>11.111111111111111</v>
      </c>
      <c r="AW5" s="78">
        <f t="shared" si="17"/>
        <v>60</v>
      </c>
      <c r="AX5" s="122">
        <f t="shared" si="18"/>
        <v>1.2</v>
      </c>
      <c r="AY5" s="114">
        <v>8</v>
      </c>
      <c r="AZ5" s="114">
        <v>40</v>
      </c>
      <c r="BA5" s="91">
        <f t="shared" si="19"/>
        <v>40</v>
      </c>
      <c r="BB5" s="77">
        <f t="shared" si="20"/>
        <v>100</v>
      </c>
      <c r="BC5" s="78">
        <f t="shared" si="21"/>
        <v>100</v>
      </c>
      <c r="BD5" s="120">
        <f t="shared" si="22"/>
        <v>2</v>
      </c>
      <c r="BE5" s="92">
        <v>31850000</v>
      </c>
      <c r="BF5" s="92">
        <f>3575000+3719000</f>
        <v>7294000</v>
      </c>
      <c r="BG5" s="93">
        <v>0</v>
      </c>
      <c r="BH5" s="94">
        <f t="shared" si="23"/>
        <v>39144000</v>
      </c>
      <c r="BI5" s="77">
        <f t="shared" si="24"/>
        <v>0</v>
      </c>
      <c r="BJ5" s="95" t="str">
        <f t="shared" si="25"/>
        <v>금융업</v>
      </c>
      <c r="BK5" s="96">
        <f t="shared" si="26"/>
        <v>2.7106886075318837</v>
      </c>
      <c r="BL5" s="97">
        <f t="shared" si="27"/>
        <v>-2.7106886075318837</v>
      </c>
      <c r="BM5" s="98">
        <f t="shared" si="28"/>
        <v>100</v>
      </c>
      <c r="BN5" s="99">
        <f t="shared" si="29"/>
        <v>2</v>
      </c>
      <c r="BO5" s="114">
        <v>0</v>
      </c>
      <c r="BP5" s="101">
        <f t="shared" si="30"/>
        <v>0</v>
      </c>
      <c r="BQ5" s="78">
        <f t="shared" si="31"/>
        <v>25</v>
      </c>
      <c r="BR5" s="120">
        <f t="shared" si="32"/>
        <v>0.25</v>
      </c>
      <c r="BS5" s="102">
        <v>5491000</v>
      </c>
      <c r="BT5" s="102">
        <v>15000</v>
      </c>
      <c r="BU5" s="103">
        <f t="shared" si="33"/>
        <v>5476000</v>
      </c>
      <c r="BV5" s="77">
        <f t="shared" si="34"/>
        <v>1.9885754957820845</v>
      </c>
      <c r="BW5" s="96">
        <f t="shared" si="35"/>
        <v>0.39407896396795111</v>
      </c>
      <c r="BX5" s="96">
        <f t="shared" si="36"/>
        <v>2.5424191899672994</v>
      </c>
      <c r="BY5" s="96">
        <f t="shared" si="37"/>
        <v>1.5698937849002932</v>
      </c>
      <c r="BZ5" s="96">
        <f t="shared" si="38"/>
        <v>15.489289828200237</v>
      </c>
      <c r="CA5" s="96">
        <f t="shared" si="39"/>
        <v>70</v>
      </c>
      <c r="CB5" s="104">
        <f t="shared" si="40"/>
        <v>1.4000000000000001</v>
      </c>
      <c r="CC5" s="123" t="s">
        <v>2200</v>
      </c>
      <c r="CD5" s="124" t="s">
        <v>2200</v>
      </c>
      <c r="CE5" s="125"/>
      <c r="CF5" s="127">
        <v>0.55000000000000004</v>
      </c>
      <c r="CG5" s="126" t="s">
        <v>2201</v>
      </c>
      <c r="CH5" s="126" t="s">
        <v>2201</v>
      </c>
      <c r="CI5" s="128">
        <f>IF((100-(75*(CF5-1)))&gt;100,100,IF((100-(75*(CF5-1)))&lt;25,25,(100-(75*(CF5-1)))))</f>
        <v>100</v>
      </c>
      <c r="CJ5" s="129">
        <f t="shared" si="41"/>
        <v>4</v>
      </c>
      <c r="CK5" s="116" t="s">
        <v>2232</v>
      </c>
      <c r="CL5" s="116" t="s">
        <v>2191</v>
      </c>
      <c r="CM5" s="111">
        <f t="shared" si="42"/>
        <v>85</v>
      </c>
      <c r="CN5" s="130">
        <f t="shared" si="43"/>
        <v>2.5499999999999998</v>
      </c>
      <c r="CO5" s="114">
        <v>0</v>
      </c>
      <c r="CP5" s="88">
        <f t="shared" si="44"/>
        <v>0</v>
      </c>
      <c r="CQ5" s="78">
        <f t="shared" si="45"/>
        <v>100</v>
      </c>
      <c r="CR5" s="120">
        <f t="shared" si="46"/>
        <v>4</v>
      </c>
      <c r="CS5" s="92">
        <f>_xlfn.XLOOKUP(C5, '[1]1-1. 관계사체무보증금액 (환율 등)'!$3:$3, '[1]1-1. 관계사체무보증금액 (환율 등)'!$33:$33)</f>
        <v>0</v>
      </c>
      <c r="CT5" s="77">
        <f t="shared" si="47"/>
        <v>0</v>
      </c>
      <c r="CU5" s="78">
        <f t="shared" si="48"/>
        <v>100</v>
      </c>
      <c r="CV5" s="131">
        <f t="shared" si="49"/>
        <v>3</v>
      </c>
      <c r="CW5" s="112">
        <f t="shared" si="50"/>
        <v>29.803525810671246</v>
      </c>
    </row>
    <row r="6" spans="1:101" x14ac:dyDescent="0.35">
      <c r="A6" s="7" t="s">
        <v>932</v>
      </c>
      <c r="B6" s="8" t="s">
        <v>933</v>
      </c>
      <c r="C6" s="21" t="s">
        <v>934</v>
      </c>
      <c r="D6" s="25" t="s">
        <v>935</v>
      </c>
      <c r="E6" s="11" t="s">
        <v>936</v>
      </c>
      <c r="F6" s="11" t="s">
        <v>937</v>
      </c>
      <c r="G6" s="12">
        <v>39260</v>
      </c>
      <c r="H6" s="11" t="s">
        <v>24</v>
      </c>
      <c r="I6" s="11" t="s">
        <v>938</v>
      </c>
      <c r="J6" s="11" t="s">
        <v>939</v>
      </c>
      <c r="K6" s="11" t="s">
        <v>27</v>
      </c>
      <c r="L6" s="23">
        <v>29407344093</v>
      </c>
      <c r="M6" s="14">
        <v>21565863258</v>
      </c>
      <c r="N6" s="14">
        <v>7841480835</v>
      </c>
      <c r="O6" s="14">
        <v>3641606365</v>
      </c>
      <c r="P6" s="14">
        <v>846324379</v>
      </c>
      <c r="Q6" s="14">
        <v>843940009</v>
      </c>
      <c r="R6" s="14">
        <v>617150148</v>
      </c>
      <c r="S6" s="15">
        <v>115858891</v>
      </c>
      <c r="T6" s="15">
        <v>9148196</v>
      </c>
      <c r="U6" s="15">
        <v>83259006</v>
      </c>
      <c r="V6" s="15">
        <v>0</v>
      </c>
      <c r="W6" s="15">
        <f>5000+3500+2500+2494+100+200</f>
        <v>13794</v>
      </c>
      <c r="X6" s="15">
        <v>0</v>
      </c>
      <c r="Z6" s="15">
        <v>0</v>
      </c>
      <c r="AA6" s="15">
        <v>0</v>
      </c>
      <c r="AB6" s="74">
        <f t="shared" si="0"/>
        <v>83272800</v>
      </c>
      <c r="AC6" s="75">
        <f t="shared" si="1"/>
        <v>71.874328574403506</v>
      </c>
      <c r="AD6" s="75">
        <f t="shared" si="2"/>
        <v>38.054376949594207</v>
      </c>
      <c r="AE6" s="119">
        <f t="shared" si="3"/>
        <v>1.5221750779837684</v>
      </c>
      <c r="AF6" s="77">
        <f t="shared" si="4"/>
        <v>78.023112866053395</v>
      </c>
      <c r="AG6" s="77">
        <f t="shared" si="5"/>
        <v>78.036039405422301</v>
      </c>
      <c r="AH6" s="77">
        <f t="shared" si="6"/>
        <v>1.292653936890531E-2</v>
      </c>
      <c r="AI6" s="78">
        <f t="shared" si="7"/>
        <v>100</v>
      </c>
      <c r="AJ6" s="120">
        <f t="shared" si="8"/>
        <v>5</v>
      </c>
      <c r="AK6" s="113">
        <v>6</v>
      </c>
      <c r="AL6" s="113">
        <v>24</v>
      </c>
      <c r="AM6" s="113">
        <v>0</v>
      </c>
      <c r="AN6" s="81">
        <f t="shared" si="9"/>
        <v>30</v>
      </c>
      <c r="AO6" s="82">
        <f t="shared" si="10"/>
        <v>0</v>
      </c>
      <c r="AP6" s="83">
        <f t="shared" si="11"/>
        <v>100</v>
      </c>
      <c r="AQ6" s="121">
        <f t="shared" si="12"/>
        <v>3</v>
      </c>
      <c r="AR6" s="118">
        <v>4</v>
      </c>
      <c r="AS6" s="86">
        <f t="shared" si="13"/>
        <v>0.5</v>
      </c>
      <c r="AT6" s="87">
        <f t="shared" si="14"/>
        <v>3</v>
      </c>
      <c r="AU6" s="87">
        <f t="shared" si="15"/>
        <v>3</v>
      </c>
      <c r="AV6" s="88">
        <f t="shared" si="16"/>
        <v>16.666666666666664</v>
      </c>
      <c r="AW6" s="78">
        <f t="shared" si="17"/>
        <v>60</v>
      </c>
      <c r="AX6" s="122">
        <f t="shared" si="18"/>
        <v>1.2</v>
      </c>
      <c r="AY6" s="114">
        <v>10</v>
      </c>
      <c r="AZ6" s="114">
        <f>40-1</f>
        <v>39</v>
      </c>
      <c r="BA6" s="91">
        <f t="shared" si="19"/>
        <v>40</v>
      </c>
      <c r="BB6" s="77">
        <f t="shared" si="20"/>
        <v>97.5</v>
      </c>
      <c r="BC6" s="78">
        <f t="shared" si="21"/>
        <v>100</v>
      </c>
      <c r="BD6" s="120">
        <f t="shared" si="22"/>
        <v>2</v>
      </c>
      <c r="BE6" s="92">
        <v>297694119</v>
      </c>
      <c r="BF6" s="92">
        <v>15280000</v>
      </c>
      <c r="BG6" s="93">
        <v>0</v>
      </c>
      <c r="BH6" s="94">
        <f t="shared" si="23"/>
        <v>312974119</v>
      </c>
      <c r="BI6" s="77">
        <f t="shared" si="24"/>
        <v>0</v>
      </c>
      <c r="BJ6" s="95" t="str">
        <f t="shared" si="25"/>
        <v>금융업</v>
      </c>
      <c r="BK6" s="96">
        <f t="shared" si="26"/>
        <v>2.7106886075318837</v>
      </c>
      <c r="BL6" s="97">
        <f t="shared" si="27"/>
        <v>-2.7106886075318837</v>
      </c>
      <c r="BM6" s="98">
        <f t="shared" si="28"/>
        <v>100</v>
      </c>
      <c r="BN6" s="99">
        <f t="shared" si="29"/>
        <v>2</v>
      </c>
      <c r="BO6" s="114">
        <v>0</v>
      </c>
      <c r="BP6" s="101">
        <f t="shared" si="30"/>
        <v>0</v>
      </c>
      <c r="BQ6" s="78">
        <f t="shared" si="31"/>
        <v>25</v>
      </c>
      <c r="BR6" s="120">
        <f t="shared" si="32"/>
        <v>0.25</v>
      </c>
      <c r="BS6" s="102">
        <v>12825971.239</v>
      </c>
      <c r="BT6" s="102">
        <v>290486.59299999999</v>
      </c>
      <c r="BU6" s="103">
        <f t="shared" si="33"/>
        <v>12535484.646</v>
      </c>
      <c r="BV6" s="77">
        <f t="shared" si="34"/>
        <v>0.34422953470425405</v>
      </c>
      <c r="BW6" s="96">
        <f t="shared" si="35"/>
        <v>0.39407896396795111</v>
      </c>
      <c r="BX6" s="96">
        <f t="shared" si="36"/>
        <v>2.4849655979163371E-3</v>
      </c>
      <c r="BY6" s="96">
        <f t="shared" si="37"/>
        <v>1.5698937849002932</v>
      </c>
      <c r="BZ6" s="96">
        <f t="shared" si="38"/>
        <v>51.266563619926032</v>
      </c>
      <c r="CA6" s="96">
        <f t="shared" si="39"/>
        <v>55</v>
      </c>
      <c r="CB6" s="104">
        <f t="shared" si="40"/>
        <v>1.1000000000000001</v>
      </c>
      <c r="CC6" s="123" t="s">
        <v>2200</v>
      </c>
      <c r="CD6" s="124" t="s">
        <v>2200</v>
      </c>
      <c r="CE6" s="125"/>
      <c r="CF6" s="127">
        <v>0.72</v>
      </c>
      <c r="CG6" s="126" t="s">
        <v>2201</v>
      </c>
      <c r="CH6" s="126" t="s">
        <v>2201</v>
      </c>
      <c r="CI6" s="128">
        <f>IF((100-(75*(CF6-1)))&gt;100,100,IF((100-(75*(CF6-1)))&lt;25,25,(100-(75*(CF6-1)))))</f>
        <v>100</v>
      </c>
      <c r="CJ6" s="129">
        <f t="shared" si="41"/>
        <v>4</v>
      </c>
      <c r="CK6" s="116" t="s">
        <v>2212</v>
      </c>
      <c r="CL6" s="116" t="s">
        <v>2191</v>
      </c>
      <c r="CM6" s="111">
        <f t="shared" si="42"/>
        <v>85</v>
      </c>
      <c r="CN6" s="130">
        <f t="shared" si="43"/>
        <v>2.5499999999999998</v>
      </c>
      <c r="CO6" s="114">
        <v>9809000</v>
      </c>
      <c r="CP6" s="88">
        <f t="shared" si="44"/>
        <v>0.12509116844637419</v>
      </c>
      <c r="CQ6" s="78">
        <f t="shared" si="45"/>
        <v>100</v>
      </c>
      <c r="CR6" s="120">
        <f t="shared" si="46"/>
        <v>4</v>
      </c>
      <c r="CS6" s="92">
        <f>_xlfn.XLOOKUP(C6, '[1]1-1. 관계사체무보증금액 (환율 등)'!$3:$3, '[1]1-1. 관계사체무보증금액 (환율 등)'!$33:$33)</f>
        <v>0</v>
      </c>
      <c r="CT6" s="77" t="s">
        <v>2266</v>
      </c>
      <c r="CU6" s="78">
        <f t="shared" si="48"/>
        <v>20</v>
      </c>
      <c r="CV6" s="131">
        <f t="shared" si="49"/>
        <v>0.6</v>
      </c>
      <c r="CW6" s="112">
        <f t="shared" si="50"/>
        <v>27.222175077983771</v>
      </c>
    </row>
    <row r="7" spans="1:101" x14ac:dyDescent="0.35">
      <c r="A7" s="7" t="s">
        <v>1970</v>
      </c>
      <c r="B7" s="8" t="s">
        <v>1971</v>
      </c>
      <c r="C7" s="21" t="s">
        <v>1972</v>
      </c>
      <c r="D7" s="25" t="s">
        <v>67</v>
      </c>
      <c r="E7" s="11" t="s">
        <v>68</v>
      </c>
      <c r="F7" s="11" t="s">
        <v>1973</v>
      </c>
      <c r="G7" s="12">
        <v>32745</v>
      </c>
      <c r="H7" s="11" t="s">
        <v>24</v>
      </c>
      <c r="I7" s="11" t="s">
        <v>1974</v>
      </c>
      <c r="J7" s="11" t="s">
        <v>1975</v>
      </c>
      <c r="K7" s="11" t="s">
        <v>27</v>
      </c>
      <c r="L7" s="23">
        <v>51608012236</v>
      </c>
      <c r="M7" s="14">
        <v>47532258211</v>
      </c>
      <c r="N7" s="14">
        <v>4075754025</v>
      </c>
      <c r="O7" s="14">
        <v>14222654630</v>
      </c>
      <c r="P7" s="14">
        <v>798504080</v>
      </c>
      <c r="Q7" s="14">
        <v>768353165</v>
      </c>
      <c r="R7" s="14">
        <v>560901654</v>
      </c>
      <c r="S7" s="15">
        <v>89400000</v>
      </c>
      <c r="T7" s="15">
        <v>10985500</v>
      </c>
      <c r="U7" s="15">
        <v>19668000</v>
      </c>
      <c r="V7" s="15">
        <f>406600+300000</f>
        <v>706600</v>
      </c>
      <c r="W7" s="15">
        <f>8280+4000+720+4600+12000+600+5000+3500+8000+3497+2000+104+14090+185+1049+187+1300</f>
        <v>69112</v>
      </c>
      <c r="X7" s="15">
        <v>0</v>
      </c>
      <c r="Z7" s="15">
        <v>0</v>
      </c>
      <c r="AA7" s="15">
        <v>0</v>
      </c>
      <c r="AB7" s="74">
        <f t="shared" si="0"/>
        <v>20443712</v>
      </c>
      <c r="AC7" s="75">
        <f t="shared" si="1"/>
        <v>22.867686800894855</v>
      </c>
      <c r="AD7" s="75">
        <f t="shared" si="2"/>
        <v>80.350097697731712</v>
      </c>
      <c r="AE7" s="119">
        <f t="shared" si="3"/>
        <v>3.2140039079092686</v>
      </c>
      <c r="AF7" s="77">
        <f t="shared" si="4"/>
        <v>25.983204636897511</v>
      </c>
      <c r="AG7" s="77">
        <f t="shared" si="5"/>
        <v>26.071341397318097</v>
      </c>
      <c r="AH7" s="77">
        <f t="shared" si="6"/>
        <v>8.8136760420585603E-2</v>
      </c>
      <c r="AI7" s="78">
        <f t="shared" si="7"/>
        <v>100</v>
      </c>
      <c r="AJ7" s="120">
        <f t="shared" si="8"/>
        <v>5</v>
      </c>
      <c r="AK7" s="113">
        <v>7</v>
      </c>
      <c r="AL7" s="113">
        <v>48</v>
      </c>
      <c r="AM7" s="113">
        <v>1</v>
      </c>
      <c r="AN7" s="81">
        <f t="shared" si="9"/>
        <v>55</v>
      </c>
      <c r="AO7" s="82">
        <f t="shared" si="10"/>
        <v>1.8181818181818181</v>
      </c>
      <c r="AP7" s="83">
        <f t="shared" si="11"/>
        <v>100</v>
      </c>
      <c r="AQ7" s="121">
        <f t="shared" si="12"/>
        <v>3</v>
      </c>
      <c r="AR7" s="118">
        <v>4</v>
      </c>
      <c r="AS7" s="86">
        <f t="shared" si="13"/>
        <v>0.5</v>
      </c>
      <c r="AT7" s="87">
        <f t="shared" si="14"/>
        <v>3.5</v>
      </c>
      <c r="AU7" s="87">
        <f t="shared" si="15"/>
        <v>3</v>
      </c>
      <c r="AV7" s="88">
        <f t="shared" si="16"/>
        <v>14.285714285714285</v>
      </c>
      <c r="AW7" s="78">
        <f t="shared" si="17"/>
        <v>60</v>
      </c>
      <c r="AX7" s="122">
        <f t="shared" si="18"/>
        <v>1.2</v>
      </c>
      <c r="AY7" s="114">
        <v>7</v>
      </c>
      <c r="AZ7" s="114">
        <f>28-1</f>
        <v>27</v>
      </c>
      <c r="BA7" s="91">
        <f t="shared" si="19"/>
        <v>28</v>
      </c>
      <c r="BB7" s="77">
        <f t="shared" si="20"/>
        <v>96.428571428571431</v>
      </c>
      <c r="BC7" s="78">
        <f t="shared" si="21"/>
        <v>100</v>
      </c>
      <c r="BD7" s="120">
        <f t="shared" si="22"/>
        <v>2</v>
      </c>
      <c r="BE7" s="92">
        <f>350435862+15828604</f>
        <v>366264466</v>
      </c>
      <c r="BF7" s="92">
        <f>48747204+2167713</f>
        <v>50914917</v>
      </c>
      <c r="BG7" s="93">
        <v>0</v>
      </c>
      <c r="BH7" s="94">
        <f t="shared" si="23"/>
        <v>417179383</v>
      </c>
      <c r="BI7" s="77">
        <f t="shared" si="24"/>
        <v>0</v>
      </c>
      <c r="BJ7" s="95" t="str">
        <f t="shared" si="25"/>
        <v>금융업</v>
      </c>
      <c r="BK7" s="96">
        <f t="shared" si="26"/>
        <v>2.7106886075318837</v>
      </c>
      <c r="BL7" s="97">
        <f t="shared" si="27"/>
        <v>-2.7106886075318837</v>
      </c>
      <c r="BM7" s="98">
        <f t="shared" si="28"/>
        <v>100</v>
      </c>
      <c r="BN7" s="99">
        <f t="shared" si="29"/>
        <v>2</v>
      </c>
      <c r="BO7" s="114">
        <v>0</v>
      </c>
      <c r="BP7" s="101">
        <f t="shared" si="30"/>
        <v>0</v>
      </c>
      <c r="BQ7" s="78">
        <f t="shared" si="31"/>
        <v>25</v>
      </c>
      <c r="BR7" s="120">
        <f t="shared" si="32"/>
        <v>0.25</v>
      </c>
      <c r="BS7" s="102">
        <v>8858906.0620000008</v>
      </c>
      <c r="BT7" s="102">
        <v>255561.56</v>
      </c>
      <c r="BU7" s="103">
        <f t="shared" si="33"/>
        <v>8603344.5020000003</v>
      </c>
      <c r="BV7" s="77">
        <f t="shared" si="34"/>
        <v>6.0490426898596496E-2</v>
      </c>
      <c r="BW7" s="96">
        <f t="shared" si="35"/>
        <v>0.39407896396795111</v>
      </c>
      <c r="BX7" s="96">
        <f t="shared" si="36"/>
        <v>0.11128131206407217</v>
      </c>
      <c r="BY7" s="96">
        <f t="shared" si="37"/>
        <v>1.5698937849002932</v>
      </c>
      <c r="BZ7" s="96">
        <f t="shared" si="38"/>
        <v>58.413805962113528</v>
      </c>
      <c r="CA7" s="96">
        <f t="shared" si="39"/>
        <v>55</v>
      </c>
      <c r="CB7" s="104">
        <f t="shared" si="40"/>
        <v>1.1000000000000001</v>
      </c>
      <c r="CC7" s="123" t="s">
        <v>2200</v>
      </c>
      <c r="CD7" s="124" t="s">
        <v>2200</v>
      </c>
      <c r="CE7" s="125"/>
      <c r="CF7" s="126" t="s">
        <v>2201</v>
      </c>
      <c r="CG7" s="126" t="s">
        <v>2201</v>
      </c>
      <c r="CH7" s="127">
        <v>0.08</v>
      </c>
      <c r="CI7" s="128">
        <f>IF((100-(75*(CH7-10)/40))&gt;100, 100, IF((100-(75*(CH7-10)/40))&lt;25, 25, (100-(75*(CH7-10)/40))))</f>
        <v>100</v>
      </c>
      <c r="CJ7" s="129">
        <f t="shared" si="41"/>
        <v>4</v>
      </c>
      <c r="CK7" s="116" t="s">
        <v>2243</v>
      </c>
      <c r="CL7" s="116" t="s">
        <v>2196</v>
      </c>
      <c r="CM7" s="111">
        <f t="shared" si="42"/>
        <v>55</v>
      </c>
      <c r="CN7" s="130">
        <f t="shared" si="43"/>
        <v>1.65</v>
      </c>
      <c r="CO7" s="114">
        <v>141338000</v>
      </c>
      <c r="CP7" s="88">
        <f t="shared" si="44"/>
        <v>3.4677755117962499</v>
      </c>
      <c r="CQ7" s="78">
        <f t="shared" si="45"/>
        <v>80</v>
      </c>
      <c r="CR7" s="120">
        <f t="shared" si="46"/>
        <v>3.2</v>
      </c>
      <c r="CS7" s="92">
        <f>_xlfn.XLOOKUP(C7, '[1]1-1. 관계사체무보증금액 (환율 등)'!$3:$3, '[1]1-1. 관계사체무보증금액 (환율 등)'!$33:$33)</f>
        <v>0</v>
      </c>
      <c r="CT7" s="77">
        <f t="shared" si="47"/>
        <v>0</v>
      </c>
      <c r="CU7" s="78">
        <f t="shared" si="48"/>
        <v>100</v>
      </c>
      <c r="CV7" s="131">
        <f t="shared" si="49"/>
        <v>3</v>
      </c>
      <c r="CW7" s="112">
        <f t="shared" si="50"/>
        <v>29.614003907909268</v>
      </c>
    </row>
    <row r="8" spans="1:101" x14ac:dyDescent="0.35">
      <c r="A8" s="7" t="s">
        <v>858</v>
      </c>
      <c r="B8" s="8" t="s">
        <v>859</v>
      </c>
      <c r="C8" s="21" t="s">
        <v>860</v>
      </c>
      <c r="D8" s="25" t="s">
        <v>262</v>
      </c>
      <c r="E8" s="11" t="s">
        <v>263</v>
      </c>
      <c r="F8" s="11" t="s">
        <v>861</v>
      </c>
      <c r="G8" s="12">
        <v>32343</v>
      </c>
      <c r="H8" s="11" t="s">
        <v>24</v>
      </c>
      <c r="I8" s="11" t="s">
        <v>862</v>
      </c>
      <c r="J8" s="11" t="s">
        <v>863</v>
      </c>
      <c r="K8" s="11" t="s">
        <v>27</v>
      </c>
      <c r="L8" s="23">
        <v>1427244316</v>
      </c>
      <c r="M8" s="14">
        <v>761201192</v>
      </c>
      <c r="N8" s="14">
        <v>666043124</v>
      </c>
      <c r="O8" s="14">
        <v>962455644</v>
      </c>
      <c r="P8" s="14">
        <v>61833345</v>
      </c>
      <c r="Q8" s="14">
        <v>63808418</v>
      </c>
      <c r="R8" s="14">
        <v>45756353</v>
      </c>
      <c r="S8" s="15">
        <v>10369886</v>
      </c>
      <c r="T8" s="15">
        <v>4430764</v>
      </c>
      <c r="U8" s="15">
        <v>1266962</v>
      </c>
      <c r="V8" s="15">
        <f>1222218+174536+113270+85898+89817</f>
        <v>1685739</v>
      </c>
      <c r="W8" s="15">
        <v>0</v>
      </c>
      <c r="X8" s="15">
        <v>5939</v>
      </c>
      <c r="Y8" s="24" t="s">
        <v>2079</v>
      </c>
      <c r="Z8" s="15">
        <v>0</v>
      </c>
      <c r="AA8" s="15">
        <v>0</v>
      </c>
      <c r="AB8" s="74">
        <f t="shared" si="0"/>
        <v>2958640</v>
      </c>
      <c r="AC8" s="75">
        <f t="shared" si="1"/>
        <v>28.531075462160338</v>
      </c>
      <c r="AD8" s="75">
        <f t="shared" si="2"/>
        <v>75.46224787500546</v>
      </c>
      <c r="AE8" s="119">
        <f t="shared" si="3"/>
        <v>3.0184899150002185</v>
      </c>
      <c r="AF8" s="77">
        <f t="shared" si="4"/>
        <v>49.716119655396874</v>
      </c>
      <c r="AG8" s="77">
        <f t="shared" si="5"/>
        <v>49.816117601221187</v>
      </c>
      <c r="AH8" s="77">
        <f t="shared" si="6"/>
        <v>9.9997945824313206E-2</v>
      </c>
      <c r="AI8" s="78">
        <f t="shared" si="7"/>
        <v>100</v>
      </c>
      <c r="AJ8" s="120">
        <f t="shared" si="8"/>
        <v>5</v>
      </c>
      <c r="AK8" s="113">
        <v>8</v>
      </c>
      <c r="AL8" s="113">
        <v>46</v>
      </c>
      <c r="AM8" s="113">
        <v>0</v>
      </c>
      <c r="AN8" s="81">
        <f t="shared" si="9"/>
        <v>54</v>
      </c>
      <c r="AO8" s="82">
        <f t="shared" si="10"/>
        <v>0</v>
      </c>
      <c r="AP8" s="83">
        <f t="shared" si="11"/>
        <v>100</v>
      </c>
      <c r="AQ8" s="121">
        <f t="shared" si="12"/>
        <v>3</v>
      </c>
      <c r="AR8" s="118">
        <v>3</v>
      </c>
      <c r="AS8" s="86">
        <f t="shared" si="13"/>
        <v>0.25</v>
      </c>
      <c r="AT8" s="87">
        <f t="shared" si="14"/>
        <v>2</v>
      </c>
      <c r="AU8" s="87">
        <f t="shared" si="15"/>
        <v>2</v>
      </c>
      <c r="AV8" s="88">
        <f t="shared" si="16"/>
        <v>12.5</v>
      </c>
      <c r="AW8" s="78">
        <f t="shared" si="17"/>
        <v>60</v>
      </c>
      <c r="AX8" s="122">
        <f t="shared" si="18"/>
        <v>1.2</v>
      </c>
      <c r="AY8" s="114">
        <v>10</v>
      </c>
      <c r="AZ8" s="114">
        <f>9+8+10</f>
        <v>27</v>
      </c>
      <c r="BA8" s="91">
        <f t="shared" si="19"/>
        <v>30</v>
      </c>
      <c r="BB8" s="77">
        <f t="shared" si="20"/>
        <v>90</v>
      </c>
      <c r="BC8" s="78">
        <f t="shared" si="21"/>
        <v>100</v>
      </c>
      <c r="BD8" s="120">
        <f t="shared" si="22"/>
        <v>2</v>
      </c>
      <c r="BE8" s="92">
        <v>81487049</v>
      </c>
      <c r="BF8" s="92">
        <v>3741473</v>
      </c>
      <c r="BG8" s="114">
        <v>3741473</v>
      </c>
      <c r="BH8" s="94">
        <f t="shared" si="23"/>
        <v>85228522</v>
      </c>
      <c r="BI8" s="77">
        <f t="shared" si="24"/>
        <v>4.3899306384780434</v>
      </c>
      <c r="BJ8" s="95" t="str">
        <f t="shared" si="25"/>
        <v>금융업</v>
      </c>
      <c r="BK8" s="96">
        <f t="shared" si="26"/>
        <v>2.7106886075318837</v>
      </c>
      <c r="BL8" s="97">
        <f t="shared" si="27"/>
        <v>1.6792420309461598</v>
      </c>
      <c r="BM8" s="98">
        <f t="shared" si="28"/>
        <v>60</v>
      </c>
      <c r="BN8" s="99">
        <f t="shared" si="29"/>
        <v>1.2</v>
      </c>
      <c r="BO8" s="114">
        <v>0</v>
      </c>
      <c r="BP8" s="101">
        <f t="shared" si="30"/>
        <v>0</v>
      </c>
      <c r="BQ8" s="78">
        <f t="shared" si="31"/>
        <v>25</v>
      </c>
      <c r="BR8" s="120">
        <f t="shared" si="32"/>
        <v>0.25</v>
      </c>
      <c r="BS8" s="102">
        <v>1688997</v>
      </c>
      <c r="BT8" s="102">
        <v>1039069</v>
      </c>
      <c r="BU8" s="103">
        <f t="shared" si="33"/>
        <v>649928</v>
      </c>
      <c r="BV8" s="77">
        <f t="shared" si="34"/>
        <v>6.7528098988424656E-2</v>
      </c>
      <c r="BW8" s="96">
        <f t="shared" si="35"/>
        <v>0.39407896396795111</v>
      </c>
      <c r="BX8" s="96">
        <f t="shared" si="36"/>
        <v>0.10663546741887692</v>
      </c>
      <c r="BY8" s="96">
        <f t="shared" si="37"/>
        <v>1.5698937849002932</v>
      </c>
      <c r="BZ8" s="96">
        <f t="shared" si="38"/>
        <v>58.238873867810796</v>
      </c>
      <c r="CA8" s="96">
        <f t="shared" si="39"/>
        <v>55</v>
      </c>
      <c r="CB8" s="104">
        <f t="shared" si="40"/>
        <v>1.1000000000000001</v>
      </c>
      <c r="CC8" s="123" t="s">
        <v>2200</v>
      </c>
      <c r="CD8" s="124" t="s">
        <v>2200</v>
      </c>
      <c r="CE8" s="125"/>
      <c r="CF8" s="126" t="s">
        <v>2201</v>
      </c>
      <c r="CG8" s="127">
        <v>0.2</v>
      </c>
      <c r="CH8" s="126" t="s">
        <v>2201</v>
      </c>
      <c r="CI8" s="128">
        <f>IF((100-(75*(CG8-1)/9))&gt;100,100,IF((100-(75*(CG8-1)/9))&lt;25,25,(100-(75*(CG8-1)/9))))</f>
        <v>100</v>
      </c>
      <c r="CJ8" s="129">
        <f t="shared" si="41"/>
        <v>4</v>
      </c>
      <c r="CK8" s="116" t="s">
        <v>2224</v>
      </c>
      <c r="CL8" s="116" t="s">
        <v>2191</v>
      </c>
      <c r="CM8" s="111">
        <f t="shared" si="42"/>
        <v>85</v>
      </c>
      <c r="CN8" s="130">
        <f t="shared" si="43"/>
        <v>2.5499999999999998</v>
      </c>
      <c r="CO8" s="114">
        <v>60018000</v>
      </c>
      <c r="CP8" s="88">
        <f t="shared" si="44"/>
        <v>9.0111282343934231</v>
      </c>
      <c r="CQ8" s="78">
        <f t="shared" si="45"/>
        <v>80</v>
      </c>
      <c r="CR8" s="120">
        <f t="shared" si="46"/>
        <v>3.2</v>
      </c>
      <c r="CS8" s="92">
        <f>_xlfn.XLOOKUP(C8, '[1]1-1. 관계사체무보증금액 (환율 등)'!$3:$3, '[1]1-1. 관계사체무보증금액 (환율 등)'!$33:$33)</f>
        <v>0</v>
      </c>
      <c r="CT8" s="77">
        <f t="shared" si="47"/>
        <v>0</v>
      </c>
      <c r="CU8" s="78">
        <f t="shared" si="48"/>
        <v>100</v>
      </c>
      <c r="CV8" s="131">
        <f t="shared" si="49"/>
        <v>3</v>
      </c>
      <c r="CW8" s="112">
        <f t="shared" si="50"/>
        <v>29.518489915000217</v>
      </c>
    </row>
    <row r="9" spans="1:101" x14ac:dyDescent="0.35">
      <c r="A9" s="7" t="s">
        <v>686</v>
      </c>
      <c r="B9" s="8" t="s">
        <v>687</v>
      </c>
      <c r="C9" s="21" t="s">
        <v>688</v>
      </c>
      <c r="D9" s="25" t="s">
        <v>67</v>
      </c>
      <c r="E9" s="11" t="s">
        <v>68</v>
      </c>
      <c r="F9" s="11" t="s">
        <v>689</v>
      </c>
      <c r="G9" s="12">
        <v>40094</v>
      </c>
      <c r="H9" s="11" t="s">
        <v>24</v>
      </c>
      <c r="I9" s="11" t="s">
        <v>690</v>
      </c>
      <c r="J9" s="11" t="s">
        <v>691</v>
      </c>
      <c r="K9" s="11" t="s">
        <v>27</v>
      </c>
      <c r="L9" s="23">
        <v>37434509044</v>
      </c>
      <c r="M9" s="14">
        <v>35502248501</v>
      </c>
      <c r="N9" s="14">
        <v>1932260544</v>
      </c>
      <c r="O9" s="14">
        <v>10262246106</v>
      </c>
      <c r="P9" s="14">
        <v>152919076</v>
      </c>
      <c r="Q9" s="14">
        <v>119769829</v>
      </c>
      <c r="R9" s="14">
        <v>97027738</v>
      </c>
      <c r="S9" s="15">
        <v>161358585</v>
      </c>
      <c r="T9" s="15">
        <v>5500000</v>
      </c>
      <c r="U9" s="15">
        <f>67779432+53786195</f>
        <v>121565627</v>
      </c>
      <c r="V9" s="15">
        <v>0</v>
      </c>
      <c r="W9" s="15">
        <f>6000+10000+25565+3030+15500+6500+21565+2962</f>
        <v>91122</v>
      </c>
      <c r="X9" s="15">
        <v>0</v>
      </c>
      <c r="Z9" s="15">
        <v>0</v>
      </c>
      <c r="AA9" s="15">
        <v>0</v>
      </c>
      <c r="AB9" s="74">
        <f t="shared" si="0"/>
        <v>121656749</v>
      </c>
      <c r="AC9" s="75">
        <f t="shared" si="1"/>
        <v>75.395275063920522</v>
      </c>
      <c r="AD9" s="75">
        <f t="shared" si="2"/>
        <v>35.015585387870672</v>
      </c>
      <c r="AE9" s="119">
        <f t="shared" si="3"/>
        <v>1.4006234155148269</v>
      </c>
      <c r="AF9" s="77">
        <f t="shared" si="4"/>
        <v>77.997389107568253</v>
      </c>
      <c r="AG9" s="77">
        <f t="shared" si="5"/>
        <v>78.055853644507295</v>
      </c>
      <c r="AH9" s="77">
        <f t="shared" si="6"/>
        <v>5.8464536939041523E-2</v>
      </c>
      <c r="AI9" s="78">
        <f t="shared" si="7"/>
        <v>100</v>
      </c>
      <c r="AJ9" s="120">
        <f t="shared" si="8"/>
        <v>5</v>
      </c>
      <c r="AK9" s="113">
        <v>7</v>
      </c>
      <c r="AL9" s="113">
        <v>15</v>
      </c>
      <c r="AM9" s="113">
        <v>0</v>
      </c>
      <c r="AN9" s="81">
        <f t="shared" si="9"/>
        <v>22</v>
      </c>
      <c r="AO9" s="82">
        <f t="shared" si="10"/>
        <v>0</v>
      </c>
      <c r="AP9" s="83">
        <f t="shared" si="11"/>
        <v>100</v>
      </c>
      <c r="AQ9" s="121">
        <f t="shared" si="12"/>
        <v>3</v>
      </c>
      <c r="AR9" s="118">
        <v>4</v>
      </c>
      <c r="AS9" s="86">
        <f t="shared" si="13"/>
        <v>0.5</v>
      </c>
      <c r="AT9" s="87">
        <f t="shared" si="14"/>
        <v>3.5</v>
      </c>
      <c r="AU9" s="87">
        <f t="shared" si="15"/>
        <v>3</v>
      </c>
      <c r="AV9" s="88">
        <f t="shared" si="16"/>
        <v>14.285714285714285</v>
      </c>
      <c r="AW9" s="78">
        <f t="shared" si="17"/>
        <v>60</v>
      </c>
      <c r="AX9" s="122">
        <f t="shared" si="18"/>
        <v>1.2</v>
      </c>
      <c r="AY9" s="114">
        <v>9</v>
      </c>
      <c r="AZ9" s="114">
        <f>36-1</f>
        <v>35</v>
      </c>
      <c r="BA9" s="91">
        <f t="shared" si="19"/>
        <v>36</v>
      </c>
      <c r="BB9" s="77">
        <f t="shared" si="20"/>
        <v>97.222222222222214</v>
      </c>
      <c r="BC9" s="78">
        <f t="shared" si="21"/>
        <v>100</v>
      </c>
      <c r="BD9" s="120">
        <f t="shared" si="22"/>
        <v>2</v>
      </c>
      <c r="BE9" s="92">
        <v>7885000</v>
      </c>
      <c r="BF9" s="92">
        <v>562000</v>
      </c>
      <c r="BG9" s="93">
        <v>0</v>
      </c>
      <c r="BH9" s="94">
        <f t="shared" si="23"/>
        <v>8447000</v>
      </c>
      <c r="BI9" s="77">
        <f t="shared" si="24"/>
        <v>0</v>
      </c>
      <c r="BJ9" s="95" t="str">
        <f t="shared" si="25"/>
        <v>금융업</v>
      </c>
      <c r="BK9" s="96">
        <f t="shared" si="26"/>
        <v>2.7106886075318837</v>
      </c>
      <c r="BL9" s="97">
        <f t="shared" si="27"/>
        <v>-2.7106886075318837</v>
      </c>
      <c r="BM9" s="98">
        <f t="shared" si="28"/>
        <v>100</v>
      </c>
      <c r="BN9" s="99">
        <f t="shared" si="29"/>
        <v>2</v>
      </c>
      <c r="BO9" s="114">
        <v>0</v>
      </c>
      <c r="BP9" s="101">
        <f t="shared" si="30"/>
        <v>0</v>
      </c>
      <c r="BQ9" s="78">
        <f t="shared" si="31"/>
        <v>25</v>
      </c>
      <c r="BR9" s="120">
        <f t="shared" si="32"/>
        <v>0.25</v>
      </c>
      <c r="BS9" s="102">
        <v>3060513.1379999998</v>
      </c>
      <c r="BT9" s="102">
        <v>390304.85700000002</v>
      </c>
      <c r="BU9" s="103">
        <f t="shared" si="33"/>
        <v>2670208.281</v>
      </c>
      <c r="BV9" s="77">
        <f t="shared" si="34"/>
        <v>2.6019725637244424E-2</v>
      </c>
      <c r="BW9" s="96">
        <f t="shared" si="35"/>
        <v>0.39407896396795111</v>
      </c>
      <c r="BX9" s="96">
        <f t="shared" si="36"/>
        <v>0.13546760292057997</v>
      </c>
      <c r="BY9" s="96">
        <f t="shared" si="37"/>
        <v>1.5698937849002932</v>
      </c>
      <c r="BZ9" s="96">
        <f t="shared" si="38"/>
        <v>59.268159380263953</v>
      </c>
      <c r="CA9" s="96">
        <f t="shared" si="39"/>
        <v>55</v>
      </c>
      <c r="CB9" s="104">
        <f t="shared" si="40"/>
        <v>1.1000000000000001</v>
      </c>
      <c r="CC9" s="123" t="s">
        <v>2200</v>
      </c>
      <c r="CD9" s="124" t="s">
        <v>2200</v>
      </c>
      <c r="CE9" s="125"/>
      <c r="CF9" s="126" t="s">
        <v>2201</v>
      </c>
      <c r="CG9" s="126" t="s">
        <v>2201</v>
      </c>
      <c r="CH9" s="127">
        <v>0.12</v>
      </c>
      <c r="CI9" s="128">
        <f t="shared" ref="CI9:CI14" si="51">IF((100-(75*(CH9-10)/40))&gt;100, 100, IF((100-(75*(CH9-10)/40))&lt;25, 25, (100-(75*(CH9-10)/40))))</f>
        <v>100</v>
      </c>
      <c r="CJ9" s="129">
        <f t="shared" si="41"/>
        <v>4</v>
      </c>
      <c r="CK9" s="116" t="s">
        <v>2190</v>
      </c>
      <c r="CL9" s="116" t="s">
        <v>2191</v>
      </c>
      <c r="CM9" s="111">
        <f t="shared" si="42"/>
        <v>85</v>
      </c>
      <c r="CN9" s="130">
        <f t="shared" si="43"/>
        <v>2.5499999999999998</v>
      </c>
      <c r="CO9" s="114">
        <v>30000000</v>
      </c>
      <c r="CP9" s="88">
        <f t="shared" si="44"/>
        <v>1.5525856537905895</v>
      </c>
      <c r="CQ9" s="78">
        <f t="shared" si="45"/>
        <v>100</v>
      </c>
      <c r="CR9" s="120">
        <f t="shared" si="46"/>
        <v>4</v>
      </c>
      <c r="CS9" s="92">
        <f>_xlfn.XLOOKUP(C9, '[1]1-1. 관계사체무보증금액 (환율 등)'!$3:$3, '[1]1-1. 관계사체무보증금액 (환율 등)'!$33:$33)</f>
        <v>0</v>
      </c>
      <c r="CT9" s="77">
        <f t="shared" si="47"/>
        <v>0</v>
      </c>
      <c r="CU9" s="78">
        <f t="shared" si="48"/>
        <v>100</v>
      </c>
      <c r="CV9" s="131">
        <f t="shared" si="49"/>
        <v>3</v>
      </c>
      <c r="CW9" s="112">
        <f t="shared" si="50"/>
        <v>29.500623415514827</v>
      </c>
    </row>
    <row r="10" spans="1:101" x14ac:dyDescent="0.35">
      <c r="A10" s="7" t="s">
        <v>64</v>
      </c>
      <c r="B10" s="8" t="s">
        <v>65</v>
      </c>
      <c r="C10" s="21" t="s">
        <v>66</v>
      </c>
      <c r="D10" s="25" t="s">
        <v>67</v>
      </c>
      <c r="E10" s="11" t="s">
        <v>68</v>
      </c>
      <c r="F10" s="11" t="s">
        <v>69</v>
      </c>
      <c r="G10" s="12">
        <v>26843</v>
      </c>
      <c r="H10" s="11" t="s">
        <v>24</v>
      </c>
      <c r="I10" s="11" t="s">
        <v>70</v>
      </c>
      <c r="J10" s="11" t="s">
        <v>71</v>
      </c>
      <c r="K10" s="11" t="s">
        <v>27</v>
      </c>
      <c r="L10" s="23">
        <v>50491197385</v>
      </c>
      <c r="M10" s="14">
        <v>45440998151</v>
      </c>
      <c r="N10" s="14">
        <v>5050199234</v>
      </c>
      <c r="O10" s="14">
        <v>14569718977</v>
      </c>
      <c r="P10" s="14">
        <v>1292467004</v>
      </c>
      <c r="Q10" s="14">
        <v>1295672581</v>
      </c>
      <c r="R10" s="14">
        <v>980567336</v>
      </c>
      <c r="S10" s="15">
        <v>70800000</v>
      </c>
      <c r="T10" s="15">
        <v>10756531</v>
      </c>
      <c r="U10" s="15">
        <v>6379520</v>
      </c>
      <c r="V10" s="15">
        <f>4208500+2229640</f>
        <v>6438140</v>
      </c>
      <c r="W10" s="15">
        <f>73000+1500+210+2934+400+80+3938+500+300+200+606+1000+400+270+245+1000+55+80</f>
        <v>86718</v>
      </c>
      <c r="X10" s="15">
        <v>3539070</v>
      </c>
      <c r="Y10" s="24" t="s">
        <v>2051</v>
      </c>
      <c r="Z10" s="15">
        <v>0</v>
      </c>
      <c r="AA10" s="15">
        <v>0</v>
      </c>
      <c r="AB10" s="74">
        <f t="shared" si="0"/>
        <v>16443448</v>
      </c>
      <c r="AC10" s="75">
        <f t="shared" si="1"/>
        <v>23.225209039548023</v>
      </c>
      <c r="AD10" s="75">
        <f t="shared" si="2"/>
        <v>80.041534200620234</v>
      </c>
      <c r="AE10" s="119">
        <f t="shared" si="3"/>
        <v>3.2016613680248094</v>
      </c>
      <c r="AF10" s="77">
        <f t="shared" si="4"/>
        <v>21.347300902950828</v>
      </c>
      <c r="AG10" s="77">
        <f t="shared" si="5"/>
        <v>27.385906034176671</v>
      </c>
      <c r="AH10" s="77">
        <f t="shared" si="6"/>
        <v>6.0386051312258431</v>
      </c>
      <c r="AI10" s="78">
        <f t="shared" si="7"/>
        <v>100</v>
      </c>
      <c r="AJ10" s="120">
        <f t="shared" si="8"/>
        <v>5</v>
      </c>
      <c r="AK10" s="113">
        <v>5</v>
      </c>
      <c r="AL10" s="113">
        <v>58</v>
      </c>
      <c r="AM10" s="113">
        <v>0</v>
      </c>
      <c r="AN10" s="81">
        <f t="shared" si="9"/>
        <v>63</v>
      </c>
      <c r="AO10" s="82">
        <f t="shared" si="10"/>
        <v>0</v>
      </c>
      <c r="AP10" s="83">
        <f t="shared" si="11"/>
        <v>100</v>
      </c>
      <c r="AQ10" s="121">
        <f t="shared" si="12"/>
        <v>3</v>
      </c>
      <c r="AR10" s="118">
        <v>3</v>
      </c>
      <c r="AS10" s="86">
        <f t="shared" si="13"/>
        <v>0.5</v>
      </c>
      <c r="AT10" s="87">
        <f t="shared" si="14"/>
        <v>2.5</v>
      </c>
      <c r="AU10" s="87">
        <f t="shared" si="15"/>
        <v>2</v>
      </c>
      <c r="AV10" s="88">
        <f t="shared" si="16"/>
        <v>20</v>
      </c>
      <c r="AW10" s="78">
        <f t="shared" si="17"/>
        <v>80</v>
      </c>
      <c r="AX10" s="122">
        <f t="shared" si="18"/>
        <v>1.6</v>
      </c>
      <c r="AY10" s="114">
        <v>7</v>
      </c>
      <c r="AZ10" s="114">
        <v>21</v>
      </c>
      <c r="BA10" s="91">
        <f t="shared" si="19"/>
        <v>21</v>
      </c>
      <c r="BB10" s="77">
        <f t="shared" si="20"/>
        <v>100</v>
      </c>
      <c r="BC10" s="78">
        <f t="shared" si="21"/>
        <v>100</v>
      </c>
      <c r="BD10" s="120">
        <f t="shared" si="22"/>
        <v>2</v>
      </c>
      <c r="BE10" s="92">
        <v>349008000</v>
      </c>
      <c r="BF10" s="92">
        <v>20589000</v>
      </c>
      <c r="BG10" s="93">
        <v>0</v>
      </c>
      <c r="BH10" s="94">
        <f t="shared" si="23"/>
        <v>369597000</v>
      </c>
      <c r="BI10" s="77">
        <f t="shared" si="24"/>
        <v>0</v>
      </c>
      <c r="BJ10" s="95" t="str">
        <f t="shared" si="25"/>
        <v>금융업</v>
      </c>
      <c r="BK10" s="96">
        <f t="shared" si="26"/>
        <v>2.7106886075318837</v>
      </c>
      <c r="BL10" s="97">
        <f t="shared" si="27"/>
        <v>-2.7106886075318837</v>
      </c>
      <c r="BM10" s="98">
        <f t="shared" si="28"/>
        <v>100</v>
      </c>
      <c r="BN10" s="99">
        <f t="shared" si="29"/>
        <v>2</v>
      </c>
      <c r="BO10" s="114">
        <v>0</v>
      </c>
      <c r="BP10" s="101">
        <f t="shared" si="30"/>
        <v>0</v>
      </c>
      <c r="BQ10" s="78">
        <f t="shared" si="31"/>
        <v>25</v>
      </c>
      <c r="BR10" s="120">
        <f t="shared" si="32"/>
        <v>0.25</v>
      </c>
      <c r="BS10" s="102">
        <v>36062414.053000003</v>
      </c>
      <c r="BT10" s="102">
        <v>135483.571</v>
      </c>
      <c r="BU10" s="103">
        <f t="shared" si="33"/>
        <v>35926930.482000001</v>
      </c>
      <c r="BV10" s="77">
        <f t="shared" si="34"/>
        <v>0.24658629681680783</v>
      </c>
      <c r="BW10" s="96">
        <f t="shared" si="35"/>
        <v>0.39407896396795111</v>
      </c>
      <c r="BX10" s="96">
        <f t="shared" si="36"/>
        <v>2.1754086863357943E-2</v>
      </c>
      <c r="BY10" s="96">
        <f t="shared" si="37"/>
        <v>1.5698937849002932</v>
      </c>
      <c r="BZ10" s="96">
        <f t="shared" si="38"/>
        <v>53.742585235743469</v>
      </c>
      <c r="CA10" s="96">
        <f t="shared" si="39"/>
        <v>55</v>
      </c>
      <c r="CB10" s="104">
        <f t="shared" si="40"/>
        <v>1.1000000000000001</v>
      </c>
      <c r="CC10" s="123" t="s">
        <v>2200</v>
      </c>
      <c r="CD10" s="124" t="s">
        <v>2200</v>
      </c>
      <c r="CE10" s="125"/>
      <c r="CF10" s="126" t="s">
        <v>2201</v>
      </c>
      <c r="CG10" s="126" t="s">
        <v>2201</v>
      </c>
      <c r="CH10" s="127">
        <v>0.11</v>
      </c>
      <c r="CI10" s="128">
        <f t="shared" si="51"/>
        <v>100</v>
      </c>
      <c r="CJ10" s="129">
        <f t="shared" si="41"/>
        <v>4</v>
      </c>
      <c r="CK10" s="116" t="s">
        <v>2202</v>
      </c>
      <c r="CL10" s="116" t="s">
        <v>2196</v>
      </c>
      <c r="CM10" s="111">
        <f t="shared" si="42"/>
        <v>55</v>
      </c>
      <c r="CN10" s="130">
        <f t="shared" si="43"/>
        <v>1.65</v>
      </c>
      <c r="CO10" s="114">
        <f>51529000+474045000+1000000+200000+200000+300000+108012000+23000000+848000+678000+2487000</f>
        <v>662299000</v>
      </c>
      <c r="CP10" s="88">
        <f t="shared" si="44"/>
        <v>13.114314293605153</v>
      </c>
      <c r="CQ10" s="78">
        <f t="shared" si="45"/>
        <v>60</v>
      </c>
      <c r="CR10" s="120">
        <f t="shared" si="46"/>
        <v>2.4</v>
      </c>
      <c r="CS10" s="92">
        <f>_xlfn.XLOOKUP(C10, '[1]1-1. 관계사체무보증금액 (환율 등)'!$3:$3, '[1]1-1. 관계사체무보증금액 (환율 등)'!$33:$33)</f>
        <v>0</v>
      </c>
      <c r="CT10" s="77">
        <f t="shared" si="47"/>
        <v>0</v>
      </c>
      <c r="CU10" s="78">
        <f t="shared" si="48"/>
        <v>100</v>
      </c>
      <c r="CV10" s="131">
        <f t="shared" si="49"/>
        <v>3</v>
      </c>
      <c r="CW10" s="112">
        <f t="shared" si="50"/>
        <v>29.201661368024808</v>
      </c>
    </row>
    <row r="11" spans="1:101" x14ac:dyDescent="0.35">
      <c r="A11" s="7" t="s">
        <v>1581</v>
      </c>
      <c r="B11" s="8" t="s">
        <v>1582</v>
      </c>
      <c r="C11" s="21" t="s">
        <v>1583</v>
      </c>
      <c r="D11" s="25" t="s">
        <v>67</v>
      </c>
      <c r="E11" s="11" t="s">
        <v>1584</v>
      </c>
      <c r="F11" s="11" t="s">
        <v>1585</v>
      </c>
      <c r="G11" s="12">
        <v>25559</v>
      </c>
      <c r="H11" s="11" t="s">
        <v>24</v>
      </c>
      <c r="I11" s="11" t="s">
        <v>1586</v>
      </c>
      <c r="J11" s="11" t="s">
        <v>1587</v>
      </c>
      <c r="K11" s="11" t="s">
        <v>27</v>
      </c>
      <c r="L11" s="23">
        <v>14636016261</v>
      </c>
      <c r="M11" s="14">
        <v>11750407058</v>
      </c>
      <c r="N11" s="14">
        <v>2885609203</v>
      </c>
      <c r="O11" s="14">
        <v>7176643744</v>
      </c>
      <c r="P11" s="14">
        <v>212022730</v>
      </c>
      <c r="Q11" s="14">
        <v>211256816</v>
      </c>
      <c r="R11" s="14">
        <v>175248934</v>
      </c>
      <c r="S11" s="15">
        <v>140822939</v>
      </c>
      <c r="T11" s="15">
        <v>18107901</v>
      </c>
      <c r="U11" s="15">
        <v>8265872</v>
      </c>
      <c r="V11" s="15">
        <f>27510277-8265872-3249159</f>
        <v>15995246</v>
      </c>
      <c r="W11" s="15">
        <v>3249159</v>
      </c>
      <c r="X11" s="15">
        <v>0</v>
      </c>
      <c r="Z11" s="15">
        <v>0</v>
      </c>
      <c r="AA11" s="15">
        <v>0</v>
      </c>
      <c r="AB11" s="74">
        <f t="shared" si="0"/>
        <v>27510277</v>
      </c>
      <c r="AC11" s="75">
        <f t="shared" si="1"/>
        <v>19.535366322669915</v>
      </c>
      <c r="AD11" s="75">
        <f t="shared" si="2"/>
        <v>83.22609350747706</v>
      </c>
      <c r="AE11" s="119">
        <f t="shared" si="3"/>
        <v>3.3290437402990825</v>
      </c>
      <c r="AF11" s="77">
        <f t="shared" si="4"/>
        <v>19.770289277830809</v>
      </c>
      <c r="AG11" s="77">
        <f t="shared" si="5"/>
        <v>22.41801611958919</v>
      </c>
      <c r="AH11" s="77">
        <f t="shared" si="6"/>
        <v>2.6477268417583808</v>
      </c>
      <c r="AI11" s="78">
        <f t="shared" si="7"/>
        <v>100</v>
      </c>
      <c r="AJ11" s="120">
        <f t="shared" si="8"/>
        <v>5</v>
      </c>
      <c r="AK11" s="113">
        <v>7</v>
      </c>
      <c r="AL11" s="113">
        <v>9</v>
      </c>
      <c r="AM11" s="113">
        <v>3</v>
      </c>
      <c r="AN11" s="81">
        <f t="shared" si="9"/>
        <v>16</v>
      </c>
      <c r="AO11" s="82">
        <f t="shared" si="10"/>
        <v>18.75</v>
      </c>
      <c r="AP11" s="83">
        <f t="shared" si="11"/>
        <v>80</v>
      </c>
      <c r="AQ11" s="121">
        <f t="shared" si="12"/>
        <v>2.4</v>
      </c>
      <c r="AR11" s="118">
        <v>4</v>
      </c>
      <c r="AS11" s="86">
        <f t="shared" si="13"/>
        <v>0.5</v>
      </c>
      <c r="AT11" s="87">
        <f t="shared" si="14"/>
        <v>3.5</v>
      </c>
      <c r="AU11" s="87">
        <f t="shared" si="15"/>
        <v>3</v>
      </c>
      <c r="AV11" s="88">
        <f t="shared" si="16"/>
        <v>14.285714285714285</v>
      </c>
      <c r="AW11" s="78">
        <f t="shared" si="17"/>
        <v>60</v>
      </c>
      <c r="AX11" s="122">
        <f t="shared" si="18"/>
        <v>1.2</v>
      </c>
      <c r="AY11" s="114">
        <v>7</v>
      </c>
      <c r="AZ11" s="114">
        <v>28</v>
      </c>
      <c r="BA11" s="91">
        <f t="shared" si="19"/>
        <v>28</v>
      </c>
      <c r="BB11" s="77">
        <f t="shared" si="20"/>
        <v>100</v>
      </c>
      <c r="BC11" s="78">
        <f t="shared" si="21"/>
        <v>100</v>
      </c>
      <c r="BD11" s="120">
        <f t="shared" si="22"/>
        <v>2</v>
      </c>
      <c r="BE11" s="92">
        <v>87502000</v>
      </c>
      <c r="BF11" s="92">
        <v>9489000</v>
      </c>
      <c r="BG11" s="93">
        <v>0</v>
      </c>
      <c r="BH11" s="94">
        <f t="shared" si="23"/>
        <v>96991000</v>
      </c>
      <c r="BI11" s="77">
        <f t="shared" si="24"/>
        <v>0</v>
      </c>
      <c r="BJ11" s="95" t="str">
        <f t="shared" si="25"/>
        <v>금융업</v>
      </c>
      <c r="BK11" s="96">
        <f t="shared" si="26"/>
        <v>2.7106886075318837</v>
      </c>
      <c r="BL11" s="97">
        <f t="shared" si="27"/>
        <v>-2.7106886075318837</v>
      </c>
      <c r="BM11" s="98">
        <f t="shared" si="28"/>
        <v>100</v>
      </c>
      <c r="BN11" s="99">
        <f t="shared" si="29"/>
        <v>2</v>
      </c>
      <c r="BO11" s="114">
        <v>0</v>
      </c>
      <c r="BP11" s="101">
        <f t="shared" si="30"/>
        <v>0</v>
      </c>
      <c r="BQ11" s="78">
        <f t="shared" si="31"/>
        <v>25</v>
      </c>
      <c r="BR11" s="120">
        <f t="shared" si="32"/>
        <v>0.25</v>
      </c>
      <c r="BS11" s="102">
        <v>1448710.547</v>
      </c>
      <c r="BT11" s="102">
        <v>1181639.287</v>
      </c>
      <c r="BU11" s="103">
        <f t="shared" si="33"/>
        <v>267071.26</v>
      </c>
      <c r="BV11" s="77">
        <f t="shared" si="34"/>
        <v>3.7213949796976297E-3</v>
      </c>
      <c r="BW11" s="96">
        <f t="shared" si="35"/>
        <v>0.39407896396795111</v>
      </c>
      <c r="BX11" s="96">
        <f t="shared" si="36"/>
        <v>0.15237903166641906</v>
      </c>
      <c r="BY11" s="96">
        <f t="shared" si="37"/>
        <v>1.5698937849002932</v>
      </c>
      <c r="BZ11" s="96">
        <f t="shared" si="38"/>
        <v>59.818509305114176</v>
      </c>
      <c r="CA11" s="96">
        <f t="shared" si="39"/>
        <v>55</v>
      </c>
      <c r="CB11" s="104">
        <f t="shared" si="40"/>
        <v>1.1000000000000001</v>
      </c>
      <c r="CC11" s="123" t="s">
        <v>2200</v>
      </c>
      <c r="CD11" s="124" t="s">
        <v>2200</v>
      </c>
      <c r="CE11" s="125"/>
      <c r="CF11" s="126" t="s">
        <v>2201</v>
      </c>
      <c r="CG11" s="126" t="s">
        <v>2201</v>
      </c>
      <c r="CH11" s="127">
        <v>0.46</v>
      </c>
      <c r="CI11" s="128">
        <f t="shared" si="51"/>
        <v>100</v>
      </c>
      <c r="CJ11" s="129">
        <f t="shared" si="41"/>
        <v>4</v>
      </c>
      <c r="CK11" s="116" t="s">
        <v>2202</v>
      </c>
      <c r="CL11" s="116" t="s">
        <v>2196</v>
      </c>
      <c r="CM11" s="111">
        <f t="shared" si="42"/>
        <v>55</v>
      </c>
      <c r="CN11" s="130">
        <f t="shared" si="43"/>
        <v>1.65</v>
      </c>
      <c r="CO11" s="114">
        <v>230967618</v>
      </c>
      <c r="CP11" s="88">
        <f t="shared" si="44"/>
        <v>8.0041198149727411</v>
      </c>
      <c r="CQ11" s="78">
        <f t="shared" si="45"/>
        <v>80</v>
      </c>
      <c r="CR11" s="120">
        <f t="shared" si="46"/>
        <v>3.2</v>
      </c>
      <c r="CS11" s="92">
        <f>_xlfn.XLOOKUP(C11, '[1]1-1. 관계사체무보증금액 (환율 등)'!$3:$3, '[1]1-1. 관계사체무보증금액 (환율 등)'!$33:$33)</f>
        <v>0</v>
      </c>
      <c r="CT11" s="77">
        <f t="shared" si="47"/>
        <v>0</v>
      </c>
      <c r="CU11" s="78">
        <f t="shared" si="48"/>
        <v>100</v>
      </c>
      <c r="CV11" s="131">
        <f t="shared" si="49"/>
        <v>3</v>
      </c>
      <c r="CW11" s="112">
        <f t="shared" si="50"/>
        <v>29.129043740299082</v>
      </c>
    </row>
    <row r="12" spans="1:101" x14ac:dyDescent="0.35">
      <c r="A12" s="7" t="s">
        <v>895</v>
      </c>
      <c r="B12" s="8" t="s">
        <v>896</v>
      </c>
      <c r="C12" s="21" t="s">
        <v>897</v>
      </c>
      <c r="D12" s="25" t="s">
        <v>67</v>
      </c>
      <c r="E12" s="11" t="s">
        <v>68</v>
      </c>
      <c r="F12" s="11" t="s">
        <v>898</v>
      </c>
      <c r="G12" s="12">
        <v>40310</v>
      </c>
      <c r="H12" s="11" t="s">
        <v>24</v>
      </c>
      <c r="I12" s="11" t="s">
        <v>899</v>
      </c>
      <c r="J12" s="11" t="s">
        <v>900</v>
      </c>
      <c r="K12" s="11" t="s">
        <v>27</v>
      </c>
      <c r="L12" s="23">
        <v>281498132000</v>
      </c>
      <c r="M12" s="14">
        <v>263811626000</v>
      </c>
      <c r="N12" s="14">
        <v>17686506000</v>
      </c>
      <c r="O12" s="14">
        <v>34485080000</v>
      </c>
      <c r="P12" s="14">
        <v>214616000</v>
      </c>
      <c r="Q12" s="14">
        <v>784965000</v>
      </c>
      <c r="R12" s="14">
        <v>616696000</v>
      </c>
      <c r="S12" s="15">
        <v>200000000</v>
      </c>
      <c r="T12" s="15">
        <v>20425221</v>
      </c>
      <c r="U12" s="198">
        <f>38688000+20879591</f>
        <v>59567591</v>
      </c>
      <c r="V12" s="15">
        <f>13839726+3459923</f>
        <v>17299649</v>
      </c>
      <c r="W12" s="15">
        <f>8000+2560+3165+550+1948+2604+500+1901+180+500+622+300+300+40+2691+1000+68+1500+500+559+1220+100+100+1292+600</f>
        <v>32800</v>
      </c>
      <c r="X12" s="15">
        <f>9360000+4360000</f>
        <v>13720000</v>
      </c>
      <c r="Y12" s="24" t="s">
        <v>2082</v>
      </c>
      <c r="Z12" s="15">
        <v>0</v>
      </c>
      <c r="AA12" s="15">
        <v>0</v>
      </c>
      <c r="AB12" s="74">
        <f t="shared" si="0"/>
        <v>90620040</v>
      </c>
      <c r="AC12" s="75">
        <f t="shared" si="1"/>
        <v>45.310020000000002</v>
      </c>
      <c r="AD12" s="75">
        <f t="shared" si="2"/>
        <v>60.980995397008058</v>
      </c>
      <c r="AE12" s="119">
        <f t="shared" si="3"/>
        <v>2.4392398158803226</v>
      </c>
      <c r="AF12" s="77">
        <f t="shared" si="4"/>
        <v>42.805142474935195</v>
      </c>
      <c r="AG12" s="77">
        <f t="shared" si="5"/>
        <v>50.463678977992785</v>
      </c>
      <c r="AH12" s="77">
        <f t="shared" si="6"/>
        <v>7.65853650305759</v>
      </c>
      <c r="AI12" s="78">
        <f t="shared" si="7"/>
        <v>100</v>
      </c>
      <c r="AJ12" s="120">
        <f t="shared" si="8"/>
        <v>5</v>
      </c>
      <c r="AK12" s="113">
        <v>7</v>
      </c>
      <c r="AL12" s="113">
        <v>56</v>
      </c>
      <c r="AM12" s="113">
        <v>0</v>
      </c>
      <c r="AN12" s="81">
        <f t="shared" si="9"/>
        <v>63</v>
      </c>
      <c r="AO12" s="82">
        <f t="shared" si="10"/>
        <v>0</v>
      </c>
      <c r="AP12" s="83">
        <f t="shared" si="11"/>
        <v>100</v>
      </c>
      <c r="AQ12" s="121">
        <f t="shared" si="12"/>
        <v>3</v>
      </c>
      <c r="AR12" s="118">
        <v>4</v>
      </c>
      <c r="AS12" s="86">
        <f t="shared" si="13"/>
        <v>0.5</v>
      </c>
      <c r="AT12" s="87">
        <f t="shared" si="14"/>
        <v>3.5</v>
      </c>
      <c r="AU12" s="87">
        <f t="shared" si="15"/>
        <v>3</v>
      </c>
      <c r="AV12" s="88">
        <f t="shared" si="16"/>
        <v>14.285714285714285</v>
      </c>
      <c r="AW12" s="78">
        <f t="shared" si="17"/>
        <v>60</v>
      </c>
      <c r="AX12" s="122">
        <f t="shared" si="18"/>
        <v>1.2</v>
      </c>
      <c r="AY12" s="114">
        <v>13</v>
      </c>
      <c r="AZ12" s="114">
        <f>13*4-3</f>
        <v>49</v>
      </c>
      <c r="BA12" s="91">
        <f t="shared" si="19"/>
        <v>52</v>
      </c>
      <c r="BB12" s="77">
        <f t="shared" si="20"/>
        <v>94.230769230769226</v>
      </c>
      <c r="BC12" s="78">
        <f t="shared" si="21"/>
        <v>100</v>
      </c>
      <c r="BD12" s="120">
        <f t="shared" si="22"/>
        <v>2</v>
      </c>
      <c r="BE12" s="92">
        <v>577327000</v>
      </c>
      <c r="BF12" s="92">
        <v>56198000</v>
      </c>
      <c r="BG12" s="93">
        <v>0</v>
      </c>
      <c r="BH12" s="94">
        <f t="shared" si="23"/>
        <v>633525000</v>
      </c>
      <c r="BI12" s="77">
        <f t="shared" si="24"/>
        <v>0</v>
      </c>
      <c r="BJ12" s="95" t="str">
        <f t="shared" si="25"/>
        <v>금융업</v>
      </c>
      <c r="BK12" s="96">
        <f t="shared" si="26"/>
        <v>2.7106886075318837</v>
      </c>
      <c r="BL12" s="97">
        <f t="shared" si="27"/>
        <v>-2.7106886075318837</v>
      </c>
      <c r="BM12" s="98">
        <f t="shared" si="28"/>
        <v>100</v>
      </c>
      <c r="BN12" s="99">
        <f t="shared" si="29"/>
        <v>2</v>
      </c>
      <c r="BO12" s="114">
        <v>0</v>
      </c>
      <c r="BP12" s="101">
        <f t="shared" si="30"/>
        <v>0</v>
      </c>
      <c r="BQ12" s="78">
        <f t="shared" si="31"/>
        <v>25</v>
      </c>
      <c r="BR12" s="120">
        <f t="shared" si="32"/>
        <v>0.25</v>
      </c>
      <c r="BS12" s="102">
        <v>100819000</v>
      </c>
      <c r="BT12" s="102">
        <v>401271000</v>
      </c>
      <c r="BU12" s="103">
        <f t="shared" si="33"/>
        <v>-300452000</v>
      </c>
      <c r="BV12" s="77">
        <f t="shared" si="34"/>
        <v>-0.87125214730544331</v>
      </c>
      <c r="BW12" s="96">
        <f t="shared" si="35"/>
        <v>0.39407896396795111</v>
      </c>
      <c r="BX12" s="96">
        <f t="shared" si="36"/>
        <v>1.6010628211563633</v>
      </c>
      <c r="BY12" s="96">
        <f t="shared" si="37"/>
        <v>1.5698937849002932</v>
      </c>
      <c r="BZ12" s="96">
        <f t="shared" si="38"/>
        <v>78.987797322034183</v>
      </c>
      <c r="CA12" s="96">
        <f t="shared" si="39"/>
        <v>40</v>
      </c>
      <c r="CB12" s="104">
        <f t="shared" si="40"/>
        <v>0.8</v>
      </c>
      <c r="CC12" s="123" t="s">
        <v>2200</v>
      </c>
      <c r="CD12" s="124" t="s">
        <v>2200</v>
      </c>
      <c r="CE12" s="125"/>
      <c r="CF12" s="126" t="s">
        <v>2201</v>
      </c>
      <c r="CG12" s="126" t="s">
        <v>2201</v>
      </c>
      <c r="CH12" s="127">
        <v>0.02</v>
      </c>
      <c r="CI12" s="128">
        <f t="shared" si="51"/>
        <v>100</v>
      </c>
      <c r="CJ12" s="129">
        <f t="shared" si="41"/>
        <v>4</v>
      </c>
      <c r="CK12" s="116" t="s">
        <v>2214</v>
      </c>
      <c r="CL12" s="116" t="s">
        <v>2198</v>
      </c>
      <c r="CM12" s="111">
        <f t="shared" si="42"/>
        <v>100</v>
      </c>
      <c r="CN12" s="130">
        <f t="shared" si="43"/>
        <v>3</v>
      </c>
      <c r="CO12" s="114">
        <v>4481015000</v>
      </c>
      <c r="CP12" s="88">
        <f t="shared" si="44"/>
        <v>25.335784241387195</v>
      </c>
      <c r="CQ12" s="78">
        <f t="shared" si="45"/>
        <v>60</v>
      </c>
      <c r="CR12" s="120">
        <f t="shared" si="46"/>
        <v>2.4</v>
      </c>
      <c r="CS12" s="92">
        <f>_xlfn.XLOOKUP(C12, '[1]1-1. 관계사체무보증금액 (환율 등)'!$3:$3, '[1]1-1. 관계사체무보증금액 (환율 등)'!$33:$33)</f>
        <v>0</v>
      </c>
      <c r="CT12" s="77">
        <f t="shared" si="47"/>
        <v>0</v>
      </c>
      <c r="CU12" s="78">
        <f t="shared" si="48"/>
        <v>100</v>
      </c>
      <c r="CV12" s="131">
        <f t="shared" si="49"/>
        <v>3</v>
      </c>
      <c r="CW12" s="112">
        <f t="shared" si="50"/>
        <v>29.089239815880319</v>
      </c>
    </row>
    <row r="13" spans="1:101" x14ac:dyDescent="0.35">
      <c r="A13" s="7" t="s">
        <v>1898</v>
      </c>
      <c r="B13" s="8" t="s">
        <v>1899</v>
      </c>
      <c r="C13" s="21" t="s">
        <v>1900</v>
      </c>
      <c r="D13" s="29" t="s">
        <v>67</v>
      </c>
      <c r="E13" s="11" t="s">
        <v>68</v>
      </c>
      <c r="F13" s="11" t="s">
        <v>1901</v>
      </c>
      <c r="G13" s="12">
        <v>27575</v>
      </c>
      <c r="H13" s="11" t="s">
        <v>24</v>
      </c>
      <c r="I13" s="11" t="s">
        <v>1902</v>
      </c>
      <c r="J13" s="11" t="s">
        <v>1903</v>
      </c>
      <c r="K13" s="11" t="s">
        <v>27</v>
      </c>
      <c r="L13" s="23">
        <v>20186911158</v>
      </c>
      <c r="M13" s="14">
        <v>19938637638</v>
      </c>
      <c r="N13" s="14">
        <v>248273521</v>
      </c>
      <c r="O13" s="14">
        <v>5105380445</v>
      </c>
      <c r="P13" s="14">
        <v>326922757</v>
      </c>
      <c r="Q13" s="14">
        <v>400409213</v>
      </c>
      <c r="R13" s="14">
        <v>302102769</v>
      </c>
      <c r="S13" s="15">
        <v>116738915</v>
      </c>
      <c r="T13" s="15">
        <v>118489</v>
      </c>
      <c r="U13" s="15">
        <v>59957146</v>
      </c>
      <c r="V13" s="15">
        <v>0</v>
      </c>
      <c r="W13" s="15">
        <f>135000+55000+17362+11249+9300+6626*2+10766+5289+16000+6700+8270+1230+55000+3935+2800+4161+5486+1500+5295+2207+7000+20280+26269+10000+11040</f>
        <v>444391</v>
      </c>
      <c r="X13" s="15">
        <v>0</v>
      </c>
      <c r="Z13" s="15">
        <v>0</v>
      </c>
      <c r="AA13" s="15">
        <v>0</v>
      </c>
      <c r="AB13" s="74">
        <f t="shared" si="0"/>
        <v>60401537</v>
      </c>
      <c r="AC13" s="75">
        <f t="shared" si="1"/>
        <v>51.74070446003374</v>
      </c>
      <c r="AD13" s="75">
        <f t="shared" si="2"/>
        <v>55.430922502847757</v>
      </c>
      <c r="AE13" s="119">
        <f t="shared" si="3"/>
        <v>2.2172369001139103</v>
      </c>
      <c r="AF13" s="77">
        <f t="shared" si="4"/>
        <v>51.412216587169738</v>
      </c>
      <c r="AG13" s="77">
        <f t="shared" si="5"/>
        <v>51.793274190234904</v>
      </c>
      <c r="AH13" s="77">
        <f t="shared" si="6"/>
        <v>0.38105760306516601</v>
      </c>
      <c r="AI13" s="78">
        <f t="shared" si="7"/>
        <v>100</v>
      </c>
      <c r="AJ13" s="120">
        <f t="shared" si="8"/>
        <v>5</v>
      </c>
      <c r="AK13" s="113">
        <v>7</v>
      </c>
      <c r="AL13" s="113">
        <v>33</v>
      </c>
      <c r="AM13" s="113">
        <v>0</v>
      </c>
      <c r="AN13" s="81">
        <f t="shared" si="9"/>
        <v>40</v>
      </c>
      <c r="AO13" s="82">
        <f t="shared" si="10"/>
        <v>0</v>
      </c>
      <c r="AP13" s="83">
        <f t="shared" si="11"/>
        <v>100</v>
      </c>
      <c r="AQ13" s="121">
        <f t="shared" si="12"/>
        <v>3</v>
      </c>
      <c r="AR13" s="118">
        <v>4</v>
      </c>
      <c r="AS13" s="86">
        <f t="shared" si="13"/>
        <v>0.5</v>
      </c>
      <c r="AT13" s="87">
        <f t="shared" si="14"/>
        <v>3.5</v>
      </c>
      <c r="AU13" s="87">
        <f t="shared" si="15"/>
        <v>3</v>
      </c>
      <c r="AV13" s="88">
        <f t="shared" si="16"/>
        <v>14.285714285714285</v>
      </c>
      <c r="AW13" s="78">
        <f t="shared" si="17"/>
        <v>60</v>
      </c>
      <c r="AX13" s="122">
        <f t="shared" si="18"/>
        <v>1.2</v>
      </c>
      <c r="AY13" s="114">
        <v>14</v>
      </c>
      <c r="AZ13" s="114">
        <f>14*4</f>
        <v>56</v>
      </c>
      <c r="BA13" s="91">
        <f t="shared" si="19"/>
        <v>56</v>
      </c>
      <c r="BB13" s="77">
        <f t="shared" si="20"/>
        <v>100</v>
      </c>
      <c r="BC13" s="78">
        <f t="shared" si="21"/>
        <v>100</v>
      </c>
      <c r="BD13" s="120">
        <f t="shared" si="22"/>
        <v>2</v>
      </c>
      <c r="BE13" s="92">
        <f>162627605+3396906</f>
        <v>166024511</v>
      </c>
      <c r="BF13" s="92">
        <f>23959423+296118</f>
        <v>24255541</v>
      </c>
      <c r="BG13" s="93">
        <v>0</v>
      </c>
      <c r="BH13" s="94">
        <f t="shared" si="23"/>
        <v>190280052</v>
      </c>
      <c r="BI13" s="77">
        <f t="shared" si="24"/>
        <v>0</v>
      </c>
      <c r="BJ13" s="95" t="str">
        <f t="shared" si="25"/>
        <v>금융업</v>
      </c>
      <c r="BK13" s="96">
        <f t="shared" si="26"/>
        <v>2.7106886075318837</v>
      </c>
      <c r="BL13" s="97">
        <f t="shared" si="27"/>
        <v>-2.7106886075318837</v>
      </c>
      <c r="BM13" s="98">
        <f t="shared" si="28"/>
        <v>100</v>
      </c>
      <c r="BN13" s="99">
        <f t="shared" si="29"/>
        <v>2</v>
      </c>
      <c r="BO13" s="114">
        <v>0</v>
      </c>
      <c r="BP13" s="101">
        <f t="shared" si="30"/>
        <v>0</v>
      </c>
      <c r="BQ13" s="78">
        <f t="shared" si="31"/>
        <v>25</v>
      </c>
      <c r="BR13" s="120">
        <f t="shared" si="32"/>
        <v>0.25</v>
      </c>
      <c r="BS13" s="102">
        <v>11795352</v>
      </c>
      <c r="BT13" s="102">
        <v>233115484</v>
      </c>
      <c r="BU13" s="103">
        <f t="shared" si="33"/>
        <v>-221320132</v>
      </c>
      <c r="BV13" s="77">
        <f t="shared" si="34"/>
        <v>-4.3350370140731007</v>
      </c>
      <c r="BW13" s="96">
        <f t="shared" si="35"/>
        <v>0.39407896396795111</v>
      </c>
      <c r="BX13" s="96">
        <f t="shared" si="36"/>
        <v>22.364537933763174</v>
      </c>
      <c r="BY13" s="96">
        <f t="shared" si="37"/>
        <v>1.5698937849002932</v>
      </c>
      <c r="BZ13" s="96">
        <f t="shared" si="38"/>
        <v>99.870395871933624</v>
      </c>
      <c r="CA13" s="96">
        <f t="shared" si="39"/>
        <v>25</v>
      </c>
      <c r="CB13" s="104">
        <f t="shared" si="40"/>
        <v>0.5</v>
      </c>
      <c r="CC13" s="123" t="s">
        <v>2200</v>
      </c>
      <c r="CD13" s="124" t="s">
        <v>2200</v>
      </c>
      <c r="CE13" s="125"/>
      <c r="CF13" s="126" t="s">
        <v>2201</v>
      </c>
      <c r="CG13" s="126" t="s">
        <v>2201</v>
      </c>
      <c r="CH13" s="127">
        <v>0.14000000000000001</v>
      </c>
      <c r="CI13" s="128">
        <f t="shared" si="51"/>
        <v>100</v>
      </c>
      <c r="CJ13" s="129">
        <f t="shared" si="41"/>
        <v>4</v>
      </c>
      <c r="CK13" s="116" t="s">
        <v>2216</v>
      </c>
      <c r="CL13" s="116" t="s">
        <v>2196</v>
      </c>
      <c r="CM13" s="111">
        <f t="shared" si="42"/>
        <v>55</v>
      </c>
      <c r="CN13" s="130">
        <f t="shared" si="43"/>
        <v>1.65</v>
      </c>
      <c r="CO13" s="114">
        <v>0</v>
      </c>
      <c r="CP13" s="88">
        <f t="shared" si="44"/>
        <v>0</v>
      </c>
      <c r="CQ13" s="78">
        <f t="shared" si="45"/>
        <v>100</v>
      </c>
      <c r="CR13" s="120">
        <f t="shared" si="46"/>
        <v>4</v>
      </c>
      <c r="CS13" s="92">
        <f>_xlfn.XLOOKUP(C13, '[1]1-1. 관계사체무보증금액 (환율 등)'!$3:$3, '[1]1-1. 관계사체무보증금액 (환율 등)'!$33:$33)</f>
        <v>0</v>
      </c>
      <c r="CT13" s="77">
        <f t="shared" si="47"/>
        <v>0</v>
      </c>
      <c r="CU13" s="78">
        <f t="shared" si="48"/>
        <v>100</v>
      </c>
      <c r="CV13" s="131">
        <f t="shared" si="49"/>
        <v>3</v>
      </c>
      <c r="CW13" s="112">
        <f t="shared" si="50"/>
        <v>28.817236900113908</v>
      </c>
    </row>
    <row r="14" spans="1:101" x14ac:dyDescent="0.35">
      <c r="A14" s="7" t="s">
        <v>802</v>
      </c>
      <c r="B14" s="8" t="s">
        <v>803</v>
      </c>
      <c r="C14" s="21" t="s">
        <v>804</v>
      </c>
      <c r="D14" s="25" t="s">
        <v>67</v>
      </c>
      <c r="E14" s="11" t="s">
        <v>68</v>
      </c>
      <c r="F14" s="11" t="s">
        <v>805</v>
      </c>
      <c r="G14" s="12">
        <v>42193</v>
      </c>
      <c r="H14" s="11" t="s">
        <v>24</v>
      </c>
      <c r="I14" s="11" t="s">
        <v>806</v>
      </c>
      <c r="J14" s="11" t="s">
        <v>807</v>
      </c>
      <c r="K14" s="11" t="s">
        <v>27</v>
      </c>
      <c r="L14" s="23">
        <v>37208616897</v>
      </c>
      <c r="M14" s="14">
        <v>35852992352</v>
      </c>
      <c r="N14" s="14">
        <v>1355624545</v>
      </c>
      <c r="O14" s="14">
        <v>3209343241</v>
      </c>
      <c r="P14" s="14">
        <v>76354621</v>
      </c>
      <c r="Q14" s="14">
        <v>78489213</v>
      </c>
      <c r="R14" s="14">
        <v>56143790</v>
      </c>
      <c r="S14" s="15">
        <v>177016189</v>
      </c>
      <c r="T14" s="15">
        <v>46536189</v>
      </c>
      <c r="U14" s="15">
        <v>38967950</v>
      </c>
      <c r="V14" s="15">
        <f>19278+4125+1890+1000+435+160</f>
        <v>26888</v>
      </c>
      <c r="W14" s="15">
        <f>150000+115249+15799+13240+12127+10532+9306+8612+5738+4710+3471+2837+1432+356+1+146708+8442+24881+8747+9740+9387+5655+10995+9187+11766+6051+7886+20016+12031+8880+7129+6558+1543+12414+5386+4789+3150+4056+6557+10628+1164+3079+1906+1800+1125+7517+10572+2610+30854+15024+7224+23341+6460+1710</f>
        <v>830378</v>
      </c>
      <c r="X14" s="15">
        <v>0</v>
      </c>
      <c r="Z14" s="15">
        <f>27601633+16275624+1288264</f>
        <v>45165521</v>
      </c>
      <c r="AA14" s="15">
        <v>0</v>
      </c>
      <c r="AB14" s="74">
        <f t="shared" si="0"/>
        <v>84990737</v>
      </c>
      <c r="AC14" s="75">
        <f t="shared" si="1"/>
        <v>48.012974112780157</v>
      </c>
      <c r="AD14" s="75">
        <f t="shared" si="2"/>
        <v>58.648181145471675</v>
      </c>
      <c r="AE14" s="119">
        <f t="shared" si="3"/>
        <v>2.3459272458188671</v>
      </c>
      <c r="AF14" s="77">
        <f t="shared" si="4"/>
        <v>29.885682096873083</v>
      </c>
      <c r="AG14" s="77">
        <f t="shared" si="5"/>
        <v>65.136984212139794</v>
      </c>
      <c r="AH14" s="77">
        <f t="shared" si="6"/>
        <v>35.251302115266711</v>
      </c>
      <c r="AI14" s="78">
        <f t="shared" si="7"/>
        <v>60</v>
      </c>
      <c r="AJ14" s="120">
        <f t="shared" si="8"/>
        <v>3</v>
      </c>
      <c r="AK14" s="113">
        <v>6</v>
      </c>
      <c r="AL14" s="113">
        <v>41</v>
      </c>
      <c r="AM14" s="113">
        <v>0</v>
      </c>
      <c r="AN14" s="81">
        <f t="shared" si="9"/>
        <v>47</v>
      </c>
      <c r="AO14" s="82">
        <f t="shared" si="10"/>
        <v>0</v>
      </c>
      <c r="AP14" s="83">
        <f t="shared" si="11"/>
        <v>100</v>
      </c>
      <c r="AQ14" s="121">
        <f t="shared" si="12"/>
        <v>3</v>
      </c>
      <c r="AR14" s="118">
        <v>4</v>
      </c>
      <c r="AS14" s="86">
        <f t="shared" si="13"/>
        <v>0.5</v>
      </c>
      <c r="AT14" s="87">
        <f t="shared" si="14"/>
        <v>3</v>
      </c>
      <c r="AU14" s="87">
        <f t="shared" si="15"/>
        <v>3</v>
      </c>
      <c r="AV14" s="88">
        <f t="shared" si="16"/>
        <v>16.666666666666664</v>
      </c>
      <c r="AW14" s="78">
        <f t="shared" si="17"/>
        <v>60</v>
      </c>
      <c r="AX14" s="122">
        <f t="shared" si="18"/>
        <v>1.2</v>
      </c>
      <c r="AY14" s="114">
        <v>12</v>
      </c>
      <c r="AZ14" s="114">
        <v>48</v>
      </c>
      <c r="BA14" s="91">
        <f t="shared" si="19"/>
        <v>48</v>
      </c>
      <c r="BB14" s="77">
        <f t="shared" si="20"/>
        <v>100</v>
      </c>
      <c r="BC14" s="78">
        <f t="shared" si="21"/>
        <v>100</v>
      </c>
      <c r="BD14" s="120">
        <f t="shared" si="22"/>
        <v>2</v>
      </c>
      <c r="BE14" s="92">
        <f>(5219+1210)*1000</f>
        <v>6429000</v>
      </c>
      <c r="BF14" s="92">
        <v>2249000</v>
      </c>
      <c r="BG14" s="93">
        <v>0</v>
      </c>
      <c r="BH14" s="94">
        <f t="shared" si="23"/>
        <v>8678000</v>
      </c>
      <c r="BI14" s="77">
        <f t="shared" si="24"/>
        <v>0</v>
      </c>
      <c r="BJ14" s="95" t="str">
        <f t="shared" si="25"/>
        <v>금융업</v>
      </c>
      <c r="BK14" s="96">
        <f t="shared" si="26"/>
        <v>2.7106886075318837</v>
      </c>
      <c r="BL14" s="97">
        <f t="shared" si="27"/>
        <v>-2.7106886075318837</v>
      </c>
      <c r="BM14" s="98">
        <f t="shared" si="28"/>
        <v>100</v>
      </c>
      <c r="BN14" s="99">
        <f t="shared" si="29"/>
        <v>2</v>
      </c>
      <c r="BO14" s="114">
        <v>0</v>
      </c>
      <c r="BP14" s="101">
        <f t="shared" si="30"/>
        <v>0</v>
      </c>
      <c r="BQ14" s="78">
        <f t="shared" si="31"/>
        <v>25</v>
      </c>
      <c r="BR14" s="120">
        <f t="shared" si="32"/>
        <v>0.25</v>
      </c>
      <c r="BS14" s="102">
        <v>6652541.8499999996</v>
      </c>
      <c r="BT14" s="102">
        <v>3138429.5649999999</v>
      </c>
      <c r="BU14" s="103">
        <f t="shared" si="33"/>
        <v>3514112.2849999997</v>
      </c>
      <c r="BV14" s="77">
        <f t="shared" si="34"/>
        <v>0.10949630566486358</v>
      </c>
      <c r="BW14" s="96">
        <f t="shared" si="35"/>
        <v>0.39407896396795111</v>
      </c>
      <c r="BX14" s="96">
        <f t="shared" si="36"/>
        <v>8.0987289406851876E-2</v>
      </c>
      <c r="BY14" s="96">
        <f t="shared" si="37"/>
        <v>1.5698937849002932</v>
      </c>
      <c r="BZ14" s="96">
        <f t="shared" si="38"/>
        <v>57.192417658886143</v>
      </c>
      <c r="CA14" s="96">
        <f t="shared" si="39"/>
        <v>55</v>
      </c>
      <c r="CB14" s="104">
        <f t="shared" si="40"/>
        <v>1.1000000000000001</v>
      </c>
      <c r="CC14" s="123" t="s">
        <v>2200</v>
      </c>
      <c r="CD14" s="124" t="s">
        <v>2200</v>
      </c>
      <c r="CE14" s="125"/>
      <c r="CF14" s="126" t="s">
        <v>2201</v>
      </c>
      <c r="CG14" s="126" t="s">
        <v>2201</v>
      </c>
      <c r="CH14" s="127">
        <v>0.26</v>
      </c>
      <c r="CI14" s="128">
        <f t="shared" si="51"/>
        <v>100</v>
      </c>
      <c r="CJ14" s="129">
        <f t="shared" si="41"/>
        <v>4</v>
      </c>
      <c r="CK14" s="116" t="s">
        <v>2190</v>
      </c>
      <c r="CL14" s="116" t="s">
        <v>2191</v>
      </c>
      <c r="CM14" s="111">
        <f t="shared" si="42"/>
        <v>85</v>
      </c>
      <c r="CN14" s="130">
        <f t="shared" si="43"/>
        <v>2.5499999999999998</v>
      </c>
      <c r="CO14" s="114">
        <v>1552000</v>
      </c>
      <c r="CP14" s="88">
        <f t="shared" si="44"/>
        <v>0.11448597664628446</v>
      </c>
      <c r="CQ14" s="78">
        <f t="shared" si="45"/>
        <v>100</v>
      </c>
      <c r="CR14" s="120">
        <f t="shared" si="46"/>
        <v>4</v>
      </c>
      <c r="CS14" s="92">
        <f>_xlfn.XLOOKUP(C14, '[1]1-1. 관계사체무보증금액 (환율 등)'!$3:$3, '[1]1-1. 관계사체무보증금액 (환율 등)'!$33:$33)</f>
        <v>0</v>
      </c>
      <c r="CT14" s="77">
        <f t="shared" si="47"/>
        <v>0</v>
      </c>
      <c r="CU14" s="78">
        <f t="shared" si="48"/>
        <v>100</v>
      </c>
      <c r="CV14" s="131">
        <f t="shared" si="49"/>
        <v>3</v>
      </c>
      <c r="CW14" s="112">
        <f t="shared" si="50"/>
        <v>28.445927245818869</v>
      </c>
    </row>
    <row r="15" spans="1:101" x14ac:dyDescent="0.35">
      <c r="A15" s="7" t="s">
        <v>1340</v>
      </c>
      <c r="B15" s="8" t="s">
        <v>1341</v>
      </c>
      <c r="C15" s="21" t="s">
        <v>1342</v>
      </c>
      <c r="D15" s="25" t="s">
        <v>262</v>
      </c>
      <c r="E15" s="11" t="s">
        <v>263</v>
      </c>
      <c r="F15" s="11" t="s">
        <v>443</v>
      </c>
      <c r="G15" s="12">
        <v>32163</v>
      </c>
      <c r="H15" s="11" t="s">
        <v>24</v>
      </c>
      <c r="I15" s="11" t="s">
        <v>1343</v>
      </c>
      <c r="J15" s="11" t="s">
        <v>1344</v>
      </c>
      <c r="K15" s="11" t="s">
        <v>27</v>
      </c>
      <c r="L15" s="23">
        <v>12900025445</v>
      </c>
      <c r="M15" s="14">
        <v>11393545083</v>
      </c>
      <c r="N15" s="14">
        <v>1506480362</v>
      </c>
      <c r="O15" s="14">
        <v>2449590915</v>
      </c>
      <c r="P15" s="14">
        <v>49619816</v>
      </c>
      <c r="Q15" s="14">
        <v>61425265</v>
      </c>
      <c r="R15" s="14">
        <v>38657881</v>
      </c>
      <c r="S15" s="15">
        <v>199596576</v>
      </c>
      <c r="T15" s="15">
        <v>6916473</v>
      </c>
      <c r="U15" s="15">
        <f>115504369</f>
        <v>115504369</v>
      </c>
      <c r="V15" s="15">
        <v>0</v>
      </c>
      <c r="W15" s="15">
        <f>79354+23745+31648+18824+6453+14906+14860+18813+2901+907+20220+14913+1212+20050+4886+210+1000+3595</f>
        <v>278497</v>
      </c>
      <c r="X15" s="15">
        <v>0</v>
      </c>
      <c r="Z15" s="15">
        <v>0</v>
      </c>
      <c r="AA15" s="15">
        <v>0</v>
      </c>
      <c r="AB15" s="74">
        <f t="shared" si="0"/>
        <v>115782866</v>
      </c>
      <c r="AC15" s="75">
        <f t="shared" si="1"/>
        <v>58.008442990525047</v>
      </c>
      <c r="AD15" s="75">
        <f t="shared" si="2"/>
        <v>50.021481883896683</v>
      </c>
      <c r="AE15" s="119">
        <f t="shared" si="3"/>
        <v>2.0008592753558672</v>
      </c>
      <c r="AF15" s="77">
        <f t="shared" si="4"/>
        <v>59.946183960676002</v>
      </c>
      <c r="AG15" s="77">
        <f t="shared" si="5"/>
        <v>60.090722496655502</v>
      </c>
      <c r="AH15" s="77">
        <f t="shared" si="6"/>
        <v>0.14453853597949973</v>
      </c>
      <c r="AI15" s="78">
        <f t="shared" si="7"/>
        <v>100</v>
      </c>
      <c r="AJ15" s="120">
        <f t="shared" si="8"/>
        <v>5</v>
      </c>
      <c r="AK15" s="113">
        <v>5</v>
      </c>
      <c r="AL15" s="113">
        <v>33</v>
      </c>
      <c r="AM15" s="113">
        <v>0</v>
      </c>
      <c r="AN15" s="81">
        <f t="shared" si="9"/>
        <v>38</v>
      </c>
      <c r="AO15" s="82">
        <f t="shared" si="10"/>
        <v>0</v>
      </c>
      <c r="AP15" s="83">
        <f t="shared" si="11"/>
        <v>100</v>
      </c>
      <c r="AQ15" s="121">
        <f t="shared" si="12"/>
        <v>3</v>
      </c>
      <c r="AR15" s="118">
        <v>3</v>
      </c>
      <c r="AS15" s="86">
        <f t="shared" si="13"/>
        <v>0.5</v>
      </c>
      <c r="AT15" s="87">
        <f t="shared" si="14"/>
        <v>2.5</v>
      </c>
      <c r="AU15" s="87">
        <f t="shared" si="15"/>
        <v>2</v>
      </c>
      <c r="AV15" s="88">
        <f t="shared" si="16"/>
        <v>20</v>
      </c>
      <c r="AW15" s="78">
        <f t="shared" si="17"/>
        <v>80</v>
      </c>
      <c r="AX15" s="122">
        <f t="shared" si="18"/>
        <v>1.6</v>
      </c>
      <c r="AY15" s="114">
        <v>35</v>
      </c>
      <c r="AZ15" s="114">
        <f>35*3-8</f>
        <v>97</v>
      </c>
      <c r="BA15" s="91">
        <f t="shared" si="19"/>
        <v>105</v>
      </c>
      <c r="BB15" s="77">
        <f t="shared" si="20"/>
        <v>92.38095238095238</v>
      </c>
      <c r="BC15" s="78">
        <f t="shared" si="21"/>
        <v>100</v>
      </c>
      <c r="BD15" s="120">
        <f t="shared" si="22"/>
        <v>2</v>
      </c>
      <c r="BE15" s="92">
        <v>169311985</v>
      </c>
      <c r="BF15" s="92">
        <v>17707665</v>
      </c>
      <c r="BG15" s="114">
        <v>5023210</v>
      </c>
      <c r="BH15" s="94">
        <f t="shared" si="23"/>
        <v>187019650</v>
      </c>
      <c r="BI15" s="77">
        <f t="shared" si="24"/>
        <v>2.6859263184376614</v>
      </c>
      <c r="BJ15" s="95" t="str">
        <f t="shared" si="25"/>
        <v>금융업</v>
      </c>
      <c r="BK15" s="96">
        <f t="shared" si="26"/>
        <v>2.7106886075318837</v>
      </c>
      <c r="BL15" s="97">
        <f t="shared" si="27"/>
        <v>-2.476228909422229E-2</v>
      </c>
      <c r="BM15" s="98">
        <f t="shared" si="28"/>
        <v>80</v>
      </c>
      <c r="BN15" s="99">
        <f t="shared" si="29"/>
        <v>1.6</v>
      </c>
      <c r="BO15" s="114">
        <v>0</v>
      </c>
      <c r="BP15" s="101">
        <f t="shared" si="30"/>
        <v>0</v>
      </c>
      <c r="BQ15" s="78">
        <f t="shared" si="31"/>
        <v>25</v>
      </c>
      <c r="BR15" s="120">
        <f t="shared" si="32"/>
        <v>0.25</v>
      </c>
      <c r="BS15" s="102">
        <v>7494597</v>
      </c>
      <c r="BT15" s="102">
        <v>11331859</v>
      </c>
      <c r="BU15" s="103">
        <f t="shared" si="33"/>
        <v>-3837262</v>
      </c>
      <c r="BV15" s="77">
        <f t="shared" si="34"/>
        <v>-0.15664909501838187</v>
      </c>
      <c r="BW15" s="96">
        <f t="shared" si="35"/>
        <v>0.39407896396795111</v>
      </c>
      <c r="BX15" s="96">
        <f t="shared" si="36"/>
        <v>0.30330139495485392</v>
      </c>
      <c r="BY15" s="96">
        <f t="shared" si="37"/>
        <v>1.5698937849002932</v>
      </c>
      <c r="BZ15" s="96">
        <f t="shared" si="38"/>
        <v>63.713302828276142</v>
      </c>
      <c r="CA15" s="96">
        <f t="shared" si="39"/>
        <v>40</v>
      </c>
      <c r="CB15" s="104">
        <f t="shared" si="40"/>
        <v>0.8</v>
      </c>
      <c r="CC15" s="123" t="s">
        <v>2200</v>
      </c>
      <c r="CD15" s="124" t="s">
        <v>2200</v>
      </c>
      <c r="CE15" s="125"/>
      <c r="CF15" s="126" t="s">
        <v>2201</v>
      </c>
      <c r="CG15" s="127">
        <v>2.04</v>
      </c>
      <c r="CH15" s="126" t="s">
        <v>2201</v>
      </c>
      <c r="CI15" s="128">
        <f>IF((100-(75*(CG15-1)/9))&gt;100,100,IF((100-(75*(CG15-1)/9))&lt;25,25,(100-(75*(CG15-1)/9))))</f>
        <v>91.333333333333329</v>
      </c>
      <c r="CJ15" s="129">
        <f t="shared" si="41"/>
        <v>3.6533333333333333</v>
      </c>
      <c r="CK15" s="116" t="s">
        <v>2203</v>
      </c>
      <c r="CL15" s="116" t="s">
        <v>2204</v>
      </c>
      <c r="CM15" s="111">
        <f t="shared" si="42"/>
        <v>70</v>
      </c>
      <c r="CN15" s="130">
        <f t="shared" si="43"/>
        <v>2.1</v>
      </c>
      <c r="CO15" s="114">
        <v>73552000</v>
      </c>
      <c r="CP15" s="88">
        <f t="shared" si="44"/>
        <v>4.8823736342870427</v>
      </c>
      <c r="CQ15" s="78">
        <f t="shared" si="45"/>
        <v>80</v>
      </c>
      <c r="CR15" s="120">
        <f t="shared" si="46"/>
        <v>3.2</v>
      </c>
      <c r="CS15" s="92">
        <f>_xlfn.XLOOKUP(C15, '[1]1-1. 관계사체무보증금액 (환율 등)'!$3:$3, '[1]1-1. 관계사체무보증금액 (환율 등)'!$33:$33)</f>
        <v>0</v>
      </c>
      <c r="CT15" s="77">
        <f t="shared" si="47"/>
        <v>0</v>
      </c>
      <c r="CU15" s="78">
        <f t="shared" si="48"/>
        <v>100</v>
      </c>
      <c r="CV15" s="131">
        <f t="shared" si="49"/>
        <v>3</v>
      </c>
      <c r="CW15" s="112">
        <f t="shared" si="50"/>
        <v>28.204192608689201</v>
      </c>
    </row>
    <row r="16" spans="1:101" x14ac:dyDescent="0.35">
      <c r="A16" s="7" t="s">
        <v>1893</v>
      </c>
      <c r="B16" s="8" t="s">
        <v>1894</v>
      </c>
      <c r="C16" s="21" t="s">
        <v>1895</v>
      </c>
      <c r="D16" s="29" t="s">
        <v>67</v>
      </c>
      <c r="E16" s="11" t="s">
        <v>68</v>
      </c>
      <c r="F16" s="11" t="s">
        <v>689</v>
      </c>
      <c r="G16" s="12">
        <v>40254</v>
      </c>
      <c r="H16" s="11" t="s">
        <v>24</v>
      </c>
      <c r="I16" s="11" t="s">
        <v>1896</v>
      </c>
      <c r="J16" s="11" t="s">
        <v>1897</v>
      </c>
      <c r="K16" s="11" t="s">
        <v>27</v>
      </c>
      <c r="L16" s="23">
        <v>126780143235</v>
      </c>
      <c r="M16" s="14">
        <v>120464648467</v>
      </c>
      <c r="N16" s="14">
        <v>6315494768</v>
      </c>
      <c r="O16" s="14">
        <v>21180061711</v>
      </c>
      <c r="P16" s="14">
        <v>31900539</v>
      </c>
      <c r="Q16" s="14">
        <v>432611603</v>
      </c>
      <c r="R16" s="14">
        <v>354341909</v>
      </c>
      <c r="S16" s="15">
        <v>868530000</v>
      </c>
      <c r="T16" s="15">
        <v>117139750</v>
      </c>
      <c r="U16" s="15">
        <v>375519118</v>
      </c>
      <c r="V16" s="15">
        <v>300000</v>
      </c>
      <c r="W16" s="15">
        <f>158650+70000+50637+67170+8000+38899+40000+24450+4200+42405+42131+26135+27055+13749+36510+64000+30500+15505+15100+5741+45500+2310+7520+16000+8000+32000+10000+15000+9500+5600+8753+7000+3219+5145+63643+12000</f>
        <v>1032027</v>
      </c>
      <c r="X16" s="15">
        <v>0</v>
      </c>
      <c r="Z16" s="15">
        <f>15204166</f>
        <v>15204166</v>
      </c>
      <c r="AA16" s="15">
        <v>0</v>
      </c>
      <c r="AB16" s="74">
        <f t="shared" si="0"/>
        <v>392055311</v>
      </c>
      <c r="AC16" s="75">
        <f t="shared" si="1"/>
        <v>45.140100054114427</v>
      </c>
      <c r="AD16" s="75">
        <f t="shared" si="2"/>
        <v>61.127646673664188</v>
      </c>
      <c r="AE16" s="119">
        <f t="shared" si="3"/>
        <v>2.4451058669465677</v>
      </c>
      <c r="AF16" s="77">
        <f t="shared" si="4"/>
        <v>50.016501811142746</v>
      </c>
      <c r="AG16" s="77">
        <f t="shared" si="5"/>
        <v>52.177322103926691</v>
      </c>
      <c r="AH16" s="77">
        <f t="shared" si="6"/>
        <v>2.1608202927839457</v>
      </c>
      <c r="AI16" s="78">
        <f t="shared" si="7"/>
        <v>100</v>
      </c>
      <c r="AJ16" s="120">
        <f t="shared" si="8"/>
        <v>5</v>
      </c>
      <c r="AK16" s="113">
        <v>6</v>
      </c>
      <c r="AL16" s="113">
        <v>48</v>
      </c>
      <c r="AM16" s="113">
        <v>0</v>
      </c>
      <c r="AN16" s="81">
        <f t="shared" si="9"/>
        <v>54</v>
      </c>
      <c r="AO16" s="82">
        <f t="shared" si="10"/>
        <v>0</v>
      </c>
      <c r="AP16" s="83">
        <f t="shared" si="11"/>
        <v>100</v>
      </c>
      <c r="AQ16" s="121">
        <f t="shared" si="12"/>
        <v>3</v>
      </c>
      <c r="AR16" s="118">
        <v>4</v>
      </c>
      <c r="AS16" s="86">
        <f t="shared" si="13"/>
        <v>0.5</v>
      </c>
      <c r="AT16" s="87">
        <f t="shared" si="14"/>
        <v>3</v>
      </c>
      <c r="AU16" s="87">
        <f t="shared" si="15"/>
        <v>3</v>
      </c>
      <c r="AV16" s="88">
        <f t="shared" si="16"/>
        <v>16.666666666666664</v>
      </c>
      <c r="AW16" s="78">
        <f t="shared" si="17"/>
        <v>60</v>
      </c>
      <c r="AX16" s="122">
        <f t="shared" si="18"/>
        <v>1.2</v>
      </c>
      <c r="AY16" s="114">
        <v>12</v>
      </c>
      <c r="AZ16" s="114">
        <f>12*4-1</f>
        <v>47</v>
      </c>
      <c r="BA16" s="91">
        <f t="shared" si="19"/>
        <v>48</v>
      </c>
      <c r="BB16" s="77">
        <f t="shared" si="20"/>
        <v>97.916666666666657</v>
      </c>
      <c r="BC16" s="78">
        <f t="shared" si="21"/>
        <v>100</v>
      </c>
      <c r="BD16" s="120">
        <f t="shared" si="22"/>
        <v>2</v>
      </c>
      <c r="BE16" s="92">
        <v>13296000</v>
      </c>
      <c r="BF16" s="92">
        <v>4958000</v>
      </c>
      <c r="BG16" s="93">
        <v>0</v>
      </c>
      <c r="BH16" s="94">
        <f t="shared" si="23"/>
        <v>18254000</v>
      </c>
      <c r="BI16" s="77">
        <f t="shared" si="24"/>
        <v>0</v>
      </c>
      <c r="BJ16" s="95" t="str">
        <f t="shared" si="25"/>
        <v>금융업</v>
      </c>
      <c r="BK16" s="96">
        <f t="shared" si="26"/>
        <v>2.7106886075318837</v>
      </c>
      <c r="BL16" s="97">
        <f t="shared" si="27"/>
        <v>-2.7106886075318837</v>
      </c>
      <c r="BM16" s="98">
        <f t="shared" si="28"/>
        <v>100</v>
      </c>
      <c r="BN16" s="99">
        <f t="shared" si="29"/>
        <v>2</v>
      </c>
      <c r="BO16" s="114">
        <v>0</v>
      </c>
      <c r="BP16" s="101">
        <f t="shared" si="30"/>
        <v>0</v>
      </c>
      <c r="BQ16" s="78">
        <f t="shared" si="31"/>
        <v>25</v>
      </c>
      <c r="BR16" s="120">
        <f t="shared" si="32"/>
        <v>0.25</v>
      </c>
      <c r="BS16" s="102">
        <v>99678000</v>
      </c>
      <c r="BT16" s="102">
        <v>190929000</v>
      </c>
      <c r="BU16" s="103">
        <f t="shared" si="33"/>
        <v>-91251000</v>
      </c>
      <c r="BV16" s="77">
        <f t="shared" si="34"/>
        <v>-0.43083443875240557</v>
      </c>
      <c r="BW16" s="96">
        <f t="shared" si="35"/>
        <v>0.39407896396795111</v>
      </c>
      <c r="BX16" s="96">
        <f t="shared" si="36"/>
        <v>0.68048212198767732</v>
      </c>
      <c r="BY16" s="96">
        <f t="shared" si="37"/>
        <v>1.5698937849002932</v>
      </c>
      <c r="BZ16" s="96">
        <f t="shared" si="38"/>
        <v>70.036761267670997</v>
      </c>
      <c r="CA16" s="96">
        <f t="shared" si="39"/>
        <v>40</v>
      </c>
      <c r="CB16" s="104">
        <f t="shared" si="40"/>
        <v>0.8</v>
      </c>
      <c r="CC16" s="123" t="s">
        <v>2200</v>
      </c>
      <c r="CD16" s="124" t="s">
        <v>2200</v>
      </c>
      <c r="CE16" s="125"/>
      <c r="CF16" s="126" t="s">
        <v>2201</v>
      </c>
      <c r="CG16" s="126" t="s">
        <v>2201</v>
      </c>
      <c r="CH16" s="127">
        <v>0.17</v>
      </c>
      <c r="CI16" s="128">
        <f>IF((100-(75*(CH16-10)/40))&gt;100, 100, IF((100-(75*(CH16-10)/40))&lt;25, 25, (100-(75*(CH16-10)/40))))</f>
        <v>100</v>
      </c>
      <c r="CJ16" s="129">
        <f t="shared" si="41"/>
        <v>4</v>
      </c>
      <c r="CK16" s="116" t="s">
        <v>2241</v>
      </c>
      <c r="CL16" s="116" t="s">
        <v>2204</v>
      </c>
      <c r="CM16" s="111">
        <f t="shared" si="42"/>
        <v>70</v>
      </c>
      <c r="CN16" s="130">
        <f t="shared" si="43"/>
        <v>2.1</v>
      </c>
      <c r="CO16" s="114">
        <v>662934000</v>
      </c>
      <c r="CP16" s="88">
        <f t="shared" si="44"/>
        <v>10.496944805639336</v>
      </c>
      <c r="CQ16" s="78">
        <f t="shared" si="45"/>
        <v>60</v>
      </c>
      <c r="CR16" s="120">
        <f t="shared" si="46"/>
        <v>2.4</v>
      </c>
      <c r="CS16" s="92">
        <f>_xlfn.XLOOKUP(C16, '[1]1-1. 관계사체무보증금액 (환율 등)'!$3:$3, '[1]1-1. 관계사체무보증금액 (환율 등)'!$33:$33)</f>
        <v>0</v>
      </c>
      <c r="CT16" s="77">
        <f t="shared" si="47"/>
        <v>0</v>
      </c>
      <c r="CU16" s="78">
        <f t="shared" si="48"/>
        <v>100</v>
      </c>
      <c r="CV16" s="131">
        <f t="shared" si="49"/>
        <v>3</v>
      </c>
      <c r="CW16" s="112">
        <f t="shared" si="50"/>
        <v>28.195105866946566</v>
      </c>
    </row>
    <row r="17" spans="1:101" x14ac:dyDescent="0.35">
      <c r="A17" s="7" t="s">
        <v>1958</v>
      </c>
      <c r="B17" s="8" t="s">
        <v>1959</v>
      </c>
      <c r="C17" s="21" t="s">
        <v>1960</v>
      </c>
      <c r="D17" s="25" t="s">
        <v>262</v>
      </c>
      <c r="E17" s="11" t="s">
        <v>263</v>
      </c>
      <c r="F17" s="11" t="s">
        <v>1961</v>
      </c>
      <c r="G17" s="12">
        <v>33033</v>
      </c>
      <c r="H17" s="11" t="s">
        <v>24</v>
      </c>
      <c r="I17" s="11" t="s">
        <v>1962</v>
      </c>
      <c r="J17" s="11" t="s">
        <v>1963</v>
      </c>
      <c r="K17" s="11" t="s">
        <v>27</v>
      </c>
      <c r="L17" s="23">
        <v>9431771000</v>
      </c>
      <c r="M17" s="14">
        <v>8215533000</v>
      </c>
      <c r="N17" s="14">
        <v>1216238000</v>
      </c>
      <c r="O17" s="14">
        <v>1147815000</v>
      </c>
      <c r="P17" s="14">
        <v>107043000</v>
      </c>
      <c r="Q17" s="14">
        <v>107816000</v>
      </c>
      <c r="R17" s="14">
        <v>80172000</v>
      </c>
      <c r="S17" s="15">
        <v>31712562</v>
      </c>
      <c r="T17" s="15">
        <v>0</v>
      </c>
      <c r="U17" s="15">
        <v>8065595</v>
      </c>
      <c r="V17" s="15">
        <v>0</v>
      </c>
      <c r="W17" s="15">
        <f>5900+1000+6000+8800+400+500+1500+350+4100+898+1000+4000+1000+1150+1000</f>
        <v>37598</v>
      </c>
      <c r="X17" s="15">
        <v>0</v>
      </c>
      <c r="Z17" s="15">
        <f>4983200+1438449</f>
        <v>6421649</v>
      </c>
      <c r="AA17" s="15">
        <v>0</v>
      </c>
      <c r="AB17" s="74">
        <f t="shared" si="0"/>
        <v>14524842</v>
      </c>
      <c r="AC17" s="75">
        <f t="shared" si="1"/>
        <v>45.801540726983838</v>
      </c>
      <c r="AD17" s="75">
        <f t="shared" si="2"/>
        <v>60.556783031947212</v>
      </c>
      <c r="AE17" s="119">
        <f t="shared" si="3"/>
        <v>2.4222713212778886</v>
      </c>
      <c r="AF17" s="77">
        <f t="shared" si="4"/>
        <v>25.433438648066343</v>
      </c>
      <c r="AG17" s="77">
        <f t="shared" si="5"/>
        <v>45.801540726983838</v>
      </c>
      <c r="AH17" s="77">
        <f t="shared" si="6"/>
        <v>20.368102078917495</v>
      </c>
      <c r="AI17" s="78">
        <f t="shared" si="7"/>
        <v>80</v>
      </c>
      <c r="AJ17" s="120">
        <f t="shared" si="8"/>
        <v>4</v>
      </c>
      <c r="AK17" s="113">
        <v>5</v>
      </c>
      <c r="AL17" s="113">
        <v>31</v>
      </c>
      <c r="AM17" s="113">
        <v>0</v>
      </c>
      <c r="AN17" s="81">
        <f t="shared" si="9"/>
        <v>36</v>
      </c>
      <c r="AO17" s="82">
        <f t="shared" si="10"/>
        <v>0</v>
      </c>
      <c r="AP17" s="83">
        <f t="shared" si="11"/>
        <v>100</v>
      </c>
      <c r="AQ17" s="121">
        <f t="shared" si="12"/>
        <v>3</v>
      </c>
      <c r="AR17" s="118">
        <v>3</v>
      </c>
      <c r="AS17" s="86">
        <f t="shared" si="13"/>
        <v>0.5</v>
      </c>
      <c r="AT17" s="87">
        <f t="shared" si="14"/>
        <v>2.5</v>
      </c>
      <c r="AU17" s="87">
        <f t="shared" si="15"/>
        <v>2</v>
      </c>
      <c r="AV17" s="88">
        <f t="shared" si="16"/>
        <v>20</v>
      </c>
      <c r="AW17" s="78">
        <f t="shared" si="17"/>
        <v>80</v>
      </c>
      <c r="AX17" s="122">
        <f t="shared" si="18"/>
        <v>1.6</v>
      </c>
      <c r="AY17" s="114">
        <v>8</v>
      </c>
      <c r="AZ17" s="114">
        <v>24</v>
      </c>
      <c r="BA17" s="91">
        <f t="shared" si="19"/>
        <v>24</v>
      </c>
      <c r="BB17" s="77">
        <f t="shared" si="20"/>
        <v>100</v>
      </c>
      <c r="BC17" s="78">
        <f t="shared" si="21"/>
        <v>100</v>
      </c>
      <c r="BD17" s="120">
        <f t="shared" si="22"/>
        <v>2</v>
      </c>
      <c r="BE17" s="92">
        <f>(129541+228)*1000</f>
        <v>129769000</v>
      </c>
      <c r="BF17" s="92">
        <v>6614000</v>
      </c>
      <c r="BG17" s="114">
        <v>4537000</v>
      </c>
      <c r="BH17" s="94">
        <f t="shared" si="23"/>
        <v>136383000</v>
      </c>
      <c r="BI17" s="77">
        <f t="shared" si="24"/>
        <v>3.3266609474787914</v>
      </c>
      <c r="BJ17" s="95" t="str">
        <f t="shared" si="25"/>
        <v>금융업</v>
      </c>
      <c r="BK17" s="96">
        <f t="shared" si="26"/>
        <v>2.7106886075318837</v>
      </c>
      <c r="BL17" s="97">
        <f t="shared" si="27"/>
        <v>0.6159723399469077</v>
      </c>
      <c r="BM17" s="98">
        <f t="shared" si="28"/>
        <v>60</v>
      </c>
      <c r="BN17" s="99">
        <f t="shared" si="29"/>
        <v>1.2</v>
      </c>
      <c r="BO17" s="114">
        <v>0</v>
      </c>
      <c r="BP17" s="101">
        <f t="shared" si="30"/>
        <v>0</v>
      </c>
      <c r="BQ17" s="78">
        <f t="shared" si="31"/>
        <v>25</v>
      </c>
      <c r="BR17" s="120">
        <f t="shared" si="32"/>
        <v>0.25</v>
      </c>
      <c r="BS17" s="102">
        <v>25310000</v>
      </c>
      <c r="BT17" s="102">
        <v>99000</v>
      </c>
      <c r="BU17" s="103">
        <f t="shared" si="33"/>
        <v>25211000</v>
      </c>
      <c r="BV17" s="77">
        <f t="shared" si="34"/>
        <v>2.1964340943444722</v>
      </c>
      <c r="BW17" s="96">
        <f t="shared" si="35"/>
        <v>0.39407896396795111</v>
      </c>
      <c r="BX17" s="96">
        <f t="shared" si="36"/>
        <v>3.248484015994566</v>
      </c>
      <c r="BY17" s="96">
        <f t="shared" si="37"/>
        <v>1.5698937849002932</v>
      </c>
      <c r="BZ17" s="96">
        <f t="shared" si="38"/>
        <v>12.546889079672162</v>
      </c>
      <c r="CA17" s="96">
        <f t="shared" si="39"/>
        <v>85</v>
      </c>
      <c r="CB17" s="104">
        <f t="shared" si="40"/>
        <v>1.7</v>
      </c>
      <c r="CC17" s="123" t="s">
        <v>2200</v>
      </c>
      <c r="CD17" s="124" t="s">
        <v>2200</v>
      </c>
      <c r="CE17" s="125"/>
      <c r="CF17" s="126" t="s">
        <v>2201</v>
      </c>
      <c r="CG17" s="127">
        <v>5.0199999999999996</v>
      </c>
      <c r="CH17" s="126" t="s">
        <v>2201</v>
      </c>
      <c r="CI17" s="128">
        <f t="shared" ref="CI17:CI22" si="52">IF((100-(75*(CG17-1)/9))&gt;100,100,IF((100-(75*(CG17-1)/9))&lt;25,25,(100-(75*(CG17-1)/9))))</f>
        <v>66.5</v>
      </c>
      <c r="CJ17" s="129">
        <f t="shared" si="41"/>
        <v>2.66</v>
      </c>
      <c r="CK17" s="116" t="s">
        <v>2207</v>
      </c>
      <c r="CL17" s="116" t="s">
        <v>2204</v>
      </c>
      <c r="CM17" s="111">
        <f t="shared" si="42"/>
        <v>70</v>
      </c>
      <c r="CN17" s="130">
        <f t="shared" si="43"/>
        <v>2.1</v>
      </c>
      <c r="CO17" s="114">
        <v>0</v>
      </c>
      <c r="CP17" s="88">
        <f t="shared" si="44"/>
        <v>0</v>
      </c>
      <c r="CQ17" s="78">
        <f t="shared" si="45"/>
        <v>100</v>
      </c>
      <c r="CR17" s="120">
        <f t="shared" si="46"/>
        <v>4</v>
      </c>
      <c r="CS17" s="92">
        <f>_xlfn.XLOOKUP(C17, '[1]1-1. 관계사체무보증금액 (환율 등)'!$3:$3, '[1]1-1. 관계사체무보증금액 (환율 등)'!$33:$33)</f>
        <v>0</v>
      </c>
      <c r="CT17" s="77">
        <f t="shared" si="47"/>
        <v>0</v>
      </c>
      <c r="CU17" s="78">
        <f t="shared" si="48"/>
        <v>100</v>
      </c>
      <c r="CV17" s="131">
        <f t="shared" si="49"/>
        <v>3</v>
      </c>
      <c r="CW17" s="112">
        <f t="shared" si="50"/>
        <v>27.932271321277888</v>
      </c>
    </row>
    <row r="18" spans="1:101" x14ac:dyDescent="0.35">
      <c r="A18" s="7" t="s">
        <v>1165</v>
      </c>
      <c r="B18" s="8" t="s">
        <v>1166</v>
      </c>
      <c r="C18" s="21" t="s">
        <v>1167</v>
      </c>
      <c r="D18" s="25" t="s">
        <v>262</v>
      </c>
      <c r="E18" s="11" t="s">
        <v>263</v>
      </c>
      <c r="F18" s="11" t="s">
        <v>1168</v>
      </c>
      <c r="G18" s="12">
        <v>32013</v>
      </c>
      <c r="H18" s="11" t="s">
        <v>483</v>
      </c>
      <c r="I18" s="11" t="s">
        <v>1169</v>
      </c>
      <c r="J18" s="11" t="s">
        <v>1170</v>
      </c>
      <c r="K18" s="11" t="s">
        <v>27</v>
      </c>
      <c r="L18" s="23">
        <v>10400472991</v>
      </c>
      <c r="M18" s="14">
        <v>9031560866</v>
      </c>
      <c r="N18" s="14">
        <v>1368912125</v>
      </c>
      <c r="O18" s="14">
        <v>2043938653</v>
      </c>
      <c r="P18" s="14">
        <v>111260253</v>
      </c>
      <c r="Q18" s="14">
        <v>121787342</v>
      </c>
      <c r="R18" s="14">
        <v>93015535</v>
      </c>
      <c r="S18" s="15">
        <v>9386237</v>
      </c>
      <c r="T18" s="15">
        <v>3397836</v>
      </c>
      <c r="U18" s="15">
        <f>1523340</f>
        <v>1523340</v>
      </c>
      <c r="V18" s="15">
        <f>68950+971105+16509+1703+763+764+1766+1440+940+2310+127</f>
        <v>1066377</v>
      </c>
      <c r="W18" s="15">
        <f>19127+288+500+2000+293+284+1000</f>
        <v>23492</v>
      </c>
      <c r="X18" s="15">
        <v>0</v>
      </c>
      <c r="Z18" s="15">
        <v>0</v>
      </c>
      <c r="AA18" s="15">
        <v>0</v>
      </c>
      <c r="AB18" s="74">
        <f t="shared" si="0"/>
        <v>2613209</v>
      </c>
      <c r="AC18" s="75">
        <f t="shared" si="1"/>
        <v>27.84085890863399</v>
      </c>
      <c r="AD18" s="75">
        <f t="shared" si="2"/>
        <v>76.057946856760083</v>
      </c>
      <c r="AE18" s="119">
        <f t="shared" si="3"/>
        <v>3.0423178742704033</v>
      </c>
      <c r="AF18" s="77">
        <f t="shared" si="4"/>
        <v>43.245550857399159</v>
      </c>
      <c r="AG18" s="77">
        <f t="shared" si="5"/>
        <v>43.637842555967779</v>
      </c>
      <c r="AH18" s="77">
        <f t="shared" si="6"/>
        <v>0.39229169856862001</v>
      </c>
      <c r="AI18" s="78">
        <f t="shared" si="7"/>
        <v>100</v>
      </c>
      <c r="AJ18" s="120">
        <f t="shared" si="8"/>
        <v>5</v>
      </c>
      <c r="AK18" s="113">
        <v>5</v>
      </c>
      <c r="AL18" s="113">
        <v>32</v>
      </c>
      <c r="AM18" s="113">
        <v>1</v>
      </c>
      <c r="AN18" s="81">
        <f t="shared" si="9"/>
        <v>37</v>
      </c>
      <c r="AO18" s="82">
        <f t="shared" si="10"/>
        <v>2.7027027027027026</v>
      </c>
      <c r="AP18" s="83">
        <f t="shared" si="11"/>
        <v>100</v>
      </c>
      <c r="AQ18" s="121">
        <f t="shared" si="12"/>
        <v>3</v>
      </c>
      <c r="AR18" s="118">
        <v>3</v>
      </c>
      <c r="AS18" s="86">
        <f t="shared" si="13"/>
        <v>0.5</v>
      </c>
      <c r="AT18" s="87">
        <f t="shared" si="14"/>
        <v>2.5</v>
      </c>
      <c r="AU18" s="87">
        <f t="shared" si="15"/>
        <v>2</v>
      </c>
      <c r="AV18" s="88">
        <f t="shared" si="16"/>
        <v>20</v>
      </c>
      <c r="AW18" s="78">
        <f t="shared" si="17"/>
        <v>80</v>
      </c>
      <c r="AX18" s="122">
        <f t="shared" si="18"/>
        <v>1.6</v>
      </c>
      <c r="AY18" s="114">
        <v>8</v>
      </c>
      <c r="AZ18" s="114">
        <f>24-4</f>
        <v>20</v>
      </c>
      <c r="BA18" s="91">
        <f t="shared" si="19"/>
        <v>24</v>
      </c>
      <c r="BB18" s="77">
        <f t="shared" si="20"/>
        <v>83.333333333333343</v>
      </c>
      <c r="BC18" s="78">
        <f t="shared" si="21"/>
        <v>75</v>
      </c>
      <c r="BD18" s="120">
        <f t="shared" si="22"/>
        <v>1.5</v>
      </c>
      <c r="BE18" s="92">
        <v>76952062</v>
      </c>
      <c r="BF18" s="92">
        <v>4773241</v>
      </c>
      <c r="BG18" s="114">
        <v>2907074</v>
      </c>
      <c r="BH18" s="94">
        <f t="shared" si="23"/>
        <v>81725303</v>
      </c>
      <c r="BI18" s="77">
        <f t="shared" si="24"/>
        <v>3.5571284452747767</v>
      </c>
      <c r="BJ18" s="95" t="str">
        <f t="shared" si="25"/>
        <v>금융업</v>
      </c>
      <c r="BK18" s="96">
        <f t="shared" si="26"/>
        <v>2.7106886075318837</v>
      </c>
      <c r="BL18" s="97">
        <f t="shared" si="27"/>
        <v>0.846439837742893</v>
      </c>
      <c r="BM18" s="98">
        <f t="shared" si="28"/>
        <v>60</v>
      </c>
      <c r="BN18" s="99">
        <f t="shared" si="29"/>
        <v>1.2</v>
      </c>
      <c r="BO18" s="114">
        <v>0</v>
      </c>
      <c r="BP18" s="101">
        <f t="shared" si="30"/>
        <v>0</v>
      </c>
      <c r="BQ18" s="78">
        <f t="shared" si="31"/>
        <v>25</v>
      </c>
      <c r="BR18" s="120">
        <f t="shared" si="32"/>
        <v>0.25</v>
      </c>
      <c r="BS18" s="102">
        <v>1098489.1200000001</v>
      </c>
      <c r="BT18" s="102">
        <v>22727.273000000001</v>
      </c>
      <c r="BU18" s="103">
        <f t="shared" si="33"/>
        <v>1075761.8470000001</v>
      </c>
      <c r="BV18" s="77">
        <f t="shared" si="34"/>
        <v>5.2631806997780771E-2</v>
      </c>
      <c r="BW18" s="96">
        <f t="shared" si="35"/>
        <v>0.39407896396795111</v>
      </c>
      <c r="BX18" s="96">
        <f t="shared" si="36"/>
        <v>0.11658616100301215</v>
      </c>
      <c r="BY18" s="96">
        <f t="shared" si="37"/>
        <v>1.5698937849002932</v>
      </c>
      <c r="BZ18" s="96">
        <f t="shared" si="38"/>
        <v>58.608946981710872</v>
      </c>
      <c r="CA18" s="96">
        <f t="shared" si="39"/>
        <v>55</v>
      </c>
      <c r="CB18" s="104">
        <f t="shared" si="40"/>
        <v>1.1000000000000001</v>
      </c>
      <c r="CC18" s="123" t="s">
        <v>2200</v>
      </c>
      <c r="CD18" s="124" t="s">
        <v>2200</v>
      </c>
      <c r="CE18" s="125"/>
      <c r="CF18" s="126" t="s">
        <v>2201</v>
      </c>
      <c r="CG18" s="127">
        <v>4.2</v>
      </c>
      <c r="CH18" s="126" t="s">
        <v>2201</v>
      </c>
      <c r="CI18" s="128">
        <f t="shared" si="52"/>
        <v>73.333333333333329</v>
      </c>
      <c r="CJ18" s="129">
        <f t="shared" si="41"/>
        <v>2.9333333333333331</v>
      </c>
      <c r="CK18" s="116" t="s">
        <v>2203</v>
      </c>
      <c r="CL18" s="116" t="s">
        <v>2204</v>
      </c>
      <c r="CM18" s="111">
        <f t="shared" si="42"/>
        <v>70</v>
      </c>
      <c r="CN18" s="130">
        <f t="shared" si="43"/>
        <v>2.1</v>
      </c>
      <c r="CO18" s="114">
        <v>124692000</v>
      </c>
      <c r="CP18" s="88">
        <f t="shared" si="44"/>
        <v>9.1088388891288403</v>
      </c>
      <c r="CQ18" s="78">
        <f t="shared" si="45"/>
        <v>80</v>
      </c>
      <c r="CR18" s="120">
        <f t="shared" si="46"/>
        <v>3.2</v>
      </c>
      <c r="CS18" s="92">
        <f>_xlfn.XLOOKUP(C18, '[1]1-1. 관계사체무보증금액 (환율 등)'!$3:$3, '[1]1-1. 관계사체무보증금액 (환율 등)'!$33:$33)</f>
        <v>0</v>
      </c>
      <c r="CT18" s="77">
        <f t="shared" si="47"/>
        <v>0</v>
      </c>
      <c r="CU18" s="78">
        <f t="shared" si="48"/>
        <v>100</v>
      </c>
      <c r="CV18" s="131">
        <f t="shared" si="49"/>
        <v>3</v>
      </c>
      <c r="CW18" s="112">
        <f t="shared" si="50"/>
        <v>27.925651207603735</v>
      </c>
    </row>
    <row r="19" spans="1:101" x14ac:dyDescent="0.35">
      <c r="A19" s="7" t="s">
        <v>1345</v>
      </c>
      <c r="B19" s="8" t="s">
        <v>1346</v>
      </c>
      <c r="C19" s="21" t="s">
        <v>1347</v>
      </c>
      <c r="D19" s="25" t="s">
        <v>262</v>
      </c>
      <c r="E19" s="11" t="s">
        <v>263</v>
      </c>
      <c r="F19" s="11" t="s">
        <v>1348</v>
      </c>
      <c r="G19" s="12">
        <v>32013</v>
      </c>
      <c r="H19" s="11" t="s">
        <v>24</v>
      </c>
      <c r="I19" s="11" t="s">
        <v>1349</v>
      </c>
      <c r="J19" s="11" t="s">
        <v>1350</v>
      </c>
      <c r="K19" s="11" t="s">
        <v>27</v>
      </c>
      <c r="L19" s="23">
        <v>7518981791</v>
      </c>
      <c r="M19" s="14">
        <v>6570247685</v>
      </c>
      <c r="N19" s="14">
        <v>948734106</v>
      </c>
      <c r="O19" s="14">
        <v>1456503449</v>
      </c>
      <c r="P19" s="14">
        <v>11313859</v>
      </c>
      <c r="Q19" s="14">
        <v>9393410</v>
      </c>
      <c r="R19" s="14">
        <v>3677466</v>
      </c>
      <c r="S19" s="15">
        <v>96866418</v>
      </c>
      <c r="T19" s="15">
        <v>5027273</v>
      </c>
      <c r="U19" s="15">
        <v>27373920</v>
      </c>
      <c r="V19" s="15">
        <f>1300000+165884+467120+49500+39130+20376+20257+40211</f>
        <v>2102478</v>
      </c>
      <c r="W19" s="15">
        <f>39410+39508+30966+35000+19000+18722+2222+10000</f>
        <v>194828</v>
      </c>
      <c r="X19" s="15">
        <v>0</v>
      </c>
      <c r="Z19" s="15">
        <f>939596+939390</f>
        <v>1878986</v>
      </c>
      <c r="AA19" s="15">
        <v>0</v>
      </c>
      <c r="AB19" s="74">
        <f t="shared" si="0"/>
        <v>31550212</v>
      </c>
      <c r="AC19" s="75">
        <f t="shared" si="1"/>
        <v>32.570846172922387</v>
      </c>
      <c r="AD19" s="75">
        <f t="shared" si="2"/>
        <v>71.975679367443277</v>
      </c>
      <c r="AE19" s="119">
        <f t="shared" si="3"/>
        <v>2.8790271746977312</v>
      </c>
      <c r="AF19" s="77">
        <f t="shared" si="4"/>
        <v>32.095679897716813</v>
      </c>
      <c r="AG19" s="77">
        <f t="shared" si="5"/>
        <v>34.353773655013882</v>
      </c>
      <c r="AH19" s="77">
        <f t="shared" si="6"/>
        <v>2.2580937572970683</v>
      </c>
      <c r="AI19" s="78">
        <f t="shared" si="7"/>
        <v>100</v>
      </c>
      <c r="AJ19" s="120">
        <f t="shared" si="8"/>
        <v>5</v>
      </c>
      <c r="AK19" s="113">
        <v>5</v>
      </c>
      <c r="AL19" s="113">
        <v>32</v>
      </c>
      <c r="AM19" s="113">
        <v>1</v>
      </c>
      <c r="AN19" s="81">
        <f t="shared" si="9"/>
        <v>37</v>
      </c>
      <c r="AO19" s="82">
        <f t="shared" si="10"/>
        <v>2.7027027027027026</v>
      </c>
      <c r="AP19" s="83">
        <f t="shared" si="11"/>
        <v>100</v>
      </c>
      <c r="AQ19" s="121">
        <f t="shared" si="12"/>
        <v>3</v>
      </c>
      <c r="AR19" s="118">
        <v>3</v>
      </c>
      <c r="AS19" s="86">
        <f t="shared" si="13"/>
        <v>0.5</v>
      </c>
      <c r="AT19" s="87">
        <f t="shared" si="14"/>
        <v>2.5</v>
      </c>
      <c r="AU19" s="87">
        <f t="shared" si="15"/>
        <v>2</v>
      </c>
      <c r="AV19" s="88">
        <f t="shared" si="16"/>
        <v>20</v>
      </c>
      <c r="AW19" s="78">
        <f t="shared" si="17"/>
        <v>80</v>
      </c>
      <c r="AX19" s="122">
        <f t="shared" si="18"/>
        <v>1.6</v>
      </c>
      <c r="AY19" s="114">
        <v>13</v>
      </c>
      <c r="AZ19" s="114">
        <f>13*3</f>
        <v>39</v>
      </c>
      <c r="BA19" s="91">
        <f t="shared" si="19"/>
        <v>39</v>
      </c>
      <c r="BB19" s="77">
        <f t="shared" si="20"/>
        <v>100</v>
      </c>
      <c r="BC19" s="78">
        <f t="shared" si="21"/>
        <v>100</v>
      </c>
      <c r="BD19" s="120">
        <f t="shared" si="22"/>
        <v>2</v>
      </c>
      <c r="BE19" s="92">
        <v>109790220</v>
      </c>
      <c r="BF19" s="92">
        <v>6026446</v>
      </c>
      <c r="BG19" s="114">
        <v>4493531</v>
      </c>
      <c r="BH19" s="94">
        <f t="shared" si="23"/>
        <v>115816666</v>
      </c>
      <c r="BI19" s="77">
        <f t="shared" si="24"/>
        <v>3.8798656145049106</v>
      </c>
      <c r="BJ19" s="95" t="str">
        <f t="shared" si="25"/>
        <v>금융업</v>
      </c>
      <c r="BK19" s="96">
        <f t="shared" si="26"/>
        <v>2.7106886075318837</v>
      </c>
      <c r="BL19" s="97">
        <f t="shared" si="27"/>
        <v>1.169177006973027</v>
      </c>
      <c r="BM19" s="98">
        <f t="shared" si="28"/>
        <v>60</v>
      </c>
      <c r="BN19" s="99">
        <f t="shared" si="29"/>
        <v>1.2</v>
      </c>
      <c r="BO19" s="114">
        <v>0</v>
      </c>
      <c r="BP19" s="101">
        <f t="shared" si="30"/>
        <v>0</v>
      </c>
      <c r="BQ19" s="78">
        <f t="shared" si="31"/>
        <v>25</v>
      </c>
      <c r="BR19" s="120">
        <f t="shared" si="32"/>
        <v>0.25</v>
      </c>
      <c r="BS19" s="102">
        <v>5497232</v>
      </c>
      <c r="BT19" s="102">
        <v>760806</v>
      </c>
      <c r="BU19" s="103">
        <f t="shared" si="33"/>
        <v>4736426</v>
      </c>
      <c r="BV19" s="77">
        <f t="shared" si="34"/>
        <v>0.32519154027763647</v>
      </c>
      <c r="BW19" s="96">
        <f t="shared" si="35"/>
        <v>0.39407896396795111</v>
      </c>
      <c r="BX19" s="96">
        <f t="shared" si="36"/>
        <v>4.7454771426889229E-3</v>
      </c>
      <c r="BY19" s="96">
        <f t="shared" si="37"/>
        <v>1.5698937849002932</v>
      </c>
      <c r="BZ19" s="96">
        <f t="shared" si="38"/>
        <v>51.750009416426913</v>
      </c>
      <c r="CA19" s="96">
        <f t="shared" si="39"/>
        <v>55</v>
      </c>
      <c r="CB19" s="104">
        <f t="shared" si="40"/>
        <v>1.1000000000000001</v>
      </c>
      <c r="CC19" s="123" t="s">
        <v>2200</v>
      </c>
      <c r="CD19" s="124" t="s">
        <v>2200</v>
      </c>
      <c r="CE19" s="125"/>
      <c r="CF19" s="126" t="s">
        <v>2201</v>
      </c>
      <c r="CG19" s="127">
        <v>7.69</v>
      </c>
      <c r="CH19" s="126" t="s">
        <v>2201</v>
      </c>
      <c r="CI19" s="128">
        <f t="shared" si="52"/>
        <v>44.249999999999993</v>
      </c>
      <c r="CJ19" s="129">
        <f t="shared" si="41"/>
        <v>1.7699999999999998</v>
      </c>
      <c r="CK19" s="116" t="s">
        <v>2224</v>
      </c>
      <c r="CL19" s="116" t="s">
        <v>2191</v>
      </c>
      <c r="CM19" s="111">
        <f t="shared" si="42"/>
        <v>85</v>
      </c>
      <c r="CN19" s="130">
        <f t="shared" si="43"/>
        <v>2.5499999999999998</v>
      </c>
      <c r="CO19" s="114">
        <v>69859000</v>
      </c>
      <c r="CP19" s="88">
        <f t="shared" si="44"/>
        <v>7.3633908128944183</v>
      </c>
      <c r="CQ19" s="78">
        <f t="shared" si="45"/>
        <v>80</v>
      </c>
      <c r="CR19" s="120">
        <f t="shared" si="46"/>
        <v>3.2</v>
      </c>
      <c r="CS19" s="92">
        <f>_xlfn.XLOOKUP(C19, '[1]1-1. 관계사체무보증금액 (환율 등)'!$3:$3, '[1]1-1. 관계사체무보증금액 (환율 등)'!$33:$33)</f>
        <v>0</v>
      </c>
      <c r="CT19" s="77">
        <f t="shared" si="47"/>
        <v>0</v>
      </c>
      <c r="CU19" s="78">
        <f t="shared" si="48"/>
        <v>100</v>
      </c>
      <c r="CV19" s="131">
        <f t="shared" si="49"/>
        <v>3</v>
      </c>
      <c r="CW19" s="112">
        <f t="shared" si="50"/>
        <v>27.549027174697731</v>
      </c>
    </row>
    <row r="20" spans="1:101" x14ac:dyDescent="0.35">
      <c r="A20" s="7" t="s">
        <v>808</v>
      </c>
      <c r="B20" s="8" t="s">
        <v>809</v>
      </c>
      <c r="C20" s="21" t="s">
        <v>810</v>
      </c>
      <c r="D20" s="25" t="s">
        <v>262</v>
      </c>
      <c r="E20" s="11" t="s">
        <v>263</v>
      </c>
      <c r="F20" s="11" t="s">
        <v>811</v>
      </c>
      <c r="G20" s="12">
        <v>27667</v>
      </c>
      <c r="H20" s="11" t="s">
        <v>24</v>
      </c>
      <c r="I20" s="11" t="s">
        <v>812</v>
      </c>
      <c r="J20" s="11" t="s">
        <v>813</v>
      </c>
      <c r="K20" s="11" t="s">
        <v>27</v>
      </c>
      <c r="L20" s="23">
        <v>77528737937</v>
      </c>
      <c r="M20" s="14">
        <v>68433158478</v>
      </c>
      <c r="N20" s="14">
        <v>9095579460</v>
      </c>
      <c r="O20" s="14">
        <v>16761431115</v>
      </c>
      <c r="P20" s="14">
        <v>548389982</v>
      </c>
      <c r="Q20" s="14">
        <v>553208432</v>
      </c>
      <c r="R20" s="14">
        <v>397574440</v>
      </c>
      <c r="S20" s="15">
        <v>615316408</v>
      </c>
      <c r="T20" s="15">
        <f>329628+146035874</f>
        <v>146365502</v>
      </c>
      <c r="U20" s="15">
        <v>169217305</v>
      </c>
      <c r="V20" s="15">
        <f>29500+353+82+1</f>
        <v>29936</v>
      </c>
      <c r="W20" s="15">
        <f>40007+52529+30000+13977+58137+10082+4200+27590+7874+75000+79274+34654+20152+3564+6000+153453+207+53154+59762+50000+290000+7874+11443+15711+20200+3000+99197+68317+22000+69145+55627+25158+58137+2775+10000+25138+34890+9434+36323+4640+10000+4494+14000+3000+8000+30000+118+20000+4378+933+34654+28000+10+11800+15914+4653+150</f>
        <v>1838729</v>
      </c>
      <c r="X20" s="15">
        <v>0</v>
      </c>
      <c r="Z20" s="15">
        <v>0</v>
      </c>
      <c r="AA20" s="15">
        <v>0</v>
      </c>
      <c r="AB20" s="74">
        <f t="shared" si="0"/>
        <v>171085970</v>
      </c>
      <c r="AC20" s="75">
        <f t="shared" si="1"/>
        <v>27.804551898118735</v>
      </c>
      <c r="AD20" s="75">
        <f t="shared" si="2"/>
        <v>76.089282021186364</v>
      </c>
      <c r="AE20" s="119">
        <f t="shared" si="3"/>
        <v>3.0435712808474547</v>
      </c>
      <c r="AF20" s="77">
        <f t="shared" si="4"/>
        <v>36.09060966394636</v>
      </c>
      <c r="AG20" s="77">
        <f t="shared" si="5"/>
        <v>36.48270379927574</v>
      </c>
      <c r="AH20" s="77">
        <f t="shared" si="6"/>
        <v>0.39209413532937987</v>
      </c>
      <c r="AI20" s="78">
        <f t="shared" si="7"/>
        <v>100</v>
      </c>
      <c r="AJ20" s="120">
        <f t="shared" si="8"/>
        <v>5</v>
      </c>
      <c r="AK20" s="113">
        <v>7</v>
      </c>
      <c r="AL20" s="113">
        <v>131</v>
      </c>
      <c r="AM20" s="80">
        <v>1</v>
      </c>
      <c r="AN20" s="81">
        <f t="shared" si="9"/>
        <v>138</v>
      </c>
      <c r="AO20" s="82">
        <f t="shared" si="10"/>
        <v>0.72463768115942029</v>
      </c>
      <c r="AP20" s="83">
        <f t="shared" si="11"/>
        <v>100</v>
      </c>
      <c r="AQ20" s="121">
        <f t="shared" si="12"/>
        <v>3</v>
      </c>
      <c r="AR20" s="118">
        <v>4</v>
      </c>
      <c r="AS20" s="86">
        <f t="shared" si="13"/>
        <v>0.5</v>
      </c>
      <c r="AT20" s="87">
        <f t="shared" si="14"/>
        <v>3.5</v>
      </c>
      <c r="AU20" s="87">
        <f t="shared" si="15"/>
        <v>3</v>
      </c>
      <c r="AV20" s="88">
        <f t="shared" si="16"/>
        <v>14.285714285714285</v>
      </c>
      <c r="AW20" s="78">
        <f t="shared" si="17"/>
        <v>60</v>
      </c>
      <c r="AX20" s="122">
        <f t="shared" si="18"/>
        <v>1.2</v>
      </c>
      <c r="AY20" s="114">
        <v>20</v>
      </c>
      <c r="AZ20" s="114">
        <f>80-6</f>
        <v>74</v>
      </c>
      <c r="BA20" s="91">
        <f t="shared" si="19"/>
        <v>80</v>
      </c>
      <c r="BB20" s="77">
        <f t="shared" si="20"/>
        <v>92.5</v>
      </c>
      <c r="BC20" s="78">
        <f t="shared" si="21"/>
        <v>100</v>
      </c>
      <c r="BD20" s="120">
        <f t="shared" si="22"/>
        <v>2</v>
      </c>
      <c r="BE20" s="92">
        <v>441899000</v>
      </c>
      <c r="BF20" s="92">
        <f>(35303+3541+11350)*1000</f>
        <v>50194000</v>
      </c>
      <c r="BG20" s="114">
        <v>24592000</v>
      </c>
      <c r="BH20" s="94">
        <f t="shared" si="23"/>
        <v>492093000</v>
      </c>
      <c r="BI20" s="77">
        <f t="shared" si="24"/>
        <v>4.9974293477046006</v>
      </c>
      <c r="BJ20" s="95" t="str">
        <f t="shared" si="25"/>
        <v>금융업</v>
      </c>
      <c r="BK20" s="96">
        <f t="shared" si="26"/>
        <v>2.7106886075318837</v>
      </c>
      <c r="BL20" s="97">
        <f t="shared" si="27"/>
        <v>2.2867407401727169</v>
      </c>
      <c r="BM20" s="98">
        <f t="shared" si="28"/>
        <v>40</v>
      </c>
      <c r="BN20" s="99">
        <f t="shared" si="29"/>
        <v>0.8</v>
      </c>
      <c r="BO20" s="114">
        <v>0</v>
      </c>
      <c r="BP20" s="101">
        <f t="shared" si="30"/>
        <v>0</v>
      </c>
      <c r="BQ20" s="78">
        <f t="shared" si="31"/>
        <v>25</v>
      </c>
      <c r="BR20" s="120">
        <f t="shared" si="32"/>
        <v>0.25</v>
      </c>
      <c r="BS20" s="102">
        <v>12957678.734999999</v>
      </c>
      <c r="BT20" s="102">
        <v>89180.834000000003</v>
      </c>
      <c r="BU20" s="103">
        <f t="shared" si="33"/>
        <v>12868497.900999999</v>
      </c>
      <c r="BV20" s="77">
        <f t="shared" si="34"/>
        <v>7.6774458056172959E-2</v>
      </c>
      <c r="BW20" s="96">
        <f t="shared" si="35"/>
        <v>0.39407896396795111</v>
      </c>
      <c r="BX20" s="96">
        <f t="shared" si="36"/>
        <v>0.10068214947191767</v>
      </c>
      <c r="BY20" s="96">
        <f t="shared" si="37"/>
        <v>1.5698937849002932</v>
      </c>
      <c r="BZ20" s="96">
        <f t="shared" si="38"/>
        <v>58.00879395993843</v>
      </c>
      <c r="CA20" s="96">
        <f t="shared" si="39"/>
        <v>55</v>
      </c>
      <c r="CB20" s="104">
        <f t="shared" si="40"/>
        <v>1.1000000000000001</v>
      </c>
      <c r="CC20" s="123" t="s">
        <v>2200</v>
      </c>
      <c r="CD20" s="124" t="s">
        <v>2200</v>
      </c>
      <c r="CE20" s="125"/>
      <c r="CF20" s="126" t="s">
        <v>2201</v>
      </c>
      <c r="CG20" s="127">
        <v>0.94</v>
      </c>
      <c r="CH20" s="126" t="s">
        <v>2201</v>
      </c>
      <c r="CI20" s="128">
        <f t="shared" si="52"/>
        <v>100</v>
      </c>
      <c r="CJ20" s="129">
        <f t="shared" si="41"/>
        <v>4</v>
      </c>
      <c r="CK20" s="116" t="s">
        <v>2190</v>
      </c>
      <c r="CL20" s="116" t="s">
        <v>2191</v>
      </c>
      <c r="CM20" s="111">
        <f t="shared" si="42"/>
        <v>85</v>
      </c>
      <c r="CN20" s="130">
        <f t="shared" si="43"/>
        <v>2.5499999999999998</v>
      </c>
      <c r="CO20" s="114">
        <f>4419436853441/1000</f>
        <v>4419436853.441</v>
      </c>
      <c r="CP20" s="88">
        <f t="shared" si="44"/>
        <v>48.588843326327222</v>
      </c>
      <c r="CQ20" s="78">
        <f t="shared" si="45"/>
        <v>40</v>
      </c>
      <c r="CR20" s="120">
        <f t="shared" si="46"/>
        <v>1.6</v>
      </c>
      <c r="CS20" s="92">
        <f>_xlfn.XLOOKUP(C20, '[1]1-1. 관계사체무보증금액 (환율 등)'!$3:$3, '[1]1-1. 관계사체무보증금액 (환율 등)'!$33:$33)</f>
        <v>0</v>
      </c>
      <c r="CT20" s="77">
        <f t="shared" si="47"/>
        <v>0</v>
      </c>
      <c r="CU20" s="78">
        <f t="shared" si="48"/>
        <v>100</v>
      </c>
      <c r="CV20" s="131">
        <f t="shared" si="49"/>
        <v>3</v>
      </c>
      <c r="CW20" s="112">
        <f t="shared" si="50"/>
        <v>27.543571280847459</v>
      </c>
    </row>
    <row r="21" spans="1:101" x14ac:dyDescent="0.35">
      <c r="A21" s="7" t="s">
        <v>1853</v>
      </c>
      <c r="B21" s="8" t="s">
        <v>1854</v>
      </c>
      <c r="C21" s="21" t="s">
        <v>1855</v>
      </c>
      <c r="D21" s="25" t="s">
        <v>262</v>
      </c>
      <c r="E21" s="11" t="s">
        <v>263</v>
      </c>
      <c r="F21" s="11" t="s">
        <v>1168</v>
      </c>
      <c r="G21" s="12">
        <v>32206</v>
      </c>
      <c r="H21" s="11" t="s">
        <v>24</v>
      </c>
      <c r="I21" s="11" t="s">
        <v>1856</v>
      </c>
      <c r="J21" s="11" t="s">
        <v>1857</v>
      </c>
      <c r="K21" s="11" t="s">
        <v>27</v>
      </c>
      <c r="L21" s="23">
        <v>1502891064</v>
      </c>
      <c r="M21" s="14">
        <v>1043504163</v>
      </c>
      <c r="N21" s="14">
        <v>459386901</v>
      </c>
      <c r="O21" s="14">
        <v>1117144964</v>
      </c>
      <c r="P21" s="14">
        <v>37196835</v>
      </c>
      <c r="Q21" s="14">
        <v>35531502</v>
      </c>
      <c r="R21" s="14">
        <v>24033308</v>
      </c>
      <c r="S21" s="15">
        <v>12728534</v>
      </c>
      <c r="T21" s="15">
        <v>0</v>
      </c>
      <c r="U21" s="15">
        <f>2074010+515512</f>
        <v>2589522</v>
      </c>
      <c r="V21" s="15">
        <f>85648+72000+72000</f>
        <v>229648</v>
      </c>
      <c r="W21" s="15">
        <f>68690+10000+14538+28581+40899+3230</f>
        <v>165938</v>
      </c>
      <c r="X21" s="15">
        <v>0</v>
      </c>
      <c r="Y21" s="24" t="s">
        <v>2117</v>
      </c>
      <c r="Z21" s="15">
        <f>1381149+948234</f>
        <v>2329383</v>
      </c>
      <c r="AA21" s="15">
        <v>0</v>
      </c>
      <c r="AB21" s="74">
        <f t="shared" si="0"/>
        <v>5314491</v>
      </c>
      <c r="AC21" s="75">
        <f t="shared" si="1"/>
        <v>41.75257731958763</v>
      </c>
      <c r="AD21" s="75">
        <f t="shared" si="2"/>
        <v>64.051285397363955</v>
      </c>
      <c r="AE21" s="119">
        <f t="shared" si="3"/>
        <v>2.5620514158945582</v>
      </c>
      <c r="AF21" s="77">
        <f t="shared" si="4"/>
        <v>22.148426519503346</v>
      </c>
      <c r="AG21" s="77">
        <f t="shared" si="5"/>
        <v>41.75257731958763</v>
      </c>
      <c r="AH21" s="77">
        <f t="shared" si="6"/>
        <v>19.604150800084284</v>
      </c>
      <c r="AI21" s="78">
        <f t="shared" si="7"/>
        <v>80</v>
      </c>
      <c r="AJ21" s="120">
        <f t="shared" si="8"/>
        <v>4</v>
      </c>
      <c r="AK21" s="113">
        <v>4</v>
      </c>
      <c r="AL21" s="113">
        <v>17</v>
      </c>
      <c r="AM21" s="113">
        <v>0</v>
      </c>
      <c r="AN21" s="81">
        <f t="shared" si="9"/>
        <v>21</v>
      </c>
      <c r="AO21" s="82">
        <f t="shared" si="10"/>
        <v>0</v>
      </c>
      <c r="AP21" s="83">
        <f t="shared" si="11"/>
        <v>100</v>
      </c>
      <c r="AQ21" s="121">
        <f t="shared" si="12"/>
        <v>3</v>
      </c>
      <c r="AR21" s="118">
        <v>1</v>
      </c>
      <c r="AS21" s="86">
        <f t="shared" si="13"/>
        <v>0.25</v>
      </c>
      <c r="AT21" s="87">
        <f t="shared" si="14"/>
        <v>1</v>
      </c>
      <c r="AU21" s="87">
        <f t="shared" si="15"/>
        <v>1</v>
      </c>
      <c r="AV21" s="88">
        <f t="shared" si="16"/>
        <v>0</v>
      </c>
      <c r="AW21" s="78">
        <f t="shared" si="17"/>
        <v>40</v>
      </c>
      <c r="AX21" s="122">
        <f t="shared" si="18"/>
        <v>0.8</v>
      </c>
      <c r="AY21" s="114">
        <v>7</v>
      </c>
      <c r="AZ21" s="114">
        <v>7</v>
      </c>
      <c r="BA21" s="91">
        <f t="shared" si="19"/>
        <v>7</v>
      </c>
      <c r="BB21" s="77">
        <f t="shared" si="20"/>
        <v>100</v>
      </c>
      <c r="BC21" s="78">
        <f t="shared" si="21"/>
        <v>100</v>
      </c>
      <c r="BD21" s="120">
        <f t="shared" si="22"/>
        <v>2</v>
      </c>
      <c r="BE21" s="92">
        <v>69893871</v>
      </c>
      <c r="BF21" s="92">
        <v>2800636</v>
      </c>
      <c r="BG21" s="114">
        <v>11635674</v>
      </c>
      <c r="BH21" s="94">
        <f t="shared" si="23"/>
        <v>72694507</v>
      </c>
      <c r="BI21" s="77">
        <f t="shared" si="24"/>
        <v>16.006263031675832</v>
      </c>
      <c r="BJ21" s="95" t="str">
        <f t="shared" si="25"/>
        <v>금융업</v>
      </c>
      <c r="BK21" s="96">
        <f t="shared" si="26"/>
        <v>2.7106886075318837</v>
      </c>
      <c r="BL21" s="97">
        <f t="shared" si="27"/>
        <v>13.295574424143949</v>
      </c>
      <c r="BM21" s="98">
        <f t="shared" si="28"/>
        <v>20</v>
      </c>
      <c r="BN21" s="99">
        <f t="shared" si="29"/>
        <v>0.4</v>
      </c>
      <c r="BO21" s="114">
        <v>0</v>
      </c>
      <c r="BP21" s="101">
        <f t="shared" si="30"/>
        <v>0</v>
      </c>
      <c r="BQ21" s="78">
        <f t="shared" si="31"/>
        <v>25</v>
      </c>
      <c r="BR21" s="120">
        <f t="shared" si="32"/>
        <v>0.25</v>
      </c>
      <c r="BS21" s="102">
        <v>2146099</v>
      </c>
      <c r="BT21" s="102">
        <v>1927</v>
      </c>
      <c r="BU21" s="103">
        <f t="shared" si="33"/>
        <v>2144172</v>
      </c>
      <c r="BV21" s="77">
        <f t="shared" si="34"/>
        <v>0.19193319301397307</v>
      </c>
      <c r="BW21" s="96">
        <f t="shared" si="35"/>
        <v>0.39407896396795111</v>
      </c>
      <c r="BX21" s="96">
        <f t="shared" si="36"/>
        <v>4.0862912714578148E-2</v>
      </c>
      <c r="BY21" s="96">
        <f t="shared" si="37"/>
        <v>1.5698937849002932</v>
      </c>
      <c r="BZ21" s="96">
        <f t="shared" si="38"/>
        <v>55.122779575839076</v>
      </c>
      <c r="CA21" s="96">
        <f t="shared" si="39"/>
        <v>55</v>
      </c>
      <c r="CB21" s="104">
        <f t="shared" si="40"/>
        <v>1.1000000000000001</v>
      </c>
      <c r="CC21" s="123" t="s">
        <v>2200</v>
      </c>
      <c r="CD21" s="124" t="s">
        <v>2200</v>
      </c>
      <c r="CE21" s="125"/>
      <c r="CF21" s="126" t="s">
        <v>2201</v>
      </c>
      <c r="CG21" s="127">
        <v>1.36</v>
      </c>
      <c r="CH21" s="126" t="s">
        <v>2201</v>
      </c>
      <c r="CI21" s="128">
        <f t="shared" si="52"/>
        <v>97</v>
      </c>
      <c r="CJ21" s="129">
        <f t="shared" si="41"/>
        <v>3.88</v>
      </c>
      <c r="CK21" s="116" t="s">
        <v>2240</v>
      </c>
      <c r="CL21" s="116" t="s">
        <v>2191</v>
      </c>
      <c r="CM21" s="111">
        <f t="shared" si="42"/>
        <v>85</v>
      </c>
      <c r="CN21" s="130">
        <f t="shared" si="43"/>
        <v>2.5499999999999998</v>
      </c>
      <c r="CO21" s="114">
        <v>0</v>
      </c>
      <c r="CP21" s="88">
        <f t="shared" si="44"/>
        <v>0</v>
      </c>
      <c r="CQ21" s="78">
        <f t="shared" si="45"/>
        <v>100</v>
      </c>
      <c r="CR21" s="120">
        <f t="shared" si="46"/>
        <v>4</v>
      </c>
      <c r="CS21" s="92">
        <f>_xlfn.XLOOKUP(C21, '[1]1-1. 관계사체무보증금액 (환율 등)'!$3:$3, '[1]1-1. 관계사체무보증금액 (환율 등)'!$33:$33)</f>
        <v>0</v>
      </c>
      <c r="CT21" s="77">
        <f t="shared" si="47"/>
        <v>0</v>
      </c>
      <c r="CU21" s="78">
        <f t="shared" si="48"/>
        <v>100</v>
      </c>
      <c r="CV21" s="131">
        <f t="shared" si="49"/>
        <v>3</v>
      </c>
      <c r="CW21" s="112">
        <f t="shared" si="50"/>
        <v>27.542051415894559</v>
      </c>
    </row>
    <row r="22" spans="1:101" x14ac:dyDescent="0.35">
      <c r="A22" s="7" t="s">
        <v>1621</v>
      </c>
      <c r="B22" s="8" t="s">
        <v>1622</v>
      </c>
      <c r="C22" s="21" t="s">
        <v>1623</v>
      </c>
      <c r="D22" s="25" t="s">
        <v>262</v>
      </c>
      <c r="E22" s="11" t="s">
        <v>263</v>
      </c>
      <c r="F22" s="11" t="s">
        <v>1624</v>
      </c>
      <c r="G22" s="12">
        <v>40028</v>
      </c>
      <c r="H22" s="11" t="s">
        <v>24</v>
      </c>
      <c r="I22" s="11" t="s">
        <v>1625</v>
      </c>
      <c r="J22" s="11" t="s">
        <v>1626</v>
      </c>
      <c r="K22" s="11" t="s">
        <v>27</v>
      </c>
      <c r="L22" s="23">
        <v>39369287420</v>
      </c>
      <c r="M22" s="14">
        <v>35300144133</v>
      </c>
      <c r="N22" s="14">
        <v>4069143286</v>
      </c>
      <c r="O22" s="14">
        <v>8031651241</v>
      </c>
      <c r="P22" s="14">
        <v>645745222</v>
      </c>
      <c r="Q22" s="14">
        <v>663311108</v>
      </c>
      <c r="R22" s="14">
        <v>493104212</v>
      </c>
      <c r="S22" s="15">
        <v>26219513</v>
      </c>
      <c r="T22" s="15">
        <v>1400000</v>
      </c>
      <c r="U22" s="15">
        <v>10801594</v>
      </c>
      <c r="V22" s="15">
        <v>0</v>
      </c>
      <c r="W22" s="15">
        <f>5677+400+875+1250+305+1000+1818+20+1140+30+1+1000</f>
        <v>13516</v>
      </c>
      <c r="X22" s="15">
        <v>0</v>
      </c>
      <c r="Z22" s="15">
        <v>39590</v>
      </c>
      <c r="AA22" s="15">
        <v>0</v>
      </c>
      <c r="AB22" s="74">
        <f t="shared" si="0"/>
        <v>10854700</v>
      </c>
      <c r="AC22" s="75">
        <f t="shared" si="1"/>
        <v>41.399319659369723</v>
      </c>
      <c r="AD22" s="75">
        <f t="shared" si="2"/>
        <v>64.356168303190685</v>
      </c>
      <c r="AE22" s="119">
        <f t="shared" si="3"/>
        <v>2.5742467321276274</v>
      </c>
      <c r="AF22" s="77">
        <f t="shared" si="4"/>
        <v>43.520571898409131</v>
      </c>
      <c r="AG22" s="77">
        <f t="shared" si="5"/>
        <v>43.734540641470282</v>
      </c>
      <c r="AH22" s="77">
        <f t="shared" si="6"/>
        <v>0.21396874306115166</v>
      </c>
      <c r="AI22" s="78">
        <f t="shared" si="7"/>
        <v>100</v>
      </c>
      <c r="AJ22" s="120">
        <f t="shared" si="8"/>
        <v>5</v>
      </c>
      <c r="AK22" s="113">
        <v>8</v>
      </c>
      <c r="AL22" s="113">
        <v>37</v>
      </c>
      <c r="AM22" s="113">
        <v>1</v>
      </c>
      <c r="AN22" s="81">
        <f t="shared" si="9"/>
        <v>45</v>
      </c>
      <c r="AO22" s="82">
        <f t="shared" si="10"/>
        <v>2.2222222222222223</v>
      </c>
      <c r="AP22" s="83">
        <f t="shared" si="11"/>
        <v>100</v>
      </c>
      <c r="AQ22" s="121">
        <f t="shared" si="12"/>
        <v>3</v>
      </c>
      <c r="AR22" s="118">
        <v>5</v>
      </c>
      <c r="AS22" s="86">
        <f t="shared" si="13"/>
        <v>0.5</v>
      </c>
      <c r="AT22" s="87">
        <f t="shared" si="14"/>
        <v>4</v>
      </c>
      <c r="AU22" s="87">
        <f t="shared" si="15"/>
        <v>4</v>
      </c>
      <c r="AV22" s="88">
        <f t="shared" si="16"/>
        <v>12.5</v>
      </c>
      <c r="AW22" s="78">
        <f t="shared" si="17"/>
        <v>60</v>
      </c>
      <c r="AX22" s="122">
        <f t="shared" si="18"/>
        <v>1.2</v>
      </c>
      <c r="AY22" s="114">
        <v>12</v>
      </c>
      <c r="AZ22" s="114">
        <f>12*5-2</f>
        <v>58</v>
      </c>
      <c r="BA22" s="91">
        <f t="shared" si="19"/>
        <v>60</v>
      </c>
      <c r="BB22" s="77">
        <f t="shared" si="20"/>
        <v>96.666666666666671</v>
      </c>
      <c r="BC22" s="78">
        <f t="shared" si="21"/>
        <v>100</v>
      </c>
      <c r="BD22" s="120">
        <f t="shared" si="22"/>
        <v>2</v>
      </c>
      <c r="BE22" s="92">
        <v>119688347</v>
      </c>
      <c r="BF22" s="92">
        <v>6368183</v>
      </c>
      <c r="BG22" s="114">
        <v>7924370</v>
      </c>
      <c r="BH22" s="94">
        <f t="shared" si="23"/>
        <v>126056530</v>
      </c>
      <c r="BI22" s="77">
        <f t="shared" si="24"/>
        <v>6.2863621583110376</v>
      </c>
      <c r="BJ22" s="95" t="str">
        <f t="shared" si="25"/>
        <v>금융업</v>
      </c>
      <c r="BK22" s="96">
        <f t="shared" si="26"/>
        <v>2.7106886075318837</v>
      </c>
      <c r="BL22" s="97">
        <f t="shared" si="27"/>
        <v>3.5756735507791539</v>
      </c>
      <c r="BM22" s="98">
        <f t="shared" si="28"/>
        <v>40</v>
      </c>
      <c r="BN22" s="99">
        <f t="shared" si="29"/>
        <v>0.8</v>
      </c>
      <c r="BO22" s="114">
        <v>0</v>
      </c>
      <c r="BP22" s="101">
        <f t="shared" si="30"/>
        <v>0</v>
      </c>
      <c r="BQ22" s="78">
        <f t="shared" si="31"/>
        <v>25</v>
      </c>
      <c r="BR22" s="120">
        <f t="shared" si="32"/>
        <v>0.25</v>
      </c>
      <c r="BS22" s="102">
        <v>8180038.6799999997</v>
      </c>
      <c r="BT22" s="102">
        <v>7722000</v>
      </c>
      <c r="BU22" s="103">
        <f t="shared" si="33"/>
        <v>458038.6799999997</v>
      </c>
      <c r="BV22" s="77">
        <f t="shared" si="34"/>
        <v>5.7029204363581217E-3</v>
      </c>
      <c r="BW22" s="96">
        <f t="shared" si="35"/>
        <v>0.39407896396795111</v>
      </c>
      <c r="BX22" s="96">
        <f t="shared" si="36"/>
        <v>0.15083595118925383</v>
      </c>
      <c r="BY22" s="96">
        <f t="shared" si="37"/>
        <v>1.5698937849002932</v>
      </c>
      <c r="BZ22" s="96">
        <f t="shared" si="38"/>
        <v>59.769679867028501</v>
      </c>
      <c r="CA22" s="96">
        <f t="shared" si="39"/>
        <v>55</v>
      </c>
      <c r="CB22" s="104">
        <f t="shared" si="40"/>
        <v>1.1000000000000001</v>
      </c>
      <c r="CC22" s="123" t="s">
        <v>2200</v>
      </c>
      <c r="CD22" s="124" t="s">
        <v>2200</v>
      </c>
      <c r="CE22" s="125"/>
      <c r="CF22" s="126" t="s">
        <v>2201</v>
      </c>
      <c r="CG22" s="127">
        <v>0.39</v>
      </c>
      <c r="CH22" s="126" t="s">
        <v>2201</v>
      </c>
      <c r="CI22" s="128">
        <f t="shared" si="52"/>
        <v>100</v>
      </c>
      <c r="CJ22" s="129">
        <f t="shared" si="41"/>
        <v>4</v>
      </c>
      <c r="CK22" s="116" t="s">
        <v>2203</v>
      </c>
      <c r="CL22" s="116" t="s">
        <v>2204</v>
      </c>
      <c r="CM22" s="111">
        <f t="shared" si="42"/>
        <v>70</v>
      </c>
      <c r="CN22" s="130">
        <f t="shared" si="43"/>
        <v>2.1</v>
      </c>
      <c r="CO22" s="114">
        <v>892538000</v>
      </c>
      <c r="CP22" s="88">
        <f t="shared" si="44"/>
        <v>21.934297646160598</v>
      </c>
      <c r="CQ22" s="78">
        <f t="shared" si="45"/>
        <v>60</v>
      </c>
      <c r="CR22" s="120">
        <f t="shared" si="46"/>
        <v>2.4</v>
      </c>
      <c r="CS22" s="92">
        <f>_xlfn.XLOOKUP(C22, '[1]1-1. 관계사체무보증금액 (환율 등)'!$3:$3, '[1]1-1. 관계사체무보증금액 (환율 등)'!$33:$33)</f>
        <v>0</v>
      </c>
      <c r="CT22" s="77">
        <f t="shared" si="47"/>
        <v>0</v>
      </c>
      <c r="CU22" s="78">
        <f t="shared" si="48"/>
        <v>100</v>
      </c>
      <c r="CV22" s="131">
        <f t="shared" si="49"/>
        <v>3</v>
      </c>
      <c r="CW22" s="112">
        <f t="shared" si="50"/>
        <v>27.424246732127628</v>
      </c>
    </row>
    <row r="23" spans="1:101" x14ac:dyDescent="0.35">
      <c r="A23" s="7" t="s">
        <v>2043</v>
      </c>
      <c r="B23" s="8" t="s">
        <v>2044</v>
      </c>
      <c r="C23" s="21" t="s">
        <v>2045</v>
      </c>
      <c r="D23" s="25" t="s">
        <v>67</v>
      </c>
      <c r="E23" s="11" t="s">
        <v>68</v>
      </c>
      <c r="F23" s="11" t="s">
        <v>1901</v>
      </c>
      <c r="G23" s="12">
        <v>27368</v>
      </c>
      <c r="H23" s="11" t="s">
        <v>24</v>
      </c>
      <c r="I23" s="11" t="s">
        <v>2046</v>
      </c>
      <c r="J23" s="11" t="s">
        <v>2047</v>
      </c>
      <c r="K23" s="11" t="s">
        <v>27</v>
      </c>
      <c r="L23" s="23">
        <v>13966098000</v>
      </c>
      <c r="M23" s="14">
        <v>13246051000</v>
      </c>
      <c r="N23" s="14">
        <v>720047000</v>
      </c>
      <c r="O23" s="14">
        <v>2423214000</v>
      </c>
      <c r="P23" s="14">
        <v>185978000</v>
      </c>
      <c r="Q23" s="14">
        <v>186768000</v>
      </c>
      <c r="R23" s="14">
        <v>147508000</v>
      </c>
      <c r="S23" s="15">
        <v>64242645</v>
      </c>
      <c r="T23" s="15">
        <v>0</v>
      </c>
      <c r="U23" s="15">
        <v>26101876</v>
      </c>
      <c r="V23" s="15">
        <v>0</v>
      </c>
      <c r="W23" s="15">
        <f>100+900+2356</f>
        <v>3356</v>
      </c>
      <c r="X23" s="15">
        <v>0</v>
      </c>
      <c r="Z23" s="15">
        <v>25499481</v>
      </c>
      <c r="AA23" s="15">
        <v>0</v>
      </c>
      <c r="AB23" s="74">
        <f t="shared" si="0"/>
        <v>51604713</v>
      </c>
      <c r="AC23" s="75">
        <f t="shared" si="1"/>
        <v>80.327814958428306</v>
      </c>
      <c r="AD23" s="75">
        <f t="shared" si="2"/>
        <v>30.758502625061865</v>
      </c>
      <c r="AE23" s="119">
        <f t="shared" si="3"/>
        <v>1.2303401050024747</v>
      </c>
      <c r="AF23" s="77">
        <f t="shared" si="4"/>
        <v>40.630139061055161</v>
      </c>
      <c r="AG23" s="77">
        <f t="shared" si="5"/>
        <v>80.327814958428306</v>
      </c>
      <c r="AH23" s="77">
        <f t="shared" si="6"/>
        <v>39.697675897373145</v>
      </c>
      <c r="AI23" s="78">
        <f t="shared" si="7"/>
        <v>60</v>
      </c>
      <c r="AJ23" s="120">
        <f t="shared" si="8"/>
        <v>3</v>
      </c>
      <c r="AK23" s="113">
        <v>4</v>
      </c>
      <c r="AL23" s="113">
        <v>16</v>
      </c>
      <c r="AM23" s="113">
        <v>0</v>
      </c>
      <c r="AN23" s="81">
        <f t="shared" si="9"/>
        <v>20</v>
      </c>
      <c r="AO23" s="82">
        <f t="shared" si="10"/>
        <v>0</v>
      </c>
      <c r="AP23" s="83">
        <f t="shared" si="11"/>
        <v>100</v>
      </c>
      <c r="AQ23" s="121">
        <f t="shared" si="12"/>
        <v>3</v>
      </c>
      <c r="AR23" s="118">
        <v>3</v>
      </c>
      <c r="AS23" s="86">
        <f t="shared" si="13"/>
        <v>0.5</v>
      </c>
      <c r="AT23" s="87">
        <f t="shared" si="14"/>
        <v>2</v>
      </c>
      <c r="AU23" s="87">
        <f t="shared" si="15"/>
        <v>2</v>
      </c>
      <c r="AV23" s="88">
        <f t="shared" si="16"/>
        <v>25</v>
      </c>
      <c r="AW23" s="78">
        <f t="shared" si="17"/>
        <v>80</v>
      </c>
      <c r="AX23" s="122">
        <f t="shared" si="18"/>
        <v>1.6</v>
      </c>
      <c r="AY23" s="114">
        <v>9</v>
      </c>
      <c r="AZ23" s="114">
        <v>27</v>
      </c>
      <c r="BA23" s="91">
        <f t="shared" si="19"/>
        <v>27</v>
      </c>
      <c r="BB23" s="77">
        <f t="shared" si="20"/>
        <v>100</v>
      </c>
      <c r="BC23" s="78">
        <f t="shared" si="21"/>
        <v>100</v>
      </c>
      <c r="BD23" s="120">
        <f t="shared" si="22"/>
        <v>2</v>
      </c>
      <c r="BE23" s="18">
        <f>93424000+17395000+2838000</f>
        <v>113657000</v>
      </c>
      <c r="BF23" s="92">
        <f>4669000+1651000+184000</f>
        <v>6504000</v>
      </c>
      <c r="BG23" s="93">
        <v>0</v>
      </c>
      <c r="BH23" s="94">
        <f t="shared" si="23"/>
        <v>120161000</v>
      </c>
      <c r="BI23" s="77">
        <f t="shared" si="24"/>
        <v>0</v>
      </c>
      <c r="BJ23" s="95" t="str">
        <f t="shared" si="25"/>
        <v>금융업</v>
      </c>
      <c r="BK23" s="96">
        <f t="shared" si="26"/>
        <v>2.7106886075318837</v>
      </c>
      <c r="BL23" s="97">
        <f t="shared" si="27"/>
        <v>-2.7106886075318837</v>
      </c>
      <c r="BM23" s="98">
        <f t="shared" si="28"/>
        <v>100</v>
      </c>
      <c r="BN23" s="99">
        <f t="shared" si="29"/>
        <v>2</v>
      </c>
      <c r="BO23" s="114">
        <v>0</v>
      </c>
      <c r="BP23" s="101">
        <f t="shared" si="30"/>
        <v>0</v>
      </c>
      <c r="BQ23" s="78">
        <f t="shared" si="31"/>
        <v>25</v>
      </c>
      <c r="BR23" s="120">
        <f t="shared" si="32"/>
        <v>0.25</v>
      </c>
      <c r="BS23" s="102">
        <v>12675000</v>
      </c>
      <c r="BT23" s="102">
        <v>6095000</v>
      </c>
      <c r="BU23" s="103">
        <f t="shared" si="33"/>
        <v>6580000</v>
      </c>
      <c r="BV23" s="77">
        <f t="shared" si="34"/>
        <v>0.27154019413885855</v>
      </c>
      <c r="BW23" s="96">
        <f t="shared" si="35"/>
        <v>0.39407896396795111</v>
      </c>
      <c r="BX23" s="96">
        <f t="shared" si="36"/>
        <v>1.5015750111227326E-2</v>
      </c>
      <c r="BY23" s="96">
        <f t="shared" si="37"/>
        <v>1.5698937849002932</v>
      </c>
      <c r="BZ23" s="96">
        <f t="shared" si="38"/>
        <v>53.110802862637549</v>
      </c>
      <c r="CA23" s="96">
        <f t="shared" si="39"/>
        <v>55</v>
      </c>
      <c r="CB23" s="104">
        <f t="shared" si="40"/>
        <v>1.1000000000000001</v>
      </c>
      <c r="CC23" s="123" t="s">
        <v>2200</v>
      </c>
      <c r="CD23" s="124" t="s">
        <v>2200</v>
      </c>
      <c r="CE23" s="125"/>
      <c r="CF23" s="126" t="s">
        <v>2201</v>
      </c>
      <c r="CG23" s="126" t="s">
        <v>2201</v>
      </c>
      <c r="CH23" s="127">
        <v>0.04</v>
      </c>
      <c r="CI23" s="128">
        <f>IF((100-(75*(CH23-10)/40))&gt;100, 100, IF((100-(75*(CH23-10)/40))&lt;25, 25, (100-(75*(CH23-10)/40))))</f>
        <v>100</v>
      </c>
      <c r="CJ23" s="129">
        <f t="shared" si="41"/>
        <v>4</v>
      </c>
      <c r="CK23" s="116" t="s">
        <v>2207</v>
      </c>
      <c r="CL23" s="116" t="s">
        <v>2204</v>
      </c>
      <c r="CM23" s="111">
        <f t="shared" si="42"/>
        <v>70</v>
      </c>
      <c r="CN23" s="130">
        <f t="shared" si="43"/>
        <v>2.1</v>
      </c>
      <c r="CO23" s="114">
        <v>0</v>
      </c>
      <c r="CP23" s="88">
        <f t="shared" si="44"/>
        <v>0</v>
      </c>
      <c r="CQ23" s="78">
        <f t="shared" si="45"/>
        <v>100</v>
      </c>
      <c r="CR23" s="120">
        <f t="shared" si="46"/>
        <v>4</v>
      </c>
      <c r="CS23" s="92">
        <f>_xlfn.XLOOKUP(C23, '[1]1-1. 관계사체무보증금액 (환율 등)'!$3:$3, '[1]1-1. 관계사체무보증금액 (환율 등)'!$33:$33)</f>
        <v>0</v>
      </c>
      <c r="CT23" s="77">
        <f t="shared" si="47"/>
        <v>0</v>
      </c>
      <c r="CU23" s="78">
        <f t="shared" si="48"/>
        <v>100</v>
      </c>
      <c r="CV23" s="131">
        <f t="shared" si="49"/>
        <v>3</v>
      </c>
      <c r="CW23" s="112">
        <f t="shared" si="50"/>
        <v>27.280340105002473</v>
      </c>
    </row>
    <row r="24" spans="1:101" x14ac:dyDescent="0.35">
      <c r="A24" s="7" t="s">
        <v>1259</v>
      </c>
      <c r="B24" s="8" t="s">
        <v>1260</v>
      </c>
      <c r="C24" s="21" t="s">
        <v>1261</v>
      </c>
      <c r="D24" s="25" t="s">
        <v>67</v>
      </c>
      <c r="E24" s="11" t="s">
        <v>1262</v>
      </c>
      <c r="F24" s="11" t="s">
        <v>1263</v>
      </c>
      <c r="G24" s="12">
        <v>44155</v>
      </c>
      <c r="H24" s="11" t="s">
        <v>24</v>
      </c>
      <c r="I24" s="11" t="s">
        <v>1264</v>
      </c>
      <c r="J24" s="8" t="s">
        <v>1265</v>
      </c>
      <c r="K24" s="11" t="s">
        <v>27</v>
      </c>
      <c r="L24" s="23">
        <v>204362337</v>
      </c>
      <c r="M24" s="14">
        <v>77627222</v>
      </c>
      <c r="N24" s="14">
        <v>126735115</v>
      </c>
      <c r="O24" s="14">
        <v>230018279</v>
      </c>
      <c r="P24" s="14">
        <v>3054336</v>
      </c>
      <c r="Q24" s="14">
        <v>41586408</v>
      </c>
      <c r="R24" s="14">
        <v>32212761</v>
      </c>
      <c r="S24" s="15">
        <v>22607693</v>
      </c>
      <c r="T24" s="15">
        <v>0</v>
      </c>
      <c r="U24" s="15">
        <v>4535596</v>
      </c>
      <c r="V24" s="15">
        <f>174197+157132+157132+21958+45668+37774+1000+33334+10578+16668+16667+11000+6666</f>
        <v>689774</v>
      </c>
      <c r="W24" s="15">
        <f>33000+46200+207059+6000+63062+42000+8000+240</f>
        <v>405561</v>
      </c>
      <c r="X24" s="15">
        <v>0</v>
      </c>
      <c r="Z24" s="15">
        <v>0</v>
      </c>
      <c r="AA24" s="15">
        <v>0</v>
      </c>
      <c r="AB24" s="74">
        <f t="shared" si="0"/>
        <v>5630931</v>
      </c>
      <c r="AC24" s="75">
        <f t="shared" si="1"/>
        <v>24.907145545545049</v>
      </c>
      <c r="AD24" s="75">
        <f t="shared" si="2"/>
        <v>78.589920415237302</v>
      </c>
      <c r="AE24" s="119">
        <f t="shared" si="3"/>
        <v>3.1435968166094921</v>
      </c>
      <c r="AF24" s="77">
        <f t="shared" si="4"/>
        <v>23.113238489216922</v>
      </c>
      <c r="AG24" s="77">
        <f t="shared" si="5"/>
        <v>24.907145545545049</v>
      </c>
      <c r="AH24" s="77">
        <f t="shared" si="6"/>
        <v>1.793907056328127</v>
      </c>
      <c r="AI24" s="78">
        <f t="shared" si="7"/>
        <v>100</v>
      </c>
      <c r="AJ24" s="120">
        <f t="shared" si="8"/>
        <v>5</v>
      </c>
      <c r="AK24" s="113">
        <v>8</v>
      </c>
      <c r="AL24" s="113">
        <v>23</v>
      </c>
      <c r="AM24" s="113">
        <v>1</v>
      </c>
      <c r="AN24" s="81">
        <f t="shared" si="9"/>
        <v>31</v>
      </c>
      <c r="AO24" s="82">
        <f t="shared" si="10"/>
        <v>3.225806451612903</v>
      </c>
      <c r="AP24" s="83">
        <f t="shared" si="11"/>
        <v>100</v>
      </c>
      <c r="AQ24" s="121">
        <f t="shared" si="12"/>
        <v>3</v>
      </c>
      <c r="AR24" s="118">
        <v>3</v>
      </c>
      <c r="AS24" s="86">
        <f t="shared" si="13"/>
        <v>0.25</v>
      </c>
      <c r="AT24" s="87">
        <f t="shared" si="14"/>
        <v>2</v>
      </c>
      <c r="AU24" s="87">
        <f t="shared" si="15"/>
        <v>2</v>
      </c>
      <c r="AV24" s="88">
        <f t="shared" si="16"/>
        <v>12.5</v>
      </c>
      <c r="AW24" s="78">
        <f t="shared" si="17"/>
        <v>60</v>
      </c>
      <c r="AX24" s="122">
        <f t="shared" si="18"/>
        <v>1.2</v>
      </c>
      <c r="AY24" s="114">
        <v>22</v>
      </c>
      <c r="AZ24" s="114">
        <f>5*3</f>
        <v>15</v>
      </c>
      <c r="BA24" s="91">
        <f t="shared" si="19"/>
        <v>66</v>
      </c>
      <c r="BB24" s="77">
        <f t="shared" si="20"/>
        <v>22.727272727272727</v>
      </c>
      <c r="BC24" s="78">
        <f t="shared" si="21"/>
        <v>25</v>
      </c>
      <c r="BD24" s="120">
        <f t="shared" si="22"/>
        <v>0.5</v>
      </c>
      <c r="BE24" s="92">
        <f>5147488+13997239</f>
        <v>19144727</v>
      </c>
      <c r="BF24" s="92">
        <v>1641507</v>
      </c>
      <c r="BG24" s="114">
        <v>367698</v>
      </c>
      <c r="BH24" s="94">
        <f t="shared" si="23"/>
        <v>20786234</v>
      </c>
      <c r="BI24" s="77">
        <f t="shared" si="24"/>
        <v>1.7689495846145098</v>
      </c>
      <c r="BJ24" s="95" t="str">
        <f t="shared" si="25"/>
        <v>금융업</v>
      </c>
      <c r="BK24" s="96">
        <f t="shared" si="26"/>
        <v>2.7106886075318837</v>
      </c>
      <c r="BL24" s="97">
        <f t="shared" si="27"/>
        <v>-0.94173902291737388</v>
      </c>
      <c r="BM24" s="98">
        <f t="shared" si="28"/>
        <v>80</v>
      </c>
      <c r="BN24" s="99">
        <f t="shared" si="29"/>
        <v>1.6</v>
      </c>
      <c r="BO24" s="93">
        <v>0</v>
      </c>
      <c r="BP24" s="101">
        <f t="shared" si="30"/>
        <v>0</v>
      </c>
      <c r="BQ24" s="78">
        <f t="shared" si="31"/>
        <v>25</v>
      </c>
      <c r="BR24" s="120">
        <f t="shared" si="32"/>
        <v>0.25</v>
      </c>
      <c r="BS24" s="102">
        <v>21107059</v>
      </c>
      <c r="BT24" s="102">
        <v>7851178</v>
      </c>
      <c r="BU24" s="103">
        <f t="shared" si="33"/>
        <v>13255881</v>
      </c>
      <c r="BV24" s="77">
        <f t="shared" si="34"/>
        <v>5.7629685160804112</v>
      </c>
      <c r="BW24" s="96">
        <f t="shared" si="35"/>
        <v>0.39407896396795111</v>
      </c>
      <c r="BX24" s="96">
        <f t="shared" si="36"/>
        <v>28.824975022782333</v>
      </c>
      <c r="BY24" s="96">
        <f t="shared" si="37"/>
        <v>1.5698937849002932</v>
      </c>
      <c r="BZ24" s="96">
        <f t="shared" si="38"/>
        <v>3.1321361136327219E-2</v>
      </c>
      <c r="CA24" s="96">
        <f t="shared" si="39"/>
        <v>100</v>
      </c>
      <c r="CB24" s="104">
        <f t="shared" si="40"/>
        <v>2</v>
      </c>
      <c r="CC24" s="123" t="s">
        <v>2200</v>
      </c>
      <c r="CD24" s="124" t="s">
        <v>2200</v>
      </c>
      <c r="CE24" s="125"/>
      <c r="CF24" s="126" t="s">
        <v>2201</v>
      </c>
      <c r="CG24" s="126" t="s">
        <v>2201</v>
      </c>
      <c r="CH24" s="135">
        <f>(968618+5648837)/L24*100</f>
        <v>3.2380991023801022</v>
      </c>
      <c r="CI24" s="128">
        <f>IF((100-(75*(CH24-10)/40))&gt;100, 100, IF((100-(75*(CH24-10)/40))&lt;25, 25, (100-(75*(CH24-10)/40))))</f>
        <v>100</v>
      </c>
      <c r="CJ24" s="129">
        <f t="shared" si="41"/>
        <v>4</v>
      </c>
      <c r="CK24" s="116" t="s">
        <v>2199</v>
      </c>
      <c r="CL24" s="116" t="s">
        <v>2193</v>
      </c>
      <c r="CM24" s="111">
        <f t="shared" si="42"/>
        <v>25</v>
      </c>
      <c r="CN24" s="130">
        <f t="shared" si="43"/>
        <v>0.75</v>
      </c>
      <c r="CO24" s="114">
        <v>26334000</v>
      </c>
      <c r="CP24" s="88">
        <f t="shared" si="44"/>
        <v>20.778771534629531</v>
      </c>
      <c r="CQ24" s="78">
        <f t="shared" si="45"/>
        <v>60</v>
      </c>
      <c r="CR24" s="120">
        <f t="shared" si="46"/>
        <v>2.4</v>
      </c>
      <c r="CS24" s="92">
        <f>_xlfn.XLOOKUP(C24, '[1]1-1. 관계사체무보증금액 (환율 등)'!$3:$3, '[1]1-1. 관계사체무보증금액 (환율 등)'!$33:$33)</f>
        <v>0</v>
      </c>
      <c r="CT24" s="77">
        <f t="shared" si="47"/>
        <v>0</v>
      </c>
      <c r="CU24" s="78">
        <f t="shared" si="48"/>
        <v>100</v>
      </c>
      <c r="CV24" s="131">
        <f t="shared" si="49"/>
        <v>3</v>
      </c>
      <c r="CW24" s="112">
        <f t="shared" si="50"/>
        <v>26.843596816609491</v>
      </c>
    </row>
    <row r="25" spans="1:101" x14ac:dyDescent="0.35">
      <c r="A25" s="7" t="s">
        <v>440</v>
      </c>
      <c r="B25" s="8" t="s">
        <v>441</v>
      </c>
      <c r="C25" s="21" t="s">
        <v>442</v>
      </c>
      <c r="D25" s="29" t="s">
        <v>262</v>
      </c>
      <c r="E25" s="11" t="s">
        <v>263</v>
      </c>
      <c r="F25" s="11" t="s">
        <v>443</v>
      </c>
      <c r="G25" s="12">
        <v>37455</v>
      </c>
      <c r="H25" s="11" t="s">
        <v>24</v>
      </c>
      <c r="I25" s="11" t="s">
        <v>444</v>
      </c>
      <c r="J25" s="11" t="s">
        <v>445</v>
      </c>
      <c r="K25" s="11" t="s">
        <v>27</v>
      </c>
      <c r="L25" s="23">
        <v>12149139534</v>
      </c>
      <c r="M25" s="14">
        <v>10584274049</v>
      </c>
      <c r="N25" s="14">
        <v>1564865485</v>
      </c>
      <c r="O25" s="14">
        <v>4036211805</v>
      </c>
      <c r="P25" s="14">
        <v>90025670</v>
      </c>
      <c r="Q25" s="14">
        <v>63262018</v>
      </c>
      <c r="R25" s="14">
        <v>44599774</v>
      </c>
      <c r="S25" s="15">
        <v>64653296</v>
      </c>
      <c r="T25" s="15">
        <v>1093598</v>
      </c>
      <c r="U25" s="15">
        <v>47238769</v>
      </c>
      <c r="V25" s="15">
        <v>0</v>
      </c>
      <c r="W25" s="15">
        <f>25848+3000*4+1000</f>
        <v>38848</v>
      </c>
      <c r="X25" s="15">
        <v>0</v>
      </c>
      <c r="Z25" s="15">
        <v>0</v>
      </c>
      <c r="AA25" s="15">
        <v>0</v>
      </c>
      <c r="AB25" s="74">
        <f t="shared" si="0"/>
        <v>47277617</v>
      </c>
      <c r="AC25" s="75">
        <f t="shared" si="1"/>
        <v>73.124836512588615</v>
      </c>
      <c r="AD25" s="75">
        <f t="shared" si="2"/>
        <v>36.9751123309074</v>
      </c>
      <c r="AE25" s="119">
        <f t="shared" si="3"/>
        <v>1.479004493236296</v>
      </c>
      <c r="AF25" s="77">
        <f t="shared" si="4"/>
        <v>74.321890264488047</v>
      </c>
      <c r="AG25" s="77">
        <f t="shared" si="5"/>
        <v>74.383010756281436</v>
      </c>
      <c r="AH25" s="77">
        <f t="shared" si="6"/>
        <v>6.1120491793388965E-2</v>
      </c>
      <c r="AI25" s="78">
        <f t="shared" si="7"/>
        <v>100</v>
      </c>
      <c r="AJ25" s="120">
        <f t="shared" si="8"/>
        <v>5</v>
      </c>
      <c r="AK25" s="113">
        <v>6</v>
      </c>
      <c r="AL25" s="113">
        <v>21</v>
      </c>
      <c r="AM25" s="113">
        <v>0</v>
      </c>
      <c r="AN25" s="81">
        <f t="shared" si="9"/>
        <v>27</v>
      </c>
      <c r="AO25" s="82">
        <f t="shared" si="10"/>
        <v>0</v>
      </c>
      <c r="AP25" s="83">
        <f t="shared" si="11"/>
        <v>100</v>
      </c>
      <c r="AQ25" s="121">
        <f t="shared" si="12"/>
        <v>3</v>
      </c>
      <c r="AR25" s="118">
        <v>4</v>
      </c>
      <c r="AS25" s="86">
        <f t="shared" si="13"/>
        <v>0.5</v>
      </c>
      <c r="AT25" s="87">
        <f t="shared" si="14"/>
        <v>3</v>
      </c>
      <c r="AU25" s="87">
        <f t="shared" si="15"/>
        <v>3</v>
      </c>
      <c r="AV25" s="88">
        <f t="shared" si="16"/>
        <v>16.666666666666664</v>
      </c>
      <c r="AW25" s="78">
        <f t="shared" si="17"/>
        <v>60</v>
      </c>
      <c r="AX25" s="122">
        <f t="shared" si="18"/>
        <v>1.2</v>
      </c>
      <c r="AY25" s="114">
        <v>14</v>
      </c>
      <c r="AZ25" s="114">
        <f>14*4</f>
        <v>56</v>
      </c>
      <c r="BA25" s="91">
        <f t="shared" si="19"/>
        <v>56</v>
      </c>
      <c r="BB25" s="77">
        <f t="shared" si="20"/>
        <v>100</v>
      </c>
      <c r="BC25" s="78">
        <f t="shared" si="21"/>
        <v>100</v>
      </c>
      <c r="BD25" s="120">
        <f t="shared" si="22"/>
        <v>2</v>
      </c>
      <c r="BE25" s="92">
        <v>125523598</v>
      </c>
      <c r="BF25" s="92">
        <f>3843934+4310048</f>
        <v>8153982</v>
      </c>
      <c r="BG25" s="114">
        <v>7240850</v>
      </c>
      <c r="BH25" s="94">
        <f t="shared" si="23"/>
        <v>133677580</v>
      </c>
      <c r="BI25" s="77">
        <f t="shared" si="24"/>
        <v>5.4166525157023342</v>
      </c>
      <c r="BJ25" s="95" t="str">
        <f t="shared" si="25"/>
        <v>금융업</v>
      </c>
      <c r="BK25" s="96">
        <f t="shared" si="26"/>
        <v>2.7106886075318837</v>
      </c>
      <c r="BL25" s="97">
        <f t="shared" si="27"/>
        <v>2.7059639081704505</v>
      </c>
      <c r="BM25" s="98">
        <f t="shared" si="28"/>
        <v>40</v>
      </c>
      <c r="BN25" s="99">
        <f t="shared" si="29"/>
        <v>0.8</v>
      </c>
      <c r="BO25" s="114">
        <v>0</v>
      </c>
      <c r="BP25" s="101">
        <f t="shared" si="30"/>
        <v>0</v>
      </c>
      <c r="BQ25" s="78">
        <f t="shared" si="31"/>
        <v>25</v>
      </c>
      <c r="BR25" s="120">
        <f t="shared" si="32"/>
        <v>0.25</v>
      </c>
      <c r="BS25" s="102">
        <v>12814286.68</v>
      </c>
      <c r="BT25" s="102">
        <v>0</v>
      </c>
      <c r="BU25" s="103">
        <f t="shared" si="33"/>
        <v>12814286.68</v>
      </c>
      <c r="BV25" s="77">
        <f t="shared" si="34"/>
        <v>0.31748300879864255</v>
      </c>
      <c r="BW25" s="96">
        <f t="shared" si="35"/>
        <v>0.39407896396795111</v>
      </c>
      <c r="BX25" s="96">
        <f t="shared" si="36"/>
        <v>5.8669403482987268E-3</v>
      </c>
      <c r="BY25" s="96">
        <f t="shared" si="37"/>
        <v>1.5698937849002932</v>
      </c>
      <c r="BZ25" s="96">
        <f t="shared" si="38"/>
        <v>51.945688678407031</v>
      </c>
      <c r="CA25" s="96">
        <f t="shared" si="39"/>
        <v>55</v>
      </c>
      <c r="CB25" s="104">
        <f t="shared" si="40"/>
        <v>1.1000000000000001</v>
      </c>
      <c r="CC25" s="123" t="s">
        <v>2200</v>
      </c>
      <c r="CD25" s="124" t="s">
        <v>2200</v>
      </c>
      <c r="CE25" s="125"/>
      <c r="CF25" s="126" t="s">
        <v>2201</v>
      </c>
      <c r="CG25" s="127">
        <v>0.55000000000000004</v>
      </c>
      <c r="CH25" s="126" t="s">
        <v>2201</v>
      </c>
      <c r="CI25" s="128">
        <f>IF((100-(75*(CG25-1)/9))&gt;100,100,IF((100-(75*(CG25-1)/9))&lt;25,25,(100-(75*(CG25-1)/9))))</f>
        <v>100</v>
      </c>
      <c r="CJ25" s="129">
        <f t="shared" si="41"/>
        <v>4</v>
      </c>
      <c r="CK25" s="116" t="s">
        <v>2194</v>
      </c>
      <c r="CL25" s="116" t="s">
        <v>2191</v>
      </c>
      <c r="CM25" s="111">
        <f t="shared" si="42"/>
        <v>85</v>
      </c>
      <c r="CN25" s="130">
        <f t="shared" si="43"/>
        <v>2.5499999999999998</v>
      </c>
      <c r="CO25" s="114">
        <v>217465000</v>
      </c>
      <c r="CP25" s="88">
        <f t="shared" si="44"/>
        <v>13.896721608630788</v>
      </c>
      <c r="CQ25" s="78">
        <f t="shared" si="45"/>
        <v>60</v>
      </c>
      <c r="CR25" s="120">
        <f t="shared" si="46"/>
        <v>2.4</v>
      </c>
      <c r="CS25" s="92">
        <f>_xlfn.XLOOKUP(C25, '[1]1-1. 관계사체무보증금액 (환율 등)'!$3:$3, '[1]1-1. 관계사체무보증금액 (환율 등)'!$33:$33)</f>
        <v>15000000</v>
      </c>
      <c r="CT25" s="77">
        <f t="shared" si="47"/>
        <v>0.95854884293776854</v>
      </c>
      <c r="CU25" s="78">
        <f t="shared" si="48"/>
        <v>100</v>
      </c>
      <c r="CV25" s="131">
        <f t="shared" si="49"/>
        <v>3</v>
      </c>
      <c r="CW25" s="112">
        <f t="shared" si="50"/>
        <v>26.779004493236297</v>
      </c>
    </row>
    <row r="26" spans="1:101" x14ac:dyDescent="0.35">
      <c r="A26" s="7" t="s">
        <v>259</v>
      </c>
      <c r="B26" s="8" t="s">
        <v>260</v>
      </c>
      <c r="C26" s="21" t="s">
        <v>261</v>
      </c>
      <c r="D26" s="25" t="s">
        <v>262</v>
      </c>
      <c r="E26" s="11" t="s">
        <v>263</v>
      </c>
      <c r="F26" s="11" t="s">
        <v>264</v>
      </c>
      <c r="G26" s="12">
        <v>27667</v>
      </c>
      <c r="H26" s="11" t="s">
        <v>24</v>
      </c>
      <c r="I26" s="11" t="s">
        <v>265</v>
      </c>
      <c r="J26" s="11" t="s">
        <v>266</v>
      </c>
      <c r="K26" s="11" t="s">
        <v>27</v>
      </c>
      <c r="L26" s="23">
        <v>50402862000</v>
      </c>
      <c r="M26" s="14">
        <v>43550273000</v>
      </c>
      <c r="N26" s="14">
        <v>6852589000</v>
      </c>
      <c r="O26" s="14">
        <v>10731117000</v>
      </c>
      <c r="P26" s="14">
        <v>550151000</v>
      </c>
      <c r="Q26" s="14">
        <v>480268000</v>
      </c>
      <c r="R26" s="14">
        <v>338500000</v>
      </c>
      <c r="S26" s="15">
        <v>331665921</v>
      </c>
      <c r="T26" s="15">
        <v>683671</v>
      </c>
      <c r="U26" s="15">
        <v>188452535</v>
      </c>
      <c r="V26" s="15">
        <v>0</v>
      </c>
      <c r="W26" s="15">
        <f>16697+500+1000*4+5+8356+850+50+1+5297+3000+1300+919+5000+100+10+61+1800</f>
        <v>47946</v>
      </c>
      <c r="X26" s="15">
        <v>0</v>
      </c>
      <c r="Z26" s="15">
        <v>0</v>
      </c>
      <c r="AA26" s="15">
        <v>0</v>
      </c>
      <c r="AB26" s="74">
        <f t="shared" si="0"/>
        <v>188500481</v>
      </c>
      <c r="AC26" s="75">
        <f t="shared" si="1"/>
        <v>56.834443656935143</v>
      </c>
      <c r="AD26" s="75">
        <f t="shared" si="2"/>
        <v>51.034714910585322</v>
      </c>
      <c r="AE26" s="119">
        <f t="shared" si="3"/>
        <v>2.0413885964234129</v>
      </c>
      <c r="AF26" s="77">
        <f t="shared" si="4"/>
        <v>56.937353891334055</v>
      </c>
      <c r="AG26" s="77">
        <f t="shared" si="5"/>
        <v>56.951839864524459</v>
      </c>
      <c r="AH26" s="77">
        <f t="shared" si="6"/>
        <v>1.4485973190403456E-2</v>
      </c>
      <c r="AI26" s="78">
        <f t="shared" si="7"/>
        <v>100</v>
      </c>
      <c r="AJ26" s="120">
        <f t="shared" si="8"/>
        <v>5</v>
      </c>
      <c r="AK26" s="113">
        <v>8</v>
      </c>
      <c r="AL26" s="113">
        <v>53</v>
      </c>
      <c r="AM26" s="113">
        <v>0</v>
      </c>
      <c r="AN26" s="81">
        <f t="shared" si="9"/>
        <v>61</v>
      </c>
      <c r="AO26" s="82">
        <f t="shared" si="10"/>
        <v>0</v>
      </c>
      <c r="AP26" s="83">
        <f t="shared" si="11"/>
        <v>100</v>
      </c>
      <c r="AQ26" s="121">
        <f t="shared" si="12"/>
        <v>3</v>
      </c>
      <c r="AR26" s="118">
        <v>5</v>
      </c>
      <c r="AS26" s="86">
        <f t="shared" si="13"/>
        <v>0.5</v>
      </c>
      <c r="AT26" s="87">
        <f t="shared" si="14"/>
        <v>4</v>
      </c>
      <c r="AU26" s="87">
        <f t="shared" si="15"/>
        <v>4</v>
      </c>
      <c r="AV26" s="88">
        <f t="shared" si="16"/>
        <v>12.5</v>
      </c>
      <c r="AW26" s="78">
        <f t="shared" si="17"/>
        <v>60</v>
      </c>
      <c r="AX26" s="122">
        <f t="shared" si="18"/>
        <v>1.2</v>
      </c>
      <c r="AY26" s="114">
        <v>13</v>
      </c>
      <c r="AZ26" s="114">
        <f>13*5-2</f>
        <v>63</v>
      </c>
      <c r="BA26" s="91">
        <f t="shared" si="19"/>
        <v>65</v>
      </c>
      <c r="BB26" s="77">
        <f t="shared" si="20"/>
        <v>96.92307692307692</v>
      </c>
      <c r="BC26" s="78">
        <f t="shared" si="21"/>
        <v>100</v>
      </c>
      <c r="BD26" s="120">
        <f t="shared" si="22"/>
        <v>2</v>
      </c>
      <c r="BE26" s="92">
        <v>316982000</v>
      </c>
      <c r="BF26" s="92">
        <v>52377000</v>
      </c>
      <c r="BG26" s="114">
        <v>18234000</v>
      </c>
      <c r="BH26" s="94">
        <f t="shared" si="23"/>
        <v>369359000</v>
      </c>
      <c r="BI26" s="77">
        <f t="shared" si="24"/>
        <v>4.9366605389336664</v>
      </c>
      <c r="BJ26" s="95" t="str">
        <f t="shared" si="25"/>
        <v>금융업</v>
      </c>
      <c r="BK26" s="96">
        <f t="shared" si="26"/>
        <v>2.7106886075318837</v>
      </c>
      <c r="BL26" s="97">
        <f t="shared" si="27"/>
        <v>2.2259719314017827</v>
      </c>
      <c r="BM26" s="98">
        <f t="shared" si="28"/>
        <v>40</v>
      </c>
      <c r="BN26" s="99">
        <f t="shared" si="29"/>
        <v>0.8</v>
      </c>
      <c r="BO26" s="114">
        <v>0</v>
      </c>
      <c r="BP26" s="101">
        <f t="shared" si="30"/>
        <v>0</v>
      </c>
      <c r="BQ26" s="78">
        <f t="shared" si="31"/>
        <v>25</v>
      </c>
      <c r="BR26" s="120">
        <f t="shared" si="32"/>
        <v>0.25</v>
      </c>
      <c r="BS26" s="102">
        <v>55221000</v>
      </c>
      <c r="BT26" s="102">
        <v>1158000</v>
      </c>
      <c r="BU26" s="103">
        <f t="shared" si="33"/>
        <v>54063000</v>
      </c>
      <c r="BV26" s="77">
        <f t="shared" si="34"/>
        <v>0.50379657588301385</v>
      </c>
      <c r="BW26" s="96">
        <f t="shared" si="35"/>
        <v>0.39407896396795111</v>
      </c>
      <c r="BX26" s="96">
        <f t="shared" si="36"/>
        <v>1.2037954364344317E-2</v>
      </c>
      <c r="BY26" s="96">
        <f t="shared" si="37"/>
        <v>1.5698937849002932</v>
      </c>
      <c r="BZ26" s="96">
        <f t="shared" si="38"/>
        <v>47.214118036137464</v>
      </c>
      <c r="CA26" s="96">
        <f t="shared" si="39"/>
        <v>55</v>
      </c>
      <c r="CB26" s="104">
        <f t="shared" si="40"/>
        <v>1.1000000000000001</v>
      </c>
      <c r="CC26" s="123" t="s">
        <v>2200</v>
      </c>
      <c r="CD26" s="124" t="s">
        <v>2200</v>
      </c>
      <c r="CE26" s="125"/>
      <c r="CF26" s="126" t="s">
        <v>2201</v>
      </c>
      <c r="CG26" s="127">
        <v>1.23</v>
      </c>
      <c r="CH26" s="126" t="s">
        <v>2201</v>
      </c>
      <c r="CI26" s="128">
        <f>IF((100-(75*(CG26-1)/9))&gt;100,100,IF((100-(75*(CG26-1)/9))&lt;25,25,(100-(75*(CG26-1)/9))))</f>
        <v>98.083333333333329</v>
      </c>
      <c r="CJ26" s="129">
        <f t="shared" si="41"/>
        <v>3.9233333333333333</v>
      </c>
      <c r="CK26" s="116" t="s">
        <v>2212</v>
      </c>
      <c r="CL26" s="116" t="s">
        <v>2191</v>
      </c>
      <c r="CM26" s="111">
        <f t="shared" si="42"/>
        <v>85</v>
      </c>
      <c r="CN26" s="130">
        <f t="shared" si="43"/>
        <v>2.5499999999999998</v>
      </c>
      <c r="CO26" s="114">
        <v>867009000</v>
      </c>
      <c r="CP26" s="88">
        <f t="shared" si="44"/>
        <v>12.652283684312602</v>
      </c>
      <c r="CQ26" s="78">
        <f t="shared" si="45"/>
        <v>60</v>
      </c>
      <c r="CR26" s="120">
        <f t="shared" si="46"/>
        <v>2.4</v>
      </c>
      <c r="CS26" s="92">
        <f>_xlfn.XLOOKUP(C26, '[1]1-1. 관계사체무보증금액 (환율 등)'!$3:$3, '[1]1-1. 관계사체무보증금액 (환율 등)'!$33:$33)</f>
        <v>530000000</v>
      </c>
      <c r="CT26" s="77">
        <f t="shared" si="47"/>
        <v>7.7343030495481342</v>
      </c>
      <c r="CU26" s="78">
        <f t="shared" si="48"/>
        <v>80</v>
      </c>
      <c r="CV26" s="131">
        <f t="shared" si="49"/>
        <v>2.4</v>
      </c>
      <c r="CW26" s="112">
        <f t="shared" si="50"/>
        <v>26.664721929756745</v>
      </c>
    </row>
    <row r="27" spans="1:101" x14ac:dyDescent="0.35">
      <c r="A27" s="7" t="s">
        <v>328</v>
      </c>
      <c r="B27" s="8" t="s">
        <v>329</v>
      </c>
      <c r="C27" s="21" t="s">
        <v>330</v>
      </c>
      <c r="D27" s="25" t="s">
        <v>262</v>
      </c>
      <c r="E27" s="11" t="s">
        <v>263</v>
      </c>
      <c r="F27" s="11" t="s">
        <v>331</v>
      </c>
      <c r="G27" s="12">
        <v>31675</v>
      </c>
      <c r="H27" s="11" t="s">
        <v>24</v>
      </c>
      <c r="I27" s="11" t="s">
        <v>332</v>
      </c>
      <c r="J27" s="11" t="s">
        <v>333</v>
      </c>
      <c r="K27" s="11" t="s">
        <v>27</v>
      </c>
      <c r="L27" s="23">
        <v>5612706908</v>
      </c>
      <c r="M27" s="14">
        <v>5005166436</v>
      </c>
      <c r="N27" s="14">
        <v>607540471</v>
      </c>
      <c r="O27" s="14">
        <v>1137658845</v>
      </c>
      <c r="P27" s="14">
        <v>12048913</v>
      </c>
      <c r="Q27" s="14">
        <v>5565314</v>
      </c>
      <c r="R27" s="14">
        <v>4440548</v>
      </c>
      <c r="S27" s="15">
        <v>472590171</v>
      </c>
      <c r="T27" s="15">
        <v>58683968</v>
      </c>
      <c r="U27" s="15">
        <v>92609439</v>
      </c>
      <c r="V27" s="15">
        <v>0</v>
      </c>
      <c r="W27" s="15">
        <f>16548+240+238+176+228+204+217+2000+176+43770</f>
        <v>63797</v>
      </c>
      <c r="X27" s="15">
        <v>0</v>
      </c>
      <c r="Z27" s="15">
        <v>0</v>
      </c>
      <c r="AA27" s="15">
        <v>0</v>
      </c>
      <c r="AB27" s="74">
        <f t="shared" si="0"/>
        <v>92673236</v>
      </c>
      <c r="AC27" s="75">
        <f t="shared" si="1"/>
        <v>19.609641013883888</v>
      </c>
      <c r="AD27" s="75">
        <f t="shared" si="2"/>
        <v>83.16198991897248</v>
      </c>
      <c r="AE27" s="119">
        <f t="shared" si="3"/>
        <v>3.3264795967588991</v>
      </c>
      <c r="AF27" s="77">
        <f t="shared" si="4"/>
        <v>22.37449893931645</v>
      </c>
      <c r="AG27" s="77">
        <f t="shared" si="5"/>
        <v>22.389912334800162</v>
      </c>
      <c r="AH27" s="77">
        <f t="shared" si="6"/>
        <v>1.5413395483712122E-2</v>
      </c>
      <c r="AI27" s="78">
        <f t="shared" si="7"/>
        <v>100</v>
      </c>
      <c r="AJ27" s="120">
        <f t="shared" si="8"/>
        <v>5</v>
      </c>
      <c r="AK27" s="113">
        <v>8</v>
      </c>
      <c r="AL27" s="113">
        <v>98</v>
      </c>
      <c r="AM27" s="113">
        <v>0</v>
      </c>
      <c r="AN27" s="81">
        <f t="shared" si="9"/>
        <v>106</v>
      </c>
      <c r="AO27" s="82">
        <f t="shared" si="10"/>
        <v>0</v>
      </c>
      <c r="AP27" s="83">
        <f t="shared" si="11"/>
        <v>100</v>
      </c>
      <c r="AQ27" s="121">
        <f t="shared" si="12"/>
        <v>3</v>
      </c>
      <c r="AR27" s="118">
        <v>5</v>
      </c>
      <c r="AS27" s="86">
        <f t="shared" si="13"/>
        <v>0.5</v>
      </c>
      <c r="AT27" s="87">
        <f t="shared" si="14"/>
        <v>4</v>
      </c>
      <c r="AU27" s="87">
        <f t="shared" si="15"/>
        <v>4</v>
      </c>
      <c r="AV27" s="88">
        <f t="shared" si="16"/>
        <v>12.5</v>
      </c>
      <c r="AW27" s="78">
        <f t="shared" si="17"/>
        <v>60</v>
      </c>
      <c r="AX27" s="122">
        <f t="shared" si="18"/>
        <v>1.2</v>
      </c>
      <c r="AY27" s="114">
        <v>9</v>
      </c>
      <c r="AZ27" s="114">
        <v>45</v>
      </c>
      <c r="BA27" s="91">
        <f t="shared" si="19"/>
        <v>45</v>
      </c>
      <c r="BB27" s="77">
        <f t="shared" si="20"/>
        <v>100</v>
      </c>
      <c r="BC27" s="78">
        <f t="shared" si="21"/>
        <v>100</v>
      </c>
      <c r="BD27" s="120">
        <f t="shared" si="22"/>
        <v>2</v>
      </c>
      <c r="BE27" s="92">
        <v>105515000</v>
      </c>
      <c r="BF27" s="92">
        <v>11294000</v>
      </c>
      <c r="BG27" s="114">
        <v>7385000</v>
      </c>
      <c r="BH27" s="94">
        <f t="shared" si="23"/>
        <v>116809000</v>
      </c>
      <c r="BI27" s="77">
        <f t="shared" si="24"/>
        <v>6.3222868100916889</v>
      </c>
      <c r="BJ27" s="95" t="str">
        <f t="shared" si="25"/>
        <v>금융업</v>
      </c>
      <c r="BK27" s="96">
        <f t="shared" si="26"/>
        <v>2.7106886075318837</v>
      </c>
      <c r="BL27" s="97">
        <f t="shared" si="27"/>
        <v>3.6115982025598052</v>
      </c>
      <c r="BM27" s="98">
        <f t="shared" si="28"/>
        <v>40</v>
      </c>
      <c r="BN27" s="99">
        <f t="shared" si="29"/>
        <v>0.8</v>
      </c>
      <c r="BO27" s="114">
        <v>0</v>
      </c>
      <c r="BP27" s="101">
        <f t="shared" si="30"/>
        <v>0</v>
      </c>
      <c r="BQ27" s="78">
        <f t="shared" si="31"/>
        <v>25</v>
      </c>
      <c r="BR27" s="120">
        <f t="shared" si="32"/>
        <v>0.25</v>
      </c>
      <c r="BS27" s="102">
        <v>7734953.2489999998</v>
      </c>
      <c r="BT27" s="102">
        <v>27948.984</v>
      </c>
      <c r="BU27" s="103">
        <f t="shared" si="33"/>
        <v>7707004.2649999997</v>
      </c>
      <c r="BV27" s="77">
        <f t="shared" si="34"/>
        <v>0.67744423549047339</v>
      </c>
      <c r="BW27" s="96">
        <f t="shared" si="35"/>
        <v>0.39407896396795111</v>
      </c>
      <c r="BX27" s="96">
        <f t="shared" si="36"/>
        <v>8.0295877105032776E-2</v>
      </c>
      <c r="BY27" s="96">
        <f t="shared" si="37"/>
        <v>1.5698937849002932</v>
      </c>
      <c r="BZ27" s="96">
        <f t="shared" si="38"/>
        <v>42.838016636844458</v>
      </c>
      <c r="CA27" s="96">
        <f t="shared" si="39"/>
        <v>55</v>
      </c>
      <c r="CB27" s="104">
        <f t="shared" si="40"/>
        <v>1.1000000000000001</v>
      </c>
      <c r="CC27" s="123" t="s">
        <v>2200</v>
      </c>
      <c r="CD27" s="124" t="s">
        <v>2200</v>
      </c>
      <c r="CE27" s="125"/>
      <c r="CF27" s="126" t="s">
        <v>2201</v>
      </c>
      <c r="CG27" s="127">
        <v>4.41</v>
      </c>
      <c r="CH27" s="126" t="s">
        <v>2201</v>
      </c>
      <c r="CI27" s="128">
        <f>IF((100-(75*(CG27-1)/9))&gt;100,100,IF((100-(75*(CG27-1)/9))&lt;25,25,(100-(75*(CG27-1)/9))))</f>
        <v>71.583333333333329</v>
      </c>
      <c r="CJ27" s="129">
        <f t="shared" si="41"/>
        <v>2.8633333333333333</v>
      </c>
      <c r="CK27" s="116" t="s">
        <v>2213</v>
      </c>
      <c r="CL27" s="116" t="s">
        <v>2196</v>
      </c>
      <c r="CM27" s="111">
        <f t="shared" si="42"/>
        <v>55</v>
      </c>
      <c r="CN27" s="130">
        <f t="shared" si="43"/>
        <v>1.65</v>
      </c>
      <c r="CO27" s="114">
        <v>264955000</v>
      </c>
      <c r="CP27" s="88">
        <f t="shared" si="44"/>
        <v>43.611086445630384</v>
      </c>
      <c r="CQ27" s="78">
        <f t="shared" si="45"/>
        <v>40</v>
      </c>
      <c r="CR27" s="120">
        <f t="shared" si="46"/>
        <v>1.6</v>
      </c>
      <c r="CS27" s="92">
        <f>_xlfn.XLOOKUP(C27, '[1]1-1. 관계사체무보증금액 (환율 등)'!$3:$3, '[1]1-1. 관계사체무보증금액 (환율 등)'!$33:$33)</f>
        <v>0</v>
      </c>
      <c r="CT27" s="77">
        <f t="shared" si="47"/>
        <v>0</v>
      </c>
      <c r="CU27" s="78">
        <f t="shared" si="48"/>
        <v>100</v>
      </c>
      <c r="CV27" s="131">
        <f t="shared" si="49"/>
        <v>3</v>
      </c>
      <c r="CW27" s="112">
        <f t="shared" si="50"/>
        <v>25.789812930092232</v>
      </c>
    </row>
    <row r="28" spans="1:101" x14ac:dyDescent="0.35">
      <c r="A28" s="7" t="s">
        <v>524</v>
      </c>
      <c r="B28" s="8" t="s">
        <v>525</v>
      </c>
      <c r="C28" s="21" t="s">
        <v>526</v>
      </c>
      <c r="D28" s="25" t="s">
        <v>262</v>
      </c>
      <c r="E28" s="11" t="s">
        <v>263</v>
      </c>
      <c r="F28" s="11" t="s">
        <v>527</v>
      </c>
      <c r="G28" s="12">
        <v>35388</v>
      </c>
      <c r="H28" s="11" t="s">
        <v>24</v>
      </c>
      <c r="I28" s="11" t="s">
        <v>528</v>
      </c>
      <c r="J28" s="11" t="s">
        <v>529</v>
      </c>
      <c r="K28" s="11" t="s">
        <v>27</v>
      </c>
      <c r="L28" s="23">
        <v>3939974802</v>
      </c>
      <c r="M28" s="14">
        <v>3279267721</v>
      </c>
      <c r="N28" s="14">
        <v>660707081</v>
      </c>
      <c r="O28" s="14">
        <v>1268326077</v>
      </c>
      <c r="P28" s="14">
        <v>46098647</v>
      </c>
      <c r="Q28" s="14">
        <v>67910650</v>
      </c>
      <c r="R28" s="14">
        <v>48368439</v>
      </c>
      <c r="S28" s="15">
        <v>60314092</v>
      </c>
      <c r="T28" s="15">
        <v>1748746</v>
      </c>
      <c r="U28" s="15">
        <v>15117755</v>
      </c>
      <c r="V28" s="15">
        <v>0</v>
      </c>
      <c r="W28" s="15">
        <f>160000+43266+120336+25000+12385+10000+33319+13319+21470+2265+5000+37550+27702+60000+2265+10000+993+5381+21470+1398+5000+10000+5000+20000</f>
        <v>653119</v>
      </c>
      <c r="X28" s="15">
        <v>0</v>
      </c>
      <c r="Z28" s="15">
        <v>0</v>
      </c>
      <c r="AA28" s="15">
        <v>0</v>
      </c>
      <c r="AB28" s="74">
        <f t="shared" si="0"/>
        <v>15770874</v>
      </c>
      <c r="AC28" s="75">
        <f t="shared" si="1"/>
        <v>26.147909181821056</v>
      </c>
      <c r="AD28" s="75">
        <f t="shared" si="2"/>
        <v>77.519065723399549</v>
      </c>
      <c r="AE28" s="119">
        <f t="shared" si="3"/>
        <v>3.100762628935982</v>
      </c>
      <c r="AF28" s="77">
        <f t="shared" si="4"/>
        <v>25.81348191812954</v>
      </c>
      <c r="AG28" s="77">
        <f t="shared" si="5"/>
        <v>26.928678949493445</v>
      </c>
      <c r="AH28" s="77">
        <f t="shared" si="6"/>
        <v>1.1151970313639055</v>
      </c>
      <c r="AI28" s="78">
        <f t="shared" si="7"/>
        <v>100</v>
      </c>
      <c r="AJ28" s="120">
        <f t="shared" si="8"/>
        <v>5</v>
      </c>
      <c r="AK28" s="113">
        <v>9</v>
      </c>
      <c r="AL28" s="113">
        <v>36</v>
      </c>
      <c r="AM28" s="113">
        <v>1</v>
      </c>
      <c r="AN28" s="81">
        <f t="shared" si="9"/>
        <v>45</v>
      </c>
      <c r="AO28" s="82">
        <f t="shared" si="10"/>
        <v>2.2222222222222223</v>
      </c>
      <c r="AP28" s="83">
        <f t="shared" si="11"/>
        <v>100</v>
      </c>
      <c r="AQ28" s="121">
        <f t="shared" si="12"/>
        <v>3</v>
      </c>
      <c r="AR28" s="118">
        <v>5</v>
      </c>
      <c r="AS28" s="86">
        <f t="shared" si="13"/>
        <v>0.5</v>
      </c>
      <c r="AT28" s="87">
        <f t="shared" si="14"/>
        <v>4.5</v>
      </c>
      <c r="AU28" s="87">
        <f t="shared" si="15"/>
        <v>4</v>
      </c>
      <c r="AV28" s="88">
        <f t="shared" si="16"/>
        <v>11.111111111111111</v>
      </c>
      <c r="AW28" s="78">
        <f t="shared" si="17"/>
        <v>60</v>
      </c>
      <c r="AX28" s="122">
        <f t="shared" si="18"/>
        <v>1.2</v>
      </c>
      <c r="AY28" s="114">
        <v>8</v>
      </c>
      <c r="AZ28" s="114">
        <f>40-4</f>
        <v>36</v>
      </c>
      <c r="BA28" s="91">
        <f t="shared" si="19"/>
        <v>40</v>
      </c>
      <c r="BB28" s="77">
        <f t="shared" si="20"/>
        <v>90</v>
      </c>
      <c r="BC28" s="78">
        <f t="shared" si="21"/>
        <v>100</v>
      </c>
      <c r="BD28" s="120">
        <f t="shared" si="22"/>
        <v>2</v>
      </c>
      <c r="BE28" s="92">
        <v>83113000</v>
      </c>
      <c r="BF28" s="92">
        <v>10059000</v>
      </c>
      <c r="BG28" s="114">
        <v>8958000</v>
      </c>
      <c r="BH28" s="94">
        <f t="shared" si="23"/>
        <v>93172000</v>
      </c>
      <c r="BI28" s="77">
        <f t="shared" si="24"/>
        <v>9.6144764521530082</v>
      </c>
      <c r="BJ28" s="95" t="str">
        <f t="shared" si="25"/>
        <v>금융업</v>
      </c>
      <c r="BK28" s="96">
        <f t="shared" si="26"/>
        <v>2.7106886075318837</v>
      </c>
      <c r="BL28" s="97">
        <f t="shared" si="27"/>
        <v>6.9037878446211245</v>
      </c>
      <c r="BM28" s="98">
        <f t="shared" si="28"/>
        <v>40</v>
      </c>
      <c r="BN28" s="99">
        <f t="shared" si="29"/>
        <v>0.8</v>
      </c>
      <c r="BO28" s="114">
        <v>0</v>
      </c>
      <c r="BP28" s="101">
        <f t="shared" si="30"/>
        <v>0</v>
      </c>
      <c r="BQ28" s="78">
        <f t="shared" si="31"/>
        <v>25</v>
      </c>
      <c r="BR28" s="120">
        <f t="shared" si="32"/>
        <v>0.25</v>
      </c>
      <c r="BS28" s="102">
        <v>1590973.22</v>
      </c>
      <c r="BT28" s="102">
        <v>1836</v>
      </c>
      <c r="BU28" s="103">
        <f t="shared" si="33"/>
        <v>1589137.22</v>
      </c>
      <c r="BV28" s="77">
        <f t="shared" si="34"/>
        <v>0.12529405874543098</v>
      </c>
      <c r="BW28" s="96">
        <f t="shared" si="35"/>
        <v>0.39407896396795111</v>
      </c>
      <c r="BX28" s="96">
        <f t="shared" si="36"/>
        <v>7.2245325275479125E-2</v>
      </c>
      <c r="BY28" s="96">
        <f t="shared" si="37"/>
        <v>1.5698937849002932</v>
      </c>
      <c r="BZ28" s="96">
        <f t="shared" si="38"/>
        <v>56.797152664660679</v>
      </c>
      <c r="CA28" s="96">
        <f t="shared" si="39"/>
        <v>55</v>
      </c>
      <c r="CB28" s="104">
        <f t="shared" si="40"/>
        <v>1.1000000000000001</v>
      </c>
      <c r="CC28" s="123" t="s">
        <v>2200</v>
      </c>
      <c r="CD28" s="124" t="s">
        <v>2200</v>
      </c>
      <c r="CE28" s="125"/>
      <c r="CF28" s="126" t="s">
        <v>2201</v>
      </c>
      <c r="CG28" s="127">
        <v>7.3</v>
      </c>
      <c r="CH28" s="126" t="s">
        <v>2201</v>
      </c>
      <c r="CI28" s="128">
        <f>IF((100-(75*(CG28-1)/9))&gt;100,100,IF((100-(75*(CG28-1)/9))&lt;25,25,(100-(75*(CG28-1)/9))))</f>
        <v>47.5</v>
      </c>
      <c r="CJ28" s="129">
        <f t="shared" si="41"/>
        <v>1.9000000000000001</v>
      </c>
      <c r="CK28" s="116" t="s">
        <v>2216</v>
      </c>
      <c r="CL28" s="116" t="s">
        <v>2191</v>
      </c>
      <c r="CM28" s="111">
        <f t="shared" si="42"/>
        <v>85</v>
      </c>
      <c r="CN28" s="130">
        <f t="shared" si="43"/>
        <v>2.5499999999999998</v>
      </c>
      <c r="CO28" s="114">
        <v>409745000</v>
      </c>
      <c r="CP28" s="88">
        <f t="shared" si="44"/>
        <v>62.016135710221029</v>
      </c>
      <c r="CQ28" s="78">
        <f t="shared" si="45"/>
        <v>40</v>
      </c>
      <c r="CR28" s="120">
        <f t="shared" si="46"/>
        <v>1.6</v>
      </c>
      <c r="CS28" s="92">
        <f>_xlfn.XLOOKUP(C28, '[1]1-1. 관계사체무보증금액 (환율 등)'!$3:$3, '[1]1-1. 관계사체무보증금액 (환율 등)'!$33:$33)</f>
        <v>0</v>
      </c>
      <c r="CT28" s="77">
        <f t="shared" si="47"/>
        <v>0</v>
      </c>
      <c r="CU28" s="78">
        <f t="shared" si="48"/>
        <v>100</v>
      </c>
      <c r="CV28" s="131">
        <f t="shared" si="49"/>
        <v>3</v>
      </c>
      <c r="CW28" s="112">
        <f t="shared" si="50"/>
        <v>25.500762628935984</v>
      </c>
    </row>
    <row r="29" spans="1:101" x14ac:dyDescent="0.35">
      <c r="A29" s="7" t="s">
        <v>1676</v>
      </c>
      <c r="B29" s="8" t="s">
        <v>1677</v>
      </c>
      <c r="C29" s="21" t="s">
        <v>1678</v>
      </c>
      <c r="D29" s="10" t="s">
        <v>31</v>
      </c>
      <c r="E29" s="11" t="s">
        <v>317</v>
      </c>
      <c r="F29" s="11" t="s">
        <v>1679</v>
      </c>
      <c r="G29" s="12">
        <v>32283</v>
      </c>
      <c r="H29" s="11" t="s">
        <v>24</v>
      </c>
      <c r="I29" s="11" t="s">
        <v>1680</v>
      </c>
      <c r="J29" s="11" t="s">
        <v>1681</v>
      </c>
      <c r="K29" s="11" t="s">
        <v>27</v>
      </c>
      <c r="L29" s="23">
        <v>112694189</v>
      </c>
      <c r="M29" s="14">
        <v>32982274</v>
      </c>
      <c r="N29" s="14">
        <v>79711915</v>
      </c>
      <c r="O29" s="14">
        <v>60181807</v>
      </c>
      <c r="P29" s="14">
        <v>8873367</v>
      </c>
      <c r="Q29" s="14">
        <v>5968958</v>
      </c>
      <c r="R29" s="14">
        <v>10884761</v>
      </c>
      <c r="S29" s="15">
        <v>60016964</v>
      </c>
      <c r="T29" s="15">
        <v>12950</v>
      </c>
      <c r="U29" s="15">
        <v>5328105</v>
      </c>
      <c r="V29" s="15">
        <f>226539+9930+17000</f>
        <v>253469</v>
      </c>
      <c r="W29" s="15">
        <f>50000+2000</f>
        <v>52000</v>
      </c>
      <c r="X29" s="15">
        <v>0</v>
      </c>
      <c r="Z29" s="15">
        <v>0</v>
      </c>
      <c r="AA29" s="15">
        <v>0</v>
      </c>
      <c r="AB29" s="74">
        <f t="shared" si="0"/>
        <v>5633574</v>
      </c>
      <c r="AC29" s="75">
        <f t="shared" si="1"/>
        <v>9.3866360850908759</v>
      </c>
      <c r="AD29" s="75">
        <f t="shared" si="2"/>
        <v>91.985066669944587</v>
      </c>
      <c r="AE29" s="76">
        <f t="shared" ref="AE29:AE92" si="53">AD29*0.03</f>
        <v>2.7595520000983376</v>
      </c>
      <c r="AF29" s="77">
        <f t="shared" si="4"/>
        <v>9.3020010294644635</v>
      </c>
      <c r="AG29" s="77">
        <f t="shared" si="5"/>
        <v>9.3886618985189898</v>
      </c>
      <c r="AH29" s="77">
        <f t="shared" si="6"/>
        <v>8.6660869054526302E-2</v>
      </c>
      <c r="AI29" s="78">
        <f t="shared" si="7"/>
        <v>100</v>
      </c>
      <c r="AJ29" s="79">
        <f t="shared" ref="AJ29:AJ92" si="54">AI29*0.04</f>
        <v>4</v>
      </c>
      <c r="AK29" s="113">
        <v>6</v>
      </c>
      <c r="AL29" s="113">
        <v>3</v>
      </c>
      <c r="AM29" s="113">
        <v>1</v>
      </c>
      <c r="AN29" s="81">
        <f t="shared" si="9"/>
        <v>9</v>
      </c>
      <c r="AO29" s="82">
        <f t="shared" si="10"/>
        <v>11.111111111111111</v>
      </c>
      <c r="AP29" s="83">
        <f t="shared" si="11"/>
        <v>80</v>
      </c>
      <c r="AQ29" s="84">
        <f t="shared" ref="AQ29:AQ92" si="55">AP29*0.02</f>
        <v>1.6</v>
      </c>
      <c r="AR29" s="118">
        <v>2</v>
      </c>
      <c r="AS29" s="86">
        <f t="shared" si="13"/>
        <v>0.25</v>
      </c>
      <c r="AT29" s="87">
        <f t="shared" si="14"/>
        <v>1.5</v>
      </c>
      <c r="AU29" s="87">
        <f t="shared" si="15"/>
        <v>1</v>
      </c>
      <c r="AV29" s="88">
        <f t="shared" si="16"/>
        <v>16.666666666666664</v>
      </c>
      <c r="AW29" s="78">
        <f t="shared" si="17"/>
        <v>60</v>
      </c>
      <c r="AX29" s="89">
        <f t="shared" ref="AX29:AX92" si="56">AW29*0.01</f>
        <v>0.6</v>
      </c>
      <c r="AY29" s="114">
        <v>7</v>
      </c>
      <c r="AZ29" s="114">
        <v>13</v>
      </c>
      <c r="BA29" s="91">
        <f t="shared" si="19"/>
        <v>14</v>
      </c>
      <c r="BB29" s="77">
        <f t="shared" si="20"/>
        <v>92.857142857142861</v>
      </c>
      <c r="BC29" s="78">
        <f t="shared" si="21"/>
        <v>100</v>
      </c>
      <c r="BD29" s="79">
        <f t="shared" ref="BD29:BD92" si="57">BC29*0.01</f>
        <v>1</v>
      </c>
      <c r="BE29" s="92">
        <v>3510165</v>
      </c>
      <c r="BF29" s="92">
        <v>360527</v>
      </c>
      <c r="BG29" s="93">
        <v>0</v>
      </c>
      <c r="BH29" s="94">
        <f t="shared" si="23"/>
        <v>3870692</v>
      </c>
      <c r="BI29" s="77">
        <f t="shared" si="24"/>
        <v>0</v>
      </c>
      <c r="BJ29" s="95" t="str">
        <f t="shared" si="25"/>
        <v>식약/섬유/종이업</v>
      </c>
      <c r="BK29" s="96">
        <f t="shared" si="26"/>
        <v>2.1999360555264453</v>
      </c>
      <c r="BL29" s="97">
        <f t="shared" si="27"/>
        <v>-2.1999360555264453</v>
      </c>
      <c r="BM29" s="98">
        <f t="shared" si="28"/>
        <v>100</v>
      </c>
      <c r="BN29" s="99">
        <f t="shared" si="29"/>
        <v>2</v>
      </c>
      <c r="BO29" s="114">
        <v>6884000</v>
      </c>
      <c r="BP29" s="101">
        <f t="shared" si="30"/>
        <v>11.43867282017637</v>
      </c>
      <c r="BQ29" s="78">
        <f t="shared" si="31"/>
        <v>100</v>
      </c>
      <c r="BR29" s="79">
        <f t="shared" ref="BR29:BR92" si="58">BQ29*0.02</f>
        <v>2</v>
      </c>
      <c r="BS29" s="102">
        <v>18948532.175999999</v>
      </c>
      <c r="BT29" s="102">
        <v>3700</v>
      </c>
      <c r="BU29" s="103">
        <f t="shared" si="33"/>
        <v>18944832.175999999</v>
      </c>
      <c r="BV29" s="77">
        <f t="shared" si="34"/>
        <v>31.479334238003187</v>
      </c>
      <c r="BW29" s="96">
        <f t="shared" si="35"/>
        <v>5.0508176117342298</v>
      </c>
      <c r="BX29" s="96">
        <f t="shared" si="36"/>
        <v>698.46649106497478</v>
      </c>
      <c r="BY29" s="96">
        <f t="shared" si="37"/>
        <v>6.9871618081220923</v>
      </c>
      <c r="BZ29" s="96">
        <f t="shared" si="38"/>
        <v>7.7649431704962524E-3</v>
      </c>
      <c r="CA29" s="96">
        <f t="shared" si="39"/>
        <v>100</v>
      </c>
      <c r="CB29" s="104">
        <f t="shared" si="40"/>
        <v>2</v>
      </c>
      <c r="CC29" s="105">
        <f t="shared" ref="CC29:CC92" si="59">(M29/N29)*100</f>
        <v>41.376843098048766</v>
      </c>
      <c r="CD29" s="106">
        <f t="shared" ref="CD29:CD92" si="60">IF((100-(75*(CC29-1)/(200-1)))&gt;100, 100, IF((100-(75*(CC29-1)/(200-1)))&lt;25, 25, (100-(75*(CC29-1)/(200-1)))))</f>
        <v>84.782596822343436</v>
      </c>
      <c r="CE29" s="107">
        <f t="shared" ref="CE29:CE92" si="61">CD29*0.015</f>
        <v>1.2717389523351514</v>
      </c>
      <c r="CF29" s="108" t="s">
        <v>2189</v>
      </c>
      <c r="CG29" s="108" t="s">
        <v>2189</v>
      </c>
      <c r="CH29" s="108" t="s">
        <v>2189</v>
      </c>
      <c r="CI29" s="108" t="s">
        <v>2189</v>
      </c>
      <c r="CJ29" s="109"/>
      <c r="CK29" s="116" t="s">
        <v>2192</v>
      </c>
      <c r="CL29" s="116" t="s">
        <v>2193</v>
      </c>
      <c r="CM29" s="111">
        <f t="shared" si="42"/>
        <v>25</v>
      </c>
      <c r="CN29" s="107">
        <f t="shared" ref="CN29:CN92" si="62">CM29*0.015</f>
        <v>0.375</v>
      </c>
      <c r="CO29" s="114">
        <v>0</v>
      </c>
      <c r="CP29" s="88">
        <f t="shared" si="44"/>
        <v>0</v>
      </c>
      <c r="CQ29" s="78">
        <f t="shared" si="45"/>
        <v>100</v>
      </c>
      <c r="CR29" s="79">
        <f t="shared" ref="CR29:CR92" si="63">CQ29*0.03</f>
        <v>3</v>
      </c>
      <c r="CS29" s="92">
        <f>_xlfn.XLOOKUP(C29, '[1]1-1. 관계사체무보증금액 (환율 등)'!$3:$3, '[1]1-1. 관계사체무보증금액 (환율 등)'!$33:$33)</f>
        <v>0</v>
      </c>
      <c r="CT29" s="77">
        <f t="shared" si="47"/>
        <v>0</v>
      </c>
      <c r="CU29" s="78">
        <f t="shared" si="48"/>
        <v>100</v>
      </c>
      <c r="CV29" s="79">
        <f t="shared" ref="CV29:CV92" si="64">CU29*0.02</f>
        <v>2</v>
      </c>
      <c r="CW29" s="112">
        <f t="shared" si="50"/>
        <v>22.60629095243349</v>
      </c>
    </row>
    <row r="30" spans="1:101" x14ac:dyDescent="0.35">
      <c r="A30" s="7" t="s">
        <v>728</v>
      </c>
      <c r="B30" s="8" t="s">
        <v>729</v>
      </c>
      <c r="C30" s="21" t="s">
        <v>730</v>
      </c>
      <c r="D30" s="10" t="s">
        <v>141</v>
      </c>
      <c r="E30" s="11" t="s">
        <v>429</v>
      </c>
      <c r="F30" s="11" t="s">
        <v>731</v>
      </c>
      <c r="G30" s="12">
        <v>43756</v>
      </c>
      <c r="H30" s="11" t="s">
        <v>24</v>
      </c>
      <c r="I30" s="11" t="s">
        <v>732</v>
      </c>
      <c r="J30" s="11" t="s">
        <v>733</v>
      </c>
      <c r="K30" s="11" t="s">
        <v>734</v>
      </c>
      <c r="L30" s="23">
        <v>1026929716</v>
      </c>
      <c r="M30" s="14">
        <v>503865290</v>
      </c>
      <c r="N30" s="14">
        <v>523064426</v>
      </c>
      <c r="O30" s="14">
        <v>312148721</v>
      </c>
      <c r="P30" s="14">
        <v>7221936</v>
      </c>
      <c r="Q30" s="14">
        <v>4276527</v>
      </c>
      <c r="R30" s="14">
        <v>3863590</v>
      </c>
      <c r="S30" s="15">
        <v>65493726</v>
      </c>
      <c r="T30" s="15">
        <v>11047</v>
      </c>
      <c r="U30" s="15">
        <f>22780229</f>
        <v>22780229</v>
      </c>
      <c r="V30" s="15">
        <f>54310+65229+21274*2+5947+5950+5950+5953+27085+20265+20253</f>
        <v>253490</v>
      </c>
      <c r="W30" s="15">
        <f>20226+1137</f>
        <v>21363</v>
      </c>
      <c r="X30" s="15">
        <v>1706224</v>
      </c>
      <c r="Y30" s="24" t="s">
        <v>2077</v>
      </c>
      <c r="Z30" s="15">
        <v>0</v>
      </c>
      <c r="AA30" s="15">
        <v>0</v>
      </c>
      <c r="AB30" s="74">
        <f t="shared" si="0"/>
        <v>24761306</v>
      </c>
      <c r="AC30" s="75">
        <f t="shared" si="1"/>
        <v>37.807142015404651</v>
      </c>
      <c r="AD30" s="75">
        <f t="shared" si="2"/>
        <v>67.4564366955656</v>
      </c>
      <c r="AE30" s="76">
        <f t="shared" si="53"/>
        <v>2.0236931008669679</v>
      </c>
      <c r="AF30" s="77">
        <f t="shared" si="4"/>
        <v>35.175285055151761</v>
      </c>
      <c r="AG30" s="77">
        <f t="shared" si="5"/>
        <v>37.813520121863064</v>
      </c>
      <c r="AH30" s="77">
        <f t="shared" si="6"/>
        <v>2.638235066711303</v>
      </c>
      <c r="AI30" s="78">
        <f t="shared" si="7"/>
        <v>100</v>
      </c>
      <c r="AJ30" s="79">
        <f t="shared" si="54"/>
        <v>4</v>
      </c>
      <c r="AK30" s="113">
        <v>5</v>
      </c>
      <c r="AL30" s="113">
        <v>6</v>
      </c>
      <c r="AM30" s="113">
        <v>0</v>
      </c>
      <c r="AN30" s="81">
        <f t="shared" si="9"/>
        <v>11</v>
      </c>
      <c r="AO30" s="82">
        <f t="shared" si="10"/>
        <v>0</v>
      </c>
      <c r="AP30" s="83">
        <f t="shared" si="11"/>
        <v>100</v>
      </c>
      <c r="AQ30" s="84">
        <f t="shared" si="55"/>
        <v>2</v>
      </c>
      <c r="AR30" s="118">
        <v>3</v>
      </c>
      <c r="AS30" s="86">
        <f t="shared" si="13"/>
        <v>0.25</v>
      </c>
      <c r="AT30" s="87">
        <f t="shared" si="14"/>
        <v>1.25</v>
      </c>
      <c r="AU30" s="87">
        <f t="shared" si="15"/>
        <v>1</v>
      </c>
      <c r="AV30" s="88">
        <f t="shared" si="16"/>
        <v>40</v>
      </c>
      <c r="AW30" s="78">
        <f t="shared" si="17"/>
        <v>100</v>
      </c>
      <c r="AX30" s="89">
        <f t="shared" si="56"/>
        <v>1</v>
      </c>
      <c r="AY30" s="114">
        <v>8</v>
      </c>
      <c r="AZ30" s="114">
        <v>24</v>
      </c>
      <c r="BA30" s="91">
        <f t="shared" si="19"/>
        <v>24</v>
      </c>
      <c r="BB30" s="77">
        <f t="shared" si="20"/>
        <v>100</v>
      </c>
      <c r="BC30" s="78">
        <f t="shared" si="21"/>
        <v>100</v>
      </c>
      <c r="BD30" s="79">
        <f t="shared" si="57"/>
        <v>1</v>
      </c>
      <c r="BE30" s="92">
        <v>11509683.782</v>
      </c>
      <c r="BF30" s="92">
        <v>2601424.0010000002</v>
      </c>
      <c r="BG30" s="93">
        <v>0</v>
      </c>
      <c r="BH30" s="94">
        <f t="shared" si="23"/>
        <v>14111107.783</v>
      </c>
      <c r="BI30" s="77">
        <f t="shared" si="24"/>
        <v>0</v>
      </c>
      <c r="BJ30" s="95" t="str">
        <f t="shared" si="25"/>
        <v>전기전자/기계업</v>
      </c>
      <c r="BK30" s="96">
        <f t="shared" si="26"/>
        <v>2.4096449716116446</v>
      </c>
      <c r="BL30" s="97">
        <f t="shared" si="27"/>
        <v>-2.4096449716116446</v>
      </c>
      <c r="BM30" s="98">
        <f t="shared" si="28"/>
        <v>100</v>
      </c>
      <c r="BN30" s="99">
        <f t="shared" si="29"/>
        <v>2</v>
      </c>
      <c r="BO30" s="114">
        <v>11229000</v>
      </c>
      <c r="BP30" s="101">
        <f t="shared" si="30"/>
        <v>3.597323725699328</v>
      </c>
      <c r="BQ30" s="78">
        <f t="shared" si="31"/>
        <v>85</v>
      </c>
      <c r="BR30" s="79">
        <f t="shared" si="58"/>
        <v>1.7</v>
      </c>
      <c r="BS30" s="102">
        <v>73811029.033000007</v>
      </c>
      <c r="BT30" s="102">
        <v>44731.55</v>
      </c>
      <c r="BU30" s="103">
        <f t="shared" si="33"/>
        <v>73766297.48300001</v>
      </c>
      <c r="BV30" s="77">
        <f t="shared" si="34"/>
        <v>23.631779507755859</v>
      </c>
      <c r="BW30" s="96">
        <f t="shared" si="35"/>
        <v>5.2309968128308295</v>
      </c>
      <c r="BX30" s="96">
        <f t="shared" si="36"/>
        <v>338.58880378585235</v>
      </c>
      <c r="BY30" s="96">
        <f t="shared" si="37"/>
        <v>7.0695458012309631</v>
      </c>
      <c r="BZ30" s="96">
        <f t="shared" si="38"/>
        <v>0.46229717446819585</v>
      </c>
      <c r="CA30" s="96">
        <f t="shared" si="39"/>
        <v>100</v>
      </c>
      <c r="CB30" s="104">
        <f t="shared" si="40"/>
        <v>2</v>
      </c>
      <c r="CC30" s="105">
        <f t="shared" si="59"/>
        <v>96.329489247276783</v>
      </c>
      <c r="CD30" s="106">
        <f t="shared" si="60"/>
        <v>64.071800534945936</v>
      </c>
      <c r="CE30" s="107">
        <f t="shared" si="61"/>
        <v>0.96107700802418905</v>
      </c>
      <c r="CF30" s="108" t="s">
        <v>2189</v>
      </c>
      <c r="CG30" s="108" t="s">
        <v>2189</v>
      </c>
      <c r="CH30" s="108" t="s">
        <v>2189</v>
      </c>
      <c r="CI30" s="108" t="s">
        <v>2189</v>
      </c>
      <c r="CJ30" s="109"/>
      <c r="CK30" s="116" t="s">
        <v>2217</v>
      </c>
      <c r="CL30" s="116" t="s">
        <v>2209</v>
      </c>
      <c r="CM30" s="111">
        <f t="shared" si="42"/>
        <v>40</v>
      </c>
      <c r="CN30" s="107">
        <f t="shared" si="62"/>
        <v>0.6</v>
      </c>
      <c r="CO30" s="114">
        <v>0</v>
      </c>
      <c r="CP30" s="88">
        <f t="shared" si="44"/>
        <v>0</v>
      </c>
      <c r="CQ30" s="78">
        <f t="shared" si="45"/>
        <v>100</v>
      </c>
      <c r="CR30" s="79">
        <f t="shared" si="63"/>
        <v>3</v>
      </c>
      <c r="CS30" s="92">
        <f>_xlfn.XLOOKUP(C30, '[1]1-1. 관계사체무보증금액 (환율 등)'!$3:$3, '[1]1-1. 관계사체무보증금액 (환율 등)'!$33:$33)</f>
        <v>0</v>
      </c>
      <c r="CT30" s="77">
        <f t="shared" si="47"/>
        <v>0</v>
      </c>
      <c r="CU30" s="78">
        <f t="shared" si="48"/>
        <v>100</v>
      </c>
      <c r="CV30" s="79">
        <f t="shared" si="64"/>
        <v>2</v>
      </c>
      <c r="CW30" s="112">
        <f t="shared" si="50"/>
        <v>22.284770108891159</v>
      </c>
    </row>
    <row r="31" spans="1:101" x14ac:dyDescent="0.35">
      <c r="A31" s="143" t="s">
        <v>919</v>
      </c>
      <c r="B31" s="144" t="s">
        <v>920</v>
      </c>
      <c r="C31" s="145" t="s">
        <v>921</v>
      </c>
      <c r="D31" s="146" t="s">
        <v>141</v>
      </c>
      <c r="E31" s="147" t="s">
        <v>922</v>
      </c>
      <c r="F31" s="147" t="s">
        <v>923</v>
      </c>
      <c r="G31" s="148">
        <v>27556</v>
      </c>
      <c r="H31" s="147" t="s">
        <v>24</v>
      </c>
      <c r="I31" s="147" t="s">
        <v>924</v>
      </c>
      <c r="J31" s="147" t="s">
        <v>925</v>
      </c>
      <c r="K31" s="147" t="s">
        <v>50</v>
      </c>
      <c r="L31" s="149">
        <v>260083750000</v>
      </c>
      <c r="M31" s="150">
        <v>50667559000</v>
      </c>
      <c r="N31" s="150">
        <v>209416191000</v>
      </c>
      <c r="O31" s="150">
        <v>211867483000</v>
      </c>
      <c r="P31" s="150">
        <v>25319329000</v>
      </c>
      <c r="Q31" s="150">
        <v>29691920000</v>
      </c>
      <c r="R31" s="150">
        <v>25418778000</v>
      </c>
      <c r="S31" s="151">
        <v>5969782550</v>
      </c>
      <c r="T31" s="151">
        <v>0</v>
      </c>
      <c r="U31" s="151">
        <f>508157148+10246942+97414196</f>
        <v>615818286</v>
      </c>
      <c r="V31" s="151">
        <f>117302806+55394044+55394044</f>
        <v>228090894</v>
      </c>
      <c r="W31" s="151">
        <f>15000+18050+13000+22500+15000+3655+(98147153-98147153)</f>
        <v>87205</v>
      </c>
      <c r="X31" s="151">
        <f>4484150+1880750</f>
        <v>6364900</v>
      </c>
      <c r="Y31" s="152" t="s">
        <v>2081</v>
      </c>
      <c r="Z31" s="151">
        <f>298818100+88802052</f>
        <v>387620152</v>
      </c>
      <c r="AA31" s="151">
        <v>0</v>
      </c>
      <c r="AB31" s="153">
        <f t="shared" si="0"/>
        <v>1237981437</v>
      </c>
      <c r="AC31" s="154">
        <f t="shared" si="1"/>
        <v>20.737462824336877</v>
      </c>
      <c r="AD31" s="154">
        <f t="shared" si="2"/>
        <v>82.188610911101662</v>
      </c>
      <c r="AE31" s="155">
        <f t="shared" si="53"/>
        <v>2.4656583273330499</v>
      </c>
      <c r="AF31" s="156">
        <f t="shared" si="4"/>
        <v>14.136347060078428</v>
      </c>
      <c r="AG31" s="156">
        <f t="shared" si="5"/>
        <v>20.737462824336877</v>
      </c>
      <c r="AH31" s="156">
        <f t="shared" si="6"/>
        <v>6.6011157642584486</v>
      </c>
      <c r="AI31" s="157">
        <f t="shared" si="7"/>
        <v>100</v>
      </c>
      <c r="AJ31" s="158">
        <f t="shared" si="54"/>
        <v>4</v>
      </c>
      <c r="AK31" s="159">
        <v>11</v>
      </c>
      <c r="AL31" s="159">
        <v>918</v>
      </c>
      <c r="AM31" s="159">
        <v>1</v>
      </c>
      <c r="AN31" s="160">
        <f t="shared" si="9"/>
        <v>929</v>
      </c>
      <c r="AO31" s="161">
        <f t="shared" si="10"/>
        <v>0.1076426264800861</v>
      </c>
      <c r="AP31" s="162">
        <f t="shared" si="11"/>
        <v>100</v>
      </c>
      <c r="AQ31" s="163">
        <f t="shared" si="55"/>
        <v>2</v>
      </c>
      <c r="AR31" s="164">
        <v>6</v>
      </c>
      <c r="AS31" s="165">
        <f t="shared" si="13"/>
        <v>0.5</v>
      </c>
      <c r="AT31" s="164">
        <f t="shared" si="14"/>
        <v>5.5</v>
      </c>
      <c r="AU31" s="164">
        <f t="shared" si="15"/>
        <v>5</v>
      </c>
      <c r="AV31" s="166">
        <f t="shared" si="16"/>
        <v>9.0909090909090917</v>
      </c>
      <c r="AW31" s="157">
        <f t="shared" si="17"/>
        <v>60</v>
      </c>
      <c r="AX31" s="167">
        <f t="shared" si="56"/>
        <v>0.6</v>
      </c>
      <c r="AY31" s="168">
        <v>10</v>
      </c>
      <c r="AZ31" s="168">
        <f>60-7</f>
        <v>53</v>
      </c>
      <c r="BA31" s="169">
        <f t="shared" si="19"/>
        <v>60</v>
      </c>
      <c r="BB31" s="156">
        <f t="shared" si="20"/>
        <v>88.333333333333329</v>
      </c>
      <c r="BC31" s="157">
        <f t="shared" si="21"/>
        <v>75</v>
      </c>
      <c r="BD31" s="158">
        <f t="shared" si="57"/>
        <v>0.75</v>
      </c>
      <c r="BE31" s="170">
        <v>2308767000</v>
      </c>
      <c r="BF31" s="170">
        <v>171358000</v>
      </c>
      <c r="BG31" s="168">
        <v>0</v>
      </c>
      <c r="BH31" s="171">
        <f t="shared" si="23"/>
        <v>2480125000</v>
      </c>
      <c r="BI31" s="156">
        <f t="shared" si="24"/>
        <v>0</v>
      </c>
      <c r="BJ31" s="172" t="str">
        <f t="shared" si="25"/>
        <v>전기전자/기계업</v>
      </c>
      <c r="BK31" s="173">
        <f t="shared" si="26"/>
        <v>2.4096449716116446</v>
      </c>
      <c r="BL31" s="174">
        <f t="shared" si="27"/>
        <v>-2.4096449716116446</v>
      </c>
      <c r="BM31" s="175">
        <f t="shared" si="28"/>
        <v>100</v>
      </c>
      <c r="BN31" s="176">
        <f t="shared" si="29"/>
        <v>2</v>
      </c>
      <c r="BO31" s="168">
        <v>24919198000</v>
      </c>
      <c r="BP31" s="177">
        <f t="shared" si="30"/>
        <v>11.761690679074146</v>
      </c>
      <c r="BQ31" s="157">
        <f t="shared" si="31"/>
        <v>100</v>
      </c>
      <c r="BR31" s="158">
        <f t="shared" si="58"/>
        <v>2</v>
      </c>
      <c r="BS31" s="171">
        <v>39160176000</v>
      </c>
      <c r="BT31" s="171">
        <v>288684000</v>
      </c>
      <c r="BU31" s="178">
        <f t="shared" si="33"/>
        <v>38871492000</v>
      </c>
      <c r="BV31" s="156">
        <f t="shared" si="34"/>
        <v>18.347077828833225</v>
      </c>
      <c r="BW31" s="173">
        <f t="shared" si="35"/>
        <v>5.2309968128308295</v>
      </c>
      <c r="BX31" s="173">
        <f t="shared" si="36"/>
        <v>172.03158121833843</v>
      </c>
      <c r="BY31" s="173">
        <f t="shared" si="37"/>
        <v>7.0695458012309631</v>
      </c>
      <c r="BZ31" s="173">
        <f t="shared" si="38"/>
        <v>3.1777176656525241</v>
      </c>
      <c r="CA31" s="173">
        <f t="shared" si="39"/>
        <v>100</v>
      </c>
      <c r="CB31" s="179">
        <f t="shared" si="40"/>
        <v>2</v>
      </c>
      <c r="CC31" s="180">
        <f t="shared" si="59"/>
        <v>24.194671270665982</v>
      </c>
      <c r="CD31" s="181">
        <f t="shared" si="60"/>
        <v>91.258289722110817</v>
      </c>
      <c r="CE31" s="182">
        <f t="shared" si="61"/>
        <v>1.3688743458316621</v>
      </c>
      <c r="CF31" s="183" t="s">
        <v>2189</v>
      </c>
      <c r="CG31" s="183" t="s">
        <v>2189</v>
      </c>
      <c r="CH31" s="183" t="s">
        <v>2189</v>
      </c>
      <c r="CI31" s="183" t="s">
        <v>2189</v>
      </c>
      <c r="CJ31" s="174"/>
      <c r="CK31" s="184" t="s">
        <v>2225</v>
      </c>
      <c r="CL31" s="184" t="s">
        <v>2191</v>
      </c>
      <c r="CM31" s="185">
        <f t="shared" si="42"/>
        <v>85</v>
      </c>
      <c r="CN31" s="182">
        <f t="shared" si="62"/>
        <v>1.2749999999999999</v>
      </c>
      <c r="CO31" s="168">
        <v>52930614000</v>
      </c>
      <c r="CP31" s="166">
        <f t="shared" si="44"/>
        <v>25.275320760656943</v>
      </c>
      <c r="CQ31" s="157">
        <f t="shared" si="45"/>
        <v>60</v>
      </c>
      <c r="CR31" s="158">
        <f t="shared" si="63"/>
        <v>1.7999999999999998</v>
      </c>
      <c r="CS31" s="170">
        <f>_xlfn.XLOOKUP(C31, '[1]1-1. 관계사체무보증금액 (환율 등)'!$3:$3, '[1]1-1. 관계사체무보증금액 (환율 등)'!$33:$33)</f>
        <v>544906329.11392403</v>
      </c>
      <c r="CT31" s="156">
        <f t="shared" si="47"/>
        <v>0.26020257866017821</v>
      </c>
      <c r="CU31" s="157">
        <f t="shared" si="48"/>
        <v>100</v>
      </c>
      <c r="CV31" s="158">
        <f t="shared" si="64"/>
        <v>2</v>
      </c>
      <c r="CW31" s="186">
        <f t="shared" si="50"/>
        <v>22.25953267316471</v>
      </c>
    </row>
    <row r="32" spans="1:101" x14ac:dyDescent="0.35">
      <c r="A32" s="7" t="s">
        <v>347</v>
      </c>
      <c r="B32" s="8" t="s">
        <v>348</v>
      </c>
      <c r="C32" s="21" t="s">
        <v>349</v>
      </c>
      <c r="D32" s="10" t="s">
        <v>141</v>
      </c>
      <c r="E32" s="11" t="s">
        <v>163</v>
      </c>
      <c r="F32" s="11" t="s">
        <v>350</v>
      </c>
      <c r="G32" s="12">
        <v>35425</v>
      </c>
      <c r="H32" s="11" t="s">
        <v>24</v>
      </c>
      <c r="I32" s="11" t="s">
        <v>351</v>
      </c>
      <c r="J32" s="11" t="s">
        <v>352</v>
      </c>
      <c r="K32" s="11" t="s">
        <v>50</v>
      </c>
      <c r="L32" s="23">
        <v>91800233000</v>
      </c>
      <c r="M32" s="14">
        <v>31637411000</v>
      </c>
      <c r="N32" s="14">
        <v>60162822000</v>
      </c>
      <c r="O32" s="14">
        <v>37878699000</v>
      </c>
      <c r="P32" s="14">
        <v>7660947000</v>
      </c>
      <c r="Q32" s="14">
        <v>4467040000</v>
      </c>
      <c r="R32" s="14">
        <v>2790457000</v>
      </c>
      <c r="S32" s="15">
        <v>728002365</v>
      </c>
      <c r="T32" s="15">
        <v>40351325</v>
      </c>
      <c r="U32" s="15">
        <v>146100000</v>
      </c>
      <c r="V32" s="15">
        <v>0</v>
      </c>
      <c r="W32" s="15">
        <f>18023+2211+1000+920+785+650+785+650*2</f>
        <v>25674</v>
      </c>
      <c r="X32" s="15">
        <v>0</v>
      </c>
      <c r="Z32" s="15">
        <v>0</v>
      </c>
      <c r="AA32" s="15">
        <v>0</v>
      </c>
      <c r="AB32" s="74">
        <f t="shared" si="0"/>
        <v>146125674</v>
      </c>
      <c r="AC32" s="75">
        <f t="shared" si="1"/>
        <v>20.072142760140622</v>
      </c>
      <c r="AD32" s="75">
        <f t="shared" si="2"/>
        <v>82.762822704136397</v>
      </c>
      <c r="AE32" s="76">
        <f t="shared" si="53"/>
        <v>2.4828846811240917</v>
      </c>
      <c r="AF32" s="77">
        <f t="shared" si="4"/>
        <v>21.24624140756044</v>
      </c>
      <c r="AG32" s="77">
        <f t="shared" si="5"/>
        <v>21.249974987313333</v>
      </c>
      <c r="AH32" s="77">
        <f t="shared" si="6"/>
        <v>3.7335797528932346E-3</v>
      </c>
      <c r="AI32" s="78">
        <f t="shared" si="7"/>
        <v>100</v>
      </c>
      <c r="AJ32" s="79">
        <f t="shared" si="54"/>
        <v>4</v>
      </c>
      <c r="AK32" s="113">
        <v>9</v>
      </c>
      <c r="AL32" s="113">
        <v>188</v>
      </c>
      <c r="AM32" s="80">
        <v>1</v>
      </c>
      <c r="AN32" s="81">
        <f t="shared" si="9"/>
        <v>197</v>
      </c>
      <c r="AO32" s="82">
        <f t="shared" si="10"/>
        <v>0.50761421319796951</v>
      </c>
      <c r="AP32" s="83">
        <f t="shared" si="11"/>
        <v>100</v>
      </c>
      <c r="AQ32" s="84">
        <f t="shared" si="55"/>
        <v>2</v>
      </c>
      <c r="AR32" s="118">
        <v>6</v>
      </c>
      <c r="AS32" s="86">
        <f t="shared" si="13"/>
        <v>0.5</v>
      </c>
      <c r="AT32" s="87">
        <f t="shared" si="14"/>
        <v>4.5</v>
      </c>
      <c r="AU32" s="87">
        <f t="shared" si="15"/>
        <v>4</v>
      </c>
      <c r="AV32" s="88">
        <f t="shared" si="16"/>
        <v>22.222222222222221</v>
      </c>
      <c r="AW32" s="78">
        <f t="shared" si="17"/>
        <v>80</v>
      </c>
      <c r="AX32" s="89">
        <f t="shared" si="56"/>
        <v>0.8</v>
      </c>
      <c r="AY32" s="114">
        <v>11</v>
      </c>
      <c r="AZ32" s="114">
        <v>66</v>
      </c>
      <c r="BA32" s="91">
        <f t="shared" si="19"/>
        <v>66</v>
      </c>
      <c r="BB32" s="77">
        <f t="shared" si="20"/>
        <v>100</v>
      </c>
      <c r="BC32" s="78">
        <f t="shared" si="21"/>
        <v>100</v>
      </c>
      <c r="BD32" s="79">
        <f t="shared" si="57"/>
        <v>1</v>
      </c>
      <c r="BE32" s="92">
        <v>560673000</v>
      </c>
      <c r="BF32" s="92">
        <v>37151000</v>
      </c>
      <c r="BG32" s="93">
        <v>0</v>
      </c>
      <c r="BH32" s="94">
        <f t="shared" si="23"/>
        <v>597824000</v>
      </c>
      <c r="BI32" s="77">
        <f t="shared" si="24"/>
        <v>0</v>
      </c>
      <c r="BJ32" s="95" t="str">
        <f t="shared" si="25"/>
        <v>전기전자/기계업</v>
      </c>
      <c r="BK32" s="96">
        <f t="shared" si="26"/>
        <v>2.4096449716116446</v>
      </c>
      <c r="BL32" s="97">
        <f t="shared" si="27"/>
        <v>-2.4096449716116446</v>
      </c>
      <c r="BM32" s="98">
        <f t="shared" si="28"/>
        <v>100</v>
      </c>
      <c r="BN32" s="99">
        <f t="shared" si="29"/>
        <v>2</v>
      </c>
      <c r="BO32" s="114">
        <v>4905334000</v>
      </c>
      <c r="BP32" s="101">
        <f t="shared" si="30"/>
        <v>12.950112146143139</v>
      </c>
      <c r="BQ32" s="78">
        <f t="shared" si="31"/>
        <v>100</v>
      </c>
      <c r="BR32" s="79">
        <f t="shared" si="58"/>
        <v>2</v>
      </c>
      <c r="BS32" s="102">
        <v>15585906000</v>
      </c>
      <c r="BT32" s="102">
        <v>231593000</v>
      </c>
      <c r="BU32" s="103">
        <f t="shared" si="33"/>
        <v>15354313000</v>
      </c>
      <c r="BV32" s="77">
        <f t="shared" si="34"/>
        <v>40.535481432453636</v>
      </c>
      <c r="BW32" s="96">
        <f t="shared" si="35"/>
        <v>5.2309968128308295</v>
      </c>
      <c r="BX32" s="96">
        <f t="shared" si="36"/>
        <v>1246.4066342571832</v>
      </c>
      <c r="BY32" s="96">
        <f t="shared" si="37"/>
        <v>7.0695458012309631</v>
      </c>
      <c r="BZ32" s="96">
        <f t="shared" si="38"/>
        <v>2.958862744817381E-5</v>
      </c>
      <c r="CA32" s="96">
        <f t="shared" si="39"/>
        <v>100</v>
      </c>
      <c r="CB32" s="104">
        <f t="shared" si="40"/>
        <v>2</v>
      </c>
      <c r="CC32" s="105">
        <f t="shared" si="59"/>
        <v>52.586314850722928</v>
      </c>
      <c r="CD32" s="106">
        <f t="shared" si="60"/>
        <v>80.557921538672261</v>
      </c>
      <c r="CE32" s="107">
        <f t="shared" si="61"/>
        <v>1.208368823080084</v>
      </c>
      <c r="CF32" s="108" t="s">
        <v>2189</v>
      </c>
      <c r="CG32" s="108" t="s">
        <v>2189</v>
      </c>
      <c r="CH32" s="108" t="s">
        <v>2189</v>
      </c>
      <c r="CI32" s="108" t="s">
        <v>2189</v>
      </c>
      <c r="CJ32" s="109"/>
      <c r="CK32" s="116" t="s">
        <v>2215</v>
      </c>
      <c r="CL32" s="116" t="s">
        <v>2196</v>
      </c>
      <c r="CM32" s="111">
        <f t="shared" si="42"/>
        <v>55</v>
      </c>
      <c r="CN32" s="107">
        <f t="shared" si="62"/>
        <v>0.82499999999999996</v>
      </c>
      <c r="CO32" s="114">
        <v>12966201000</v>
      </c>
      <c r="CP32" s="88">
        <f t="shared" si="44"/>
        <v>21.551849745346054</v>
      </c>
      <c r="CQ32" s="78">
        <f t="shared" si="45"/>
        <v>60</v>
      </c>
      <c r="CR32" s="79">
        <f t="shared" si="63"/>
        <v>1.7999999999999998</v>
      </c>
      <c r="CS32" s="92">
        <f>_xlfn.XLOOKUP(C32, '[1]1-1. 관계사체무보증금액 (환율 등)'!$3:$3, '[1]1-1. 관계사체무보증금액 (환율 등)'!$33:$33)</f>
        <v>341378596.08745682</v>
      </c>
      <c r="CT32" s="77">
        <f t="shared" si="47"/>
        <v>0.56742450692797763</v>
      </c>
      <c r="CU32" s="78">
        <f t="shared" si="48"/>
        <v>100</v>
      </c>
      <c r="CV32" s="79">
        <f t="shared" si="64"/>
        <v>2</v>
      </c>
      <c r="CW32" s="112">
        <f t="shared" si="50"/>
        <v>22.116253504204174</v>
      </c>
    </row>
    <row r="33" spans="1:101" x14ac:dyDescent="0.35">
      <c r="A33" s="7" t="s">
        <v>1252</v>
      </c>
      <c r="B33" s="8" t="s">
        <v>1253</v>
      </c>
      <c r="C33" s="21" t="s">
        <v>1254</v>
      </c>
      <c r="D33" s="10" t="s">
        <v>21</v>
      </c>
      <c r="E33" s="11" t="s">
        <v>1255</v>
      </c>
      <c r="F33" s="11" t="s">
        <v>1256</v>
      </c>
      <c r="G33" s="12">
        <v>35094</v>
      </c>
      <c r="H33" s="11" t="s">
        <v>24</v>
      </c>
      <c r="I33" s="11" t="s">
        <v>1257</v>
      </c>
      <c r="J33" s="11" t="s">
        <v>1258</v>
      </c>
      <c r="K33" s="11" t="s">
        <v>27</v>
      </c>
      <c r="L33" s="23">
        <v>1985699161</v>
      </c>
      <c r="M33" s="14">
        <v>512258282</v>
      </c>
      <c r="N33" s="14">
        <v>1473440879</v>
      </c>
      <c r="O33" s="14">
        <v>2427260264</v>
      </c>
      <c r="P33" s="14">
        <v>192825146</v>
      </c>
      <c r="Q33" s="14">
        <v>188400341</v>
      </c>
      <c r="R33" s="14">
        <v>141531341</v>
      </c>
      <c r="S33" s="15">
        <v>37999178</v>
      </c>
      <c r="T33" s="15">
        <v>4188939</v>
      </c>
      <c r="U33" s="15">
        <v>9747383</v>
      </c>
      <c r="V33" s="15">
        <v>0</v>
      </c>
      <c r="W33" s="15">
        <f>57+20</f>
        <v>77</v>
      </c>
      <c r="X33" s="15">
        <v>0</v>
      </c>
      <c r="Z33" s="15">
        <v>0</v>
      </c>
      <c r="AA33" s="15">
        <v>0</v>
      </c>
      <c r="AB33" s="74">
        <f t="shared" si="0"/>
        <v>9747460</v>
      </c>
      <c r="AC33" s="75">
        <f t="shared" si="1"/>
        <v>25.651765414504489</v>
      </c>
      <c r="AD33" s="75">
        <f t="shared" si="2"/>
        <v>77.947268054225134</v>
      </c>
      <c r="AE33" s="76">
        <f t="shared" si="53"/>
        <v>2.3384180416267539</v>
      </c>
      <c r="AF33" s="77">
        <f t="shared" si="4"/>
        <v>28.829677897278394</v>
      </c>
      <c r="AG33" s="77">
        <f t="shared" si="5"/>
        <v>28.829905638939728</v>
      </c>
      <c r="AH33" s="77">
        <f t="shared" si="6"/>
        <v>2.2774166133388007E-4</v>
      </c>
      <c r="AI33" s="78">
        <f t="shared" si="7"/>
        <v>100</v>
      </c>
      <c r="AJ33" s="79">
        <f t="shared" si="54"/>
        <v>4</v>
      </c>
      <c r="AK33" s="113">
        <v>10</v>
      </c>
      <c r="AL33" s="113">
        <v>26</v>
      </c>
      <c r="AM33" s="113">
        <v>0</v>
      </c>
      <c r="AN33" s="81">
        <f t="shared" si="9"/>
        <v>36</v>
      </c>
      <c r="AO33" s="82">
        <f t="shared" si="10"/>
        <v>0</v>
      </c>
      <c r="AP33" s="83">
        <f t="shared" si="11"/>
        <v>100</v>
      </c>
      <c r="AQ33" s="84">
        <f t="shared" si="55"/>
        <v>2</v>
      </c>
      <c r="AR33" s="118">
        <v>2</v>
      </c>
      <c r="AS33" s="86">
        <f t="shared" si="13"/>
        <v>0.25</v>
      </c>
      <c r="AT33" s="87">
        <f t="shared" si="14"/>
        <v>2.5</v>
      </c>
      <c r="AU33" s="87">
        <f t="shared" si="15"/>
        <v>2</v>
      </c>
      <c r="AV33" s="88">
        <f t="shared" si="16"/>
        <v>0</v>
      </c>
      <c r="AW33" s="78">
        <f t="shared" si="17"/>
        <v>40</v>
      </c>
      <c r="AX33" s="89">
        <f t="shared" si="56"/>
        <v>0.4</v>
      </c>
      <c r="AY33" s="114">
        <v>7</v>
      </c>
      <c r="AZ33" s="114">
        <v>14</v>
      </c>
      <c r="BA33" s="91">
        <f t="shared" si="19"/>
        <v>14</v>
      </c>
      <c r="BB33" s="77">
        <f t="shared" si="20"/>
        <v>100</v>
      </c>
      <c r="BC33" s="78">
        <f t="shared" si="21"/>
        <v>100</v>
      </c>
      <c r="BD33" s="79">
        <f t="shared" si="57"/>
        <v>1</v>
      </c>
      <c r="BE33" s="92">
        <v>214457565.42300001</v>
      </c>
      <c r="BF33" s="92">
        <v>29750959.107999999</v>
      </c>
      <c r="BG33" s="93">
        <v>0</v>
      </c>
      <c r="BH33" s="94">
        <f t="shared" si="23"/>
        <v>244208524.53100002</v>
      </c>
      <c r="BI33" s="77">
        <f t="shared" si="24"/>
        <v>0</v>
      </c>
      <c r="BJ33" s="95" t="str">
        <f t="shared" si="25"/>
        <v>비제조/서비스업</v>
      </c>
      <c r="BK33" s="96">
        <f t="shared" si="26"/>
        <v>1.7464434573900922</v>
      </c>
      <c r="BL33" s="97">
        <f t="shared" si="27"/>
        <v>-1.7464434573900922</v>
      </c>
      <c r="BM33" s="98">
        <f t="shared" si="28"/>
        <v>80</v>
      </c>
      <c r="BN33" s="99">
        <f t="shared" si="29"/>
        <v>1.6</v>
      </c>
      <c r="BO33" s="114">
        <v>21552000</v>
      </c>
      <c r="BP33" s="101">
        <f t="shared" si="30"/>
        <v>0.88791467151871939</v>
      </c>
      <c r="BQ33" s="78">
        <f t="shared" si="31"/>
        <v>70</v>
      </c>
      <c r="BR33" s="79">
        <f t="shared" si="58"/>
        <v>1.4000000000000001</v>
      </c>
      <c r="BS33" s="102">
        <v>149334212.597</v>
      </c>
      <c r="BT33" s="102">
        <v>17116380.903999999</v>
      </c>
      <c r="BU33" s="103">
        <f t="shared" si="33"/>
        <v>132217831.693</v>
      </c>
      <c r="BV33" s="77">
        <f t="shared" si="34"/>
        <v>5.4472045562642641</v>
      </c>
      <c r="BW33" s="96">
        <f t="shared" si="35"/>
        <v>2.8482825397737606</v>
      </c>
      <c r="BX33" s="96">
        <f t="shared" si="36"/>
        <v>6.7543956477990656</v>
      </c>
      <c r="BY33" s="96">
        <f t="shared" si="37"/>
        <v>5.5697595856656807</v>
      </c>
      <c r="BZ33" s="96">
        <f t="shared" si="38"/>
        <v>32.03884058720913</v>
      </c>
      <c r="CA33" s="96">
        <f t="shared" si="39"/>
        <v>70</v>
      </c>
      <c r="CB33" s="104">
        <f t="shared" si="40"/>
        <v>1.4000000000000001</v>
      </c>
      <c r="CC33" s="105">
        <f t="shared" si="59"/>
        <v>34.766123928071089</v>
      </c>
      <c r="CD33" s="106">
        <f t="shared" si="60"/>
        <v>87.274073896455619</v>
      </c>
      <c r="CE33" s="107">
        <f t="shared" si="61"/>
        <v>1.3091111084468343</v>
      </c>
      <c r="CF33" s="108" t="s">
        <v>2189</v>
      </c>
      <c r="CG33" s="108" t="s">
        <v>2189</v>
      </c>
      <c r="CH33" s="108" t="s">
        <v>2189</v>
      </c>
      <c r="CI33" s="108" t="s">
        <v>2189</v>
      </c>
      <c r="CJ33" s="109"/>
      <c r="CK33" s="116" t="s">
        <v>2229</v>
      </c>
      <c r="CL33" s="116" t="s">
        <v>2198</v>
      </c>
      <c r="CM33" s="111">
        <f t="shared" si="42"/>
        <v>100</v>
      </c>
      <c r="CN33" s="107">
        <f t="shared" si="62"/>
        <v>1.5</v>
      </c>
      <c r="CO33" s="114">
        <v>8477000</v>
      </c>
      <c r="CP33" s="88">
        <f t="shared" si="44"/>
        <v>0.57531999558429525</v>
      </c>
      <c r="CQ33" s="78">
        <f t="shared" si="45"/>
        <v>100</v>
      </c>
      <c r="CR33" s="79">
        <f t="shared" si="63"/>
        <v>3</v>
      </c>
      <c r="CS33" s="92">
        <f>_xlfn.XLOOKUP(C33, '[1]1-1. 관계사체무보증금액 (환율 등)'!$3:$3, '[1]1-1. 관계사체무보증금액 (환율 등)'!$33:$33)</f>
        <v>0</v>
      </c>
      <c r="CT33" s="77">
        <f t="shared" si="47"/>
        <v>0</v>
      </c>
      <c r="CU33" s="78">
        <f t="shared" si="48"/>
        <v>100</v>
      </c>
      <c r="CV33" s="79">
        <f t="shared" si="64"/>
        <v>2</v>
      </c>
      <c r="CW33" s="112">
        <f t="shared" si="50"/>
        <v>21.947529150073589</v>
      </c>
    </row>
    <row r="34" spans="1:101" x14ac:dyDescent="0.35">
      <c r="A34" s="7" t="s">
        <v>1430</v>
      </c>
      <c r="B34" s="8" t="s">
        <v>1431</v>
      </c>
      <c r="C34" s="21" t="s">
        <v>1432</v>
      </c>
      <c r="D34" s="22" t="s">
        <v>21</v>
      </c>
      <c r="E34" s="11" t="s">
        <v>1433</v>
      </c>
      <c r="F34" s="11" t="s">
        <v>1434</v>
      </c>
      <c r="G34" s="12">
        <v>44440</v>
      </c>
      <c r="H34" s="11" t="s">
        <v>24</v>
      </c>
      <c r="I34" s="11" t="s">
        <v>1435</v>
      </c>
      <c r="J34" s="11" t="s">
        <v>1436</v>
      </c>
      <c r="K34" s="11" t="s">
        <v>734</v>
      </c>
      <c r="L34" s="23">
        <v>342505451</v>
      </c>
      <c r="M34" s="14">
        <v>27786558</v>
      </c>
      <c r="N34" s="14">
        <v>314718893</v>
      </c>
      <c r="O34" s="14">
        <v>109080826</v>
      </c>
      <c r="P34" s="14">
        <v>2772988</v>
      </c>
      <c r="Q34" s="14">
        <v>8635778</v>
      </c>
      <c r="R34" s="14">
        <v>7043345</v>
      </c>
      <c r="S34" s="15">
        <v>36313190</v>
      </c>
      <c r="T34" s="15">
        <v>0</v>
      </c>
      <c r="U34" s="15">
        <v>21627500</v>
      </c>
      <c r="V34" s="15">
        <v>0</v>
      </c>
      <c r="W34" s="15">
        <v>0</v>
      </c>
      <c r="X34" s="15">
        <v>0</v>
      </c>
      <c r="Z34" s="15">
        <v>0</v>
      </c>
      <c r="AA34" s="15">
        <v>0</v>
      </c>
      <c r="AB34" s="74">
        <f t="shared" si="0"/>
        <v>21627500</v>
      </c>
      <c r="AC34" s="75">
        <f t="shared" si="1"/>
        <v>59.558248669422873</v>
      </c>
      <c r="AD34" s="75">
        <f t="shared" si="2"/>
        <v>48.683905060912366</v>
      </c>
      <c r="AE34" s="76">
        <f t="shared" si="53"/>
        <v>1.460517151827371</v>
      </c>
      <c r="AF34" s="77">
        <f t="shared" si="4"/>
        <v>59.558248669422873</v>
      </c>
      <c r="AG34" s="77">
        <f t="shared" si="5"/>
        <v>59.558248669422873</v>
      </c>
      <c r="AH34" s="77">
        <f t="shared" si="6"/>
        <v>0</v>
      </c>
      <c r="AI34" s="78">
        <f t="shared" si="7"/>
        <v>100</v>
      </c>
      <c r="AJ34" s="79">
        <f t="shared" si="54"/>
        <v>4</v>
      </c>
      <c r="AK34" s="113">
        <v>4</v>
      </c>
      <c r="AL34" s="113">
        <v>6</v>
      </c>
      <c r="AM34" s="113">
        <v>0</v>
      </c>
      <c r="AN34" s="81">
        <f t="shared" si="9"/>
        <v>10</v>
      </c>
      <c r="AO34" s="82">
        <f t="shared" si="10"/>
        <v>0</v>
      </c>
      <c r="AP34" s="83">
        <f t="shared" si="11"/>
        <v>100</v>
      </c>
      <c r="AQ34" s="84">
        <f t="shared" si="55"/>
        <v>2</v>
      </c>
      <c r="AR34" s="118">
        <v>1</v>
      </c>
      <c r="AS34" s="86">
        <f t="shared" si="13"/>
        <v>0.25</v>
      </c>
      <c r="AT34" s="87">
        <f t="shared" si="14"/>
        <v>1</v>
      </c>
      <c r="AU34" s="87">
        <f t="shared" si="15"/>
        <v>1</v>
      </c>
      <c r="AV34" s="88">
        <f t="shared" si="16"/>
        <v>0</v>
      </c>
      <c r="AW34" s="78">
        <f t="shared" si="17"/>
        <v>40</v>
      </c>
      <c r="AX34" s="89">
        <f t="shared" si="56"/>
        <v>0.4</v>
      </c>
      <c r="AY34" s="114">
        <v>10</v>
      </c>
      <c r="AZ34" s="114">
        <v>9</v>
      </c>
      <c r="BA34" s="91">
        <f t="shared" si="19"/>
        <v>10</v>
      </c>
      <c r="BB34" s="77">
        <f t="shared" si="20"/>
        <v>90</v>
      </c>
      <c r="BC34" s="78">
        <f t="shared" si="21"/>
        <v>100</v>
      </c>
      <c r="BD34" s="79">
        <f t="shared" si="57"/>
        <v>1</v>
      </c>
      <c r="BE34" s="92">
        <v>3972216</v>
      </c>
      <c r="BF34" s="92">
        <v>293864</v>
      </c>
      <c r="BG34" s="93">
        <v>0</v>
      </c>
      <c r="BH34" s="94">
        <f t="shared" si="23"/>
        <v>4266080</v>
      </c>
      <c r="BI34" s="77">
        <f t="shared" si="24"/>
        <v>0</v>
      </c>
      <c r="BJ34" s="95" t="str">
        <f t="shared" si="25"/>
        <v>비제조/서비스업</v>
      </c>
      <c r="BK34" s="96">
        <f t="shared" si="26"/>
        <v>1.7464434573900922</v>
      </c>
      <c r="BL34" s="97">
        <f t="shared" si="27"/>
        <v>-1.7464434573900922</v>
      </c>
      <c r="BM34" s="98">
        <f t="shared" si="28"/>
        <v>80</v>
      </c>
      <c r="BN34" s="99">
        <f t="shared" si="29"/>
        <v>1.6</v>
      </c>
      <c r="BO34" s="114">
        <f>(13505-8018)*1000</f>
        <v>5487000</v>
      </c>
      <c r="BP34" s="101">
        <f t="shared" si="30"/>
        <v>5.0302149343826938</v>
      </c>
      <c r="BQ34" s="78">
        <f t="shared" si="31"/>
        <v>100</v>
      </c>
      <c r="BR34" s="79">
        <f t="shared" si="58"/>
        <v>2</v>
      </c>
      <c r="BS34" s="102">
        <v>15501801.864</v>
      </c>
      <c r="BT34" s="102">
        <v>25822.455000000002</v>
      </c>
      <c r="BU34" s="103">
        <f t="shared" si="33"/>
        <v>15475979.409</v>
      </c>
      <c r="BV34" s="77">
        <f t="shared" si="34"/>
        <v>14.187625796856359</v>
      </c>
      <c r="BW34" s="96">
        <f t="shared" si="35"/>
        <v>2.8482825397737606</v>
      </c>
      <c r="BX34" s="96">
        <f t="shared" si="36"/>
        <v>128.58070550194458</v>
      </c>
      <c r="BY34" s="96">
        <f t="shared" si="37"/>
        <v>5.5697595856656807</v>
      </c>
      <c r="BZ34" s="96">
        <f t="shared" si="38"/>
        <v>2.0881373603994779</v>
      </c>
      <c r="CA34" s="96">
        <f t="shared" si="39"/>
        <v>100</v>
      </c>
      <c r="CB34" s="104">
        <f t="shared" si="40"/>
        <v>2</v>
      </c>
      <c r="CC34" s="105">
        <f t="shared" si="59"/>
        <v>8.8290085590762413</v>
      </c>
      <c r="CD34" s="106">
        <f t="shared" si="60"/>
        <v>97.049368633513978</v>
      </c>
      <c r="CE34" s="107">
        <f t="shared" si="61"/>
        <v>1.4557405295027097</v>
      </c>
      <c r="CF34" s="108" t="s">
        <v>2189</v>
      </c>
      <c r="CG34" s="108" t="s">
        <v>2189</v>
      </c>
      <c r="CH34" s="108" t="s">
        <v>2189</v>
      </c>
      <c r="CI34" s="108" t="s">
        <v>2189</v>
      </c>
      <c r="CJ34" s="109"/>
      <c r="CK34" s="116" t="s">
        <v>2195</v>
      </c>
      <c r="CL34" s="116" t="s">
        <v>2196</v>
      </c>
      <c r="CM34" s="111">
        <f t="shared" si="42"/>
        <v>55</v>
      </c>
      <c r="CN34" s="107">
        <f t="shared" si="62"/>
        <v>0.82499999999999996</v>
      </c>
      <c r="CO34" s="114">
        <v>0</v>
      </c>
      <c r="CP34" s="88">
        <f t="shared" si="44"/>
        <v>0</v>
      </c>
      <c r="CQ34" s="78">
        <f t="shared" si="45"/>
        <v>100</v>
      </c>
      <c r="CR34" s="79">
        <f t="shared" si="63"/>
        <v>3</v>
      </c>
      <c r="CS34" s="92">
        <f>_xlfn.XLOOKUP(C34, '[1]1-1. 관계사체무보증금액 (환율 등)'!$3:$3, '[1]1-1. 관계사체무보증금액 (환율 등)'!$33:$33)</f>
        <v>2000000</v>
      </c>
      <c r="CT34" s="77">
        <f t="shared" si="47"/>
        <v>0.63548774620276771</v>
      </c>
      <c r="CU34" s="78">
        <f t="shared" si="48"/>
        <v>100</v>
      </c>
      <c r="CV34" s="79">
        <f t="shared" si="64"/>
        <v>2</v>
      </c>
      <c r="CW34" s="112">
        <f t="shared" si="50"/>
        <v>21.74125768133008</v>
      </c>
    </row>
    <row r="35" spans="1:101" x14ac:dyDescent="0.35">
      <c r="A35" s="7" t="s">
        <v>674</v>
      </c>
      <c r="B35" s="8" t="s">
        <v>675</v>
      </c>
      <c r="C35" s="21" t="s">
        <v>676</v>
      </c>
      <c r="D35" s="10" t="s">
        <v>31</v>
      </c>
      <c r="E35" s="11" t="s">
        <v>183</v>
      </c>
      <c r="F35" s="11" t="s">
        <v>677</v>
      </c>
      <c r="G35" s="12">
        <v>41372</v>
      </c>
      <c r="H35" s="11" t="s">
        <v>24</v>
      </c>
      <c r="I35" s="11" t="s">
        <v>678</v>
      </c>
      <c r="J35" s="11" t="s">
        <v>679</v>
      </c>
      <c r="K35" s="11" t="s">
        <v>27</v>
      </c>
      <c r="L35" s="23">
        <v>1135143086</v>
      </c>
      <c r="M35" s="14">
        <v>463178728</v>
      </c>
      <c r="N35" s="14">
        <v>671964358</v>
      </c>
      <c r="O35" s="14">
        <v>635839633</v>
      </c>
      <c r="P35" s="14">
        <v>30527351</v>
      </c>
      <c r="Q35" s="14">
        <v>13547054</v>
      </c>
      <c r="R35" s="14">
        <v>9019750</v>
      </c>
      <c r="S35" s="15">
        <v>8446588</v>
      </c>
      <c r="T35" s="15">
        <v>40562</v>
      </c>
      <c r="U35" s="15">
        <v>28210</v>
      </c>
      <c r="V35" s="15">
        <v>0</v>
      </c>
      <c r="W35" s="15">
        <f>2697+601+1144+370+290+50+295</f>
        <v>5447</v>
      </c>
      <c r="X35" s="15">
        <f>29754+45338</f>
        <v>75092</v>
      </c>
      <c r="Y35" s="24" t="s">
        <v>2073</v>
      </c>
      <c r="Z35" s="15">
        <v>1968765</v>
      </c>
      <c r="AA35" s="15">
        <v>0</v>
      </c>
      <c r="AB35" s="74">
        <f t="shared" si="0"/>
        <v>2077514</v>
      </c>
      <c r="AC35" s="75">
        <f t="shared" si="1"/>
        <v>24.595895999662822</v>
      </c>
      <c r="AD35" s="75">
        <f t="shared" si="2"/>
        <v>78.858547756332428</v>
      </c>
      <c r="AE35" s="76">
        <f t="shared" si="53"/>
        <v>2.3657564326899729</v>
      </c>
      <c r="AF35" s="77">
        <f t="shared" si="4"/>
        <v>0.33559258560466027</v>
      </c>
      <c r="AG35" s="77">
        <f t="shared" si="5"/>
        <v>24.714579755047154</v>
      </c>
      <c r="AH35" s="77">
        <f t="shared" si="6"/>
        <v>24.378987169442492</v>
      </c>
      <c r="AI35" s="78">
        <f t="shared" si="7"/>
        <v>80</v>
      </c>
      <c r="AJ35" s="79">
        <f t="shared" si="54"/>
        <v>3.2</v>
      </c>
      <c r="AK35" s="113">
        <v>7</v>
      </c>
      <c r="AL35" s="113">
        <v>22</v>
      </c>
      <c r="AM35" s="113">
        <v>0</v>
      </c>
      <c r="AN35" s="81">
        <f t="shared" si="9"/>
        <v>29</v>
      </c>
      <c r="AO35" s="82">
        <f t="shared" si="10"/>
        <v>0</v>
      </c>
      <c r="AP35" s="83">
        <f t="shared" si="11"/>
        <v>100</v>
      </c>
      <c r="AQ35" s="84">
        <f t="shared" si="55"/>
        <v>2</v>
      </c>
      <c r="AR35" s="118">
        <v>4</v>
      </c>
      <c r="AS35" s="86">
        <f t="shared" si="13"/>
        <v>0.25</v>
      </c>
      <c r="AT35" s="87">
        <f t="shared" si="14"/>
        <v>1.75</v>
      </c>
      <c r="AU35" s="87">
        <f t="shared" si="15"/>
        <v>1</v>
      </c>
      <c r="AV35" s="88">
        <f t="shared" si="16"/>
        <v>42.857142857142854</v>
      </c>
      <c r="AW35" s="78">
        <f t="shared" si="17"/>
        <v>100</v>
      </c>
      <c r="AX35" s="89">
        <f t="shared" si="56"/>
        <v>1</v>
      </c>
      <c r="AY35" s="114">
        <v>13</v>
      </c>
      <c r="AZ35" s="114">
        <f>13*4-6</f>
        <v>46</v>
      </c>
      <c r="BA35" s="91">
        <f t="shared" si="19"/>
        <v>52</v>
      </c>
      <c r="BB35" s="77">
        <f t="shared" si="20"/>
        <v>88.461538461538453</v>
      </c>
      <c r="BC35" s="78">
        <f t="shared" si="21"/>
        <v>75</v>
      </c>
      <c r="BD35" s="79">
        <f t="shared" si="57"/>
        <v>0.75</v>
      </c>
      <c r="BE35" s="92">
        <v>74563786</v>
      </c>
      <c r="BF35" s="92">
        <v>8616675</v>
      </c>
      <c r="BG35" s="114">
        <v>96633</v>
      </c>
      <c r="BH35" s="94">
        <f t="shared" si="23"/>
        <v>83180461</v>
      </c>
      <c r="BI35" s="77">
        <f t="shared" si="24"/>
        <v>0.11617271512837611</v>
      </c>
      <c r="BJ35" s="95" t="str">
        <f t="shared" si="25"/>
        <v>식약/섬유/종이업</v>
      </c>
      <c r="BK35" s="96">
        <f t="shared" si="26"/>
        <v>2.1999360555264453</v>
      </c>
      <c r="BL35" s="97">
        <f t="shared" si="27"/>
        <v>-2.0837633403980691</v>
      </c>
      <c r="BM35" s="98">
        <f t="shared" si="28"/>
        <v>100</v>
      </c>
      <c r="BN35" s="99">
        <f t="shared" si="29"/>
        <v>2</v>
      </c>
      <c r="BO35" s="114">
        <v>88693000</v>
      </c>
      <c r="BP35" s="101">
        <f t="shared" si="30"/>
        <v>13.948957472426072</v>
      </c>
      <c r="BQ35" s="78">
        <f t="shared" si="31"/>
        <v>100</v>
      </c>
      <c r="BR35" s="79">
        <f t="shared" si="58"/>
        <v>2</v>
      </c>
      <c r="BS35" s="102">
        <v>44086043.848999999</v>
      </c>
      <c r="BT35" s="102">
        <v>24564.737000000001</v>
      </c>
      <c r="BU35" s="103">
        <f t="shared" si="33"/>
        <v>44061479.111999996</v>
      </c>
      <c r="BV35" s="77">
        <f t="shared" si="34"/>
        <v>6.9296528283571153</v>
      </c>
      <c r="BW35" s="96">
        <f t="shared" si="35"/>
        <v>5.0508176117342298</v>
      </c>
      <c r="BX35" s="96">
        <f t="shared" si="36"/>
        <v>3.5300217712223647</v>
      </c>
      <c r="BY35" s="96">
        <f t="shared" si="37"/>
        <v>6.9871618081220923</v>
      </c>
      <c r="BZ35" s="96">
        <f t="shared" si="38"/>
        <v>39.400401200221367</v>
      </c>
      <c r="CA35" s="96">
        <f t="shared" si="39"/>
        <v>55</v>
      </c>
      <c r="CB35" s="104">
        <f t="shared" si="40"/>
        <v>1.1000000000000001</v>
      </c>
      <c r="CC35" s="105">
        <f t="shared" si="59"/>
        <v>68.929061859557734</v>
      </c>
      <c r="CD35" s="106">
        <f t="shared" si="60"/>
        <v>74.398594776548592</v>
      </c>
      <c r="CE35" s="107">
        <f t="shared" si="61"/>
        <v>1.1159789216482288</v>
      </c>
      <c r="CF35" s="108" t="s">
        <v>2189</v>
      </c>
      <c r="CG35" s="108" t="s">
        <v>2189</v>
      </c>
      <c r="CH35" s="108" t="s">
        <v>2189</v>
      </c>
      <c r="CI35" s="108" t="s">
        <v>2189</v>
      </c>
      <c r="CJ35" s="109"/>
      <c r="CK35" s="116" t="s">
        <v>2207</v>
      </c>
      <c r="CL35" s="116" t="s">
        <v>2204</v>
      </c>
      <c r="CM35" s="111">
        <f t="shared" si="42"/>
        <v>70</v>
      </c>
      <c r="CN35" s="107">
        <f t="shared" si="62"/>
        <v>1.05</v>
      </c>
      <c r="CO35" s="114">
        <v>8343000</v>
      </c>
      <c r="CP35" s="88">
        <f t="shared" si="44"/>
        <v>1.2415837091169053</v>
      </c>
      <c r="CQ35" s="78">
        <f t="shared" si="45"/>
        <v>100</v>
      </c>
      <c r="CR35" s="79">
        <f t="shared" si="63"/>
        <v>3</v>
      </c>
      <c r="CS35" s="92">
        <f>_xlfn.XLOOKUP(C35, '[1]1-1. 관계사체무보증금액 (환율 등)'!$3:$3, '[1]1-1. 관계사체무보증금액 (환율 등)'!$33:$33)</f>
        <v>0</v>
      </c>
      <c r="CT35" s="77">
        <f t="shared" si="47"/>
        <v>0</v>
      </c>
      <c r="CU35" s="78">
        <f t="shared" si="48"/>
        <v>100</v>
      </c>
      <c r="CV35" s="79">
        <f t="shared" si="64"/>
        <v>2</v>
      </c>
      <c r="CW35" s="112">
        <f t="shared" si="50"/>
        <v>21.5817353543382</v>
      </c>
    </row>
    <row r="36" spans="1:101" x14ac:dyDescent="0.35">
      <c r="A36" s="7" t="s">
        <v>314</v>
      </c>
      <c r="B36" s="8" t="s">
        <v>315</v>
      </c>
      <c r="C36" s="21" t="s">
        <v>316</v>
      </c>
      <c r="D36" s="22" t="s">
        <v>31</v>
      </c>
      <c r="E36" s="11" t="s">
        <v>317</v>
      </c>
      <c r="F36" s="11" t="s">
        <v>318</v>
      </c>
      <c r="G36" s="12">
        <v>44273</v>
      </c>
      <c r="H36" s="11" t="s">
        <v>24</v>
      </c>
      <c r="I36" s="11" t="s">
        <v>319</v>
      </c>
      <c r="J36" s="11" t="s">
        <v>320</v>
      </c>
      <c r="K36" s="11" t="s">
        <v>50</v>
      </c>
      <c r="L36" s="23">
        <v>2142189396</v>
      </c>
      <c r="M36" s="14">
        <v>399934106</v>
      </c>
      <c r="N36" s="14">
        <v>1742255291</v>
      </c>
      <c r="O36" s="14">
        <v>456725871</v>
      </c>
      <c r="P36" s="14">
        <v>115378989</v>
      </c>
      <c r="Q36" s="14">
        <v>142097807</v>
      </c>
      <c r="R36" s="14">
        <v>122816574</v>
      </c>
      <c r="S36" s="15">
        <v>76784046</v>
      </c>
      <c r="T36" s="15">
        <v>0</v>
      </c>
      <c r="U36" s="15">
        <v>52350000</v>
      </c>
      <c r="V36" s="15">
        <v>0</v>
      </c>
      <c r="W36" s="15">
        <f>21852*2+1000+10000+7080+3000+8000+6161+13275+6354+7433+1763</f>
        <v>107770</v>
      </c>
      <c r="X36" s="15">
        <v>0</v>
      </c>
      <c r="Z36" s="15">
        <v>0</v>
      </c>
      <c r="AA36" s="15">
        <v>0</v>
      </c>
      <c r="AB36" s="74">
        <f t="shared" si="0"/>
        <v>52457770</v>
      </c>
      <c r="AC36" s="75">
        <f t="shared" si="1"/>
        <v>68.318580138379275</v>
      </c>
      <c r="AD36" s="75">
        <f t="shared" si="2"/>
        <v>41.123204713711786</v>
      </c>
      <c r="AE36" s="76">
        <f t="shared" si="53"/>
        <v>1.2336961414113536</v>
      </c>
      <c r="AF36" s="77">
        <f t="shared" si="4"/>
        <v>68.178225461054765</v>
      </c>
      <c r="AG36" s="77">
        <f t="shared" si="5"/>
        <v>68.318580138379275</v>
      </c>
      <c r="AH36" s="77">
        <f t="shared" si="6"/>
        <v>0.14035467732450968</v>
      </c>
      <c r="AI36" s="78">
        <f t="shared" si="7"/>
        <v>100</v>
      </c>
      <c r="AJ36" s="79">
        <f t="shared" si="54"/>
        <v>4</v>
      </c>
      <c r="AK36" s="113">
        <v>7</v>
      </c>
      <c r="AL36" s="113">
        <v>31</v>
      </c>
      <c r="AM36" s="113">
        <v>0</v>
      </c>
      <c r="AN36" s="81">
        <f t="shared" si="9"/>
        <v>38</v>
      </c>
      <c r="AO36" s="82">
        <f t="shared" si="10"/>
        <v>0</v>
      </c>
      <c r="AP36" s="83">
        <f t="shared" si="11"/>
        <v>100</v>
      </c>
      <c r="AQ36" s="84">
        <f t="shared" si="55"/>
        <v>2</v>
      </c>
      <c r="AR36" s="118">
        <v>4</v>
      </c>
      <c r="AS36" s="86">
        <f t="shared" si="13"/>
        <v>0.5</v>
      </c>
      <c r="AT36" s="87">
        <f t="shared" si="14"/>
        <v>3.5</v>
      </c>
      <c r="AU36" s="87">
        <f t="shared" si="15"/>
        <v>3</v>
      </c>
      <c r="AV36" s="88">
        <f t="shared" si="16"/>
        <v>14.285714285714285</v>
      </c>
      <c r="AW36" s="78">
        <f t="shared" si="17"/>
        <v>60</v>
      </c>
      <c r="AX36" s="89">
        <f t="shared" si="56"/>
        <v>0.6</v>
      </c>
      <c r="AY36" s="114">
        <v>15</v>
      </c>
      <c r="AZ36" s="114">
        <f>15*4-1</f>
        <v>59</v>
      </c>
      <c r="BA36" s="91">
        <f t="shared" si="19"/>
        <v>60</v>
      </c>
      <c r="BB36" s="77">
        <f t="shared" si="20"/>
        <v>98.333333333333329</v>
      </c>
      <c r="BC36" s="78">
        <f t="shared" si="21"/>
        <v>100</v>
      </c>
      <c r="BD36" s="79">
        <f t="shared" si="57"/>
        <v>1</v>
      </c>
      <c r="BE36" s="92">
        <v>27333164</v>
      </c>
      <c r="BF36" s="92">
        <v>2578847</v>
      </c>
      <c r="BG36" s="114">
        <v>597085</v>
      </c>
      <c r="BH36" s="94">
        <f t="shared" si="23"/>
        <v>29912011</v>
      </c>
      <c r="BI36" s="77">
        <f t="shared" si="24"/>
        <v>1.9961379393715788</v>
      </c>
      <c r="BJ36" s="95" t="str">
        <f t="shared" si="25"/>
        <v>식약/섬유/종이업</v>
      </c>
      <c r="BK36" s="96">
        <f t="shared" si="26"/>
        <v>2.1999360555264453</v>
      </c>
      <c r="BL36" s="97">
        <f t="shared" si="27"/>
        <v>-0.20379811615486654</v>
      </c>
      <c r="BM36" s="98">
        <f t="shared" si="28"/>
        <v>80</v>
      </c>
      <c r="BN36" s="99">
        <f t="shared" si="29"/>
        <v>1.6</v>
      </c>
      <c r="BO36" s="114">
        <v>59124000</v>
      </c>
      <c r="BP36" s="101">
        <f t="shared" si="30"/>
        <v>12.94518304175504</v>
      </c>
      <c r="BQ36" s="78">
        <f t="shared" si="31"/>
        <v>100</v>
      </c>
      <c r="BR36" s="79">
        <f t="shared" si="58"/>
        <v>2</v>
      </c>
      <c r="BS36" s="102">
        <v>72235836.024000004</v>
      </c>
      <c r="BT36" s="102">
        <v>34566</v>
      </c>
      <c r="BU36" s="103">
        <f t="shared" si="33"/>
        <v>72201270.024000004</v>
      </c>
      <c r="BV36" s="77">
        <f t="shared" si="34"/>
        <v>15.808447606857815</v>
      </c>
      <c r="BW36" s="96">
        <f t="shared" si="35"/>
        <v>5.0508176117342298</v>
      </c>
      <c r="BX36" s="96">
        <f t="shared" si="36"/>
        <v>115.72660311198267</v>
      </c>
      <c r="BY36" s="96">
        <f t="shared" si="37"/>
        <v>6.9871618081220923</v>
      </c>
      <c r="BZ36" s="96">
        <f t="shared" si="38"/>
        <v>6.182552753625659</v>
      </c>
      <c r="CA36" s="96">
        <f t="shared" si="39"/>
        <v>85</v>
      </c>
      <c r="CB36" s="104">
        <f t="shared" si="40"/>
        <v>1.7</v>
      </c>
      <c r="CC36" s="105">
        <f t="shared" si="59"/>
        <v>22.954965788650316</v>
      </c>
      <c r="CD36" s="106">
        <f t="shared" si="60"/>
        <v>91.72551540628757</v>
      </c>
      <c r="CE36" s="107">
        <f t="shared" si="61"/>
        <v>1.3758827310943136</v>
      </c>
      <c r="CF36" s="108" t="s">
        <v>2189</v>
      </c>
      <c r="CG36" s="108" t="s">
        <v>2189</v>
      </c>
      <c r="CH36" s="108" t="s">
        <v>2189</v>
      </c>
      <c r="CI36" s="108" t="s">
        <v>2189</v>
      </c>
      <c r="CJ36" s="109"/>
      <c r="CK36" s="116" t="s">
        <v>2207</v>
      </c>
      <c r="CL36" s="116" t="s">
        <v>2204</v>
      </c>
      <c r="CM36" s="111">
        <f t="shared" si="42"/>
        <v>70</v>
      </c>
      <c r="CN36" s="107">
        <f t="shared" si="62"/>
        <v>1.05</v>
      </c>
      <c r="CO36" s="114">
        <v>6551000</v>
      </c>
      <c r="CP36" s="88">
        <f t="shared" si="44"/>
        <v>0.37600689369925411</v>
      </c>
      <c r="CQ36" s="78">
        <f t="shared" si="45"/>
        <v>100</v>
      </c>
      <c r="CR36" s="79">
        <f t="shared" si="63"/>
        <v>3</v>
      </c>
      <c r="CS36" s="92">
        <f>_xlfn.XLOOKUP(C36, '[1]1-1. 관계사체무보증금액 (환율 등)'!$3:$3, '[1]1-1. 관계사체무보증금액 (환율 등)'!$33:$33)</f>
        <v>0</v>
      </c>
      <c r="CT36" s="77">
        <f t="shared" si="47"/>
        <v>0</v>
      </c>
      <c r="CU36" s="78">
        <f t="shared" si="48"/>
        <v>100</v>
      </c>
      <c r="CV36" s="79">
        <f t="shared" si="64"/>
        <v>2</v>
      </c>
      <c r="CW36" s="112">
        <f t="shared" si="50"/>
        <v>21.559578872505664</v>
      </c>
    </row>
    <row r="37" spans="1:101" x14ac:dyDescent="0.35">
      <c r="A37" s="7" t="s">
        <v>1489</v>
      </c>
      <c r="B37" s="8" t="s">
        <v>1490</v>
      </c>
      <c r="C37" s="21" t="s">
        <v>1491</v>
      </c>
      <c r="D37" s="10" t="s">
        <v>31</v>
      </c>
      <c r="E37" s="11" t="s">
        <v>183</v>
      </c>
      <c r="F37" s="11" t="s">
        <v>1492</v>
      </c>
      <c r="G37" s="12">
        <v>41614</v>
      </c>
      <c r="H37" s="11" t="s">
        <v>24</v>
      </c>
      <c r="I37" s="11" t="s">
        <v>1493</v>
      </c>
      <c r="J37" s="11" t="s">
        <v>1494</v>
      </c>
      <c r="K37" s="11" t="s">
        <v>27</v>
      </c>
      <c r="L37" s="23">
        <v>1097011146</v>
      </c>
      <c r="M37" s="14">
        <v>479043111</v>
      </c>
      <c r="N37" s="14">
        <v>617968035</v>
      </c>
      <c r="O37" s="14">
        <v>1472343921</v>
      </c>
      <c r="P37" s="14">
        <v>107106911</v>
      </c>
      <c r="Q37" s="14">
        <v>100951688</v>
      </c>
      <c r="R37" s="14">
        <v>82941336</v>
      </c>
      <c r="S37" s="15">
        <v>11988038</v>
      </c>
      <c r="T37" s="15">
        <v>379509</v>
      </c>
      <c r="U37" s="15">
        <f>3011744+1139237</f>
        <v>4150981</v>
      </c>
      <c r="V37" s="15">
        <f>176926+140389+140389+6529</f>
        <v>464233</v>
      </c>
      <c r="W37" s="15">
        <v>0</v>
      </c>
      <c r="X37" s="15">
        <v>0</v>
      </c>
      <c r="Z37" s="15">
        <v>0</v>
      </c>
      <c r="AA37" s="15">
        <v>0</v>
      </c>
      <c r="AB37" s="74">
        <f t="shared" si="0"/>
        <v>4615214</v>
      </c>
      <c r="AC37" s="75">
        <f t="shared" si="1"/>
        <v>38.4984932480194</v>
      </c>
      <c r="AD37" s="75">
        <f t="shared" si="2"/>
        <v>66.85975841655403</v>
      </c>
      <c r="AE37" s="76">
        <f t="shared" si="53"/>
        <v>2.005792752496621</v>
      </c>
      <c r="AF37" s="77">
        <f t="shared" si="4"/>
        <v>39.75709583875787</v>
      </c>
      <c r="AG37" s="77">
        <f t="shared" si="5"/>
        <v>39.75709583875787</v>
      </c>
      <c r="AH37" s="77">
        <f t="shared" si="6"/>
        <v>0</v>
      </c>
      <c r="AI37" s="78">
        <f t="shared" si="7"/>
        <v>100</v>
      </c>
      <c r="AJ37" s="79">
        <f t="shared" si="54"/>
        <v>4</v>
      </c>
      <c r="AK37" s="113">
        <v>7</v>
      </c>
      <c r="AL37" s="113">
        <v>36</v>
      </c>
      <c r="AM37" s="113">
        <v>1</v>
      </c>
      <c r="AN37" s="81">
        <f t="shared" si="9"/>
        <v>43</v>
      </c>
      <c r="AO37" s="82">
        <f t="shared" si="10"/>
        <v>2.3255813953488373</v>
      </c>
      <c r="AP37" s="83">
        <f t="shared" si="11"/>
        <v>100</v>
      </c>
      <c r="AQ37" s="84">
        <f t="shared" si="55"/>
        <v>2</v>
      </c>
      <c r="AR37" s="118">
        <v>2</v>
      </c>
      <c r="AS37" s="86">
        <f t="shared" si="13"/>
        <v>0.25</v>
      </c>
      <c r="AT37" s="87">
        <f t="shared" si="14"/>
        <v>1.75</v>
      </c>
      <c r="AU37" s="87">
        <f t="shared" si="15"/>
        <v>1</v>
      </c>
      <c r="AV37" s="88">
        <f t="shared" si="16"/>
        <v>14.285714285714285</v>
      </c>
      <c r="AW37" s="78">
        <f t="shared" si="17"/>
        <v>60</v>
      </c>
      <c r="AX37" s="89">
        <f t="shared" si="56"/>
        <v>0.6</v>
      </c>
      <c r="AY37" s="114">
        <v>11</v>
      </c>
      <c r="AZ37" s="114">
        <f>22-1</f>
        <v>21</v>
      </c>
      <c r="BA37" s="91">
        <f t="shared" si="19"/>
        <v>22</v>
      </c>
      <c r="BB37" s="77">
        <f t="shared" si="20"/>
        <v>95.454545454545453</v>
      </c>
      <c r="BC37" s="78">
        <f t="shared" si="21"/>
        <v>100</v>
      </c>
      <c r="BD37" s="79">
        <f t="shared" si="57"/>
        <v>1</v>
      </c>
      <c r="BE37" s="92">
        <v>95014191</v>
      </c>
      <c r="BF37" s="92">
        <v>9290594</v>
      </c>
      <c r="BG37" s="93">
        <v>0</v>
      </c>
      <c r="BH37" s="94">
        <f t="shared" si="23"/>
        <v>104304785</v>
      </c>
      <c r="BI37" s="77">
        <f t="shared" si="24"/>
        <v>0</v>
      </c>
      <c r="BJ37" s="95" t="str">
        <f t="shared" si="25"/>
        <v>식약/섬유/종이업</v>
      </c>
      <c r="BK37" s="96">
        <f t="shared" si="26"/>
        <v>2.1999360555264453</v>
      </c>
      <c r="BL37" s="97">
        <f t="shared" si="27"/>
        <v>-2.1999360555264453</v>
      </c>
      <c r="BM37" s="98">
        <f t="shared" si="28"/>
        <v>100</v>
      </c>
      <c r="BN37" s="99">
        <f t="shared" si="29"/>
        <v>2</v>
      </c>
      <c r="BO37" s="114">
        <f>(181370-1205)*1000</f>
        <v>180165000</v>
      </c>
      <c r="BP37" s="101">
        <f t="shared" si="30"/>
        <v>12.236611122599255</v>
      </c>
      <c r="BQ37" s="78">
        <f t="shared" si="31"/>
        <v>100</v>
      </c>
      <c r="BR37" s="79">
        <f t="shared" si="58"/>
        <v>2</v>
      </c>
      <c r="BS37" s="102">
        <v>44621673.056000002</v>
      </c>
      <c r="BT37" s="102">
        <v>142133.34</v>
      </c>
      <c r="BU37" s="103">
        <f t="shared" si="33"/>
        <v>44479539.715999998</v>
      </c>
      <c r="BV37" s="77">
        <f t="shared" si="34"/>
        <v>3.0210020282346788</v>
      </c>
      <c r="BW37" s="96">
        <f t="shared" si="35"/>
        <v>5.0508176117342298</v>
      </c>
      <c r="BX37" s="96">
        <f t="shared" si="36"/>
        <v>4.1201513030176224</v>
      </c>
      <c r="BY37" s="96">
        <f t="shared" si="37"/>
        <v>6.9871618081220923</v>
      </c>
      <c r="BZ37" s="96">
        <f t="shared" si="38"/>
        <v>61.42855920740493</v>
      </c>
      <c r="CA37" s="96">
        <f t="shared" si="39"/>
        <v>40</v>
      </c>
      <c r="CB37" s="104">
        <f t="shared" si="40"/>
        <v>0.8</v>
      </c>
      <c r="CC37" s="105">
        <f t="shared" si="59"/>
        <v>77.519076047355753</v>
      </c>
      <c r="CD37" s="106">
        <f t="shared" si="60"/>
        <v>71.161152243458886</v>
      </c>
      <c r="CE37" s="107">
        <f t="shared" si="61"/>
        <v>1.0674172836518832</v>
      </c>
      <c r="CF37" s="108" t="s">
        <v>2189</v>
      </c>
      <c r="CG37" s="108" t="s">
        <v>2189</v>
      </c>
      <c r="CH37" s="108" t="s">
        <v>2189</v>
      </c>
      <c r="CI37" s="108" t="s">
        <v>2189</v>
      </c>
      <c r="CJ37" s="109"/>
      <c r="CK37" s="116" t="s">
        <v>2233</v>
      </c>
      <c r="CL37" s="116" t="s">
        <v>2204</v>
      </c>
      <c r="CM37" s="111">
        <f t="shared" si="42"/>
        <v>70</v>
      </c>
      <c r="CN37" s="107">
        <f t="shared" si="62"/>
        <v>1.05</v>
      </c>
      <c r="CO37" s="114">
        <v>0</v>
      </c>
      <c r="CP37" s="88">
        <f t="shared" si="44"/>
        <v>0</v>
      </c>
      <c r="CQ37" s="78">
        <f t="shared" si="45"/>
        <v>100</v>
      </c>
      <c r="CR37" s="79">
        <f t="shared" si="63"/>
        <v>3</v>
      </c>
      <c r="CS37" s="92">
        <f>_xlfn.XLOOKUP(C37, '[1]1-1. 관계사체무보증금액 (환율 등)'!$3:$3, '[1]1-1. 관계사체무보증금액 (환율 등)'!$33:$33)</f>
        <v>17055000</v>
      </c>
      <c r="CT37" s="77">
        <f t="shared" si="47"/>
        <v>2.7598514864931487</v>
      </c>
      <c r="CU37" s="78">
        <f t="shared" si="48"/>
        <v>100</v>
      </c>
      <c r="CV37" s="79">
        <f t="shared" si="64"/>
        <v>2</v>
      </c>
      <c r="CW37" s="112">
        <f t="shared" si="50"/>
        <v>21.523210036148505</v>
      </c>
    </row>
    <row r="38" spans="1:101" x14ac:dyDescent="0.35">
      <c r="A38" s="7" t="s">
        <v>1858</v>
      </c>
      <c r="B38" s="8" t="s">
        <v>1859</v>
      </c>
      <c r="C38" s="21" t="s">
        <v>1860</v>
      </c>
      <c r="D38" s="10" t="s">
        <v>31</v>
      </c>
      <c r="E38" s="11" t="s">
        <v>183</v>
      </c>
      <c r="F38" s="11" t="s">
        <v>1861</v>
      </c>
      <c r="G38" s="12">
        <v>32860</v>
      </c>
      <c r="H38" s="11" t="s">
        <v>24</v>
      </c>
      <c r="I38" s="11" t="s">
        <v>1862</v>
      </c>
      <c r="J38" s="11" t="s">
        <v>1863</v>
      </c>
      <c r="K38" s="11" t="s">
        <v>212</v>
      </c>
      <c r="L38" s="23">
        <v>213430249</v>
      </c>
      <c r="M38" s="14">
        <v>44956203</v>
      </c>
      <c r="N38" s="14">
        <v>168474046</v>
      </c>
      <c r="O38" s="14">
        <v>109995419</v>
      </c>
      <c r="P38" s="14">
        <v>1769754</v>
      </c>
      <c r="Q38" s="14">
        <v>2224437</v>
      </c>
      <c r="R38" s="14">
        <v>546481</v>
      </c>
      <c r="S38" s="15">
        <v>52240638</v>
      </c>
      <c r="T38" s="15">
        <v>1550194</v>
      </c>
      <c r="U38" s="15">
        <v>16115745</v>
      </c>
      <c r="V38" s="15">
        <v>0</v>
      </c>
      <c r="W38" s="15">
        <f>65980+9274+7280</f>
        <v>82534</v>
      </c>
      <c r="X38" s="15">
        <v>0</v>
      </c>
      <c r="Z38" s="15">
        <v>0</v>
      </c>
      <c r="AA38" s="15">
        <v>0</v>
      </c>
      <c r="AB38" s="74">
        <f t="shared" si="0"/>
        <v>16198279</v>
      </c>
      <c r="AC38" s="75">
        <f t="shared" si="1"/>
        <v>31.007046659728772</v>
      </c>
      <c r="AD38" s="75">
        <f t="shared" si="2"/>
        <v>73.325333722903821</v>
      </c>
      <c r="AE38" s="76">
        <f t="shared" si="53"/>
        <v>2.1997600116871143</v>
      </c>
      <c r="AF38" s="77">
        <f t="shared" si="4"/>
        <v>31.792471575115815</v>
      </c>
      <c r="AG38" s="77">
        <f t="shared" si="5"/>
        <v>31.955291218202785</v>
      </c>
      <c r="AH38" s="77">
        <f t="shared" si="6"/>
        <v>0.16281964308696928</v>
      </c>
      <c r="AI38" s="78">
        <f t="shared" si="7"/>
        <v>100</v>
      </c>
      <c r="AJ38" s="79">
        <f t="shared" si="54"/>
        <v>4</v>
      </c>
      <c r="AK38" s="113">
        <v>7</v>
      </c>
      <c r="AL38" s="113">
        <v>5</v>
      </c>
      <c r="AM38" s="113">
        <v>1</v>
      </c>
      <c r="AN38" s="81">
        <f t="shared" si="9"/>
        <v>12</v>
      </c>
      <c r="AO38" s="82">
        <f t="shared" si="10"/>
        <v>8.3333333333333321</v>
      </c>
      <c r="AP38" s="83">
        <f t="shared" si="11"/>
        <v>100</v>
      </c>
      <c r="AQ38" s="84">
        <f t="shared" si="55"/>
        <v>2</v>
      </c>
      <c r="AR38" s="118">
        <v>3</v>
      </c>
      <c r="AS38" s="86">
        <f t="shared" si="13"/>
        <v>0.25</v>
      </c>
      <c r="AT38" s="87">
        <f t="shared" si="14"/>
        <v>1.75</v>
      </c>
      <c r="AU38" s="87">
        <f t="shared" si="15"/>
        <v>1</v>
      </c>
      <c r="AV38" s="88">
        <f t="shared" si="16"/>
        <v>28.571428571428569</v>
      </c>
      <c r="AW38" s="78">
        <f t="shared" si="17"/>
        <v>80</v>
      </c>
      <c r="AX38" s="89">
        <f t="shared" si="56"/>
        <v>0.8</v>
      </c>
      <c r="AY38" s="114">
        <v>7</v>
      </c>
      <c r="AZ38" s="114">
        <f>21-3</f>
        <v>18</v>
      </c>
      <c r="BA38" s="91">
        <f t="shared" si="19"/>
        <v>21</v>
      </c>
      <c r="BB38" s="77">
        <f t="shared" si="20"/>
        <v>85.714285714285708</v>
      </c>
      <c r="BC38" s="78">
        <f t="shared" si="21"/>
        <v>75</v>
      </c>
      <c r="BD38" s="79">
        <f t="shared" si="57"/>
        <v>0.75</v>
      </c>
      <c r="BE38" s="92">
        <v>14718320</v>
      </c>
      <c r="BF38" s="92">
        <v>1203838</v>
      </c>
      <c r="BG38" s="114">
        <v>19420</v>
      </c>
      <c r="BH38" s="94">
        <f t="shared" si="23"/>
        <v>15922158</v>
      </c>
      <c r="BI38" s="77">
        <f t="shared" si="24"/>
        <v>0.12196839147055319</v>
      </c>
      <c r="BJ38" s="95" t="str">
        <f t="shared" si="25"/>
        <v>식약/섬유/종이업</v>
      </c>
      <c r="BK38" s="96">
        <f t="shared" si="26"/>
        <v>2.1999360555264453</v>
      </c>
      <c r="BL38" s="97">
        <f t="shared" si="27"/>
        <v>-2.0779676640558922</v>
      </c>
      <c r="BM38" s="98">
        <f t="shared" si="28"/>
        <v>100</v>
      </c>
      <c r="BN38" s="99">
        <f t="shared" si="29"/>
        <v>2</v>
      </c>
      <c r="BO38" s="114">
        <f>21274270-141088</f>
        <v>21133182</v>
      </c>
      <c r="BP38" s="101">
        <f t="shared" si="30"/>
        <v>19.212783761476469</v>
      </c>
      <c r="BQ38" s="78">
        <f t="shared" si="31"/>
        <v>100</v>
      </c>
      <c r="BR38" s="79">
        <f t="shared" si="58"/>
        <v>2</v>
      </c>
      <c r="BS38" s="102">
        <v>2784148.8960000002</v>
      </c>
      <c r="BT38" s="102">
        <v>17000</v>
      </c>
      <c r="BU38" s="103">
        <f t="shared" si="33"/>
        <v>2767148.8960000002</v>
      </c>
      <c r="BV38" s="77">
        <f t="shared" si="34"/>
        <v>2.5156946727026881</v>
      </c>
      <c r="BW38" s="96">
        <f t="shared" si="35"/>
        <v>5.0508176117342298</v>
      </c>
      <c r="BX38" s="96">
        <f t="shared" si="36"/>
        <v>6.4268483160039223</v>
      </c>
      <c r="BY38" s="96">
        <f t="shared" si="37"/>
        <v>6.9871618081220923</v>
      </c>
      <c r="BZ38" s="96">
        <f t="shared" si="38"/>
        <v>64.163251073278474</v>
      </c>
      <c r="CA38" s="96">
        <f t="shared" si="39"/>
        <v>40</v>
      </c>
      <c r="CB38" s="104">
        <f t="shared" si="40"/>
        <v>0.8</v>
      </c>
      <c r="CC38" s="105">
        <f t="shared" si="59"/>
        <v>26.684349350759938</v>
      </c>
      <c r="CD38" s="106">
        <f t="shared" si="60"/>
        <v>90.319968837653292</v>
      </c>
      <c r="CE38" s="107">
        <f t="shared" si="61"/>
        <v>1.3547995325647992</v>
      </c>
      <c r="CF38" s="108" t="s">
        <v>2189</v>
      </c>
      <c r="CG38" s="108" t="s">
        <v>2189</v>
      </c>
      <c r="CH38" s="108" t="s">
        <v>2189</v>
      </c>
      <c r="CI38" s="108" t="s">
        <v>2189</v>
      </c>
      <c r="CJ38" s="109"/>
      <c r="CK38" s="116" t="s">
        <v>2192</v>
      </c>
      <c r="CL38" s="116" t="s">
        <v>2193</v>
      </c>
      <c r="CM38" s="111">
        <f t="shared" si="42"/>
        <v>25</v>
      </c>
      <c r="CN38" s="107">
        <f t="shared" si="62"/>
        <v>0.375</v>
      </c>
      <c r="CO38" s="114">
        <v>75000</v>
      </c>
      <c r="CP38" s="88">
        <f t="shared" si="44"/>
        <v>4.4517242733043881E-2</v>
      </c>
      <c r="CQ38" s="78">
        <f t="shared" si="45"/>
        <v>100</v>
      </c>
      <c r="CR38" s="79">
        <f t="shared" si="63"/>
        <v>3</v>
      </c>
      <c r="CS38" s="92">
        <f>_xlfn.XLOOKUP(C38, '[1]1-1. 관계사체무보증금액 (환율 등)'!$3:$3, '[1]1-1. 관계사체무보증금액 (환율 등)'!$33:$33)</f>
        <v>0</v>
      </c>
      <c r="CT38" s="77">
        <f t="shared" si="47"/>
        <v>0</v>
      </c>
      <c r="CU38" s="78">
        <f t="shared" si="48"/>
        <v>100</v>
      </c>
      <c r="CV38" s="79">
        <f t="shared" si="64"/>
        <v>2</v>
      </c>
      <c r="CW38" s="112">
        <f t="shared" si="50"/>
        <v>21.279559544251917</v>
      </c>
    </row>
    <row r="39" spans="1:101" x14ac:dyDescent="0.35">
      <c r="A39" s="7" t="s">
        <v>722</v>
      </c>
      <c r="B39" s="8" t="s">
        <v>723</v>
      </c>
      <c r="C39" s="21" t="s">
        <v>724</v>
      </c>
      <c r="D39" s="10" t="s">
        <v>31</v>
      </c>
      <c r="E39" s="11" t="s">
        <v>183</v>
      </c>
      <c r="F39" s="11" t="s">
        <v>725</v>
      </c>
      <c r="G39" s="12">
        <v>27843</v>
      </c>
      <c r="H39" s="11" t="s">
        <v>24</v>
      </c>
      <c r="I39" s="11" t="s">
        <v>726</v>
      </c>
      <c r="J39" s="11" t="s">
        <v>727</v>
      </c>
      <c r="K39" s="11" t="s">
        <v>27</v>
      </c>
      <c r="L39" s="23">
        <v>429874042</v>
      </c>
      <c r="M39" s="14">
        <v>70083130</v>
      </c>
      <c r="N39" s="14">
        <v>359790911</v>
      </c>
      <c r="O39" s="14">
        <v>315927932</v>
      </c>
      <c r="P39" s="14">
        <v>26579957</v>
      </c>
      <c r="Q39" s="14">
        <v>20948525</v>
      </c>
      <c r="R39" s="14">
        <v>18208234</v>
      </c>
      <c r="S39" s="15">
        <v>27931470</v>
      </c>
      <c r="T39" s="15">
        <v>252340</v>
      </c>
      <c r="U39" s="15">
        <v>4252370</v>
      </c>
      <c r="V39" s="15">
        <f>1433085+529085+25410+170275+24000+15630+642790+88218+144595+31060+43830</f>
        <v>3147978</v>
      </c>
      <c r="W39" s="15">
        <v>0</v>
      </c>
      <c r="X39" s="15">
        <v>1785425</v>
      </c>
      <c r="Y39" s="24" t="s">
        <v>2076</v>
      </c>
      <c r="Z39" s="15">
        <f>215840</f>
        <v>215840</v>
      </c>
      <c r="AA39" s="15">
        <v>0</v>
      </c>
      <c r="AB39" s="74">
        <f t="shared" si="0"/>
        <v>9401613</v>
      </c>
      <c r="AC39" s="75">
        <f t="shared" si="1"/>
        <v>33.659571085947142</v>
      </c>
      <c r="AD39" s="75">
        <f t="shared" si="2"/>
        <v>71.036043366558857</v>
      </c>
      <c r="AE39" s="76">
        <f t="shared" si="53"/>
        <v>2.1310813009967657</v>
      </c>
      <c r="AF39" s="77">
        <f t="shared" si="4"/>
        <v>26.73620160749272</v>
      </c>
      <c r="AG39" s="77">
        <f t="shared" si="5"/>
        <v>33.966432470962779</v>
      </c>
      <c r="AH39" s="77">
        <f t="shared" si="6"/>
        <v>7.2302308634700587</v>
      </c>
      <c r="AI39" s="78">
        <f t="shared" si="7"/>
        <v>100</v>
      </c>
      <c r="AJ39" s="79">
        <f t="shared" si="54"/>
        <v>4</v>
      </c>
      <c r="AK39" s="113">
        <v>8</v>
      </c>
      <c r="AL39" s="113">
        <v>13</v>
      </c>
      <c r="AM39" s="113">
        <v>3</v>
      </c>
      <c r="AN39" s="81">
        <f t="shared" si="9"/>
        <v>21</v>
      </c>
      <c r="AO39" s="82">
        <f t="shared" si="10"/>
        <v>14.285714285714285</v>
      </c>
      <c r="AP39" s="83">
        <f t="shared" si="11"/>
        <v>80</v>
      </c>
      <c r="AQ39" s="84">
        <f t="shared" si="55"/>
        <v>1.6</v>
      </c>
      <c r="AR39" s="118">
        <v>3</v>
      </c>
      <c r="AS39" s="86">
        <f t="shared" si="13"/>
        <v>0.25</v>
      </c>
      <c r="AT39" s="87">
        <f t="shared" si="14"/>
        <v>2</v>
      </c>
      <c r="AU39" s="87">
        <f t="shared" si="15"/>
        <v>2</v>
      </c>
      <c r="AV39" s="88">
        <f t="shared" si="16"/>
        <v>12.5</v>
      </c>
      <c r="AW39" s="78">
        <f t="shared" si="17"/>
        <v>60</v>
      </c>
      <c r="AX39" s="89">
        <f t="shared" si="56"/>
        <v>0.6</v>
      </c>
      <c r="AY39" s="114">
        <v>6</v>
      </c>
      <c r="AZ39" s="114">
        <v>17</v>
      </c>
      <c r="BA39" s="91">
        <f t="shared" si="19"/>
        <v>18</v>
      </c>
      <c r="BB39" s="77">
        <f t="shared" si="20"/>
        <v>94.444444444444443</v>
      </c>
      <c r="BC39" s="78">
        <f t="shared" si="21"/>
        <v>100</v>
      </c>
      <c r="BD39" s="79">
        <f t="shared" si="57"/>
        <v>1</v>
      </c>
      <c r="BE39" s="92">
        <v>37904626</v>
      </c>
      <c r="BF39" s="92">
        <v>3965621</v>
      </c>
      <c r="BG39" s="93">
        <v>0</v>
      </c>
      <c r="BH39" s="94">
        <f t="shared" si="23"/>
        <v>41870247</v>
      </c>
      <c r="BI39" s="77">
        <f t="shared" si="24"/>
        <v>0</v>
      </c>
      <c r="BJ39" s="95" t="str">
        <f t="shared" si="25"/>
        <v>식약/섬유/종이업</v>
      </c>
      <c r="BK39" s="96">
        <f t="shared" si="26"/>
        <v>2.1999360555264453</v>
      </c>
      <c r="BL39" s="97">
        <f t="shared" si="27"/>
        <v>-2.1999360555264453</v>
      </c>
      <c r="BM39" s="98">
        <f t="shared" si="28"/>
        <v>100</v>
      </c>
      <c r="BN39" s="99">
        <f t="shared" si="29"/>
        <v>2</v>
      </c>
      <c r="BO39" s="114">
        <v>18359000</v>
      </c>
      <c r="BP39" s="101">
        <f t="shared" si="30"/>
        <v>5.8111354332544423</v>
      </c>
      <c r="BQ39" s="78">
        <f t="shared" si="31"/>
        <v>100</v>
      </c>
      <c r="BR39" s="79">
        <f t="shared" si="58"/>
        <v>2</v>
      </c>
      <c r="BS39" s="102">
        <v>16613744.194</v>
      </c>
      <c r="BT39" s="102">
        <v>9500</v>
      </c>
      <c r="BU39" s="103">
        <f t="shared" si="33"/>
        <v>16604244.194</v>
      </c>
      <c r="BV39" s="77">
        <f t="shared" si="34"/>
        <v>5.2557062900028733</v>
      </c>
      <c r="BW39" s="96">
        <f t="shared" si="35"/>
        <v>5.0508176117342298</v>
      </c>
      <c r="BX39" s="96">
        <f t="shared" si="36"/>
        <v>4.1979370482671682E-2</v>
      </c>
      <c r="BY39" s="96">
        <f t="shared" si="37"/>
        <v>6.9871618081220923</v>
      </c>
      <c r="BZ39" s="96">
        <f t="shared" si="38"/>
        <v>48.830325586647191</v>
      </c>
      <c r="CA39" s="96">
        <f t="shared" si="39"/>
        <v>55</v>
      </c>
      <c r="CB39" s="104">
        <f t="shared" si="40"/>
        <v>1.1000000000000001</v>
      </c>
      <c r="CC39" s="105">
        <f t="shared" si="59"/>
        <v>19.478849480997589</v>
      </c>
      <c r="CD39" s="106">
        <f t="shared" si="60"/>
        <v>93.035609492086337</v>
      </c>
      <c r="CE39" s="107">
        <f t="shared" si="61"/>
        <v>1.395534142381295</v>
      </c>
      <c r="CF39" s="108" t="s">
        <v>2189</v>
      </c>
      <c r="CG39" s="108" t="s">
        <v>2189</v>
      </c>
      <c r="CH39" s="108" t="s">
        <v>2189</v>
      </c>
      <c r="CI39" s="108" t="s">
        <v>2189</v>
      </c>
      <c r="CJ39" s="109"/>
      <c r="CK39" s="116" t="s">
        <v>2207</v>
      </c>
      <c r="CL39" s="116" t="s">
        <v>2204</v>
      </c>
      <c r="CM39" s="111">
        <f t="shared" si="42"/>
        <v>70</v>
      </c>
      <c r="CN39" s="107">
        <f t="shared" si="62"/>
        <v>1.05</v>
      </c>
      <c r="CO39" s="114">
        <f>3780000+22129000</f>
        <v>25909000</v>
      </c>
      <c r="CP39" s="88">
        <f t="shared" si="44"/>
        <v>7.2011268789388625</v>
      </c>
      <c r="CQ39" s="78">
        <f t="shared" si="45"/>
        <v>80</v>
      </c>
      <c r="CR39" s="79">
        <f t="shared" si="63"/>
        <v>2.4</v>
      </c>
      <c r="CS39" s="92">
        <f>_xlfn.XLOOKUP(C39, '[1]1-1. 관계사체무보증금액 (환율 등)'!$3:$3, '[1]1-1. 관계사체무보증금액 (환율 등)'!$33:$33)</f>
        <v>408108</v>
      </c>
      <c r="CT39" s="77">
        <f t="shared" si="47"/>
        <v>0.11342921333551977</v>
      </c>
      <c r="CU39" s="78">
        <f t="shared" si="48"/>
        <v>100</v>
      </c>
      <c r="CV39" s="79">
        <f t="shared" si="64"/>
        <v>2</v>
      </c>
      <c r="CW39" s="112">
        <f t="shared" si="50"/>
        <v>21.276615443378059</v>
      </c>
    </row>
    <row r="40" spans="1:101" x14ac:dyDescent="0.35">
      <c r="A40" s="7" t="s">
        <v>1382</v>
      </c>
      <c r="B40" s="8" t="s">
        <v>1383</v>
      </c>
      <c r="C40" s="21" t="s">
        <v>1384</v>
      </c>
      <c r="D40" s="10" t="s">
        <v>31</v>
      </c>
      <c r="E40" s="11" t="s">
        <v>183</v>
      </c>
      <c r="F40" s="11" t="s">
        <v>1385</v>
      </c>
      <c r="G40" s="12">
        <v>40339</v>
      </c>
      <c r="H40" s="11" t="s">
        <v>24</v>
      </c>
      <c r="I40" s="11" t="s">
        <v>1386</v>
      </c>
      <c r="J40" s="11" t="s">
        <v>1387</v>
      </c>
      <c r="K40" s="11" t="s">
        <v>27</v>
      </c>
      <c r="L40" s="23">
        <v>479981348</v>
      </c>
      <c r="M40" s="14">
        <v>232687116</v>
      </c>
      <c r="N40" s="14">
        <v>247294232</v>
      </c>
      <c r="O40" s="14">
        <v>154038839</v>
      </c>
      <c r="P40" s="14">
        <v>5567015</v>
      </c>
      <c r="Q40" s="14">
        <v>5998079</v>
      </c>
      <c r="R40" s="14">
        <v>7325400</v>
      </c>
      <c r="S40" s="15">
        <v>17998577</v>
      </c>
      <c r="T40" s="15">
        <v>245820</v>
      </c>
      <c r="U40" s="15">
        <v>5278113</v>
      </c>
      <c r="V40" s="15">
        <f>1397720+1405307+1591200+708860</f>
        <v>5103087</v>
      </c>
      <c r="W40" s="15">
        <f>471+102+465+140+20023</f>
        <v>21201</v>
      </c>
      <c r="X40" s="15">
        <v>0</v>
      </c>
      <c r="Z40" s="15">
        <v>0</v>
      </c>
      <c r="AA40" s="15">
        <v>0</v>
      </c>
      <c r="AB40" s="74">
        <f t="shared" si="0"/>
        <v>10402401</v>
      </c>
      <c r="AC40" s="75">
        <f t="shared" si="1"/>
        <v>57.795685736711299</v>
      </c>
      <c r="AD40" s="75">
        <f t="shared" si="2"/>
        <v>50.205104369926957</v>
      </c>
      <c r="AE40" s="76">
        <f t="shared" si="53"/>
        <v>1.5061531310978087</v>
      </c>
      <c r="AF40" s="77">
        <f t="shared" si="4"/>
        <v>58.476550994304709</v>
      </c>
      <c r="AG40" s="77">
        <f t="shared" si="5"/>
        <v>58.595974698465149</v>
      </c>
      <c r="AH40" s="77">
        <f t="shared" si="6"/>
        <v>0.11942370416043957</v>
      </c>
      <c r="AI40" s="78">
        <f t="shared" si="7"/>
        <v>100</v>
      </c>
      <c r="AJ40" s="79">
        <f t="shared" si="54"/>
        <v>4</v>
      </c>
      <c r="AK40" s="113">
        <v>5</v>
      </c>
      <c r="AL40" s="113">
        <v>22</v>
      </c>
      <c r="AM40" s="113">
        <v>2</v>
      </c>
      <c r="AN40" s="81">
        <f t="shared" si="9"/>
        <v>27</v>
      </c>
      <c r="AO40" s="82">
        <f t="shared" si="10"/>
        <v>7.4074074074074066</v>
      </c>
      <c r="AP40" s="83">
        <f t="shared" si="11"/>
        <v>100</v>
      </c>
      <c r="AQ40" s="84">
        <f t="shared" si="55"/>
        <v>2</v>
      </c>
      <c r="AR40" s="118">
        <v>3</v>
      </c>
      <c r="AS40" s="86">
        <f t="shared" si="13"/>
        <v>0.25</v>
      </c>
      <c r="AT40" s="87">
        <f t="shared" si="14"/>
        <v>1.25</v>
      </c>
      <c r="AU40" s="87">
        <f t="shared" si="15"/>
        <v>1</v>
      </c>
      <c r="AV40" s="88">
        <f t="shared" si="16"/>
        <v>40</v>
      </c>
      <c r="AW40" s="78">
        <f t="shared" si="17"/>
        <v>100</v>
      </c>
      <c r="AX40" s="89">
        <f t="shared" si="56"/>
        <v>1</v>
      </c>
      <c r="AY40" s="114">
        <v>8</v>
      </c>
      <c r="AZ40" s="114">
        <v>24</v>
      </c>
      <c r="BA40" s="91">
        <f t="shared" si="19"/>
        <v>24</v>
      </c>
      <c r="BB40" s="77">
        <f t="shared" si="20"/>
        <v>100</v>
      </c>
      <c r="BC40" s="78">
        <f t="shared" si="21"/>
        <v>100</v>
      </c>
      <c r="BD40" s="79">
        <f t="shared" si="57"/>
        <v>1</v>
      </c>
      <c r="BE40" s="92">
        <v>23360077</v>
      </c>
      <c r="BF40" s="92">
        <v>1787381</v>
      </c>
      <c r="BG40" s="93">
        <v>0</v>
      </c>
      <c r="BH40" s="94">
        <f t="shared" si="23"/>
        <v>25147458</v>
      </c>
      <c r="BI40" s="77">
        <f t="shared" si="24"/>
        <v>0</v>
      </c>
      <c r="BJ40" s="95" t="str">
        <f t="shared" si="25"/>
        <v>식약/섬유/종이업</v>
      </c>
      <c r="BK40" s="96">
        <f t="shared" si="26"/>
        <v>2.1999360555264453</v>
      </c>
      <c r="BL40" s="97">
        <f t="shared" si="27"/>
        <v>-2.1999360555264453</v>
      </c>
      <c r="BM40" s="98">
        <f t="shared" si="28"/>
        <v>100</v>
      </c>
      <c r="BN40" s="99">
        <f t="shared" si="29"/>
        <v>2</v>
      </c>
      <c r="BO40" s="114">
        <v>7053907</v>
      </c>
      <c r="BP40" s="101">
        <f t="shared" si="30"/>
        <v>4.5793041844466256</v>
      </c>
      <c r="BQ40" s="78">
        <f t="shared" si="31"/>
        <v>100</v>
      </c>
      <c r="BR40" s="79">
        <f t="shared" si="58"/>
        <v>2</v>
      </c>
      <c r="BS40" s="102">
        <v>63131628.144000001</v>
      </c>
      <c r="BT40" s="102">
        <v>42272.726999999999</v>
      </c>
      <c r="BU40" s="103">
        <f t="shared" si="33"/>
        <v>63089355.417000003</v>
      </c>
      <c r="BV40" s="77">
        <f t="shared" si="34"/>
        <v>40.956784552887996</v>
      </c>
      <c r="BW40" s="96">
        <f t="shared" si="35"/>
        <v>5.0508176117342298</v>
      </c>
      <c r="BX40" s="96">
        <f t="shared" si="36"/>
        <v>1289.2384619792269</v>
      </c>
      <c r="BY40" s="96">
        <f t="shared" si="37"/>
        <v>6.9871618081220923</v>
      </c>
      <c r="BZ40" s="96">
        <f t="shared" si="38"/>
        <v>1.3821347122355832E-5</v>
      </c>
      <c r="CA40" s="96">
        <f t="shared" si="39"/>
        <v>100</v>
      </c>
      <c r="CB40" s="104">
        <f t="shared" si="40"/>
        <v>2</v>
      </c>
      <c r="CC40" s="105">
        <f t="shared" si="59"/>
        <v>94.093224139574758</v>
      </c>
      <c r="CD40" s="106">
        <f t="shared" si="60"/>
        <v>64.914614017748207</v>
      </c>
      <c r="CE40" s="107">
        <f t="shared" si="61"/>
        <v>0.9737192102662231</v>
      </c>
      <c r="CF40" s="108" t="s">
        <v>2189</v>
      </c>
      <c r="CG40" s="108" t="s">
        <v>2189</v>
      </c>
      <c r="CH40" s="108" t="s">
        <v>2189</v>
      </c>
      <c r="CI40" s="108" t="s">
        <v>2189</v>
      </c>
      <c r="CJ40" s="109"/>
      <c r="CK40" s="116" t="s">
        <v>2199</v>
      </c>
      <c r="CL40" s="116" t="s">
        <v>2193</v>
      </c>
      <c r="CM40" s="111">
        <f t="shared" si="42"/>
        <v>25</v>
      </c>
      <c r="CN40" s="107">
        <f t="shared" si="62"/>
        <v>0.375</v>
      </c>
      <c r="CO40" s="114">
        <f>25864000-272000-10000000</f>
        <v>15592000</v>
      </c>
      <c r="CP40" s="88">
        <f t="shared" si="44"/>
        <v>6.3050399008093327</v>
      </c>
      <c r="CQ40" s="78">
        <f t="shared" si="45"/>
        <v>80</v>
      </c>
      <c r="CR40" s="79">
        <f t="shared" si="63"/>
        <v>2.4</v>
      </c>
      <c r="CS40" s="92">
        <f>_xlfn.XLOOKUP(C40, '[1]1-1. 관계사체무보증금액 (환율 등)'!$3:$3, '[1]1-1. 관계사체무보증금액 (환율 등)'!$33:$33)</f>
        <v>0</v>
      </c>
      <c r="CT40" s="77">
        <f t="shared" si="47"/>
        <v>0</v>
      </c>
      <c r="CU40" s="78">
        <f t="shared" si="48"/>
        <v>100</v>
      </c>
      <c r="CV40" s="79">
        <f t="shared" si="64"/>
        <v>2</v>
      </c>
      <c r="CW40" s="112">
        <f t="shared" si="50"/>
        <v>21.254872341364027</v>
      </c>
    </row>
    <row r="41" spans="1:101" x14ac:dyDescent="0.35">
      <c r="A41" s="7" t="s">
        <v>433</v>
      </c>
      <c r="B41" s="8" t="s">
        <v>434</v>
      </c>
      <c r="C41" s="21" t="s">
        <v>435</v>
      </c>
      <c r="D41" s="10" t="s">
        <v>21</v>
      </c>
      <c r="E41" s="11" t="s">
        <v>22</v>
      </c>
      <c r="F41" s="11" t="s">
        <v>436</v>
      </c>
      <c r="G41" s="12">
        <v>37294</v>
      </c>
      <c r="H41" s="11" t="s">
        <v>24</v>
      </c>
      <c r="I41" s="11" t="s">
        <v>437</v>
      </c>
      <c r="J41" s="11" t="s">
        <v>438</v>
      </c>
      <c r="K41" s="11" t="s">
        <v>439</v>
      </c>
      <c r="L41" s="23">
        <v>913454051</v>
      </c>
      <c r="M41" s="14">
        <v>123544315</v>
      </c>
      <c r="N41" s="14">
        <v>789909736</v>
      </c>
      <c r="O41" s="14">
        <v>184873955</v>
      </c>
      <c r="P41" s="14">
        <v>65584851</v>
      </c>
      <c r="Q41" s="14">
        <v>76860200</v>
      </c>
      <c r="R41" s="14">
        <v>56946615</v>
      </c>
      <c r="S41" s="15">
        <v>8000000</v>
      </c>
      <c r="T41" s="15">
        <v>42810</v>
      </c>
      <c r="U41" s="15">
        <v>5000000</v>
      </c>
      <c r="V41" s="15">
        <v>0</v>
      </c>
      <c r="W41" s="15">
        <v>0</v>
      </c>
      <c r="X41" s="15">
        <v>0</v>
      </c>
      <c r="Z41" s="15">
        <v>0</v>
      </c>
      <c r="AA41" s="15">
        <v>0</v>
      </c>
      <c r="AB41" s="74">
        <f t="shared" si="0"/>
        <v>5000000</v>
      </c>
      <c r="AC41" s="75">
        <f t="shared" si="1"/>
        <v>62.5</v>
      </c>
      <c r="AD41" s="75">
        <f t="shared" si="2"/>
        <v>46.144994246260076</v>
      </c>
      <c r="AE41" s="76">
        <f t="shared" si="53"/>
        <v>1.3843498273878023</v>
      </c>
      <c r="AF41" s="77">
        <f t="shared" si="4"/>
        <v>62.836252496170133</v>
      </c>
      <c r="AG41" s="77">
        <f t="shared" si="5"/>
        <v>62.836252496170133</v>
      </c>
      <c r="AH41" s="77">
        <f t="shared" si="6"/>
        <v>0</v>
      </c>
      <c r="AI41" s="78">
        <f t="shared" si="7"/>
        <v>100</v>
      </c>
      <c r="AJ41" s="79">
        <f t="shared" si="54"/>
        <v>4</v>
      </c>
      <c r="AK41" s="113">
        <v>6</v>
      </c>
      <c r="AL41" s="113">
        <v>0</v>
      </c>
      <c r="AM41" s="113">
        <v>0</v>
      </c>
      <c r="AN41" s="81">
        <f t="shared" si="9"/>
        <v>6</v>
      </c>
      <c r="AO41" s="82">
        <f t="shared" si="10"/>
        <v>0</v>
      </c>
      <c r="AP41" s="83">
        <f t="shared" si="11"/>
        <v>100</v>
      </c>
      <c r="AQ41" s="84">
        <f t="shared" si="55"/>
        <v>2</v>
      </c>
      <c r="AR41" s="118">
        <v>3</v>
      </c>
      <c r="AS41" s="86">
        <f t="shared" si="13"/>
        <v>0.25</v>
      </c>
      <c r="AT41" s="87">
        <f t="shared" si="14"/>
        <v>1.5</v>
      </c>
      <c r="AU41" s="87">
        <f t="shared" si="15"/>
        <v>1</v>
      </c>
      <c r="AV41" s="88">
        <f t="shared" si="16"/>
        <v>33.333333333333329</v>
      </c>
      <c r="AW41" s="78">
        <f t="shared" si="17"/>
        <v>80</v>
      </c>
      <c r="AX41" s="89">
        <f t="shared" si="56"/>
        <v>0.8</v>
      </c>
      <c r="AY41" s="114">
        <v>8</v>
      </c>
      <c r="AZ41" s="114">
        <v>24</v>
      </c>
      <c r="BA41" s="91">
        <f t="shared" si="19"/>
        <v>24</v>
      </c>
      <c r="BB41" s="77">
        <f t="shared" si="20"/>
        <v>100</v>
      </c>
      <c r="BC41" s="78">
        <f t="shared" si="21"/>
        <v>100</v>
      </c>
      <c r="BD41" s="79">
        <f t="shared" si="57"/>
        <v>1</v>
      </c>
      <c r="BE41" s="92">
        <v>10532812</v>
      </c>
      <c r="BF41" s="92">
        <v>755843</v>
      </c>
      <c r="BG41" s="93">
        <v>0</v>
      </c>
      <c r="BH41" s="94">
        <f t="shared" si="23"/>
        <v>11288655</v>
      </c>
      <c r="BI41" s="77">
        <f t="shared" si="24"/>
        <v>0</v>
      </c>
      <c r="BJ41" s="95" t="str">
        <f t="shared" si="25"/>
        <v>비제조/서비스업</v>
      </c>
      <c r="BK41" s="96">
        <f t="shared" si="26"/>
        <v>1.7464434573900922</v>
      </c>
      <c r="BL41" s="97">
        <f t="shared" si="27"/>
        <v>-1.7464434573900922</v>
      </c>
      <c r="BM41" s="98">
        <f t="shared" si="28"/>
        <v>80</v>
      </c>
      <c r="BN41" s="99">
        <f t="shared" si="29"/>
        <v>1.6</v>
      </c>
      <c r="BO41" s="114">
        <v>5000</v>
      </c>
      <c r="BP41" s="101">
        <f t="shared" si="30"/>
        <v>2.7045453752531016E-3</v>
      </c>
      <c r="BQ41" s="78">
        <f t="shared" si="31"/>
        <v>40</v>
      </c>
      <c r="BR41" s="79">
        <f t="shared" si="58"/>
        <v>0.8</v>
      </c>
      <c r="BS41" s="102">
        <v>19779989.857999999</v>
      </c>
      <c r="BT41" s="102">
        <v>0</v>
      </c>
      <c r="BU41" s="103">
        <f t="shared" si="33"/>
        <v>19779989.857999999</v>
      </c>
      <c r="BV41" s="77">
        <f t="shared" si="34"/>
        <v>10.699176018601429</v>
      </c>
      <c r="BW41" s="96">
        <f t="shared" si="35"/>
        <v>2.8482825397737606</v>
      </c>
      <c r="BX41" s="96">
        <f t="shared" si="36"/>
        <v>61.636528415898809</v>
      </c>
      <c r="BY41" s="96">
        <f t="shared" si="37"/>
        <v>5.5697595856656807</v>
      </c>
      <c r="BZ41" s="96">
        <f t="shared" si="38"/>
        <v>7.9335269279385834</v>
      </c>
      <c r="CA41" s="96">
        <f t="shared" si="39"/>
        <v>85</v>
      </c>
      <c r="CB41" s="104">
        <f t="shared" si="40"/>
        <v>1.7</v>
      </c>
      <c r="CC41" s="105">
        <f t="shared" si="59"/>
        <v>15.640307919941881</v>
      </c>
      <c r="CD41" s="106">
        <f t="shared" si="60"/>
        <v>94.482296010072162</v>
      </c>
      <c r="CE41" s="107">
        <f t="shared" si="61"/>
        <v>1.4172344401510824</v>
      </c>
      <c r="CF41" s="108" t="s">
        <v>2189</v>
      </c>
      <c r="CG41" s="108" t="s">
        <v>2189</v>
      </c>
      <c r="CH41" s="108" t="s">
        <v>2189</v>
      </c>
      <c r="CI41" s="108" t="s">
        <v>2189</v>
      </c>
      <c r="CJ41" s="109"/>
      <c r="CK41" s="116" t="s">
        <v>2206</v>
      </c>
      <c r="CL41" s="116" t="s">
        <v>2198</v>
      </c>
      <c r="CM41" s="111">
        <f t="shared" si="42"/>
        <v>100</v>
      </c>
      <c r="CN41" s="107">
        <f t="shared" si="62"/>
        <v>1.5</v>
      </c>
      <c r="CO41" s="114">
        <v>0</v>
      </c>
      <c r="CP41" s="88">
        <f t="shared" si="44"/>
        <v>0</v>
      </c>
      <c r="CQ41" s="78">
        <f t="shared" si="45"/>
        <v>100</v>
      </c>
      <c r="CR41" s="79">
        <f t="shared" si="63"/>
        <v>3</v>
      </c>
      <c r="CS41" s="92">
        <f>_xlfn.XLOOKUP(C41, '[1]1-1. 관계사체무보증금액 (환율 등)'!$3:$3, '[1]1-1. 관계사체무보증금액 (환율 등)'!$33:$33)</f>
        <v>0</v>
      </c>
      <c r="CT41" s="77">
        <f t="shared" si="47"/>
        <v>0</v>
      </c>
      <c r="CU41" s="78">
        <f t="shared" si="48"/>
        <v>100</v>
      </c>
      <c r="CV41" s="79">
        <f t="shared" si="64"/>
        <v>2</v>
      </c>
      <c r="CW41" s="112">
        <f t="shared" si="50"/>
        <v>21.201584267538884</v>
      </c>
    </row>
    <row r="42" spans="1:101" x14ac:dyDescent="0.35">
      <c r="A42" s="7" t="s">
        <v>231</v>
      </c>
      <c r="B42" s="8" t="s">
        <v>232</v>
      </c>
      <c r="C42" s="21" t="s">
        <v>233</v>
      </c>
      <c r="D42" s="10" t="s">
        <v>21</v>
      </c>
      <c r="E42" s="11" t="s">
        <v>234</v>
      </c>
      <c r="F42" s="11" t="s">
        <v>235</v>
      </c>
      <c r="G42" s="12">
        <v>39559</v>
      </c>
      <c r="H42" s="11" t="s">
        <v>24</v>
      </c>
      <c r="I42" s="11" t="s">
        <v>236</v>
      </c>
      <c r="J42" s="11" t="s">
        <v>237</v>
      </c>
      <c r="K42" s="11" t="s">
        <v>27</v>
      </c>
      <c r="L42" s="23">
        <v>18621116000</v>
      </c>
      <c r="M42" s="14">
        <v>10475153000</v>
      </c>
      <c r="N42" s="14">
        <v>8145963000</v>
      </c>
      <c r="O42" s="14">
        <v>12781569000</v>
      </c>
      <c r="P42" s="14">
        <v>1049830000</v>
      </c>
      <c r="Q42" s="14">
        <v>859263000</v>
      </c>
      <c r="R42" s="14">
        <v>661692000</v>
      </c>
      <c r="S42" s="15">
        <v>436611361</v>
      </c>
      <c r="T42" s="15">
        <v>6783009</v>
      </c>
      <c r="U42" s="15">
        <v>164422375</v>
      </c>
      <c r="V42" s="15">
        <v>0</v>
      </c>
      <c r="W42" s="15">
        <f>16000+45800+1000+8100+50040+10+300+1580+662+1602+8318+1000+6000+1000+3006+10+1250+12851</f>
        <v>158529</v>
      </c>
      <c r="X42" s="15">
        <v>0</v>
      </c>
      <c r="Z42" s="15">
        <v>0</v>
      </c>
      <c r="AA42" s="15">
        <v>0</v>
      </c>
      <c r="AB42" s="74">
        <f t="shared" si="0"/>
        <v>164580904</v>
      </c>
      <c r="AC42" s="75">
        <f t="shared" si="1"/>
        <v>37.695057596084865</v>
      </c>
      <c r="AD42" s="75">
        <f t="shared" si="2"/>
        <v>67.553172385427331</v>
      </c>
      <c r="AE42" s="76">
        <f t="shared" si="53"/>
        <v>2.0265951715628199</v>
      </c>
      <c r="AF42" s="77">
        <f t="shared" si="4"/>
        <v>38.253031526408009</v>
      </c>
      <c r="AG42" s="77">
        <f t="shared" si="5"/>
        <v>38.289913458291366</v>
      </c>
      <c r="AH42" s="77">
        <f t="shared" si="6"/>
        <v>3.6881931883357311E-2</v>
      </c>
      <c r="AI42" s="78">
        <f t="shared" si="7"/>
        <v>100</v>
      </c>
      <c r="AJ42" s="79">
        <f t="shared" si="54"/>
        <v>4</v>
      </c>
      <c r="AK42" s="113">
        <v>7</v>
      </c>
      <c r="AL42" s="113">
        <v>71</v>
      </c>
      <c r="AM42" s="113">
        <v>0</v>
      </c>
      <c r="AN42" s="81">
        <f t="shared" si="9"/>
        <v>78</v>
      </c>
      <c r="AO42" s="82">
        <f t="shared" si="10"/>
        <v>0</v>
      </c>
      <c r="AP42" s="83">
        <f t="shared" si="11"/>
        <v>100</v>
      </c>
      <c r="AQ42" s="84">
        <f t="shared" si="55"/>
        <v>2</v>
      </c>
      <c r="AR42" s="118">
        <v>4</v>
      </c>
      <c r="AS42" s="86">
        <f t="shared" si="13"/>
        <v>0.5</v>
      </c>
      <c r="AT42" s="87">
        <f t="shared" si="14"/>
        <v>3.5</v>
      </c>
      <c r="AU42" s="87">
        <f t="shared" si="15"/>
        <v>3</v>
      </c>
      <c r="AV42" s="88">
        <f t="shared" si="16"/>
        <v>14.285714285714285</v>
      </c>
      <c r="AW42" s="78">
        <f t="shared" si="17"/>
        <v>60</v>
      </c>
      <c r="AX42" s="89">
        <f t="shared" si="56"/>
        <v>0.6</v>
      </c>
      <c r="AY42" s="114">
        <v>7</v>
      </c>
      <c r="AZ42" s="114">
        <f>7*4-1</f>
        <v>27</v>
      </c>
      <c r="BA42" s="91">
        <f t="shared" si="19"/>
        <v>28</v>
      </c>
      <c r="BB42" s="77">
        <f t="shared" si="20"/>
        <v>96.428571428571431</v>
      </c>
      <c r="BC42" s="78">
        <f t="shared" si="21"/>
        <v>100</v>
      </c>
      <c r="BD42" s="79">
        <f t="shared" si="57"/>
        <v>1</v>
      </c>
      <c r="BE42" s="92">
        <f>(38424-4)*1000</f>
        <v>38420000</v>
      </c>
      <c r="BF42" s="92">
        <v>4751000</v>
      </c>
      <c r="BG42" s="93">
        <v>0</v>
      </c>
      <c r="BH42" s="94">
        <f t="shared" si="23"/>
        <v>43171000</v>
      </c>
      <c r="BI42" s="77">
        <f t="shared" si="24"/>
        <v>0</v>
      </c>
      <c r="BJ42" s="95" t="str">
        <f t="shared" si="25"/>
        <v>비제조/서비스업</v>
      </c>
      <c r="BK42" s="96">
        <f t="shared" si="26"/>
        <v>1.7464434573900922</v>
      </c>
      <c r="BL42" s="97">
        <f t="shared" si="27"/>
        <v>-1.7464434573900922</v>
      </c>
      <c r="BM42" s="98">
        <f t="shared" si="28"/>
        <v>80</v>
      </c>
      <c r="BN42" s="99">
        <f t="shared" si="29"/>
        <v>1.6</v>
      </c>
      <c r="BO42" s="114">
        <v>125535000</v>
      </c>
      <c r="BP42" s="101">
        <f t="shared" si="30"/>
        <v>0.98215641600808168</v>
      </c>
      <c r="BQ42" s="78">
        <f t="shared" si="31"/>
        <v>70</v>
      </c>
      <c r="BR42" s="79">
        <f t="shared" si="58"/>
        <v>1.4000000000000001</v>
      </c>
      <c r="BS42" s="102">
        <v>2216708000</v>
      </c>
      <c r="BT42" s="102">
        <v>12777000</v>
      </c>
      <c r="BU42" s="103">
        <f t="shared" si="33"/>
        <v>2203931000</v>
      </c>
      <c r="BV42" s="77">
        <f t="shared" si="34"/>
        <v>17.243039567364537</v>
      </c>
      <c r="BW42" s="96">
        <f t="shared" si="35"/>
        <v>2.8482825397737606</v>
      </c>
      <c r="BX42" s="96">
        <f t="shared" si="36"/>
        <v>207.20902988337403</v>
      </c>
      <c r="BY42" s="96">
        <f t="shared" si="37"/>
        <v>5.5697595856656807</v>
      </c>
      <c r="BZ42" s="96">
        <f t="shared" si="38"/>
        <v>0.48767429150663455</v>
      </c>
      <c r="CA42" s="96">
        <f t="shared" si="39"/>
        <v>100</v>
      </c>
      <c r="CB42" s="104">
        <f t="shared" si="40"/>
        <v>2</v>
      </c>
      <c r="CC42" s="105">
        <f t="shared" si="59"/>
        <v>128.5931816778446</v>
      </c>
      <c r="CD42" s="106">
        <f t="shared" si="60"/>
        <v>51.91211745809877</v>
      </c>
      <c r="CE42" s="107">
        <f t="shared" si="61"/>
        <v>0.77868176187148153</v>
      </c>
      <c r="CF42" s="108" t="s">
        <v>2189</v>
      </c>
      <c r="CG42" s="108" t="s">
        <v>2189</v>
      </c>
      <c r="CH42" s="108" t="s">
        <v>2189</v>
      </c>
      <c r="CI42" s="108" t="s">
        <v>2189</v>
      </c>
      <c r="CJ42" s="109"/>
      <c r="CK42" s="116" t="s">
        <v>2190</v>
      </c>
      <c r="CL42" s="116" t="s">
        <v>2191</v>
      </c>
      <c r="CM42" s="111">
        <f t="shared" si="42"/>
        <v>85</v>
      </c>
      <c r="CN42" s="107">
        <f t="shared" si="62"/>
        <v>1.2749999999999999</v>
      </c>
      <c r="CO42" s="114">
        <f>434000+272000+5964000+70990000+2633000+400000+56135000+635765000</f>
        <v>772593000</v>
      </c>
      <c r="CP42" s="88">
        <f t="shared" si="44"/>
        <v>9.4843666734062015</v>
      </c>
      <c r="CQ42" s="78">
        <f t="shared" si="45"/>
        <v>80</v>
      </c>
      <c r="CR42" s="79">
        <f t="shared" si="63"/>
        <v>2.4</v>
      </c>
      <c r="CS42" s="92">
        <f>_xlfn.XLOOKUP(C42, '[1]1-1. 관계사체무보증금액 (환율 등)'!$3:$3, '[1]1-1. 관계사체무보증금액 (환율 등)'!$33:$33)</f>
        <v>0</v>
      </c>
      <c r="CT42" s="77">
        <f t="shared" si="47"/>
        <v>0</v>
      </c>
      <c r="CU42" s="78">
        <f t="shared" si="48"/>
        <v>100</v>
      </c>
      <c r="CV42" s="79">
        <f t="shared" si="64"/>
        <v>2</v>
      </c>
      <c r="CW42" s="112">
        <f t="shared" si="50"/>
        <v>21.080276933434298</v>
      </c>
    </row>
    <row r="43" spans="1:101" x14ac:dyDescent="0.35">
      <c r="A43" s="7" t="s">
        <v>486</v>
      </c>
      <c r="B43" s="8" t="s">
        <v>487</v>
      </c>
      <c r="C43" s="21" t="s">
        <v>488</v>
      </c>
      <c r="D43" s="10" t="s">
        <v>141</v>
      </c>
      <c r="E43" s="11" t="s">
        <v>489</v>
      </c>
      <c r="F43" s="11" t="s">
        <v>490</v>
      </c>
      <c r="G43" s="12">
        <v>26866</v>
      </c>
      <c r="H43" s="11" t="s">
        <v>24</v>
      </c>
      <c r="I43" s="11" t="s">
        <v>491</v>
      </c>
      <c r="J43" s="11" t="s">
        <v>492</v>
      </c>
      <c r="K43" s="11" t="s">
        <v>27</v>
      </c>
      <c r="L43" s="23">
        <v>46715448000</v>
      </c>
      <c r="M43" s="14">
        <v>20245275000</v>
      </c>
      <c r="N43" s="14">
        <v>26470173000</v>
      </c>
      <c r="O43" s="14">
        <v>46409721000</v>
      </c>
      <c r="P43" s="14">
        <v>3000886000</v>
      </c>
      <c r="Q43" s="14">
        <v>2639370000</v>
      </c>
      <c r="R43" s="14">
        <v>1953513000</v>
      </c>
      <c r="S43" s="15">
        <v>405363347</v>
      </c>
      <c r="T43" s="15">
        <v>4432968</v>
      </c>
      <c r="U43" s="15">
        <f>137318251+7061331</f>
        <v>144379582</v>
      </c>
      <c r="V43" s="15">
        <v>0</v>
      </c>
      <c r="W43" s="15">
        <f>3500+1718+23740+800+218+1335+1242+1222+518+2357+2084+1418+1683+1053+1138+1473+518+1722+1295+400+1683+1518+590+400+450+89+683+439+213+195+293+1020+465+9834+600+1538+900+930+1778+1310+2162+2782+507+1304+856+983+300+683+457+2467+683+2648+799+1433+317+465+1234+1983+387+983+683*2+218+1055+983+765+633+983+683+2468+518+972+983+2128+465+565+683+100+2962+683+865+983+1072+565+765+573+218+765+218+683+518+683+765+89+785+1522+1422+653+518+1524+778+313+1375+578+465+475+289+1067+2790+983+492</f>
        <v>141799</v>
      </c>
      <c r="X43" s="15">
        <v>0</v>
      </c>
      <c r="Z43" s="15">
        <v>0</v>
      </c>
      <c r="AA43" s="15">
        <v>0</v>
      </c>
      <c r="AB43" s="74">
        <f t="shared" si="0"/>
        <v>144521381</v>
      </c>
      <c r="AC43" s="75">
        <f t="shared" si="1"/>
        <v>35.652306028546782</v>
      </c>
      <c r="AD43" s="75">
        <f t="shared" si="2"/>
        <v>69.316191574902092</v>
      </c>
      <c r="AE43" s="76">
        <f t="shared" si="53"/>
        <v>2.0794857472470625</v>
      </c>
      <c r="AF43" s="77">
        <f t="shared" si="4"/>
        <v>36.011135489436185</v>
      </c>
      <c r="AG43" s="77">
        <f t="shared" si="5"/>
        <v>36.046502976518028</v>
      </c>
      <c r="AH43" s="77">
        <f t="shared" si="6"/>
        <v>3.5367487081842341E-2</v>
      </c>
      <c r="AI43" s="78">
        <f t="shared" si="7"/>
        <v>100</v>
      </c>
      <c r="AJ43" s="79">
        <f t="shared" si="54"/>
        <v>4</v>
      </c>
      <c r="AK43" s="113">
        <v>9</v>
      </c>
      <c r="AL43" s="113">
        <v>138</v>
      </c>
      <c r="AM43" s="113">
        <v>1</v>
      </c>
      <c r="AN43" s="81">
        <f t="shared" si="9"/>
        <v>147</v>
      </c>
      <c r="AO43" s="82">
        <f t="shared" si="10"/>
        <v>0.68027210884353739</v>
      </c>
      <c r="AP43" s="83">
        <f t="shared" si="11"/>
        <v>100</v>
      </c>
      <c r="AQ43" s="84">
        <f t="shared" si="55"/>
        <v>2</v>
      </c>
      <c r="AR43" s="118">
        <v>5</v>
      </c>
      <c r="AS43" s="86">
        <f t="shared" si="13"/>
        <v>0.5</v>
      </c>
      <c r="AT43" s="87">
        <f t="shared" si="14"/>
        <v>4.5</v>
      </c>
      <c r="AU43" s="87">
        <f t="shared" si="15"/>
        <v>4</v>
      </c>
      <c r="AV43" s="88">
        <f t="shared" si="16"/>
        <v>11.111111111111111</v>
      </c>
      <c r="AW43" s="78">
        <f t="shared" si="17"/>
        <v>60</v>
      </c>
      <c r="AX43" s="89">
        <f t="shared" si="56"/>
        <v>0.6</v>
      </c>
      <c r="AY43" s="114">
        <v>8</v>
      </c>
      <c r="AZ43" s="114">
        <f>40-2</f>
        <v>38</v>
      </c>
      <c r="BA43" s="91">
        <f t="shared" si="19"/>
        <v>40</v>
      </c>
      <c r="BB43" s="77">
        <f t="shared" si="20"/>
        <v>95</v>
      </c>
      <c r="BC43" s="78">
        <f t="shared" si="21"/>
        <v>100</v>
      </c>
      <c r="BD43" s="79">
        <f t="shared" si="57"/>
        <v>1</v>
      </c>
      <c r="BE43" s="92">
        <f>(552147+324986-2153)*1000</f>
        <v>874980000</v>
      </c>
      <c r="BF43" s="92">
        <v>76477000</v>
      </c>
      <c r="BG43" s="114">
        <v>1488000</v>
      </c>
      <c r="BH43" s="94">
        <f t="shared" si="23"/>
        <v>951457000</v>
      </c>
      <c r="BI43" s="77">
        <f t="shared" si="24"/>
        <v>0.15639172343048607</v>
      </c>
      <c r="BJ43" s="95" t="str">
        <f t="shared" si="25"/>
        <v>전기전자/기계업</v>
      </c>
      <c r="BK43" s="96">
        <f t="shared" si="26"/>
        <v>2.4096449716116446</v>
      </c>
      <c r="BL43" s="97">
        <f t="shared" si="27"/>
        <v>-2.2532532481811587</v>
      </c>
      <c r="BM43" s="98">
        <f t="shared" si="28"/>
        <v>100</v>
      </c>
      <c r="BN43" s="99">
        <f t="shared" si="29"/>
        <v>2</v>
      </c>
      <c r="BO43" s="114">
        <v>2162950000</v>
      </c>
      <c r="BP43" s="101">
        <f t="shared" si="30"/>
        <v>4.6605537663111569</v>
      </c>
      <c r="BQ43" s="78">
        <f t="shared" si="31"/>
        <v>100</v>
      </c>
      <c r="BR43" s="79">
        <f t="shared" si="58"/>
        <v>2</v>
      </c>
      <c r="BS43" s="102">
        <v>953755000</v>
      </c>
      <c r="BT43" s="102">
        <v>41598000</v>
      </c>
      <c r="BU43" s="103">
        <f t="shared" si="33"/>
        <v>912157000</v>
      </c>
      <c r="BV43" s="77">
        <f t="shared" si="34"/>
        <v>1.965443834493209</v>
      </c>
      <c r="BW43" s="96">
        <f t="shared" si="35"/>
        <v>5.2309968128308295</v>
      </c>
      <c r="BX43" s="96">
        <f t="shared" si="36"/>
        <v>10.663836254329702</v>
      </c>
      <c r="BY43" s="96">
        <f t="shared" si="37"/>
        <v>7.0695458012309631</v>
      </c>
      <c r="BZ43" s="96">
        <f t="shared" si="38"/>
        <v>67.793006519930302</v>
      </c>
      <c r="CA43" s="96">
        <f t="shared" si="39"/>
        <v>40</v>
      </c>
      <c r="CB43" s="104">
        <f t="shared" si="40"/>
        <v>0.8</v>
      </c>
      <c r="CC43" s="105">
        <f t="shared" si="59"/>
        <v>76.483349768813369</v>
      </c>
      <c r="CD43" s="106">
        <f t="shared" si="60"/>
        <v>71.551501343412042</v>
      </c>
      <c r="CE43" s="107">
        <f t="shared" si="61"/>
        <v>1.0732725201511806</v>
      </c>
      <c r="CF43" s="108" t="s">
        <v>2189</v>
      </c>
      <c r="CG43" s="108" t="s">
        <v>2189</v>
      </c>
      <c r="CH43" s="108" t="s">
        <v>2189</v>
      </c>
      <c r="CI43" s="108" t="s">
        <v>2189</v>
      </c>
      <c r="CJ43" s="109"/>
      <c r="CK43" s="116" t="s">
        <v>2218</v>
      </c>
      <c r="CL43" s="116" t="s">
        <v>2204</v>
      </c>
      <c r="CM43" s="111">
        <f t="shared" si="42"/>
        <v>70</v>
      </c>
      <c r="CN43" s="107">
        <f t="shared" si="62"/>
        <v>1.05</v>
      </c>
      <c r="CO43" s="114">
        <v>2423441000</v>
      </c>
      <c r="CP43" s="88">
        <f t="shared" si="44"/>
        <v>9.1553651727172323</v>
      </c>
      <c r="CQ43" s="78">
        <f t="shared" si="45"/>
        <v>80</v>
      </c>
      <c r="CR43" s="79">
        <f t="shared" si="63"/>
        <v>2.4</v>
      </c>
      <c r="CS43" s="92">
        <f>_xlfn.XLOOKUP(C43, '[1]1-1. 관계사체무보증금액 (환율 등)'!$3:$3, '[1]1-1. 관계사체무보증금액 (환율 등)'!$33:$33)</f>
        <v>0</v>
      </c>
      <c r="CT43" s="77">
        <f t="shared" si="47"/>
        <v>0</v>
      </c>
      <c r="CU43" s="78">
        <f t="shared" si="48"/>
        <v>100</v>
      </c>
      <c r="CV43" s="79">
        <f t="shared" si="64"/>
        <v>2</v>
      </c>
      <c r="CW43" s="112">
        <f t="shared" si="50"/>
        <v>21.002758267398242</v>
      </c>
    </row>
    <row r="44" spans="1:101" x14ac:dyDescent="0.35">
      <c r="A44" s="7" t="s">
        <v>273</v>
      </c>
      <c r="B44" s="8" t="s">
        <v>274</v>
      </c>
      <c r="C44" s="21" t="s">
        <v>275</v>
      </c>
      <c r="D44" s="22" t="s">
        <v>75</v>
      </c>
      <c r="E44" s="11" t="s">
        <v>276</v>
      </c>
      <c r="F44" s="11" t="s">
        <v>277</v>
      </c>
      <c r="G44" s="12">
        <v>44417</v>
      </c>
      <c r="H44" s="11" t="s">
        <v>24</v>
      </c>
      <c r="I44" s="11" t="s">
        <v>278</v>
      </c>
      <c r="J44" s="11" t="s">
        <v>279</v>
      </c>
      <c r="K44" s="11" t="s">
        <v>280</v>
      </c>
      <c r="L44" s="23">
        <v>498996616</v>
      </c>
      <c r="M44" s="14">
        <v>157543399</v>
      </c>
      <c r="N44" s="14">
        <v>341453217</v>
      </c>
      <c r="O44" s="14">
        <v>276440430</v>
      </c>
      <c r="P44" s="14">
        <v>52135090</v>
      </c>
      <c r="Q44" s="14">
        <v>53978399</v>
      </c>
      <c r="R44" s="14">
        <v>45710486</v>
      </c>
      <c r="S44" s="15">
        <v>29366322</v>
      </c>
      <c r="T44" s="15">
        <v>0</v>
      </c>
      <c r="U44" s="15">
        <v>15877400</v>
      </c>
      <c r="V44" s="15">
        <v>0</v>
      </c>
      <c r="W44" s="15">
        <f>24390+2705+19254+2000+10275+3000+600</f>
        <v>62224</v>
      </c>
      <c r="X44" s="15">
        <v>0</v>
      </c>
      <c r="Z44" s="15">
        <v>0</v>
      </c>
      <c r="AA44" s="15">
        <v>0</v>
      </c>
      <c r="AB44" s="74">
        <f t="shared" si="0"/>
        <v>15939624</v>
      </c>
      <c r="AC44" s="75">
        <f t="shared" si="1"/>
        <v>54.278584836058116</v>
      </c>
      <c r="AD44" s="75">
        <f t="shared" si="2"/>
        <v>53.240576953919927</v>
      </c>
      <c r="AE44" s="76">
        <f t="shared" si="53"/>
        <v>1.5972173086175978</v>
      </c>
      <c r="AF44" s="77">
        <f t="shared" si="4"/>
        <v>54.066695856566582</v>
      </c>
      <c r="AG44" s="77">
        <f t="shared" si="5"/>
        <v>54.278584836058116</v>
      </c>
      <c r="AH44" s="77">
        <f t="shared" si="6"/>
        <v>0.21188897949153329</v>
      </c>
      <c r="AI44" s="78">
        <f t="shared" si="7"/>
        <v>100</v>
      </c>
      <c r="AJ44" s="79">
        <f t="shared" si="54"/>
        <v>4</v>
      </c>
      <c r="AK44" s="113">
        <v>7</v>
      </c>
      <c r="AL44" s="113">
        <v>8</v>
      </c>
      <c r="AM44" s="113">
        <v>1</v>
      </c>
      <c r="AN44" s="81">
        <f t="shared" si="9"/>
        <v>15</v>
      </c>
      <c r="AO44" s="82">
        <f t="shared" si="10"/>
        <v>6.666666666666667</v>
      </c>
      <c r="AP44" s="83">
        <f t="shared" si="11"/>
        <v>100</v>
      </c>
      <c r="AQ44" s="84">
        <f t="shared" si="55"/>
        <v>2</v>
      </c>
      <c r="AR44" s="118">
        <v>3</v>
      </c>
      <c r="AS44" s="86">
        <f t="shared" si="13"/>
        <v>0.25</v>
      </c>
      <c r="AT44" s="87">
        <f t="shared" si="14"/>
        <v>1.75</v>
      </c>
      <c r="AU44" s="87">
        <f t="shared" si="15"/>
        <v>1</v>
      </c>
      <c r="AV44" s="88">
        <f t="shared" si="16"/>
        <v>28.571428571428569</v>
      </c>
      <c r="AW44" s="78">
        <f t="shared" si="17"/>
        <v>80</v>
      </c>
      <c r="AX44" s="89">
        <f t="shared" si="56"/>
        <v>0.8</v>
      </c>
      <c r="AY44" s="114">
        <v>8</v>
      </c>
      <c r="AZ44" s="114">
        <v>24</v>
      </c>
      <c r="BA44" s="91">
        <f t="shared" si="19"/>
        <v>24</v>
      </c>
      <c r="BB44" s="77">
        <f t="shared" si="20"/>
        <v>100</v>
      </c>
      <c r="BC44" s="78">
        <f t="shared" si="21"/>
        <v>100</v>
      </c>
      <c r="BD44" s="79">
        <f t="shared" si="57"/>
        <v>1</v>
      </c>
      <c r="BE44" s="92">
        <v>6383837</v>
      </c>
      <c r="BF44" s="92">
        <v>940896</v>
      </c>
      <c r="BG44" s="114">
        <v>304983</v>
      </c>
      <c r="BH44" s="94">
        <f t="shared" si="23"/>
        <v>7324733</v>
      </c>
      <c r="BI44" s="77">
        <f t="shared" si="24"/>
        <v>4.1637422142213243</v>
      </c>
      <c r="BJ44" s="95" t="str">
        <f t="shared" si="25"/>
        <v>금속/비금속/화학업</v>
      </c>
      <c r="BK44" s="96">
        <f t="shared" si="26"/>
        <v>3.9534118626990469</v>
      </c>
      <c r="BL44" s="97">
        <f t="shared" si="27"/>
        <v>0.21033035152227741</v>
      </c>
      <c r="BM44" s="98">
        <f t="shared" si="28"/>
        <v>60</v>
      </c>
      <c r="BN44" s="99">
        <f t="shared" si="29"/>
        <v>1.2</v>
      </c>
      <c r="BO44" s="114">
        <v>9934818</v>
      </c>
      <c r="BP44" s="101">
        <f t="shared" si="30"/>
        <v>3.5938368349376395</v>
      </c>
      <c r="BQ44" s="78">
        <f t="shared" si="31"/>
        <v>85</v>
      </c>
      <c r="BR44" s="79">
        <f t="shared" si="58"/>
        <v>1.7</v>
      </c>
      <c r="BS44" s="102">
        <v>107792826.604</v>
      </c>
      <c r="BT44" s="102">
        <v>27595.5</v>
      </c>
      <c r="BU44" s="103">
        <f t="shared" si="33"/>
        <v>107765231.104</v>
      </c>
      <c r="BV44" s="77">
        <f t="shared" si="34"/>
        <v>38.983165777885674</v>
      </c>
      <c r="BW44" s="96">
        <f t="shared" si="35"/>
        <v>5.1474158565187738</v>
      </c>
      <c r="BX44" s="96">
        <f t="shared" si="36"/>
        <v>1144.85797274128</v>
      </c>
      <c r="BY44" s="96">
        <f t="shared" si="37"/>
        <v>6.6930498535228535</v>
      </c>
      <c r="BZ44" s="96">
        <f t="shared" si="38"/>
        <v>2.147943012342779E-5</v>
      </c>
      <c r="CA44" s="96">
        <f t="shared" si="39"/>
        <v>100</v>
      </c>
      <c r="CB44" s="104">
        <f t="shared" si="40"/>
        <v>2</v>
      </c>
      <c r="CC44" s="105">
        <f t="shared" si="59"/>
        <v>46.139087627925321</v>
      </c>
      <c r="CD44" s="106">
        <f t="shared" si="60"/>
        <v>82.987781044751756</v>
      </c>
      <c r="CE44" s="107">
        <f t="shared" si="61"/>
        <v>1.2448167156712764</v>
      </c>
      <c r="CF44" s="108" t="s">
        <v>2189</v>
      </c>
      <c r="CG44" s="108" t="s">
        <v>2189</v>
      </c>
      <c r="CH44" s="108" t="s">
        <v>2189</v>
      </c>
      <c r="CI44" s="108" t="s">
        <v>2189</v>
      </c>
      <c r="CJ44" s="109"/>
      <c r="CK44" s="116" t="s">
        <v>2199</v>
      </c>
      <c r="CL44" s="116" t="s">
        <v>2193</v>
      </c>
      <c r="CM44" s="111">
        <f t="shared" si="42"/>
        <v>25</v>
      </c>
      <c r="CN44" s="107">
        <f t="shared" si="62"/>
        <v>0.375</v>
      </c>
      <c r="CO44" s="114">
        <v>0</v>
      </c>
      <c r="CP44" s="88">
        <f t="shared" si="44"/>
        <v>0</v>
      </c>
      <c r="CQ44" s="78">
        <f t="shared" si="45"/>
        <v>100</v>
      </c>
      <c r="CR44" s="79">
        <f t="shared" si="63"/>
        <v>3</v>
      </c>
      <c r="CS44" s="92">
        <f>_xlfn.XLOOKUP(C44, '[1]1-1. 관계사체무보증금액 (환율 등)'!$3:$3, '[1]1-1. 관계사체무보증금액 (환율 등)'!$33:$33)</f>
        <v>0</v>
      </c>
      <c r="CT44" s="77">
        <f t="shared" si="47"/>
        <v>0</v>
      </c>
      <c r="CU44" s="78">
        <f t="shared" si="48"/>
        <v>100</v>
      </c>
      <c r="CV44" s="79">
        <f t="shared" si="64"/>
        <v>2</v>
      </c>
      <c r="CW44" s="112">
        <f t="shared" si="50"/>
        <v>20.917034024288874</v>
      </c>
    </row>
    <row r="45" spans="1:101" x14ac:dyDescent="0.35">
      <c r="A45" s="7" t="s">
        <v>1670</v>
      </c>
      <c r="B45" s="188" t="s">
        <v>1671</v>
      </c>
      <c r="C45" s="21" t="s">
        <v>1672</v>
      </c>
      <c r="D45" s="10" t="s">
        <v>75</v>
      </c>
      <c r="E45" s="11" t="s">
        <v>149</v>
      </c>
      <c r="F45" s="11" t="s">
        <v>1673</v>
      </c>
      <c r="G45" s="12">
        <v>37536</v>
      </c>
      <c r="H45" s="11" t="s">
        <v>24</v>
      </c>
      <c r="I45" s="11" t="s">
        <v>1674</v>
      </c>
      <c r="J45" s="11" t="s">
        <v>1675</v>
      </c>
      <c r="K45" s="11" t="s">
        <v>27</v>
      </c>
      <c r="L45" s="23">
        <v>941352875</v>
      </c>
      <c r="M45" s="14">
        <v>201162049</v>
      </c>
      <c r="N45" s="14">
        <v>740190827</v>
      </c>
      <c r="O45" s="14">
        <v>1235837871</v>
      </c>
      <c r="P45" s="14">
        <v>117135007</v>
      </c>
      <c r="Q45" s="14">
        <v>105510103</v>
      </c>
      <c r="R45" s="14">
        <v>81809433</v>
      </c>
      <c r="S45" s="15">
        <v>40878588</v>
      </c>
      <c r="T45" s="15">
        <v>2507711</v>
      </c>
      <c r="U45" s="15">
        <f>16332950+1074696</f>
        <v>17407646</v>
      </c>
      <c r="V45" s="15">
        <f>340556</f>
        <v>340556</v>
      </c>
      <c r="W45" s="15">
        <v>5000</v>
      </c>
      <c r="X45" s="15">
        <v>0</v>
      </c>
      <c r="Z45" s="15">
        <v>0</v>
      </c>
      <c r="AA45" s="15">
        <v>0</v>
      </c>
      <c r="AB45" s="74">
        <f t="shared" si="0"/>
        <v>17753202</v>
      </c>
      <c r="AC45" s="75">
        <f t="shared" si="1"/>
        <v>43.429097893498671</v>
      </c>
      <c r="AD45" s="75">
        <f t="shared" si="2"/>
        <v>62.604345891686997</v>
      </c>
      <c r="AE45" s="76">
        <f t="shared" si="53"/>
        <v>1.8781303767506099</v>
      </c>
      <c r="AF45" s="77">
        <f t="shared" si="4"/>
        <v>46.254355875160215</v>
      </c>
      <c r="AG45" s="77">
        <f t="shared" si="5"/>
        <v>46.267386591137857</v>
      </c>
      <c r="AH45" s="77">
        <f t="shared" si="6"/>
        <v>1.303071597764216E-2</v>
      </c>
      <c r="AI45" s="78">
        <f t="shared" si="7"/>
        <v>100</v>
      </c>
      <c r="AJ45" s="79">
        <f t="shared" si="54"/>
        <v>4</v>
      </c>
      <c r="AK45" s="113">
        <v>8</v>
      </c>
      <c r="AL45" s="113">
        <v>4</v>
      </c>
      <c r="AM45" s="113">
        <v>1</v>
      </c>
      <c r="AN45" s="81">
        <f t="shared" si="9"/>
        <v>12</v>
      </c>
      <c r="AO45" s="82">
        <f t="shared" si="10"/>
        <v>8.3333333333333321</v>
      </c>
      <c r="AP45" s="83">
        <f t="shared" si="11"/>
        <v>100</v>
      </c>
      <c r="AQ45" s="84">
        <f t="shared" si="55"/>
        <v>2</v>
      </c>
      <c r="AR45" s="118">
        <v>2</v>
      </c>
      <c r="AS45" s="86">
        <f t="shared" si="13"/>
        <v>0.25</v>
      </c>
      <c r="AT45" s="87">
        <f t="shared" si="14"/>
        <v>2</v>
      </c>
      <c r="AU45" s="87">
        <f t="shared" si="15"/>
        <v>2</v>
      </c>
      <c r="AV45" s="88">
        <f t="shared" si="16"/>
        <v>0</v>
      </c>
      <c r="AW45" s="78">
        <f t="shared" si="17"/>
        <v>40</v>
      </c>
      <c r="AX45" s="89">
        <f t="shared" si="56"/>
        <v>0.4</v>
      </c>
      <c r="AY45" s="114">
        <v>6</v>
      </c>
      <c r="AZ45" s="114">
        <v>12</v>
      </c>
      <c r="BA45" s="91">
        <f t="shared" si="19"/>
        <v>12</v>
      </c>
      <c r="BB45" s="77">
        <f t="shared" si="20"/>
        <v>100</v>
      </c>
      <c r="BC45" s="78">
        <f t="shared" si="21"/>
        <v>100</v>
      </c>
      <c r="BD45" s="79">
        <f t="shared" si="57"/>
        <v>1</v>
      </c>
      <c r="BE45" s="92">
        <v>14363765</v>
      </c>
      <c r="BF45" s="92">
        <v>2223807</v>
      </c>
      <c r="BG45" s="93">
        <v>0</v>
      </c>
      <c r="BH45" s="94">
        <f t="shared" si="23"/>
        <v>16587572</v>
      </c>
      <c r="BI45" s="77">
        <f t="shared" si="24"/>
        <v>0</v>
      </c>
      <c r="BJ45" s="95" t="str">
        <f t="shared" si="25"/>
        <v>금속/비금속/화학업</v>
      </c>
      <c r="BK45" s="96">
        <f t="shared" si="26"/>
        <v>3.9534118626990469</v>
      </c>
      <c r="BL45" s="97">
        <f t="shared" si="27"/>
        <v>-3.9534118626990469</v>
      </c>
      <c r="BM45" s="98">
        <f t="shared" si="28"/>
        <v>100</v>
      </c>
      <c r="BN45" s="99">
        <f t="shared" si="29"/>
        <v>2</v>
      </c>
      <c r="BO45" s="114">
        <v>2303000</v>
      </c>
      <c r="BP45" s="101">
        <f t="shared" si="30"/>
        <v>0.18635130497631433</v>
      </c>
      <c r="BQ45" s="78">
        <f t="shared" si="31"/>
        <v>55</v>
      </c>
      <c r="BR45" s="79">
        <f t="shared" si="58"/>
        <v>1.1000000000000001</v>
      </c>
      <c r="BS45" s="102">
        <v>91506313.194000006</v>
      </c>
      <c r="BT45" s="102">
        <v>23063.579000000002</v>
      </c>
      <c r="BU45" s="103">
        <f t="shared" si="33"/>
        <v>91483249.61500001</v>
      </c>
      <c r="BV45" s="77">
        <f t="shared" si="34"/>
        <v>7.4025284191181751</v>
      </c>
      <c r="BW45" s="96">
        <f t="shared" si="35"/>
        <v>5.1474158565187738</v>
      </c>
      <c r="BX45" s="96">
        <f t="shared" si="36"/>
        <v>5.085532669993639</v>
      </c>
      <c r="BY45" s="96">
        <f t="shared" si="37"/>
        <v>6.6930498535228535</v>
      </c>
      <c r="BZ45" s="96">
        <f t="shared" si="38"/>
        <v>36.808352395438746</v>
      </c>
      <c r="CA45" s="96">
        <f t="shared" si="39"/>
        <v>55</v>
      </c>
      <c r="CB45" s="104">
        <f t="shared" si="40"/>
        <v>1.1000000000000001</v>
      </c>
      <c r="CC45" s="105">
        <f t="shared" si="59"/>
        <v>27.177052411647896</v>
      </c>
      <c r="CD45" s="106">
        <f t="shared" si="60"/>
        <v>90.134276729278426</v>
      </c>
      <c r="CE45" s="107">
        <f t="shared" si="61"/>
        <v>1.3520141509391763</v>
      </c>
      <c r="CF45" s="108" t="s">
        <v>2189</v>
      </c>
      <c r="CG45" s="108" t="s">
        <v>2189</v>
      </c>
      <c r="CH45" s="108" t="s">
        <v>2189</v>
      </c>
      <c r="CI45" s="108" t="s">
        <v>2189</v>
      </c>
      <c r="CJ45" s="109"/>
      <c r="CK45" s="116" t="s">
        <v>2207</v>
      </c>
      <c r="CL45" s="116" t="s">
        <v>2204</v>
      </c>
      <c r="CM45" s="111">
        <f t="shared" si="42"/>
        <v>70</v>
      </c>
      <c r="CN45" s="107">
        <f t="shared" si="62"/>
        <v>1.05</v>
      </c>
      <c r="CO45" s="114">
        <f>37064000-12600000-10898000</f>
        <v>13566000</v>
      </c>
      <c r="CP45" s="88">
        <f t="shared" si="44"/>
        <v>1.8327706187582897</v>
      </c>
      <c r="CQ45" s="78">
        <f t="shared" si="45"/>
        <v>100</v>
      </c>
      <c r="CR45" s="79">
        <f t="shared" si="63"/>
        <v>3</v>
      </c>
      <c r="CS45" s="92">
        <f>_xlfn.XLOOKUP(C45, '[1]1-1. 관계사체무보증금액 (환율 등)'!$3:$3, '[1]1-1. 관계사체무보증금액 (환율 등)'!$33:$33)</f>
        <v>10800000</v>
      </c>
      <c r="CT45" s="77">
        <f t="shared" si="47"/>
        <v>1.4590831993652902</v>
      </c>
      <c r="CU45" s="78">
        <f t="shared" si="48"/>
        <v>100</v>
      </c>
      <c r="CV45" s="79">
        <f t="shared" si="64"/>
        <v>2</v>
      </c>
      <c r="CW45" s="112">
        <f t="shared" si="50"/>
        <v>20.880144527689787</v>
      </c>
    </row>
    <row r="46" spans="1:101" x14ac:dyDescent="0.35">
      <c r="A46" s="7" t="s">
        <v>173</v>
      </c>
      <c r="B46" s="8" t="s">
        <v>174</v>
      </c>
      <c r="C46" s="21" t="s">
        <v>175</v>
      </c>
      <c r="D46" s="22" t="s">
        <v>21</v>
      </c>
      <c r="E46" s="11" t="s">
        <v>176</v>
      </c>
      <c r="F46" s="11" t="s">
        <v>177</v>
      </c>
      <c r="G46" s="12">
        <v>34977</v>
      </c>
      <c r="H46" s="11" t="s">
        <v>24</v>
      </c>
      <c r="I46" s="11" t="s">
        <v>178</v>
      </c>
      <c r="J46" s="11" t="s">
        <v>179</v>
      </c>
      <c r="K46" s="11" t="s">
        <v>27</v>
      </c>
      <c r="L46" s="23">
        <v>25684209000</v>
      </c>
      <c r="M46" s="14">
        <v>5067672000</v>
      </c>
      <c r="N46" s="14">
        <v>20616537000</v>
      </c>
      <c r="O46" s="14">
        <v>18429889000</v>
      </c>
      <c r="P46" s="14">
        <v>9919892000</v>
      </c>
      <c r="Q46" s="14">
        <v>10124753000</v>
      </c>
      <c r="R46" s="14">
        <v>10047898000</v>
      </c>
      <c r="S46" s="15">
        <v>489039496</v>
      </c>
      <c r="T46" s="15">
        <v>0</v>
      </c>
      <c r="U46" s="15">
        <v>0</v>
      </c>
      <c r="V46" s="15">
        <v>0</v>
      </c>
      <c r="W46" s="15">
        <f>19+1720+3471+720+290+300+3617</f>
        <v>10137</v>
      </c>
      <c r="X46" s="15">
        <v>0</v>
      </c>
      <c r="Z46" s="15">
        <v>0</v>
      </c>
      <c r="AA46" s="15">
        <v>0</v>
      </c>
      <c r="AB46" s="74">
        <f t="shared" si="0"/>
        <v>10137</v>
      </c>
      <c r="AC46" s="75">
        <f t="shared" si="1"/>
        <v>2.0728387140330276E-3</v>
      </c>
      <c r="AD46" s="75">
        <f t="shared" si="2"/>
        <v>100.08451711273243</v>
      </c>
      <c r="AE46" s="76">
        <f t="shared" si="53"/>
        <v>3.0025355133819729</v>
      </c>
      <c r="AF46" s="77">
        <f t="shared" si="4"/>
        <v>0</v>
      </c>
      <c r="AG46" s="77">
        <f t="shared" si="5"/>
        <v>2.0728387140330276E-3</v>
      </c>
      <c r="AH46" s="77">
        <f t="shared" si="6"/>
        <v>2.0728387140330276E-3</v>
      </c>
      <c r="AI46" s="78">
        <f t="shared" si="7"/>
        <v>100</v>
      </c>
      <c r="AJ46" s="79">
        <f t="shared" si="54"/>
        <v>4</v>
      </c>
      <c r="AK46" s="113">
        <v>5</v>
      </c>
      <c r="AL46" s="113">
        <v>23</v>
      </c>
      <c r="AM46" s="113">
        <v>0</v>
      </c>
      <c r="AN46" s="81">
        <f t="shared" si="9"/>
        <v>28</v>
      </c>
      <c r="AO46" s="82">
        <f t="shared" si="10"/>
        <v>0</v>
      </c>
      <c r="AP46" s="83">
        <f t="shared" si="11"/>
        <v>100</v>
      </c>
      <c r="AQ46" s="84">
        <f t="shared" si="55"/>
        <v>2</v>
      </c>
      <c r="AR46" s="118">
        <v>3</v>
      </c>
      <c r="AS46" s="86">
        <f t="shared" si="13"/>
        <v>0.5</v>
      </c>
      <c r="AT46" s="87">
        <f t="shared" si="14"/>
        <v>2.5</v>
      </c>
      <c r="AU46" s="87">
        <f t="shared" si="15"/>
        <v>2</v>
      </c>
      <c r="AV46" s="88">
        <f t="shared" si="16"/>
        <v>20</v>
      </c>
      <c r="AW46" s="78">
        <f t="shared" si="17"/>
        <v>80</v>
      </c>
      <c r="AX46" s="89">
        <f t="shared" si="56"/>
        <v>0.8</v>
      </c>
      <c r="AY46" s="114">
        <v>17</v>
      </c>
      <c r="AZ46" s="114">
        <f>17*3-1</f>
        <v>50</v>
      </c>
      <c r="BA46" s="91">
        <f t="shared" si="19"/>
        <v>51</v>
      </c>
      <c r="BB46" s="77">
        <f t="shared" si="20"/>
        <v>98.039215686274503</v>
      </c>
      <c r="BC46" s="78">
        <f t="shared" si="21"/>
        <v>100</v>
      </c>
      <c r="BD46" s="79">
        <f t="shared" si="57"/>
        <v>1</v>
      </c>
      <c r="BE46" s="92">
        <v>149100000</v>
      </c>
      <c r="BF46" s="92">
        <v>12705000</v>
      </c>
      <c r="BG46" s="93">
        <v>0</v>
      </c>
      <c r="BH46" s="94">
        <f t="shared" si="23"/>
        <v>161805000</v>
      </c>
      <c r="BI46" s="77">
        <f t="shared" si="24"/>
        <v>0</v>
      </c>
      <c r="BJ46" s="95" t="str">
        <f t="shared" si="25"/>
        <v>비제조/서비스업</v>
      </c>
      <c r="BK46" s="96">
        <f t="shared" si="26"/>
        <v>1.7464434573900922</v>
      </c>
      <c r="BL46" s="97">
        <f t="shared" si="27"/>
        <v>-1.7464434573900922</v>
      </c>
      <c r="BM46" s="98">
        <f t="shared" si="28"/>
        <v>80</v>
      </c>
      <c r="BN46" s="99">
        <f t="shared" si="29"/>
        <v>1.6</v>
      </c>
      <c r="BO46" s="114">
        <v>109000</v>
      </c>
      <c r="BP46" s="101">
        <f t="shared" si="30"/>
        <v>5.9143058322272044E-4</v>
      </c>
      <c r="BQ46" s="78">
        <f t="shared" si="31"/>
        <v>40</v>
      </c>
      <c r="BR46" s="79">
        <f t="shared" si="58"/>
        <v>0.8</v>
      </c>
      <c r="BS46" s="102">
        <v>412885000</v>
      </c>
      <c r="BT46" s="102">
        <v>6198000</v>
      </c>
      <c r="BU46" s="103">
        <f t="shared" si="33"/>
        <v>406687000</v>
      </c>
      <c r="BV46" s="77">
        <f t="shared" si="34"/>
        <v>2.206670913753197</v>
      </c>
      <c r="BW46" s="96">
        <f t="shared" si="35"/>
        <v>2.8482825397737606</v>
      </c>
      <c r="BX46" s="96">
        <f t="shared" si="36"/>
        <v>0.4116654786447515</v>
      </c>
      <c r="BY46" s="96">
        <f t="shared" si="37"/>
        <v>5.5697595856656807</v>
      </c>
      <c r="BZ46" s="96">
        <f t="shared" si="38"/>
        <v>54.585494473492581</v>
      </c>
      <c r="CA46" s="96">
        <f t="shared" si="39"/>
        <v>55</v>
      </c>
      <c r="CB46" s="104">
        <f t="shared" si="40"/>
        <v>1.1000000000000001</v>
      </c>
      <c r="CC46" s="105">
        <f t="shared" si="59"/>
        <v>24.580617006629193</v>
      </c>
      <c r="CD46" s="106">
        <f t="shared" si="60"/>
        <v>91.11283278644629</v>
      </c>
      <c r="CE46" s="107">
        <f t="shared" si="61"/>
        <v>1.3666924917966943</v>
      </c>
      <c r="CF46" s="108" t="s">
        <v>2189</v>
      </c>
      <c r="CG46" s="108" t="s">
        <v>2189</v>
      </c>
      <c r="CH46" s="108" t="s">
        <v>2189</v>
      </c>
      <c r="CI46" s="108" t="s">
        <v>2189</v>
      </c>
      <c r="CJ46" s="109"/>
      <c r="CK46" s="116" t="s">
        <v>2210</v>
      </c>
      <c r="CL46" s="116" t="s">
        <v>2209</v>
      </c>
      <c r="CM46" s="111">
        <f t="shared" si="42"/>
        <v>40</v>
      </c>
      <c r="CN46" s="107">
        <f t="shared" si="62"/>
        <v>0.6</v>
      </c>
      <c r="CO46" s="114">
        <f>544740000-31141000-142000-998000-131000-3327000-43974000-152700000-1200000-19770000-519000-609000-651000-57854000-381000-373000-135000-5709000-254000-290000</f>
        <v>224582000</v>
      </c>
      <c r="CP46" s="88">
        <f t="shared" si="44"/>
        <v>1.0893294058066105</v>
      </c>
      <c r="CQ46" s="78">
        <f t="shared" si="45"/>
        <v>100</v>
      </c>
      <c r="CR46" s="79">
        <f t="shared" si="63"/>
        <v>3</v>
      </c>
      <c r="CS46" s="92">
        <f>_xlfn.XLOOKUP(C46, '[1]1-1. 관계사체무보증금액 (환율 등)'!$3:$3, '[1]1-1. 관계사체무보증금액 (환율 등)'!$33:$33)</f>
        <v>1443472000</v>
      </c>
      <c r="CT46" s="77">
        <f t="shared" si="47"/>
        <v>7.0015250378858491</v>
      </c>
      <c r="CU46" s="78">
        <f t="shared" si="48"/>
        <v>80</v>
      </c>
      <c r="CV46" s="79">
        <f t="shared" si="64"/>
        <v>1.6</v>
      </c>
      <c r="CW46" s="112">
        <f t="shared" si="50"/>
        <v>20.86922800517867</v>
      </c>
    </row>
    <row r="47" spans="1:101" x14ac:dyDescent="0.35">
      <c r="A47" s="7" t="s">
        <v>1555</v>
      </c>
      <c r="B47" s="8" t="s">
        <v>1556</v>
      </c>
      <c r="C47" s="21" t="s">
        <v>1557</v>
      </c>
      <c r="D47" s="22" t="s">
        <v>141</v>
      </c>
      <c r="E47" s="11" t="s">
        <v>234</v>
      </c>
      <c r="F47" s="11" t="s">
        <v>1558</v>
      </c>
      <c r="G47" s="12">
        <v>36152</v>
      </c>
      <c r="H47" s="11" t="s">
        <v>24</v>
      </c>
      <c r="I47" s="11" t="s">
        <v>1559</v>
      </c>
      <c r="J47" s="11" t="s">
        <v>1560</v>
      </c>
      <c r="K47" s="11" t="s">
        <v>50</v>
      </c>
      <c r="L47" s="23">
        <v>30417774000</v>
      </c>
      <c r="M47" s="14">
        <v>15559694000</v>
      </c>
      <c r="N47" s="14">
        <v>14858080000</v>
      </c>
      <c r="O47" s="14">
        <v>18289243000</v>
      </c>
      <c r="P47" s="14">
        <v>1168103000</v>
      </c>
      <c r="Q47" s="14">
        <v>1270743000</v>
      </c>
      <c r="R47" s="14">
        <v>763750000</v>
      </c>
      <c r="S47" s="15">
        <v>261111808</v>
      </c>
      <c r="T47" s="15">
        <v>5069130</v>
      </c>
      <c r="U47" s="15">
        <v>0</v>
      </c>
      <c r="V47" s="15">
        <v>0</v>
      </c>
      <c r="W47" s="15">
        <f>36571+1100+1892+1979+1421+11633+949*2+15348+17957+12618+13914+11461+12607+13320+4418+7599+5990+10326+7539+7574+5201+6996+11102+7030+7930+1905+5502+7307+10062+8677+10381+8072+2500+10127+10334+81+3991+95+36+2145+127+875+3426+4720+6182+4387+1887+81+16+4813+6734+3594+1446+450+10035+102+4104+5575+6396+46+6178+4549+234+4238+6408+5516+2856+81+6999+194+81+2345+3813+4003+8045+5934+6434+6552+55+94+5265+5511+66+1999+81*2+4948+4691+4384+1973+3807+91+8035+3614+2048+4205+3403+3391+3038+2263+2843+81+2440</f>
        <v>524502</v>
      </c>
      <c r="X47" s="15">
        <v>0</v>
      </c>
      <c r="Z47" s="15">
        <v>0</v>
      </c>
      <c r="AA47" s="15">
        <v>0</v>
      </c>
      <c r="AB47" s="74">
        <f t="shared" si="0"/>
        <v>524502</v>
      </c>
      <c r="AC47" s="75">
        <f t="shared" si="1"/>
        <v>0.20087257026691033</v>
      </c>
      <c r="AD47" s="75">
        <f t="shared" si="2"/>
        <v>99.912940819677587</v>
      </c>
      <c r="AE47" s="76">
        <f t="shared" si="53"/>
        <v>2.9973882245903276</v>
      </c>
      <c r="AF47" s="77">
        <f t="shared" si="4"/>
        <v>0</v>
      </c>
      <c r="AG47" s="77">
        <f t="shared" si="5"/>
        <v>0.20484944310729322</v>
      </c>
      <c r="AH47" s="77">
        <f t="shared" si="6"/>
        <v>0.20484944310729322</v>
      </c>
      <c r="AI47" s="78">
        <f t="shared" si="7"/>
        <v>100</v>
      </c>
      <c r="AJ47" s="79">
        <f t="shared" si="54"/>
        <v>4</v>
      </c>
      <c r="AK47" s="113">
        <v>10</v>
      </c>
      <c r="AL47" s="113">
        <v>97</v>
      </c>
      <c r="AM47" s="113">
        <v>0</v>
      </c>
      <c r="AN47" s="81">
        <f t="shared" si="9"/>
        <v>107</v>
      </c>
      <c r="AO47" s="82">
        <f t="shared" si="10"/>
        <v>0</v>
      </c>
      <c r="AP47" s="83">
        <f t="shared" si="11"/>
        <v>100</v>
      </c>
      <c r="AQ47" s="84">
        <f t="shared" si="55"/>
        <v>2</v>
      </c>
      <c r="AR47" s="118">
        <v>4</v>
      </c>
      <c r="AS47" s="86">
        <f t="shared" si="13"/>
        <v>0.5</v>
      </c>
      <c r="AT47" s="87">
        <f t="shared" si="14"/>
        <v>5</v>
      </c>
      <c r="AU47" s="87">
        <f t="shared" si="15"/>
        <v>5</v>
      </c>
      <c r="AV47" s="88">
        <f t="shared" si="16"/>
        <v>-10</v>
      </c>
      <c r="AW47" s="78">
        <f t="shared" si="17"/>
        <v>20</v>
      </c>
      <c r="AX47" s="89">
        <f t="shared" si="56"/>
        <v>0.2</v>
      </c>
      <c r="AY47" s="114">
        <v>23</v>
      </c>
      <c r="AZ47" s="114">
        <f>23*4-1</f>
        <v>91</v>
      </c>
      <c r="BA47" s="91">
        <f t="shared" si="19"/>
        <v>92</v>
      </c>
      <c r="BB47" s="77">
        <f t="shared" si="20"/>
        <v>98.91304347826086</v>
      </c>
      <c r="BC47" s="78">
        <f t="shared" si="21"/>
        <v>100</v>
      </c>
      <c r="BD47" s="79">
        <f t="shared" si="57"/>
        <v>1</v>
      </c>
      <c r="BE47" s="92">
        <v>2380672000</v>
      </c>
      <c r="BF47" s="92">
        <f>(115736+45227)*1000</f>
        <v>160963000</v>
      </c>
      <c r="BG47" s="93">
        <v>0</v>
      </c>
      <c r="BH47" s="94">
        <f t="shared" si="23"/>
        <v>2541635000</v>
      </c>
      <c r="BI47" s="77">
        <f t="shared" si="24"/>
        <v>0</v>
      </c>
      <c r="BJ47" s="95" t="str">
        <f t="shared" si="25"/>
        <v>전기전자/기계업</v>
      </c>
      <c r="BK47" s="96">
        <f t="shared" si="26"/>
        <v>2.4096449716116446</v>
      </c>
      <c r="BL47" s="97">
        <f t="shared" si="27"/>
        <v>-2.4096449716116446</v>
      </c>
      <c r="BM47" s="98">
        <f t="shared" si="28"/>
        <v>100</v>
      </c>
      <c r="BN47" s="99">
        <f t="shared" si="29"/>
        <v>2</v>
      </c>
      <c r="BO47" s="114">
        <f>(230621-8)*1000</f>
        <v>230613000</v>
      </c>
      <c r="BP47" s="101">
        <f t="shared" si="30"/>
        <v>1.2609215154503661</v>
      </c>
      <c r="BQ47" s="78">
        <f t="shared" si="31"/>
        <v>70</v>
      </c>
      <c r="BR47" s="79">
        <f t="shared" si="58"/>
        <v>1.4000000000000001</v>
      </c>
      <c r="BS47" s="102">
        <v>2980008000</v>
      </c>
      <c r="BT47" s="102">
        <v>60619000</v>
      </c>
      <c r="BU47" s="103">
        <f t="shared" si="33"/>
        <v>2919389000</v>
      </c>
      <c r="BV47" s="77">
        <f t="shared" si="34"/>
        <v>15.962328238517035</v>
      </c>
      <c r="BW47" s="96">
        <f t="shared" si="35"/>
        <v>5.2309968128308295</v>
      </c>
      <c r="BX47" s="96">
        <f t="shared" si="36"/>
        <v>115.16147416792032</v>
      </c>
      <c r="BY47" s="96">
        <f t="shared" si="37"/>
        <v>7.0695458012309631</v>
      </c>
      <c r="BZ47" s="96">
        <f t="shared" si="38"/>
        <v>6.4511462503325063</v>
      </c>
      <c r="CA47" s="96">
        <f t="shared" si="39"/>
        <v>85</v>
      </c>
      <c r="CB47" s="104">
        <f t="shared" si="40"/>
        <v>1.7</v>
      </c>
      <c r="CC47" s="105">
        <f t="shared" si="59"/>
        <v>104.7221040672819</v>
      </c>
      <c r="CD47" s="106">
        <f t="shared" si="60"/>
        <v>60.908754748511846</v>
      </c>
      <c r="CE47" s="107">
        <f t="shared" si="61"/>
        <v>0.91363132122767765</v>
      </c>
      <c r="CF47" s="108" t="s">
        <v>2189</v>
      </c>
      <c r="CG47" s="108" t="s">
        <v>2189</v>
      </c>
      <c r="CH47" s="108" t="s">
        <v>2189</v>
      </c>
      <c r="CI47" s="108" t="s">
        <v>2189</v>
      </c>
      <c r="CJ47" s="109"/>
      <c r="CK47" s="116" t="s">
        <v>2234</v>
      </c>
      <c r="CL47" s="116" t="s">
        <v>2196</v>
      </c>
      <c r="CM47" s="111">
        <f t="shared" si="42"/>
        <v>55</v>
      </c>
      <c r="CN47" s="107">
        <f t="shared" si="62"/>
        <v>0.82499999999999996</v>
      </c>
      <c r="CO47" s="114">
        <v>4381877000</v>
      </c>
      <c r="CP47" s="88">
        <f t="shared" si="44"/>
        <v>29.491542648848302</v>
      </c>
      <c r="CQ47" s="78">
        <f t="shared" si="45"/>
        <v>60</v>
      </c>
      <c r="CR47" s="79">
        <f t="shared" si="63"/>
        <v>1.7999999999999998</v>
      </c>
      <c r="CS47" s="92">
        <f>_xlfn.XLOOKUP(C47, '[1]1-1. 관계사체무보증금액 (환율 등)'!$3:$3, '[1]1-1. 관계사체무보증금액 (환율 등)'!$33:$33)</f>
        <v>0</v>
      </c>
      <c r="CT47" s="77">
        <f t="shared" si="47"/>
        <v>0</v>
      </c>
      <c r="CU47" s="78">
        <f t="shared" si="48"/>
        <v>100</v>
      </c>
      <c r="CV47" s="79">
        <f t="shared" si="64"/>
        <v>2</v>
      </c>
      <c r="CW47" s="112">
        <f t="shared" si="50"/>
        <v>20.836019545818004</v>
      </c>
    </row>
    <row r="48" spans="1:101" x14ac:dyDescent="0.35">
      <c r="A48" s="7" t="s">
        <v>1568</v>
      </c>
      <c r="B48" s="8" t="s">
        <v>1569</v>
      </c>
      <c r="C48" s="21" t="s">
        <v>1570</v>
      </c>
      <c r="D48" s="10" t="s">
        <v>31</v>
      </c>
      <c r="E48" s="11" t="s">
        <v>1571</v>
      </c>
      <c r="F48" s="11" t="s">
        <v>1572</v>
      </c>
      <c r="G48" s="12">
        <v>36441</v>
      </c>
      <c r="H48" s="11" t="s">
        <v>24</v>
      </c>
      <c r="I48" s="11" t="s">
        <v>1573</v>
      </c>
      <c r="J48" s="11" t="s">
        <v>1574</v>
      </c>
      <c r="K48" s="11" t="s">
        <v>212</v>
      </c>
      <c r="L48" s="23">
        <v>10156905259</v>
      </c>
      <c r="M48" s="14">
        <v>2103300926</v>
      </c>
      <c r="N48" s="14">
        <v>8053604333</v>
      </c>
      <c r="O48" s="14">
        <v>3694358039</v>
      </c>
      <c r="P48" s="14">
        <v>1120293986</v>
      </c>
      <c r="Q48" s="14">
        <v>1315961612</v>
      </c>
      <c r="R48" s="14">
        <v>958039985</v>
      </c>
      <c r="S48" s="15">
        <v>137292497</v>
      </c>
      <c r="T48" s="15">
        <v>21012574</v>
      </c>
      <c r="U48" s="15">
        <v>0</v>
      </c>
      <c r="V48" s="15">
        <v>0</v>
      </c>
      <c r="W48" s="15">
        <f>3893+3371+250+3245+4270+5268+4008+710+2589+2689+3473+2687+2513+3378+4768+2917+3257+3606+2683+2524+2058+3536+2627+3213+2146+1392+2554+3596+3536+2256+1156+1667+3521+3381+2126+3304+3490+2617+3050+1293+1716+2208+3150+2037+1036+2518</f>
        <v>127283</v>
      </c>
      <c r="X48" s="15">
        <v>0</v>
      </c>
      <c r="Z48" s="15">
        <v>0</v>
      </c>
      <c r="AA48" s="15">
        <v>0</v>
      </c>
      <c r="AB48" s="74">
        <f t="shared" si="0"/>
        <v>127283</v>
      </c>
      <c r="AC48" s="75">
        <f t="shared" si="1"/>
        <v>9.2709363425737684E-2</v>
      </c>
      <c r="AD48" s="75">
        <f t="shared" si="2"/>
        <v>100.00629226401691</v>
      </c>
      <c r="AE48" s="76">
        <f t="shared" si="53"/>
        <v>3.0001887679205073</v>
      </c>
      <c r="AF48" s="77">
        <f t="shared" si="4"/>
        <v>0</v>
      </c>
      <c r="AG48" s="77">
        <f t="shared" si="5"/>
        <v>0.10946257678550407</v>
      </c>
      <c r="AH48" s="77">
        <f t="shared" si="6"/>
        <v>0.10946257678550407</v>
      </c>
      <c r="AI48" s="78">
        <f t="shared" si="7"/>
        <v>100</v>
      </c>
      <c r="AJ48" s="79">
        <f t="shared" si="54"/>
        <v>4</v>
      </c>
      <c r="AK48" s="113">
        <v>8</v>
      </c>
      <c r="AL48" s="113">
        <v>43</v>
      </c>
      <c r="AM48" s="113">
        <v>0</v>
      </c>
      <c r="AN48" s="81">
        <f t="shared" si="9"/>
        <v>51</v>
      </c>
      <c r="AO48" s="82">
        <f t="shared" si="10"/>
        <v>0</v>
      </c>
      <c r="AP48" s="83">
        <f t="shared" si="11"/>
        <v>100</v>
      </c>
      <c r="AQ48" s="84">
        <f t="shared" si="55"/>
        <v>2</v>
      </c>
      <c r="AR48" s="118">
        <v>6</v>
      </c>
      <c r="AS48" s="86">
        <f t="shared" si="13"/>
        <v>0.5</v>
      </c>
      <c r="AT48" s="87">
        <f t="shared" si="14"/>
        <v>4</v>
      </c>
      <c r="AU48" s="87">
        <f t="shared" si="15"/>
        <v>4</v>
      </c>
      <c r="AV48" s="88">
        <f t="shared" si="16"/>
        <v>25</v>
      </c>
      <c r="AW48" s="78">
        <f t="shared" si="17"/>
        <v>80</v>
      </c>
      <c r="AX48" s="89">
        <f t="shared" si="56"/>
        <v>0.8</v>
      </c>
      <c r="AY48" s="114">
        <v>12</v>
      </c>
      <c r="AZ48" s="114">
        <f>12*6</f>
        <v>72</v>
      </c>
      <c r="BA48" s="91">
        <f t="shared" si="19"/>
        <v>72</v>
      </c>
      <c r="BB48" s="77">
        <f t="shared" si="20"/>
        <v>100</v>
      </c>
      <c r="BC48" s="78">
        <f t="shared" si="21"/>
        <v>100</v>
      </c>
      <c r="BD48" s="79">
        <f t="shared" si="57"/>
        <v>1</v>
      </c>
      <c r="BE48" s="92">
        <v>295739000</v>
      </c>
      <c r="BF48" s="92">
        <v>37805000</v>
      </c>
      <c r="BG48" s="93">
        <v>0</v>
      </c>
      <c r="BH48" s="94">
        <f t="shared" si="23"/>
        <v>333544000</v>
      </c>
      <c r="BI48" s="77">
        <f t="shared" si="24"/>
        <v>0</v>
      </c>
      <c r="BJ48" s="95" t="str">
        <f t="shared" si="25"/>
        <v>식약/섬유/종이업</v>
      </c>
      <c r="BK48" s="96">
        <f t="shared" si="26"/>
        <v>2.1999360555264453</v>
      </c>
      <c r="BL48" s="97">
        <f t="shared" si="27"/>
        <v>-2.1999360555264453</v>
      </c>
      <c r="BM48" s="98">
        <f t="shared" si="28"/>
        <v>100</v>
      </c>
      <c r="BN48" s="99">
        <f t="shared" si="29"/>
        <v>2</v>
      </c>
      <c r="BO48" s="114">
        <v>56023000</v>
      </c>
      <c r="BP48" s="101">
        <f t="shared" si="30"/>
        <v>1.5164474966580248</v>
      </c>
      <c r="BQ48" s="78">
        <f t="shared" si="31"/>
        <v>70</v>
      </c>
      <c r="BR48" s="79">
        <f t="shared" si="58"/>
        <v>1.4000000000000001</v>
      </c>
      <c r="BS48" s="102">
        <v>128933637.44400001</v>
      </c>
      <c r="BT48" s="102">
        <v>3785319.9169999999</v>
      </c>
      <c r="BU48" s="103">
        <f t="shared" si="33"/>
        <v>125148317.52700001</v>
      </c>
      <c r="BV48" s="77">
        <f t="shared" si="34"/>
        <v>3.3875524842436637</v>
      </c>
      <c r="BW48" s="96">
        <f t="shared" si="35"/>
        <v>5.0508176117342298</v>
      </c>
      <c r="BX48" s="96">
        <f t="shared" si="36"/>
        <v>2.766450884326209</v>
      </c>
      <c r="BY48" s="96">
        <f t="shared" si="37"/>
        <v>6.9871618081220923</v>
      </c>
      <c r="BZ48" s="96">
        <f t="shared" si="38"/>
        <v>59.407724771738387</v>
      </c>
      <c r="CA48" s="96">
        <f t="shared" si="39"/>
        <v>55</v>
      </c>
      <c r="CB48" s="104">
        <f t="shared" si="40"/>
        <v>1.1000000000000001</v>
      </c>
      <c r="CC48" s="105">
        <f t="shared" si="59"/>
        <v>26.116268431286493</v>
      </c>
      <c r="CD48" s="106">
        <f t="shared" si="60"/>
        <v>90.534069686701073</v>
      </c>
      <c r="CE48" s="107">
        <f t="shared" si="61"/>
        <v>1.3580110453005161</v>
      </c>
      <c r="CF48" s="108" t="s">
        <v>2189</v>
      </c>
      <c r="CG48" s="108" t="s">
        <v>2189</v>
      </c>
      <c r="CH48" s="108" t="s">
        <v>2189</v>
      </c>
      <c r="CI48" s="108" t="s">
        <v>2189</v>
      </c>
      <c r="CJ48" s="109"/>
      <c r="CK48" s="116" t="s">
        <v>2192</v>
      </c>
      <c r="CL48" s="116" t="s">
        <v>2193</v>
      </c>
      <c r="CM48" s="111">
        <f t="shared" si="42"/>
        <v>25</v>
      </c>
      <c r="CN48" s="107">
        <f t="shared" si="62"/>
        <v>0.375</v>
      </c>
      <c r="CO48" s="114">
        <v>1410082000</v>
      </c>
      <c r="CP48" s="88">
        <f t="shared" si="44"/>
        <v>17.508707178748857</v>
      </c>
      <c r="CQ48" s="78">
        <f t="shared" si="45"/>
        <v>60</v>
      </c>
      <c r="CR48" s="79">
        <f t="shared" si="63"/>
        <v>1.7999999999999998</v>
      </c>
      <c r="CS48" s="92">
        <f>_xlfn.XLOOKUP(C48, '[1]1-1. 관계사체무보증금액 (환율 등)'!$3:$3, '[1]1-1. 관계사체무보증금액 (환율 등)'!$33:$33)</f>
        <v>0</v>
      </c>
      <c r="CT48" s="77">
        <f t="shared" si="47"/>
        <v>0</v>
      </c>
      <c r="CU48" s="78">
        <f t="shared" si="48"/>
        <v>100</v>
      </c>
      <c r="CV48" s="79">
        <f t="shared" si="64"/>
        <v>2</v>
      </c>
      <c r="CW48" s="112">
        <f t="shared" si="50"/>
        <v>20.833199813221025</v>
      </c>
    </row>
    <row r="49" spans="1:101" x14ac:dyDescent="0.35">
      <c r="A49" s="7" t="s">
        <v>1191</v>
      </c>
      <c r="B49" s="8" t="s">
        <v>1192</v>
      </c>
      <c r="C49" s="21" t="s">
        <v>1193</v>
      </c>
      <c r="D49" s="10" t="s">
        <v>141</v>
      </c>
      <c r="E49" s="11" t="s">
        <v>241</v>
      </c>
      <c r="F49" s="11" t="s">
        <v>1194</v>
      </c>
      <c r="G49" s="12">
        <v>31889</v>
      </c>
      <c r="H49" s="11" t="s">
        <v>24</v>
      </c>
      <c r="I49" s="11" t="s">
        <v>1195</v>
      </c>
      <c r="J49" s="11" t="s">
        <v>1196</v>
      </c>
      <c r="K49" s="11" t="s">
        <v>280</v>
      </c>
      <c r="L49" s="23">
        <v>75722188</v>
      </c>
      <c r="M49" s="14">
        <v>2498635</v>
      </c>
      <c r="N49" s="14">
        <v>73223553</v>
      </c>
      <c r="O49" s="14">
        <v>17441063</v>
      </c>
      <c r="P49" s="14">
        <v>2055789</v>
      </c>
      <c r="Q49" s="14">
        <v>4418292</v>
      </c>
      <c r="R49" s="14">
        <v>5632855</v>
      </c>
      <c r="S49" s="15">
        <v>34845011</v>
      </c>
      <c r="T49" s="15">
        <v>2</v>
      </c>
      <c r="U49" s="15">
        <v>1119766</v>
      </c>
      <c r="V49" s="15">
        <f>358+923+50000</f>
        <v>51281</v>
      </c>
      <c r="W49" s="15">
        <v>0</v>
      </c>
      <c r="X49" s="15">
        <v>0</v>
      </c>
      <c r="Z49" s="15">
        <v>0</v>
      </c>
      <c r="AA49" s="15">
        <v>0</v>
      </c>
      <c r="AB49" s="74">
        <f t="shared" si="0"/>
        <v>1171047</v>
      </c>
      <c r="AC49" s="75">
        <f t="shared" si="1"/>
        <v>3.3607307513836053</v>
      </c>
      <c r="AD49" s="75">
        <f t="shared" si="2"/>
        <v>97.185790490750634</v>
      </c>
      <c r="AE49" s="76">
        <f t="shared" si="53"/>
        <v>2.9155737147225187</v>
      </c>
      <c r="AF49" s="77">
        <f t="shared" si="4"/>
        <v>3.3607309442795672</v>
      </c>
      <c r="AG49" s="77">
        <f t="shared" si="5"/>
        <v>3.3607309442795672</v>
      </c>
      <c r="AH49" s="77">
        <f t="shared" si="6"/>
        <v>0</v>
      </c>
      <c r="AI49" s="78">
        <f t="shared" si="7"/>
        <v>100</v>
      </c>
      <c r="AJ49" s="79">
        <f t="shared" si="54"/>
        <v>4</v>
      </c>
      <c r="AK49" s="113">
        <v>4</v>
      </c>
      <c r="AL49" s="113">
        <v>2</v>
      </c>
      <c r="AM49" s="113">
        <v>1</v>
      </c>
      <c r="AN49" s="81">
        <f t="shared" si="9"/>
        <v>6</v>
      </c>
      <c r="AO49" s="82">
        <f t="shared" si="10"/>
        <v>16.666666666666664</v>
      </c>
      <c r="AP49" s="83">
        <f t="shared" si="11"/>
        <v>80</v>
      </c>
      <c r="AQ49" s="84">
        <f t="shared" si="55"/>
        <v>1.6</v>
      </c>
      <c r="AR49" s="118">
        <v>1</v>
      </c>
      <c r="AS49" s="86">
        <f t="shared" si="13"/>
        <v>0.25</v>
      </c>
      <c r="AT49" s="87">
        <f t="shared" si="14"/>
        <v>1</v>
      </c>
      <c r="AU49" s="87">
        <f t="shared" si="15"/>
        <v>1</v>
      </c>
      <c r="AV49" s="88">
        <f t="shared" si="16"/>
        <v>0</v>
      </c>
      <c r="AW49" s="78">
        <f t="shared" si="17"/>
        <v>40</v>
      </c>
      <c r="AX49" s="89">
        <f t="shared" si="56"/>
        <v>0.4</v>
      </c>
      <c r="AY49" s="114">
        <v>7</v>
      </c>
      <c r="AZ49" s="114">
        <v>7</v>
      </c>
      <c r="BA49" s="91">
        <f t="shared" si="19"/>
        <v>7</v>
      </c>
      <c r="BB49" s="77">
        <f t="shared" si="20"/>
        <v>100</v>
      </c>
      <c r="BC49" s="78">
        <f t="shared" si="21"/>
        <v>100</v>
      </c>
      <c r="BD49" s="79">
        <f t="shared" si="57"/>
        <v>1</v>
      </c>
      <c r="BE49" s="92">
        <v>1583601</v>
      </c>
      <c r="BF49" s="92">
        <v>122521</v>
      </c>
      <c r="BG49" s="114">
        <v>18855</v>
      </c>
      <c r="BH49" s="94">
        <f t="shared" si="23"/>
        <v>1706122</v>
      </c>
      <c r="BI49" s="77">
        <f t="shared" si="24"/>
        <v>1.1051378506343625</v>
      </c>
      <c r="BJ49" s="95" t="str">
        <f t="shared" si="25"/>
        <v>전기전자/기계업</v>
      </c>
      <c r="BK49" s="96">
        <f t="shared" si="26"/>
        <v>2.4096449716116446</v>
      </c>
      <c r="BL49" s="97">
        <f t="shared" si="27"/>
        <v>-1.3045071209772821</v>
      </c>
      <c r="BM49" s="98">
        <f t="shared" si="28"/>
        <v>80</v>
      </c>
      <c r="BN49" s="99">
        <f t="shared" si="29"/>
        <v>1.6</v>
      </c>
      <c r="BO49" s="114">
        <v>167722</v>
      </c>
      <c r="BP49" s="101">
        <f t="shared" si="30"/>
        <v>0.96165010125816297</v>
      </c>
      <c r="BQ49" s="78">
        <f t="shared" si="31"/>
        <v>70</v>
      </c>
      <c r="BR49" s="79">
        <f t="shared" si="58"/>
        <v>1.4000000000000001</v>
      </c>
      <c r="BS49" s="102">
        <v>545056</v>
      </c>
      <c r="BT49" s="102">
        <v>25882</v>
      </c>
      <c r="BU49" s="103">
        <f t="shared" si="33"/>
        <v>519174</v>
      </c>
      <c r="BV49" s="77">
        <f t="shared" si="34"/>
        <v>2.9767337002337531</v>
      </c>
      <c r="BW49" s="96">
        <f t="shared" si="35"/>
        <v>5.2309968128308295</v>
      </c>
      <c r="BX49" s="96">
        <f t="shared" si="36"/>
        <v>5.0817021808158591</v>
      </c>
      <c r="BY49" s="96">
        <f t="shared" si="37"/>
        <v>7.0695458012309631</v>
      </c>
      <c r="BZ49" s="96">
        <f t="shared" si="38"/>
        <v>62.508729427545731</v>
      </c>
      <c r="CA49" s="96">
        <f t="shared" si="39"/>
        <v>40</v>
      </c>
      <c r="CB49" s="104">
        <f t="shared" si="40"/>
        <v>0.8</v>
      </c>
      <c r="CC49" s="105">
        <f t="shared" si="59"/>
        <v>3.4123378306977266</v>
      </c>
      <c r="CD49" s="106">
        <f t="shared" si="60"/>
        <v>99.090827450742069</v>
      </c>
      <c r="CE49" s="107">
        <f t="shared" si="61"/>
        <v>1.4863624117611309</v>
      </c>
      <c r="CF49" s="108" t="s">
        <v>2189</v>
      </c>
      <c r="CG49" s="108" t="s">
        <v>2189</v>
      </c>
      <c r="CH49" s="108" t="s">
        <v>2189</v>
      </c>
      <c r="CI49" s="108" t="s">
        <v>2189</v>
      </c>
      <c r="CJ49" s="109"/>
      <c r="CK49" s="116" t="s">
        <v>2217</v>
      </c>
      <c r="CL49" s="116" t="s">
        <v>2209</v>
      </c>
      <c r="CM49" s="111">
        <f t="shared" si="42"/>
        <v>40</v>
      </c>
      <c r="CN49" s="107">
        <f t="shared" si="62"/>
        <v>0.6</v>
      </c>
      <c r="CO49" s="114">
        <v>0</v>
      </c>
      <c r="CP49" s="88">
        <f t="shared" si="44"/>
        <v>0</v>
      </c>
      <c r="CQ49" s="78">
        <f t="shared" si="45"/>
        <v>100</v>
      </c>
      <c r="CR49" s="79">
        <f t="shared" si="63"/>
        <v>3</v>
      </c>
      <c r="CS49" s="92">
        <f>_xlfn.XLOOKUP(C49, '[1]1-1. 관계사체무보증금액 (환율 등)'!$3:$3, '[1]1-1. 관계사체무보증금액 (환율 등)'!$33:$33)</f>
        <v>0</v>
      </c>
      <c r="CT49" s="77">
        <f t="shared" si="47"/>
        <v>0</v>
      </c>
      <c r="CU49" s="78">
        <f t="shared" si="48"/>
        <v>100</v>
      </c>
      <c r="CV49" s="79">
        <f t="shared" si="64"/>
        <v>2</v>
      </c>
      <c r="CW49" s="112">
        <f t="shared" si="50"/>
        <v>20.801936126483653</v>
      </c>
    </row>
    <row r="50" spans="1:101" x14ac:dyDescent="0.35">
      <c r="A50" s="7" t="s">
        <v>580</v>
      </c>
      <c r="B50" s="8" t="s">
        <v>581</v>
      </c>
      <c r="C50" s="21" t="s">
        <v>582</v>
      </c>
      <c r="D50" s="10" t="s">
        <v>31</v>
      </c>
      <c r="E50" s="11" t="s">
        <v>183</v>
      </c>
      <c r="F50" s="11" t="s">
        <v>583</v>
      </c>
      <c r="G50" s="12">
        <v>36509</v>
      </c>
      <c r="H50" s="11" t="s">
        <v>24</v>
      </c>
      <c r="I50" s="11" t="s">
        <v>584</v>
      </c>
      <c r="J50" s="11" t="s">
        <v>585</v>
      </c>
      <c r="K50" s="11" t="s">
        <v>27</v>
      </c>
      <c r="L50" s="23">
        <v>424552601</v>
      </c>
      <c r="M50" s="14">
        <v>177887391</v>
      </c>
      <c r="N50" s="14">
        <v>246665210</v>
      </c>
      <c r="O50" s="14">
        <v>452801417</v>
      </c>
      <c r="P50" s="14">
        <v>47688591</v>
      </c>
      <c r="Q50" s="14">
        <v>39855973</v>
      </c>
      <c r="R50" s="14">
        <v>31496020</v>
      </c>
      <c r="S50" s="15">
        <v>21964670</v>
      </c>
      <c r="T50" s="15">
        <v>994144</v>
      </c>
      <c r="U50" s="15">
        <v>3142824</v>
      </c>
      <c r="V50" s="15">
        <f>2760404+1008700+801581+155303+155303+154981+112831+93997+76928+2293</f>
        <v>5322321</v>
      </c>
      <c r="W50" s="15">
        <f>21432+2145+8755+5932+720+5809+3038+2715+2777+17405+2513+943+2045+2543+8768</f>
        <v>87540</v>
      </c>
      <c r="X50" s="15">
        <v>0</v>
      </c>
      <c r="Z50" s="15">
        <v>0</v>
      </c>
      <c r="AA50" s="15">
        <v>0</v>
      </c>
      <c r="AB50" s="74">
        <f t="shared" si="0"/>
        <v>8552685</v>
      </c>
      <c r="AC50" s="75">
        <f t="shared" si="1"/>
        <v>38.938372395305734</v>
      </c>
      <c r="AD50" s="75">
        <f t="shared" si="2"/>
        <v>66.480115884373646</v>
      </c>
      <c r="AE50" s="76">
        <f t="shared" si="53"/>
        <v>1.9944034765312093</v>
      </c>
      <c r="AF50" s="77">
        <f t="shared" si="4"/>
        <v>40.366870149084484</v>
      </c>
      <c r="AG50" s="77">
        <f t="shared" si="5"/>
        <v>40.784313183179094</v>
      </c>
      <c r="AH50" s="77">
        <f t="shared" si="6"/>
        <v>0.41744303409461025</v>
      </c>
      <c r="AI50" s="78">
        <f t="shared" si="7"/>
        <v>100</v>
      </c>
      <c r="AJ50" s="79">
        <f t="shared" si="54"/>
        <v>4</v>
      </c>
      <c r="AK50" s="113">
        <v>6</v>
      </c>
      <c r="AL50" s="113">
        <v>32</v>
      </c>
      <c r="AM50" s="113">
        <v>3</v>
      </c>
      <c r="AN50" s="81">
        <f t="shared" si="9"/>
        <v>38</v>
      </c>
      <c r="AO50" s="82">
        <f t="shared" si="10"/>
        <v>7.8947368421052628</v>
      </c>
      <c r="AP50" s="83">
        <f t="shared" si="11"/>
        <v>100</v>
      </c>
      <c r="AQ50" s="84">
        <f t="shared" si="55"/>
        <v>2</v>
      </c>
      <c r="AR50" s="118">
        <v>3</v>
      </c>
      <c r="AS50" s="86">
        <f t="shared" si="13"/>
        <v>0.25</v>
      </c>
      <c r="AT50" s="87">
        <f t="shared" si="14"/>
        <v>1.5</v>
      </c>
      <c r="AU50" s="87">
        <f t="shared" si="15"/>
        <v>1</v>
      </c>
      <c r="AV50" s="88">
        <f t="shared" si="16"/>
        <v>33.333333333333329</v>
      </c>
      <c r="AW50" s="78">
        <f t="shared" si="17"/>
        <v>80</v>
      </c>
      <c r="AX50" s="89">
        <f t="shared" si="56"/>
        <v>0.8</v>
      </c>
      <c r="AY50" s="114">
        <v>16</v>
      </c>
      <c r="AZ50" s="114">
        <f>16*3</f>
        <v>48</v>
      </c>
      <c r="BA50" s="91">
        <f t="shared" si="19"/>
        <v>48</v>
      </c>
      <c r="BB50" s="77">
        <f t="shared" si="20"/>
        <v>100</v>
      </c>
      <c r="BC50" s="78">
        <f t="shared" si="21"/>
        <v>100</v>
      </c>
      <c r="BD50" s="79">
        <f t="shared" si="57"/>
        <v>1</v>
      </c>
      <c r="BE50" s="92">
        <v>67310138</v>
      </c>
      <c r="BF50" s="92">
        <v>5612362</v>
      </c>
      <c r="BG50" s="114">
        <v>433523</v>
      </c>
      <c r="BH50" s="94">
        <f t="shared" si="23"/>
        <v>72922500</v>
      </c>
      <c r="BI50" s="77">
        <f t="shared" si="24"/>
        <v>0.59449826870993183</v>
      </c>
      <c r="BJ50" s="95" t="str">
        <f t="shared" si="25"/>
        <v>식약/섬유/종이업</v>
      </c>
      <c r="BK50" s="96">
        <f t="shared" si="26"/>
        <v>2.1999360555264453</v>
      </c>
      <c r="BL50" s="97">
        <f t="shared" si="27"/>
        <v>-1.6054377868165135</v>
      </c>
      <c r="BM50" s="98">
        <f t="shared" si="28"/>
        <v>80</v>
      </c>
      <c r="BN50" s="99">
        <f t="shared" si="29"/>
        <v>1.6</v>
      </c>
      <c r="BO50" s="114">
        <v>44272279.409999996</v>
      </c>
      <c r="BP50" s="101">
        <f t="shared" si="30"/>
        <v>9.77741626855377</v>
      </c>
      <c r="BQ50" s="78">
        <f t="shared" si="31"/>
        <v>100</v>
      </c>
      <c r="BR50" s="79">
        <f t="shared" si="58"/>
        <v>2</v>
      </c>
      <c r="BS50" s="102">
        <v>3588344.557</v>
      </c>
      <c r="BT50" s="102">
        <v>373959.85399999999</v>
      </c>
      <c r="BU50" s="103">
        <f t="shared" si="33"/>
        <v>3214384.7030000002</v>
      </c>
      <c r="BV50" s="77">
        <f t="shared" si="34"/>
        <v>0.70988839308336349</v>
      </c>
      <c r="BW50" s="96">
        <f t="shared" si="35"/>
        <v>5.0508176117342298</v>
      </c>
      <c r="BX50" s="96">
        <f t="shared" si="36"/>
        <v>18.843666481336822</v>
      </c>
      <c r="BY50" s="96">
        <f t="shared" si="37"/>
        <v>6.9871618081220923</v>
      </c>
      <c r="BZ50" s="96">
        <f t="shared" si="38"/>
        <v>73.278972114828832</v>
      </c>
      <c r="CA50" s="96">
        <f t="shared" si="39"/>
        <v>40</v>
      </c>
      <c r="CB50" s="104">
        <f t="shared" si="40"/>
        <v>0.8</v>
      </c>
      <c r="CC50" s="105">
        <f t="shared" si="59"/>
        <v>72.116935744607034</v>
      </c>
      <c r="CD50" s="106">
        <f t="shared" si="60"/>
        <v>73.197134769620462</v>
      </c>
      <c r="CE50" s="107">
        <f t="shared" si="61"/>
        <v>1.0979570215443069</v>
      </c>
      <c r="CF50" s="108" t="s">
        <v>2189</v>
      </c>
      <c r="CG50" s="108" t="s">
        <v>2189</v>
      </c>
      <c r="CH50" s="108" t="s">
        <v>2189</v>
      </c>
      <c r="CI50" s="108" t="s">
        <v>2189</v>
      </c>
      <c r="CJ50" s="109"/>
      <c r="CK50" s="116" t="s">
        <v>2207</v>
      </c>
      <c r="CL50" s="116" t="s">
        <v>2204</v>
      </c>
      <c r="CM50" s="111">
        <f t="shared" si="42"/>
        <v>70</v>
      </c>
      <c r="CN50" s="107">
        <f t="shared" si="62"/>
        <v>1.05</v>
      </c>
      <c r="CO50" s="114">
        <f>836000+12394000</f>
        <v>13230000</v>
      </c>
      <c r="CP50" s="88">
        <f t="shared" si="44"/>
        <v>5.3635451874222557</v>
      </c>
      <c r="CQ50" s="78">
        <f t="shared" si="45"/>
        <v>80</v>
      </c>
      <c r="CR50" s="79">
        <f t="shared" si="63"/>
        <v>2.4</v>
      </c>
      <c r="CS50" s="92">
        <f>_xlfn.XLOOKUP(C50, '[1]1-1. 관계사체무보증금액 (환율 등)'!$3:$3, '[1]1-1. 관계사체무보증금액 (환율 등)'!$33:$33)</f>
        <v>0</v>
      </c>
      <c r="CT50" s="77">
        <f t="shared" si="47"/>
        <v>0</v>
      </c>
      <c r="CU50" s="78">
        <f t="shared" si="48"/>
        <v>100</v>
      </c>
      <c r="CV50" s="79">
        <f t="shared" si="64"/>
        <v>2</v>
      </c>
      <c r="CW50" s="112">
        <f t="shared" si="50"/>
        <v>20.742360498075517</v>
      </c>
    </row>
    <row r="51" spans="1:101" x14ac:dyDescent="0.35">
      <c r="A51" s="7" t="s">
        <v>1594</v>
      </c>
      <c r="B51" s="8" t="s">
        <v>1595</v>
      </c>
      <c r="C51" s="21" t="s">
        <v>1596</v>
      </c>
      <c r="D51" s="10" t="s">
        <v>21</v>
      </c>
      <c r="E51" s="11" t="s">
        <v>1597</v>
      </c>
      <c r="F51" s="11" t="s">
        <v>1598</v>
      </c>
      <c r="G51" s="12">
        <v>37110</v>
      </c>
      <c r="H51" s="11" t="s">
        <v>24</v>
      </c>
      <c r="I51" s="11" t="s">
        <v>1599</v>
      </c>
      <c r="J51" s="11" t="s">
        <v>1600</v>
      </c>
      <c r="K51" s="11" t="s">
        <v>153</v>
      </c>
      <c r="L51" s="23">
        <v>3441901071</v>
      </c>
      <c r="M51" s="14">
        <v>1466204520</v>
      </c>
      <c r="N51" s="14">
        <v>1975696551</v>
      </c>
      <c r="O51" s="14">
        <v>2813488928</v>
      </c>
      <c r="P51" s="14">
        <v>514746074</v>
      </c>
      <c r="Q51" s="14">
        <v>540938422</v>
      </c>
      <c r="R51" s="14">
        <v>371317773</v>
      </c>
      <c r="S51" s="15">
        <v>73799619</v>
      </c>
      <c r="T51" s="15">
        <v>1235874</v>
      </c>
      <c r="U51" s="15">
        <v>18511446</v>
      </c>
      <c r="V51" s="15">
        <v>0</v>
      </c>
      <c r="W51" s="15">
        <f>18529782-18511446</f>
        <v>18336</v>
      </c>
      <c r="X51" s="15">
        <v>0</v>
      </c>
      <c r="Z51" s="15">
        <v>0</v>
      </c>
      <c r="AA51" s="15">
        <v>0</v>
      </c>
      <c r="AB51" s="74">
        <f t="shared" si="0"/>
        <v>18529782</v>
      </c>
      <c r="AC51" s="75">
        <f t="shared" si="1"/>
        <v>25.108235314873372</v>
      </c>
      <c r="AD51" s="75">
        <f t="shared" si="2"/>
        <v>78.416367679913662</v>
      </c>
      <c r="AE51" s="76">
        <f t="shared" si="53"/>
        <v>2.3524910303974096</v>
      </c>
      <c r="AF51" s="77">
        <f t="shared" si="4"/>
        <v>25.51059899127312</v>
      </c>
      <c r="AG51" s="77">
        <f t="shared" si="5"/>
        <v>25.535867808366287</v>
      </c>
      <c r="AH51" s="77">
        <f t="shared" si="6"/>
        <v>2.5268817093166973E-2</v>
      </c>
      <c r="AI51" s="78">
        <f t="shared" si="7"/>
        <v>100</v>
      </c>
      <c r="AJ51" s="79">
        <f t="shared" si="54"/>
        <v>4</v>
      </c>
      <c r="AK51" s="113">
        <v>8</v>
      </c>
      <c r="AL51" s="113">
        <v>34</v>
      </c>
      <c r="AM51" s="113">
        <v>1</v>
      </c>
      <c r="AN51" s="81">
        <f t="shared" si="9"/>
        <v>42</v>
      </c>
      <c r="AO51" s="82">
        <f t="shared" si="10"/>
        <v>2.3809523809523809</v>
      </c>
      <c r="AP51" s="83">
        <f t="shared" si="11"/>
        <v>100</v>
      </c>
      <c r="AQ51" s="84">
        <f t="shared" si="55"/>
        <v>2</v>
      </c>
      <c r="AR51" s="118">
        <v>5</v>
      </c>
      <c r="AS51" s="86">
        <f t="shared" si="13"/>
        <v>0.5</v>
      </c>
      <c r="AT51" s="87">
        <f t="shared" si="14"/>
        <v>4</v>
      </c>
      <c r="AU51" s="87">
        <f t="shared" si="15"/>
        <v>4</v>
      </c>
      <c r="AV51" s="88">
        <f t="shared" si="16"/>
        <v>12.5</v>
      </c>
      <c r="AW51" s="78">
        <f t="shared" si="17"/>
        <v>60</v>
      </c>
      <c r="AX51" s="89">
        <f t="shared" si="56"/>
        <v>0.6</v>
      </c>
      <c r="AY51" s="114">
        <v>6</v>
      </c>
      <c r="AZ51" s="114">
        <f>30-1</f>
        <v>29</v>
      </c>
      <c r="BA51" s="91">
        <f t="shared" si="19"/>
        <v>30</v>
      </c>
      <c r="BB51" s="77">
        <f t="shared" si="20"/>
        <v>96.666666666666671</v>
      </c>
      <c r="BC51" s="78">
        <f t="shared" si="21"/>
        <v>100</v>
      </c>
      <c r="BD51" s="79">
        <f t="shared" si="57"/>
        <v>1</v>
      </c>
      <c r="BE51" s="92">
        <v>358364842</v>
      </c>
      <c r="BF51" s="92">
        <v>48118936</v>
      </c>
      <c r="BG51" s="93">
        <v>0</v>
      </c>
      <c r="BH51" s="94">
        <f t="shared" si="23"/>
        <v>406483778</v>
      </c>
      <c r="BI51" s="77">
        <f t="shared" si="24"/>
        <v>0</v>
      </c>
      <c r="BJ51" s="95" t="str">
        <f t="shared" si="25"/>
        <v>비제조/서비스업</v>
      </c>
      <c r="BK51" s="96">
        <f t="shared" si="26"/>
        <v>1.7464434573900922</v>
      </c>
      <c r="BL51" s="97">
        <f t="shared" si="27"/>
        <v>-1.7464434573900922</v>
      </c>
      <c r="BM51" s="98">
        <f t="shared" si="28"/>
        <v>80</v>
      </c>
      <c r="BN51" s="99">
        <f t="shared" si="29"/>
        <v>1.6</v>
      </c>
      <c r="BO51" s="114">
        <v>53547000</v>
      </c>
      <c r="BP51" s="101">
        <f t="shared" si="30"/>
        <v>1.9032241238661807</v>
      </c>
      <c r="BQ51" s="78">
        <f t="shared" si="31"/>
        <v>70</v>
      </c>
      <c r="BR51" s="79">
        <f t="shared" si="58"/>
        <v>1.4000000000000001</v>
      </c>
      <c r="BS51" s="102">
        <v>225947993.18799999</v>
      </c>
      <c r="BT51" s="102">
        <v>949867.80299999996</v>
      </c>
      <c r="BU51" s="103">
        <f t="shared" si="33"/>
        <v>224998125.38499999</v>
      </c>
      <c r="BV51" s="77">
        <f t="shared" si="34"/>
        <v>7.9971214084337063</v>
      </c>
      <c r="BW51" s="96">
        <f t="shared" si="35"/>
        <v>2.8482825397737606</v>
      </c>
      <c r="BX51" s="96">
        <f t="shared" si="36"/>
        <v>26.510541695423427</v>
      </c>
      <c r="BY51" s="96">
        <f t="shared" si="37"/>
        <v>5.5697595856656807</v>
      </c>
      <c r="BZ51" s="96">
        <f t="shared" si="38"/>
        <v>17.763189401318868</v>
      </c>
      <c r="CA51" s="96">
        <f t="shared" si="39"/>
        <v>70</v>
      </c>
      <c r="CB51" s="104">
        <f t="shared" si="40"/>
        <v>1.4000000000000001</v>
      </c>
      <c r="CC51" s="105">
        <f t="shared" si="59"/>
        <v>74.212030144906606</v>
      </c>
      <c r="CD51" s="106">
        <f t="shared" si="60"/>
        <v>72.407526327296509</v>
      </c>
      <c r="CE51" s="107">
        <f t="shared" si="61"/>
        <v>1.0861128949094476</v>
      </c>
      <c r="CF51" s="108" t="s">
        <v>2189</v>
      </c>
      <c r="CG51" s="108" t="s">
        <v>2189</v>
      </c>
      <c r="CH51" s="108" t="s">
        <v>2189</v>
      </c>
      <c r="CI51" s="108" t="s">
        <v>2189</v>
      </c>
      <c r="CJ51" s="109"/>
      <c r="CK51" s="116" t="s">
        <v>2203</v>
      </c>
      <c r="CL51" s="116" t="s">
        <v>2204</v>
      </c>
      <c r="CM51" s="111">
        <f t="shared" si="42"/>
        <v>70</v>
      </c>
      <c r="CN51" s="107">
        <f t="shared" si="62"/>
        <v>1.05</v>
      </c>
      <c r="CO51" s="114">
        <v>1109000</v>
      </c>
      <c r="CP51" s="88">
        <f t="shared" si="44"/>
        <v>5.6132101837130757E-2</v>
      </c>
      <c r="CQ51" s="78">
        <f t="shared" si="45"/>
        <v>100</v>
      </c>
      <c r="CR51" s="79">
        <f t="shared" si="63"/>
        <v>3</v>
      </c>
      <c r="CS51" s="92">
        <f>_xlfn.XLOOKUP(C51, '[1]1-1. 관계사체무보증금액 (환율 등)'!$3:$3, '[1]1-1. 관계사체무보증금액 (환율 등)'!$33:$33)</f>
        <v>319299318</v>
      </c>
      <c r="CT51" s="77">
        <f t="shared" si="47"/>
        <v>16.161354224077908</v>
      </c>
      <c r="CU51" s="78">
        <f t="shared" si="48"/>
        <v>60</v>
      </c>
      <c r="CV51" s="79">
        <f t="shared" si="64"/>
        <v>1.2</v>
      </c>
      <c r="CW51" s="112">
        <f t="shared" si="50"/>
        <v>20.688603925306857</v>
      </c>
    </row>
    <row r="52" spans="1:101" x14ac:dyDescent="0.35">
      <c r="A52" s="7" t="s">
        <v>901</v>
      </c>
      <c r="B52" s="8" t="s">
        <v>902</v>
      </c>
      <c r="C52" s="21" t="s">
        <v>903</v>
      </c>
      <c r="D52" s="10" t="s">
        <v>21</v>
      </c>
      <c r="E52" s="11" t="s">
        <v>60</v>
      </c>
      <c r="F52" s="11" t="s">
        <v>904</v>
      </c>
      <c r="G52" s="12">
        <v>41957</v>
      </c>
      <c r="H52" s="11" t="s">
        <v>24</v>
      </c>
      <c r="I52" s="11" t="s">
        <v>905</v>
      </c>
      <c r="J52" s="11" t="s">
        <v>906</v>
      </c>
      <c r="K52" s="11" t="s">
        <v>27</v>
      </c>
      <c r="L52" s="23">
        <v>7628899434</v>
      </c>
      <c r="M52" s="14">
        <v>1614217740</v>
      </c>
      <c r="N52" s="14">
        <v>6014681694</v>
      </c>
      <c r="O52" s="14">
        <v>5174554118</v>
      </c>
      <c r="P52" s="14">
        <v>296153499</v>
      </c>
      <c r="Q52" s="14">
        <v>482313799</v>
      </c>
      <c r="R52" s="14">
        <v>530145587</v>
      </c>
      <c r="S52" s="15">
        <v>77377800</v>
      </c>
      <c r="T52" s="15">
        <v>27614</v>
      </c>
      <c r="U52" s="15">
        <f>17472110+7118713</f>
        <v>24590823</v>
      </c>
      <c r="V52" s="15">
        <f>3233+1511584*2</f>
        <v>3026401</v>
      </c>
      <c r="W52" s="15">
        <f>1000*3+500+2410+1393+663+400+1080+104+2418+2320+56+120+165+170+180+1144+63+709+10+312+179+100+8+399+21+940+1712+30+20+82+19+103+3000+83+840+104+21</f>
        <v>24878</v>
      </c>
      <c r="X52" s="15">
        <v>0</v>
      </c>
      <c r="Z52" s="15">
        <f>13215822+25113</f>
        <v>13240935</v>
      </c>
      <c r="AA52" s="15">
        <v>0</v>
      </c>
      <c r="AB52" s="74">
        <f t="shared" si="0"/>
        <v>40883037</v>
      </c>
      <c r="AC52" s="75">
        <f t="shared" si="1"/>
        <v>52.835615641695675</v>
      </c>
      <c r="AD52" s="75">
        <f t="shared" si="2"/>
        <v>54.48594737483112</v>
      </c>
      <c r="AE52" s="76">
        <f t="shared" si="53"/>
        <v>1.6345784212449335</v>
      </c>
      <c r="AF52" s="77">
        <f t="shared" si="4"/>
        <v>35.704146852342411</v>
      </c>
      <c r="AG52" s="77">
        <f t="shared" si="5"/>
        <v>52.854477945276045</v>
      </c>
      <c r="AH52" s="77">
        <f t="shared" si="6"/>
        <v>17.150331092933634</v>
      </c>
      <c r="AI52" s="78">
        <f t="shared" si="7"/>
        <v>80</v>
      </c>
      <c r="AJ52" s="79">
        <f t="shared" si="54"/>
        <v>3.2</v>
      </c>
      <c r="AK52" s="113">
        <v>7</v>
      </c>
      <c r="AL52" s="113">
        <v>83</v>
      </c>
      <c r="AM52" s="113">
        <v>0</v>
      </c>
      <c r="AN52" s="81">
        <f t="shared" si="9"/>
        <v>90</v>
      </c>
      <c r="AO52" s="82">
        <f t="shared" si="10"/>
        <v>0</v>
      </c>
      <c r="AP52" s="83">
        <f t="shared" si="11"/>
        <v>100</v>
      </c>
      <c r="AQ52" s="84">
        <f t="shared" si="55"/>
        <v>2</v>
      </c>
      <c r="AR52" s="118">
        <v>4</v>
      </c>
      <c r="AS52" s="86">
        <f t="shared" si="13"/>
        <v>0.5</v>
      </c>
      <c r="AT52" s="87">
        <f t="shared" si="14"/>
        <v>3.5</v>
      </c>
      <c r="AU52" s="87">
        <f t="shared" si="15"/>
        <v>3</v>
      </c>
      <c r="AV52" s="88">
        <f t="shared" si="16"/>
        <v>14.285714285714285</v>
      </c>
      <c r="AW52" s="78">
        <f t="shared" si="17"/>
        <v>60</v>
      </c>
      <c r="AX52" s="89">
        <f t="shared" si="56"/>
        <v>0.6</v>
      </c>
      <c r="AY52" s="114">
        <v>8</v>
      </c>
      <c r="AZ52" s="114">
        <v>31</v>
      </c>
      <c r="BA52" s="91">
        <f t="shared" si="19"/>
        <v>32</v>
      </c>
      <c r="BB52" s="77">
        <f t="shared" si="20"/>
        <v>96.875</v>
      </c>
      <c r="BC52" s="78">
        <f t="shared" si="21"/>
        <v>100</v>
      </c>
      <c r="BD52" s="79">
        <f t="shared" si="57"/>
        <v>1</v>
      </c>
      <c r="BE52" s="92">
        <v>296046458</v>
      </c>
      <c r="BF52" s="92">
        <v>27943128</v>
      </c>
      <c r="BG52" s="114">
        <v>2510026</v>
      </c>
      <c r="BH52" s="94">
        <f t="shared" si="23"/>
        <v>323989586</v>
      </c>
      <c r="BI52" s="77">
        <f t="shared" si="24"/>
        <v>0.77472428388485304</v>
      </c>
      <c r="BJ52" s="95" t="str">
        <f t="shared" si="25"/>
        <v>비제조/서비스업</v>
      </c>
      <c r="BK52" s="96">
        <f t="shared" si="26"/>
        <v>1.7464434573900922</v>
      </c>
      <c r="BL52" s="97">
        <f t="shared" si="27"/>
        <v>-0.97171917350523918</v>
      </c>
      <c r="BM52" s="98">
        <f t="shared" si="28"/>
        <v>80</v>
      </c>
      <c r="BN52" s="99">
        <f t="shared" si="29"/>
        <v>1.6</v>
      </c>
      <c r="BO52" s="114">
        <v>198504800</v>
      </c>
      <c r="BP52" s="101">
        <f t="shared" si="30"/>
        <v>3.8361720734447249</v>
      </c>
      <c r="BQ52" s="78">
        <f t="shared" si="31"/>
        <v>85</v>
      </c>
      <c r="BR52" s="79">
        <f t="shared" si="58"/>
        <v>1.7</v>
      </c>
      <c r="BS52" s="102">
        <v>540844756.278</v>
      </c>
      <c r="BT52" s="102">
        <v>1686597.75</v>
      </c>
      <c r="BU52" s="103">
        <f t="shared" si="33"/>
        <v>539158158.528</v>
      </c>
      <c r="BV52" s="77">
        <f t="shared" si="34"/>
        <v>10.419412885305531</v>
      </c>
      <c r="BW52" s="96">
        <f t="shared" si="35"/>
        <v>2.8482825397737606</v>
      </c>
      <c r="BX52" s="96">
        <f t="shared" si="36"/>
        <v>57.322014709032025</v>
      </c>
      <c r="BY52" s="96">
        <f t="shared" si="37"/>
        <v>5.5697595856656807</v>
      </c>
      <c r="BZ52" s="96">
        <f t="shared" si="38"/>
        <v>8.7021332269796137</v>
      </c>
      <c r="CA52" s="96">
        <f t="shared" si="39"/>
        <v>85</v>
      </c>
      <c r="CB52" s="104">
        <f t="shared" si="40"/>
        <v>1.7</v>
      </c>
      <c r="CC52" s="105">
        <f t="shared" si="59"/>
        <v>26.837957885789326</v>
      </c>
      <c r="CD52" s="106">
        <f t="shared" si="60"/>
        <v>90.262076173697494</v>
      </c>
      <c r="CE52" s="107">
        <f t="shared" si="61"/>
        <v>1.3539311426054623</v>
      </c>
      <c r="CF52" s="108" t="s">
        <v>2189</v>
      </c>
      <c r="CG52" s="108" t="s">
        <v>2189</v>
      </c>
      <c r="CH52" s="108" t="s">
        <v>2189</v>
      </c>
      <c r="CI52" s="108" t="s">
        <v>2189</v>
      </c>
      <c r="CJ52" s="109"/>
      <c r="CK52" s="116" t="s">
        <v>2206</v>
      </c>
      <c r="CL52" s="116" t="s">
        <v>2198</v>
      </c>
      <c r="CM52" s="111">
        <f t="shared" si="42"/>
        <v>100</v>
      </c>
      <c r="CN52" s="107">
        <f t="shared" si="62"/>
        <v>1.5</v>
      </c>
      <c r="CO52" s="114">
        <v>416490000</v>
      </c>
      <c r="CP52" s="88">
        <f t="shared" si="44"/>
        <v>6.9245559647067161</v>
      </c>
      <c r="CQ52" s="78">
        <f t="shared" si="45"/>
        <v>80</v>
      </c>
      <c r="CR52" s="79">
        <f t="shared" si="63"/>
        <v>2.4</v>
      </c>
      <c r="CS52" s="92">
        <f>_xlfn.XLOOKUP(C52, '[1]1-1. 관계사체무보증금액 (환율 등)'!$3:$3, '[1]1-1. 관계사체무보증금액 (환율 등)'!$33:$33)</f>
        <v>8950000</v>
      </c>
      <c r="CT52" s="77">
        <f t="shared" si="47"/>
        <v>0.14880255440496798</v>
      </c>
      <c r="CU52" s="78">
        <f t="shared" si="48"/>
        <v>100</v>
      </c>
      <c r="CV52" s="79">
        <f t="shared" si="64"/>
        <v>2</v>
      </c>
      <c r="CW52" s="112">
        <f t="shared" si="50"/>
        <v>20.688509563850392</v>
      </c>
    </row>
    <row r="53" spans="1:101" x14ac:dyDescent="0.35">
      <c r="A53" s="7" t="s">
        <v>225</v>
      </c>
      <c r="B53" s="8" t="s">
        <v>226</v>
      </c>
      <c r="C53" s="21" t="s">
        <v>227</v>
      </c>
      <c r="D53" s="22" t="s">
        <v>31</v>
      </c>
      <c r="E53" s="11" t="s">
        <v>149</v>
      </c>
      <c r="F53" s="11" t="s">
        <v>228</v>
      </c>
      <c r="G53" s="12">
        <v>37006</v>
      </c>
      <c r="H53" s="11" t="s">
        <v>24</v>
      </c>
      <c r="I53" s="11" t="s">
        <v>229</v>
      </c>
      <c r="J53" s="11" t="s">
        <v>230</v>
      </c>
      <c r="K53" s="11" t="s">
        <v>27</v>
      </c>
      <c r="L53" s="23">
        <v>4707323720</v>
      </c>
      <c r="M53" s="14">
        <v>579230693</v>
      </c>
      <c r="N53" s="14">
        <v>4128093027</v>
      </c>
      <c r="O53" s="14">
        <v>3783321412</v>
      </c>
      <c r="P53" s="14">
        <v>428276866</v>
      </c>
      <c r="Q53" s="14">
        <v>165920076</v>
      </c>
      <c r="R53" s="14">
        <v>76950845</v>
      </c>
      <c r="S53" s="15">
        <v>15618197</v>
      </c>
      <c r="T53" s="15">
        <v>958412</v>
      </c>
      <c r="U53" s="15">
        <v>5315500</v>
      </c>
      <c r="V53" s="15">
        <v>0</v>
      </c>
      <c r="W53" s="15">
        <v>10000</v>
      </c>
      <c r="X53" s="15">
        <v>0</v>
      </c>
      <c r="Z53" s="15">
        <v>0</v>
      </c>
      <c r="AA53" s="15">
        <v>0</v>
      </c>
      <c r="AB53" s="74">
        <f t="shared" si="0"/>
        <v>5325500</v>
      </c>
      <c r="AC53" s="75">
        <f t="shared" si="1"/>
        <v>34.098046016451192</v>
      </c>
      <c r="AD53" s="75">
        <f t="shared" si="2"/>
        <v>70.657612759104268</v>
      </c>
      <c r="AE53" s="76">
        <f t="shared" si="53"/>
        <v>2.1197283827731281</v>
      </c>
      <c r="AF53" s="77">
        <f t="shared" si="4"/>
        <v>36.259058369546352</v>
      </c>
      <c r="AG53" s="77">
        <f t="shared" si="5"/>
        <v>36.327272193964646</v>
      </c>
      <c r="AH53" s="77">
        <f t="shared" si="6"/>
        <v>6.8213824418293711E-2</v>
      </c>
      <c r="AI53" s="78">
        <f t="shared" si="7"/>
        <v>100</v>
      </c>
      <c r="AJ53" s="79">
        <f t="shared" si="54"/>
        <v>4</v>
      </c>
      <c r="AK53" s="113">
        <v>7</v>
      </c>
      <c r="AL53" s="113">
        <v>40</v>
      </c>
      <c r="AM53" s="113">
        <v>0</v>
      </c>
      <c r="AN53" s="81">
        <f t="shared" si="9"/>
        <v>47</v>
      </c>
      <c r="AO53" s="82">
        <f t="shared" si="10"/>
        <v>0</v>
      </c>
      <c r="AP53" s="83">
        <f t="shared" si="11"/>
        <v>100</v>
      </c>
      <c r="AQ53" s="84">
        <f t="shared" si="55"/>
        <v>2</v>
      </c>
      <c r="AR53" s="118">
        <v>4</v>
      </c>
      <c r="AS53" s="86">
        <f t="shared" si="13"/>
        <v>0.5</v>
      </c>
      <c r="AT53" s="87">
        <f t="shared" si="14"/>
        <v>3.5</v>
      </c>
      <c r="AU53" s="87">
        <f t="shared" si="15"/>
        <v>3</v>
      </c>
      <c r="AV53" s="88">
        <f t="shared" si="16"/>
        <v>14.285714285714285</v>
      </c>
      <c r="AW53" s="78">
        <f t="shared" si="17"/>
        <v>60</v>
      </c>
      <c r="AX53" s="89">
        <f t="shared" si="56"/>
        <v>0.6</v>
      </c>
      <c r="AY53" s="114">
        <v>8</v>
      </c>
      <c r="AZ53" s="114">
        <f>8*4-2</f>
        <v>30</v>
      </c>
      <c r="BA53" s="91">
        <f t="shared" si="19"/>
        <v>32</v>
      </c>
      <c r="BB53" s="77">
        <f t="shared" si="20"/>
        <v>93.75</v>
      </c>
      <c r="BC53" s="78">
        <f t="shared" si="21"/>
        <v>100</v>
      </c>
      <c r="BD53" s="79">
        <f t="shared" si="57"/>
        <v>1</v>
      </c>
      <c r="BE53" s="92">
        <v>247963000</v>
      </c>
      <c r="BF53" s="199">
        <v>22285000</v>
      </c>
      <c r="BG53" s="93">
        <v>0</v>
      </c>
      <c r="BH53" s="94">
        <f t="shared" si="23"/>
        <v>270248000</v>
      </c>
      <c r="BI53" s="77">
        <f t="shared" si="24"/>
        <v>0</v>
      </c>
      <c r="BJ53" s="95" t="str">
        <f t="shared" si="25"/>
        <v>식약/섬유/종이업</v>
      </c>
      <c r="BK53" s="96">
        <f t="shared" si="26"/>
        <v>2.1999360555264453</v>
      </c>
      <c r="BL53" s="97">
        <f t="shared" si="27"/>
        <v>-2.1999360555264453</v>
      </c>
      <c r="BM53" s="98">
        <f t="shared" si="28"/>
        <v>100</v>
      </c>
      <c r="BN53" s="99">
        <f t="shared" si="29"/>
        <v>2</v>
      </c>
      <c r="BO53" s="114">
        <v>153479000</v>
      </c>
      <c r="BP53" s="101">
        <f t="shared" si="30"/>
        <v>4.0567264391862885</v>
      </c>
      <c r="BQ53" s="78">
        <f t="shared" si="31"/>
        <v>100</v>
      </c>
      <c r="BR53" s="79">
        <f t="shared" si="58"/>
        <v>2</v>
      </c>
      <c r="BS53" s="102">
        <v>77617671.924999997</v>
      </c>
      <c r="BT53" s="102">
        <v>1269449.452</v>
      </c>
      <c r="BU53" s="103">
        <f t="shared" si="33"/>
        <v>76348222.47299999</v>
      </c>
      <c r="BV53" s="77">
        <f t="shared" si="34"/>
        <v>2.018021049727297</v>
      </c>
      <c r="BW53" s="96">
        <f t="shared" si="35"/>
        <v>5.0508176117342298</v>
      </c>
      <c r="BX53" s="96">
        <f t="shared" si="36"/>
        <v>9.1978549865210724</v>
      </c>
      <c r="BY53" s="96">
        <f t="shared" si="37"/>
        <v>6.9871618081220923</v>
      </c>
      <c r="BZ53" s="96">
        <f t="shared" si="38"/>
        <v>66.787491978468296</v>
      </c>
      <c r="CA53" s="96">
        <f t="shared" si="39"/>
        <v>40</v>
      </c>
      <c r="CB53" s="104">
        <f t="shared" si="40"/>
        <v>0.8</v>
      </c>
      <c r="CC53" s="105">
        <f t="shared" si="59"/>
        <v>14.031435076959568</v>
      </c>
      <c r="CD53" s="106">
        <f t="shared" si="60"/>
        <v>95.0886551217489</v>
      </c>
      <c r="CE53" s="107">
        <f t="shared" si="61"/>
        <v>1.4263298268262334</v>
      </c>
      <c r="CF53" s="108" t="s">
        <v>2189</v>
      </c>
      <c r="CG53" s="108" t="s">
        <v>2189</v>
      </c>
      <c r="CH53" s="108" t="s">
        <v>2189</v>
      </c>
      <c r="CI53" s="108" t="s">
        <v>2189</v>
      </c>
      <c r="CJ53" s="109"/>
      <c r="CK53" s="116" t="s">
        <v>2206</v>
      </c>
      <c r="CL53" s="116" t="s">
        <v>2198</v>
      </c>
      <c r="CM53" s="111">
        <f t="shared" si="42"/>
        <v>100</v>
      </c>
      <c r="CN53" s="107">
        <f t="shared" si="62"/>
        <v>1.5</v>
      </c>
      <c r="CO53" s="114">
        <f>1585663000-7403000-1980000-915000-450000-191000-438000-536000</f>
        <v>1573750000</v>
      </c>
      <c r="CP53" s="88">
        <f t="shared" si="44"/>
        <v>38.122929636197853</v>
      </c>
      <c r="CQ53" s="78">
        <f t="shared" si="45"/>
        <v>40</v>
      </c>
      <c r="CR53" s="79">
        <f t="shared" si="63"/>
        <v>1.2</v>
      </c>
      <c r="CS53" s="92">
        <f>_xlfn.XLOOKUP(C53, '[1]1-1. 관계사체무보증금액 (환율 등)'!$3:$3, '[1]1-1. 관계사체무보증금액 (환율 등)'!$33:$33)</f>
        <v>0</v>
      </c>
      <c r="CT53" s="77">
        <f t="shared" si="47"/>
        <v>0</v>
      </c>
      <c r="CU53" s="78">
        <f t="shared" si="48"/>
        <v>100</v>
      </c>
      <c r="CV53" s="79">
        <f t="shared" si="64"/>
        <v>2</v>
      </c>
      <c r="CW53" s="112">
        <f t="shared" si="50"/>
        <v>20.646058209599364</v>
      </c>
    </row>
    <row r="54" spans="1:101" x14ac:dyDescent="0.35">
      <c r="A54" s="7" t="s">
        <v>245</v>
      </c>
      <c r="B54" s="8" t="s">
        <v>246</v>
      </c>
      <c r="C54" s="21" t="s">
        <v>247</v>
      </c>
      <c r="D54" s="10" t="s">
        <v>141</v>
      </c>
      <c r="E54" s="11" t="s">
        <v>248</v>
      </c>
      <c r="F54" s="11" t="s">
        <v>249</v>
      </c>
      <c r="G54" s="12">
        <v>42279</v>
      </c>
      <c r="H54" s="11" t="s">
        <v>24</v>
      </c>
      <c r="I54" s="11" t="s">
        <v>250</v>
      </c>
      <c r="J54" s="11" t="s">
        <v>251</v>
      </c>
      <c r="K54" s="11" t="s">
        <v>50</v>
      </c>
      <c r="L54" s="23">
        <v>3007428048</v>
      </c>
      <c r="M54" s="14">
        <v>2072248980</v>
      </c>
      <c r="N54" s="14">
        <v>935179068</v>
      </c>
      <c r="O54" s="14">
        <v>2216162119</v>
      </c>
      <c r="P54" s="14">
        <v>178794933</v>
      </c>
      <c r="Q54" s="14">
        <v>157788508</v>
      </c>
      <c r="R54" s="14">
        <v>122939587</v>
      </c>
      <c r="S54" s="15">
        <v>22000000</v>
      </c>
      <c r="T54" s="15">
        <v>205640</v>
      </c>
      <c r="U54" s="15">
        <v>9239461</v>
      </c>
      <c r="V54" s="15">
        <f>60000+40000+1440+960+360+240</f>
        <v>103000</v>
      </c>
      <c r="W54" s="15">
        <f>5215+6000+2500+1584+1900+60000+4639+1500+1000+1500+1250+600+867</f>
        <v>88555</v>
      </c>
      <c r="X54" s="15">
        <v>0</v>
      </c>
      <c r="Z54" s="15">
        <v>0</v>
      </c>
      <c r="AA54" s="15">
        <v>0</v>
      </c>
      <c r="AB54" s="74">
        <f t="shared" si="0"/>
        <v>9431016</v>
      </c>
      <c r="AC54" s="75">
        <f t="shared" si="1"/>
        <v>42.868254545454541</v>
      </c>
      <c r="AD54" s="75">
        <f t="shared" si="2"/>
        <v>63.088387906684808</v>
      </c>
      <c r="AE54" s="76">
        <f t="shared" si="53"/>
        <v>1.8926516372005442</v>
      </c>
      <c r="AF54" s="77">
        <f t="shared" si="4"/>
        <v>42.866415898425096</v>
      </c>
      <c r="AG54" s="77">
        <f t="shared" si="5"/>
        <v>43.272736616262186</v>
      </c>
      <c r="AH54" s="77">
        <f t="shared" si="6"/>
        <v>0.40632071783709023</v>
      </c>
      <c r="AI54" s="78">
        <f t="shared" si="7"/>
        <v>100</v>
      </c>
      <c r="AJ54" s="79">
        <f t="shared" si="54"/>
        <v>4</v>
      </c>
      <c r="AK54" s="113">
        <v>7</v>
      </c>
      <c r="AL54" s="113">
        <v>28</v>
      </c>
      <c r="AM54" s="80">
        <v>1</v>
      </c>
      <c r="AN54" s="81">
        <f t="shared" si="9"/>
        <v>35</v>
      </c>
      <c r="AO54" s="82">
        <f t="shared" si="10"/>
        <v>2.8571428571428572</v>
      </c>
      <c r="AP54" s="83">
        <f t="shared" si="11"/>
        <v>100</v>
      </c>
      <c r="AQ54" s="84">
        <f t="shared" si="55"/>
        <v>2</v>
      </c>
      <c r="AR54" s="118">
        <v>4</v>
      </c>
      <c r="AS54" s="86">
        <f t="shared" si="13"/>
        <v>0.5</v>
      </c>
      <c r="AT54" s="87">
        <f t="shared" si="14"/>
        <v>3.5</v>
      </c>
      <c r="AU54" s="87">
        <f t="shared" si="15"/>
        <v>3</v>
      </c>
      <c r="AV54" s="88">
        <f t="shared" si="16"/>
        <v>14.285714285714285</v>
      </c>
      <c r="AW54" s="78">
        <f t="shared" si="17"/>
        <v>60</v>
      </c>
      <c r="AX54" s="89">
        <f t="shared" si="56"/>
        <v>0.6</v>
      </c>
      <c r="AY54" s="114">
        <v>11</v>
      </c>
      <c r="AZ54" s="114">
        <v>44</v>
      </c>
      <c r="BA54" s="91">
        <f t="shared" si="19"/>
        <v>44</v>
      </c>
      <c r="BB54" s="77">
        <f t="shared" si="20"/>
        <v>100</v>
      </c>
      <c r="BC54" s="78">
        <f t="shared" si="21"/>
        <v>100</v>
      </c>
      <c r="BD54" s="79">
        <f t="shared" si="57"/>
        <v>1</v>
      </c>
      <c r="BE54" s="92">
        <f>10312869+38917042</f>
        <v>49229911</v>
      </c>
      <c r="BF54" s="92">
        <v>4149778</v>
      </c>
      <c r="BG54" s="93">
        <v>0</v>
      </c>
      <c r="BH54" s="94">
        <f t="shared" si="23"/>
        <v>53379689</v>
      </c>
      <c r="BI54" s="77">
        <f t="shared" si="24"/>
        <v>0</v>
      </c>
      <c r="BJ54" s="95" t="str">
        <f t="shared" si="25"/>
        <v>전기전자/기계업</v>
      </c>
      <c r="BK54" s="96">
        <f t="shared" si="26"/>
        <v>2.4096449716116446</v>
      </c>
      <c r="BL54" s="97">
        <f t="shared" si="27"/>
        <v>-2.4096449716116446</v>
      </c>
      <c r="BM54" s="98">
        <f t="shared" si="28"/>
        <v>100</v>
      </c>
      <c r="BN54" s="99">
        <f t="shared" si="29"/>
        <v>2</v>
      </c>
      <c r="BO54" s="114">
        <f>(74527-9402)*1000</f>
        <v>65125000</v>
      </c>
      <c r="BP54" s="101">
        <f t="shared" si="30"/>
        <v>2.9386388045196976</v>
      </c>
      <c r="BQ54" s="78">
        <f t="shared" si="31"/>
        <v>85</v>
      </c>
      <c r="BR54" s="79">
        <f t="shared" si="58"/>
        <v>1.7</v>
      </c>
      <c r="BS54" s="102">
        <v>45533550.605999999</v>
      </c>
      <c r="BT54" s="102">
        <v>727.27300000000002</v>
      </c>
      <c r="BU54" s="103">
        <f t="shared" si="33"/>
        <v>45532823.332999997</v>
      </c>
      <c r="BV54" s="77">
        <f t="shared" si="34"/>
        <v>2.0545799850394428</v>
      </c>
      <c r="BW54" s="96">
        <f t="shared" si="35"/>
        <v>5.2309968128308295</v>
      </c>
      <c r="BX54" s="96">
        <f t="shared" si="36"/>
        <v>10.089623863876296</v>
      </c>
      <c r="BY54" s="96">
        <f t="shared" si="37"/>
        <v>7.0695458012309631</v>
      </c>
      <c r="BZ54" s="96">
        <f t="shared" si="38"/>
        <v>67.339593688867168</v>
      </c>
      <c r="CA54" s="96">
        <f t="shared" si="39"/>
        <v>40</v>
      </c>
      <c r="CB54" s="104">
        <f t="shared" si="40"/>
        <v>0.8</v>
      </c>
      <c r="CC54" s="105">
        <f t="shared" si="59"/>
        <v>221.58846908664981</v>
      </c>
      <c r="CD54" s="106">
        <f t="shared" si="60"/>
        <v>25</v>
      </c>
      <c r="CE54" s="107">
        <f t="shared" si="61"/>
        <v>0.375</v>
      </c>
      <c r="CF54" s="108" t="s">
        <v>2189</v>
      </c>
      <c r="CG54" s="108" t="s">
        <v>2189</v>
      </c>
      <c r="CH54" s="108" t="s">
        <v>2189</v>
      </c>
      <c r="CI54" s="108" t="s">
        <v>2189</v>
      </c>
      <c r="CJ54" s="109"/>
      <c r="CK54" s="116" t="s">
        <v>2194</v>
      </c>
      <c r="CL54" s="116" t="s">
        <v>2191</v>
      </c>
      <c r="CM54" s="111">
        <f t="shared" si="42"/>
        <v>85</v>
      </c>
      <c r="CN54" s="107">
        <f t="shared" si="62"/>
        <v>1.2749999999999999</v>
      </c>
      <c r="CO54" s="114">
        <f>909000+7869000</f>
        <v>8778000</v>
      </c>
      <c r="CP54" s="88">
        <f t="shared" si="44"/>
        <v>0.93864376357063639</v>
      </c>
      <c r="CQ54" s="78">
        <f t="shared" si="45"/>
        <v>100</v>
      </c>
      <c r="CR54" s="79">
        <f t="shared" si="63"/>
        <v>3</v>
      </c>
      <c r="CS54" s="92">
        <f>_xlfn.XLOOKUP(C54, '[1]1-1. 관계사체무보증금액 (환율 등)'!$3:$3, '[1]1-1. 관계사체무보증금액 (환율 등)'!$33:$33)</f>
        <v>0</v>
      </c>
      <c r="CT54" s="77">
        <f t="shared" si="47"/>
        <v>0</v>
      </c>
      <c r="CU54" s="78">
        <f t="shared" si="48"/>
        <v>100</v>
      </c>
      <c r="CV54" s="79">
        <f t="shared" si="64"/>
        <v>2</v>
      </c>
      <c r="CW54" s="112">
        <f t="shared" si="50"/>
        <v>20.642651637200544</v>
      </c>
    </row>
    <row r="55" spans="1:101" x14ac:dyDescent="0.35">
      <c r="A55" s="7" t="s">
        <v>1929</v>
      </c>
      <c r="B55" s="8" t="s">
        <v>1930</v>
      </c>
      <c r="C55" s="21" t="s">
        <v>1931</v>
      </c>
      <c r="D55" s="10" t="s">
        <v>141</v>
      </c>
      <c r="E55" s="11" t="s">
        <v>356</v>
      </c>
      <c r="F55" s="11" t="s">
        <v>1932</v>
      </c>
      <c r="G55" s="12">
        <v>32756</v>
      </c>
      <c r="H55" s="11" t="s">
        <v>24</v>
      </c>
      <c r="I55" s="11" t="s">
        <v>1933</v>
      </c>
      <c r="J55" s="11" t="s">
        <v>1934</v>
      </c>
      <c r="K55" s="11" t="s">
        <v>27</v>
      </c>
      <c r="L55" s="23">
        <v>34782050000</v>
      </c>
      <c r="M55" s="14">
        <v>8693623000</v>
      </c>
      <c r="N55" s="14">
        <v>26088427000</v>
      </c>
      <c r="O55" s="14">
        <v>34052113000</v>
      </c>
      <c r="P55" s="14">
        <v>1405333000</v>
      </c>
      <c r="Q55" s="14">
        <v>2049859000</v>
      </c>
      <c r="R55" s="14">
        <v>1576460000</v>
      </c>
      <c r="S55" s="15">
        <v>94285094</v>
      </c>
      <c r="T55" s="15">
        <v>2274930</v>
      </c>
      <c r="U55" s="15">
        <f>16427074+303759</f>
        <v>16730833</v>
      </c>
      <c r="V55" s="15">
        <f>6778966</f>
        <v>6778966</v>
      </c>
      <c r="W55" s="15">
        <f>300+460+1000+626+294+10000+210+285+60+926+600+52+200+47+21+200+8+157+350+8+5+20+50+16+8+152+133+120+290+62+37+20+44+12+16+147+70+214+139+37</f>
        <v>17396</v>
      </c>
      <c r="X55" s="15">
        <v>0</v>
      </c>
      <c r="Z55" s="15">
        <f>5504846+656293</f>
        <v>6161139</v>
      </c>
      <c r="AA55" s="15">
        <v>0</v>
      </c>
      <c r="AB55" s="74">
        <f t="shared" si="0"/>
        <v>29688334</v>
      </c>
      <c r="AC55" s="75">
        <f t="shared" si="1"/>
        <v>31.487834121478421</v>
      </c>
      <c r="AD55" s="75">
        <f t="shared" si="2"/>
        <v>72.910384820358104</v>
      </c>
      <c r="AE55" s="76">
        <f t="shared" si="53"/>
        <v>2.187311544610743</v>
      </c>
      <c r="AF55" s="77">
        <f t="shared" si="4"/>
        <v>25.551306483922797</v>
      </c>
      <c r="AG55" s="77">
        <f t="shared" si="5"/>
        <v>32.266363529142275</v>
      </c>
      <c r="AH55" s="77">
        <f t="shared" si="6"/>
        <v>6.7150570452194778</v>
      </c>
      <c r="AI55" s="78">
        <f t="shared" si="7"/>
        <v>100</v>
      </c>
      <c r="AJ55" s="79">
        <f t="shared" si="54"/>
        <v>4</v>
      </c>
      <c r="AK55" s="113">
        <v>9</v>
      </c>
      <c r="AL55" s="113">
        <v>78</v>
      </c>
      <c r="AM55" s="113">
        <v>1</v>
      </c>
      <c r="AN55" s="81">
        <f t="shared" si="9"/>
        <v>87</v>
      </c>
      <c r="AO55" s="82">
        <f t="shared" si="10"/>
        <v>1.1494252873563218</v>
      </c>
      <c r="AP55" s="83">
        <f t="shared" si="11"/>
        <v>100</v>
      </c>
      <c r="AQ55" s="84">
        <f t="shared" si="55"/>
        <v>2</v>
      </c>
      <c r="AR55" s="118">
        <v>5</v>
      </c>
      <c r="AS55" s="86">
        <f t="shared" si="13"/>
        <v>0.5</v>
      </c>
      <c r="AT55" s="87">
        <f t="shared" si="14"/>
        <v>4.5</v>
      </c>
      <c r="AU55" s="87">
        <f t="shared" si="15"/>
        <v>4</v>
      </c>
      <c r="AV55" s="88">
        <f t="shared" si="16"/>
        <v>11.111111111111111</v>
      </c>
      <c r="AW55" s="78">
        <f t="shared" si="17"/>
        <v>60</v>
      </c>
      <c r="AX55" s="89">
        <f t="shared" si="56"/>
        <v>0.6</v>
      </c>
      <c r="AY55" s="114">
        <v>12</v>
      </c>
      <c r="AZ55" s="114">
        <f>12*5</f>
        <v>60</v>
      </c>
      <c r="BA55" s="91">
        <f t="shared" si="19"/>
        <v>60</v>
      </c>
      <c r="BB55" s="77">
        <f t="shared" si="20"/>
        <v>100</v>
      </c>
      <c r="BC55" s="78">
        <f t="shared" si="21"/>
        <v>100</v>
      </c>
      <c r="BD55" s="79">
        <f t="shared" si="57"/>
        <v>1</v>
      </c>
      <c r="BE55" s="92">
        <v>478277000</v>
      </c>
      <c r="BF55" s="92">
        <v>65137000</v>
      </c>
      <c r="BG55" s="93">
        <v>0</v>
      </c>
      <c r="BH55" s="94">
        <f t="shared" si="23"/>
        <v>543414000</v>
      </c>
      <c r="BI55" s="77">
        <f t="shared" si="24"/>
        <v>0</v>
      </c>
      <c r="BJ55" s="95" t="str">
        <f t="shared" si="25"/>
        <v>전기전자/기계업</v>
      </c>
      <c r="BK55" s="96">
        <f t="shared" si="26"/>
        <v>2.4096449716116446</v>
      </c>
      <c r="BL55" s="97">
        <f t="shared" si="27"/>
        <v>-2.4096449716116446</v>
      </c>
      <c r="BM55" s="98">
        <f t="shared" si="28"/>
        <v>100</v>
      </c>
      <c r="BN55" s="99">
        <f t="shared" si="29"/>
        <v>2</v>
      </c>
      <c r="BO55" s="114">
        <f>(1372668-1814)*1000</f>
        <v>1370854000</v>
      </c>
      <c r="BP55" s="101">
        <f t="shared" si="30"/>
        <v>4.0257531155261939</v>
      </c>
      <c r="BQ55" s="78">
        <f t="shared" si="31"/>
        <v>100</v>
      </c>
      <c r="BR55" s="79">
        <f t="shared" si="58"/>
        <v>2</v>
      </c>
      <c r="BS55" s="102">
        <v>752902000</v>
      </c>
      <c r="BT55" s="102">
        <v>26640000</v>
      </c>
      <c r="BU55" s="103">
        <f t="shared" si="33"/>
        <v>726262000</v>
      </c>
      <c r="BV55" s="77">
        <f t="shared" si="34"/>
        <v>2.1327956946460267</v>
      </c>
      <c r="BW55" s="96">
        <f t="shared" si="35"/>
        <v>5.2309968128308295</v>
      </c>
      <c r="BX55" s="96">
        <f t="shared" si="36"/>
        <v>9.5988501687215617</v>
      </c>
      <c r="BY55" s="96">
        <f t="shared" si="37"/>
        <v>7.0695458012309631</v>
      </c>
      <c r="BZ55" s="96">
        <f t="shared" si="38"/>
        <v>66.939606556197219</v>
      </c>
      <c r="CA55" s="96">
        <f t="shared" si="39"/>
        <v>40</v>
      </c>
      <c r="CB55" s="104">
        <f t="shared" si="40"/>
        <v>0.8</v>
      </c>
      <c r="CC55" s="105">
        <f t="shared" si="59"/>
        <v>33.323676433232251</v>
      </c>
      <c r="CD55" s="106">
        <f t="shared" si="60"/>
        <v>87.817709886972764</v>
      </c>
      <c r="CE55" s="107">
        <f t="shared" si="61"/>
        <v>1.3172656483045915</v>
      </c>
      <c r="CF55" s="108" t="s">
        <v>2189</v>
      </c>
      <c r="CG55" s="108" t="s">
        <v>2189</v>
      </c>
      <c r="CH55" s="108" t="s">
        <v>2189</v>
      </c>
      <c r="CI55" s="108" t="s">
        <v>2189</v>
      </c>
      <c r="CJ55" s="109"/>
      <c r="CK55" s="116" t="s">
        <v>2212</v>
      </c>
      <c r="CL55" s="116" t="s">
        <v>2191</v>
      </c>
      <c r="CM55" s="111">
        <f t="shared" si="42"/>
        <v>85</v>
      </c>
      <c r="CN55" s="107">
        <f t="shared" si="62"/>
        <v>1.2749999999999999</v>
      </c>
      <c r="CO55" s="114">
        <v>7441662000</v>
      </c>
      <c r="CP55" s="88">
        <f t="shared" si="44"/>
        <v>28.524763106644951</v>
      </c>
      <c r="CQ55" s="78">
        <f t="shared" si="45"/>
        <v>60</v>
      </c>
      <c r="CR55" s="79">
        <f t="shared" si="63"/>
        <v>1.7999999999999998</v>
      </c>
      <c r="CS55" s="92">
        <f>_xlfn.XLOOKUP(C55, '[1]1-1. 관계사체무보증금액 (환율 등)'!$3:$3, '[1]1-1. 관계사체무보증금액 (환율 등)'!$33:$33)</f>
        <v>1628725478.0390337</v>
      </c>
      <c r="CT55" s="77">
        <f t="shared" si="47"/>
        <v>6.243095752913864</v>
      </c>
      <c r="CU55" s="78">
        <f t="shared" si="48"/>
        <v>80</v>
      </c>
      <c r="CV55" s="79">
        <f t="shared" si="64"/>
        <v>1.6</v>
      </c>
      <c r="CW55" s="112">
        <f t="shared" si="50"/>
        <v>20.579577192915337</v>
      </c>
    </row>
    <row r="56" spans="1:101" x14ac:dyDescent="0.35">
      <c r="A56" s="7" t="s">
        <v>2037</v>
      </c>
      <c r="B56" s="8" t="s">
        <v>2038</v>
      </c>
      <c r="C56" s="21" t="s">
        <v>2039</v>
      </c>
      <c r="D56" s="10" t="s">
        <v>141</v>
      </c>
      <c r="E56" s="11" t="s">
        <v>922</v>
      </c>
      <c r="F56" s="11" t="s">
        <v>2040</v>
      </c>
      <c r="G56" s="12">
        <v>33484</v>
      </c>
      <c r="H56" s="11" t="s">
        <v>24</v>
      </c>
      <c r="I56" s="11" t="s">
        <v>2041</v>
      </c>
      <c r="J56" s="11" t="s">
        <v>2042</v>
      </c>
      <c r="K56" s="11" t="s">
        <v>87</v>
      </c>
      <c r="L56" s="23">
        <v>304125357</v>
      </c>
      <c r="M56" s="14">
        <v>159788539</v>
      </c>
      <c r="N56" s="14">
        <v>144336819</v>
      </c>
      <c r="O56" s="14">
        <v>222470898</v>
      </c>
      <c r="P56" s="14">
        <v>12661325</v>
      </c>
      <c r="Q56" s="14">
        <v>13022728</v>
      </c>
      <c r="R56" s="14">
        <v>9259054</v>
      </c>
      <c r="S56" s="15">
        <v>14116015</v>
      </c>
      <c r="T56" s="15">
        <v>1025525</v>
      </c>
      <c r="U56" s="15">
        <v>3208437</v>
      </c>
      <c r="V56" s="15">
        <f>4710+4928*2</f>
        <v>14566</v>
      </c>
      <c r="W56" s="15">
        <v>0</v>
      </c>
      <c r="X56" s="15">
        <v>0</v>
      </c>
      <c r="Z56" s="15">
        <v>0</v>
      </c>
      <c r="AA56" s="15">
        <v>0</v>
      </c>
      <c r="AB56" s="74">
        <f t="shared" si="0"/>
        <v>3223003</v>
      </c>
      <c r="AC56" s="75">
        <f t="shared" si="1"/>
        <v>22.832244085884014</v>
      </c>
      <c r="AD56" s="75">
        <f t="shared" si="2"/>
        <v>80.380686922424616</v>
      </c>
      <c r="AE56" s="76">
        <f t="shared" si="53"/>
        <v>2.4114206076727385</v>
      </c>
      <c r="AF56" s="77">
        <f t="shared" si="4"/>
        <v>24.620950017913767</v>
      </c>
      <c r="AG56" s="77">
        <f t="shared" si="5"/>
        <v>24.620950017913767</v>
      </c>
      <c r="AH56" s="77">
        <f t="shared" si="6"/>
        <v>0</v>
      </c>
      <c r="AI56" s="78">
        <f t="shared" si="7"/>
        <v>100</v>
      </c>
      <c r="AJ56" s="79">
        <f t="shared" si="54"/>
        <v>4</v>
      </c>
      <c r="AK56" s="113">
        <v>4</v>
      </c>
      <c r="AL56" s="113">
        <v>19</v>
      </c>
      <c r="AM56" s="113">
        <v>1</v>
      </c>
      <c r="AN56" s="81">
        <f t="shared" si="9"/>
        <v>23</v>
      </c>
      <c r="AO56" s="82">
        <f t="shared" si="10"/>
        <v>4.3478260869565215</v>
      </c>
      <c r="AP56" s="83">
        <f t="shared" si="11"/>
        <v>100</v>
      </c>
      <c r="AQ56" s="84">
        <f t="shared" si="55"/>
        <v>2</v>
      </c>
      <c r="AR56" s="118">
        <v>1</v>
      </c>
      <c r="AS56" s="86">
        <f t="shared" si="13"/>
        <v>0.25</v>
      </c>
      <c r="AT56" s="87">
        <f t="shared" si="14"/>
        <v>1</v>
      </c>
      <c r="AU56" s="87">
        <f t="shared" si="15"/>
        <v>1</v>
      </c>
      <c r="AV56" s="88">
        <f t="shared" si="16"/>
        <v>0</v>
      </c>
      <c r="AW56" s="78">
        <f t="shared" si="17"/>
        <v>40</v>
      </c>
      <c r="AX56" s="89">
        <f t="shared" si="56"/>
        <v>0.4</v>
      </c>
      <c r="AY56" s="114">
        <v>9</v>
      </c>
      <c r="AZ56" s="114">
        <v>5</v>
      </c>
      <c r="BA56" s="91">
        <f t="shared" si="19"/>
        <v>9</v>
      </c>
      <c r="BB56" s="77">
        <f t="shared" si="20"/>
        <v>55.555555555555557</v>
      </c>
      <c r="BC56" s="78">
        <f t="shared" si="21"/>
        <v>25</v>
      </c>
      <c r="BD56" s="79">
        <f t="shared" si="57"/>
        <v>0.25</v>
      </c>
      <c r="BE56" s="92">
        <v>9335380</v>
      </c>
      <c r="BF56" s="92">
        <v>915745</v>
      </c>
      <c r="BG56" s="93">
        <v>0</v>
      </c>
      <c r="BH56" s="94">
        <f t="shared" si="23"/>
        <v>10251125</v>
      </c>
      <c r="BI56" s="77">
        <f t="shared" si="24"/>
        <v>0</v>
      </c>
      <c r="BJ56" s="95" t="str">
        <f t="shared" si="25"/>
        <v>전기전자/기계업</v>
      </c>
      <c r="BK56" s="96">
        <f t="shared" si="26"/>
        <v>2.4096449716116446</v>
      </c>
      <c r="BL56" s="97">
        <f t="shared" si="27"/>
        <v>-2.4096449716116446</v>
      </c>
      <c r="BM56" s="98">
        <f t="shared" si="28"/>
        <v>100</v>
      </c>
      <c r="BN56" s="99">
        <f t="shared" si="29"/>
        <v>2</v>
      </c>
      <c r="BO56" s="114">
        <f>11704948-973445</f>
        <v>10731503</v>
      </c>
      <c r="BP56" s="101">
        <f t="shared" si="30"/>
        <v>4.823778344257863</v>
      </c>
      <c r="BQ56" s="78">
        <f t="shared" si="31"/>
        <v>100</v>
      </c>
      <c r="BR56" s="79">
        <f t="shared" si="58"/>
        <v>2</v>
      </c>
      <c r="BS56" s="102">
        <v>5029418.4879999999</v>
      </c>
      <c r="BT56" s="102">
        <v>0</v>
      </c>
      <c r="BU56" s="103">
        <f t="shared" si="33"/>
        <v>5029418.4879999999</v>
      </c>
      <c r="BV56" s="77">
        <f t="shared" si="34"/>
        <v>2.2607084941060469</v>
      </c>
      <c r="BW56" s="96">
        <f t="shared" si="35"/>
        <v>5.2309968128308295</v>
      </c>
      <c r="BX56" s="96">
        <f t="shared" si="36"/>
        <v>8.8226126963528966</v>
      </c>
      <c r="BY56" s="96">
        <f t="shared" si="37"/>
        <v>7.0695458012309631</v>
      </c>
      <c r="BZ56" s="96">
        <f t="shared" si="38"/>
        <v>66.281302437353702</v>
      </c>
      <c r="CA56" s="96">
        <f t="shared" si="39"/>
        <v>40</v>
      </c>
      <c r="CB56" s="104">
        <f t="shared" si="40"/>
        <v>0.8</v>
      </c>
      <c r="CC56" s="105">
        <f t="shared" si="59"/>
        <v>110.70532114193261</v>
      </c>
      <c r="CD56" s="106">
        <f t="shared" si="60"/>
        <v>58.65377343897012</v>
      </c>
      <c r="CE56" s="107">
        <f t="shared" si="61"/>
        <v>0.87980660158455182</v>
      </c>
      <c r="CF56" s="108" t="s">
        <v>2189</v>
      </c>
      <c r="CG56" s="108" t="s">
        <v>2189</v>
      </c>
      <c r="CH56" s="108" t="s">
        <v>2189</v>
      </c>
      <c r="CI56" s="108" t="s">
        <v>2189</v>
      </c>
      <c r="CJ56" s="109"/>
      <c r="CK56" s="116" t="s">
        <v>2202</v>
      </c>
      <c r="CL56" s="116" t="s">
        <v>2196</v>
      </c>
      <c r="CM56" s="111">
        <f t="shared" si="42"/>
        <v>55</v>
      </c>
      <c r="CN56" s="107">
        <f t="shared" si="62"/>
        <v>0.82499999999999996</v>
      </c>
      <c r="CO56" s="114">
        <v>0</v>
      </c>
      <c r="CP56" s="88">
        <f t="shared" si="44"/>
        <v>0</v>
      </c>
      <c r="CQ56" s="78">
        <f t="shared" si="45"/>
        <v>100</v>
      </c>
      <c r="CR56" s="79">
        <f t="shared" si="63"/>
        <v>3</v>
      </c>
      <c r="CS56" s="92">
        <f>_xlfn.XLOOKUP(C56, '[1]1-1. 관계사체무보증금액 (환율 등)'!$3:$3, '[1]1-1. 관계사체무보증금액 (환율 등)'!$33:$33)</f>
        <v>0</v>
      </c>
      <c r="CT56" s="77">
        <f t="shared" si="47"/>
        <v>0</v>
      </c>
      <c r="CU56" s="78">
        <f t="shared" si="48"/>
        <v>100</v>
      </c>
      <c r="CV56" s="79">
        <f t="shared" si="64"/>
        <v>2</v>
      </c>
      <c r="CW56" s="112">
        <f t="shared" si="50"/>
        <v>20.566227209257292</v>
      </c>
    </row>
    <row r="57" spans="1:101" x14ac:dyDescent="0.35">
      <c r="A57" s="7" t="s">
        <v>791</v>
      </c>
      <c r="B57" s="8" t="s">
        <v>792</v>
      </c>
      <c r="C57" s="21" t="s">
        <v>793</v>
      </c>
      <c r="D57" s="10" t="s">
        <v>141</v>
      </c>
      <c r="E57" s="11" t="s">
        <v>356</v>
      </c>
      <c r="F57" s="11" t="s">
        <v>794</v>
      </c>
      <c r="G57" s="12">
        <v>34348</v>
      </c>
      <c r="H57" s="11" t="s">
        <v>24</v>
      </c>
      <c r="I57" s="11" t="s">
        <v>795</v>
      </c>
      <c r="J57" s="11" t="s">
        <v>796</v>
      </c>
      <c r="K57" s="11" t="s">
        <v>27</v>
      </c>
      <c r="L57" s="23">
        <v>463199227</v>
      </c>
      <c r="M57" s="14">
        <v>33561119</v>
      </c>
      <c r="N57" s="14">
        <v>429638109</v>
      </c>
      <c r="O57" s="14">
        <v>223860213</v>
      </c>
      <c r="P57" s="14">
        <v>14271412</v>
      </c>
      <c r="Q57" s="14">
        <v>23103260</v>
      </c>
      <c r="R57" s="14">
        <v>17789582</v>
      </c>
      <c r="S57" s="15">
        <v>33000000</v>
      </c>
      <c r="T57" s="15">
        <v>11372376</v>
      </c>
      <c r="U57" s="15">
        <v>8286380</v>
      </c>
      <c r="V57" s="15">
        <f>4318800+10027+63557*2+63556</f>
        <v>4519497</v>
      </c>
      <c r="W57" s="15">
        <f>6745+1516+1652+121+688+491+81</f>
        <v>11294</v>
      </c>
      <c r="X57" s="15">
        <v>0</v>
      </c>
      <c r="Z57" s="15">
        <v>0</v>
      </c>
      <c r="AA57" s="15">
        <v>0</v>
      </c>
      <c r="AB57" s="74">
        <f t="shared" si="0"/>
        <v>12817171</v>
      </c>
      <c r="AC57" s="75">
        <f t="shared" si="1"/>
        <v>38.839912121212123</v>
      </c>
      <c r="AD57" s="75">
        <f t="shared" si="2"/>
        <v>66.565093105973432</v>
      </c>
      <c r="AE57" s="76">
        <f t="shared" si="53"/>
        <v>1.9969527931792028</v>
      </c>
      <c r="AF57" s="77">
        <f t="shared" si="4"/>
        <v>59.210743630460748</v>
      </c>
      <c r="AG57" s="77">
        <f t="shared" si="5"/>
        <v>59.262963883596278</v>
      </c>
      <c r="AH57" s="77">
        <f t="shared" si="6"/>
        <v>5.222025313553047E-2</v>
      </c>
      <c r="AI57" s="78">
        <f t="shared" si="7"/>
        <v>100</v>
      </c>
      <c r="AJ57" s="79">
        <f t="shared" si="54"/>
        <v>4</v>
      </c>
      <c r="AK57" s="113">
        <v>6</v>
      </c>
      <c r="AL57" s="113">
        <v>9</v>
      </c>
      <c r="AM57" s="113">
        <v>2</v>
      </c>
      <c r="AN57" s="81">
        <f t="shared" si="9"/>
        <v>15</v>
      </c>
      <c r="AO57" s="82">
        <f t="shared" si="10"/>
        <v>13.333333333333334</v>
      </c>
      <c r="AP57" s="83">
        <f t="shared" si="11"/>
        <v>80</v>
      </c>
      <c r="AQ57" s="84">
        <f t="shared" si="55"/>
        <v>1.6</v>
      </c>
      <c r="AR57" s="118">
        <v>2</v>
      </c>
      <c r="AS57" s="86">
        <f t="shared" si="13"/>
        <v>0.25</v>
      </c>
      <c r="AT57" s="87">
        <f t="shared" si="14"/>
        <v>1.5</v>
      </c>
      <c r="AU57" s="87">
        <f t="shared" si="15"/>
        <v>1</v>
      </c>
      <c r="AV57" s="88">
        <f t="shared" si="16"/>
        <v>16.666666666666664</v>
      </c>
      <c r="AW57" s="78">
        <f t="shared" si="17"/>
        <v>60</v>
      </c>
      <c r="AX57" s="89">
        <f t="shared" si="56"/>
        <v>0.6</v>
      </c>
      <c r="AY57" s="114">
        <v>10</v>
      </c>
      <c r="AZ57" s="114">
        <f>6+10</f>
        <v>16</v>
      </c>
      <c r="BA57" s="91">
        <f t="shared" si="19"/>
        <v>20</v>
      </c>
      <c r="BB57" s="77">
        <f t="shared" si="20"/>
        <v>80</v>
      </c>
      <c r="BC57" s="78">
        <f t="shared" si="21"/>
        <v>75</v>
      </c>
      <c r="BD57" s="79">
        <f t="shared" si="57"/>
        <v>0.75</v>
      </c>
      <c r="BE57" s="92">
        <v>3534821</v>
      </c>
      <c r="BF57" s="92">
        <v>354838</v>
      </c>
      <c r="BG57" s="114">
        <v>25243</v>
      </c>
      <c r="BH57" s="94">
        <f t="shared" si="23"/>
        <v>3889659</v>
      </c>
      <c r="BI57" s="77">
        <f t="shared" si="24"/>
        <v>0.64897719825825351</v>
      </c>
      <c r="BJ57" s="95" t="str">
        <f t="shared" si="25"/>
        <v>전기전자/기계업</v>
      </c>
      <c r="BK57" s="96">
        <f t="shared" si="26"/>
        <v>2.4096449716116446</v>
      </c>
      <c r="BL57" s="97">
        <f t="shared" si="27"/>
        <v>-1.7606677733533911</v>
      </c>
      <c r="BM57" s="98">
        <f t="shared" si="28"/>
        <v>80</v>
      </c>
      <c r="BN57" s="99">
        <f t="shared" si="29"/>
        <v>1.6</v>
      </c>
      <c r="BO57" s="114">
        <v>5930581</v>
      </c>
      <c r="BP57" s="101">
        <f t="shared" si="30"/>
        <v>2.6492340557185119</v>
      </c>
      <c r="BQ57" s="78">
        <f t="shared" si="31"/>
        <v>85</v>
      </c>
      <c r="BR57" s="79">
        <f t="shared" si="58"/>
        <v>1.7</v>
      </c>
      <c r="BS57" s="102">
        <v>1836831.4</v>
      </c>
      <c r="BT57" s="102">
        <v>33590.909</v>
      </c>
      <c r="BU57" s="103">
        <f t="shared" si="33"/>
        <v>1803240.4909999999</v>
      </c>
      <c r="BV57" s="77">
        <f t="shared" si="34"/>
        <v>0.80552076085087976</v>
      </c>
      <c r="BW57" s="96">
        <f t="shared" si="35"/>
        <v>5.2309968128308295</v>
      </c>
      <c r="BX57" s="96">
        <f t="shared" si="36"/>
        <v>19.584838286648043</v>
      </c>
      <c r="BY57" s="96">
        <f t="shared" si="37"/>
        <v>7.0695458012309631</v>
      </c>
      <c r="BZ57" s="96">
        <f t="shared" si="38"/>
        <v>73.433976358002411</v>
      </c>
      <c r="CA57" s="96">
        <f t="shared" si="39"/>
        <v>40</v>
      </c>
      <c r="CB57" s="104">
        <f t="shared" si="40"/>
        <v>0.8</v>
      </c>
      <c r="CC57" s="105">
        <f t="shared" si="59"/>
        <v>7.8114855961252729</v>
      </c>
      <c r="CD57" s="106">
        <f t="shared" si="60"/>
        <v>97.43285718738997</v>
      </c>
      <c r="CE57" s="107">
        <f t="shared" si="61"/>
        <v>1.4614928578108495</v>
      </c>
      <c r="CF57" s="108" t="s">
        <v>2189</v>
      </c>
      <c r="CG57" s="108" t="s">
        <v>2189</v>
      </c>
      <c r="CH57" s="108" t="s">
        <v>2189</v>
      </c>
      <c r="CI57" s="108" t="s">
        <v>2189</v>
      </c>
      <c r="CJ57" s="109"/>
      <c r="CK57" s="116" t="s">
        <v>2207</v>
      </c>
      <c r="CL57" s="116" t="s">
        <v>2204</v>
      </c>
      <c r="CM57" s="111">
        <f t="shared" si="42"/>
        <v>70</v>
      </c>
      <c r="CN57" s="107">
        <f t="shared" si="62"/>
        <v>1.05</v>
      </c>
      <c r="CO57" s="114">
        <v>0</v>
      </c>
      <c r="CP57" s="88">
        <f t="shared" si="44"/>
        <v>0</v>
      </c>
      <c r="CQ57" s="78">
        <f t="shared" si="45"/>
        <v>100</v>
      </c>
      <c r="CR57" s="79">
        <f t="shared" si="63"/>
        <v>3</v>
      </c>
      <c r="CS57" s="92">
        <f>_xlfn.XLOOKUP(C57, '[1]1-1. 관계사체무보증금액 (환율 등)'!$3:$3, '[1]1-1. 관계사체무보증금액 (환율 등)'!$33:$33)</f>
        <v>0</v>
      </c>
      <c r="CT57" s="77">
        <f t="shared" si="47"/>
        <v>0</v>
      </c>
      <c r="CU57" s="78">
        <f t="shared" si="48"/>
        <v>100</v>
      </c>
      <c r="CV57" s="79">
        <f t="shared" si="64"/>
        <v>2</v>
      </c>
      <c r="CW57" s="112">
        <f t="shared" si="50"/>
        <v>20.558445650990052</v>
      </c>
    </row>
    <row r="58" spans="1:101" x14ac:dyDescent="0.35">
      <c r="A58" s="7" t="s">
        <v>913</v>
      </c>
      <c r="B58" s="8" t="s">
        <v>914</v>
      </c>
      <c r="C58" s="21" t="s">
        <v>915</v>
      </c>
      <c r="D58" s="22" t="s">
        <v>141</v>
      </c>
      <c r="E58" s="11" t="s">
        <v>241</v>
      </c>
      <c r="F58" s="11" t="s">
        <v>916</v>
      </c>
      <c r="G58" s="12">
        <v>28913</v>
      </c>
      <c r="H58" s="11" t="s">
        <v>24</v>
      </c>
      <c r="I58" s="11" t="s">
        <v>917</v>
      </c>
      <c r="J58" s="11" t="s">
        <v>918</v>
      </c>
      <c r="K58" s="11" t="s">
        <v>50</v>
      </c>
      <c r="L58" s="23">
        <v>7910256817</v>
      </c>
      <c r="M58" s="14">
        <v>2124391740</v>
      </c>
      <c r="N58" s="14">
        <v>5785865077</v>
      </c>
      <c r="O58" s="14">
        <v>7244994321</v>
      </c>
      <c r="P58" s="14">
        <v>799695030</v>
      </c>
      <c r="Q58" s="14">
        <v>929802982</v>
      </c>
      <c r="R58" s="14">
        <v>701357778</v>
      </c>
      <c r="S58" s="15">
        <v>74693696</v>
      </c>
      <c r="T58" s="15">
        <v>2000000</v>
      </c>
      <c r="U58" s="15">
        <v>17693084</v>
      </c>
      <c r="V58" s="15">
        <v>0</v>
      </c>
      <c r="W58" s="15">
        <f>2000+1000*2+50+500+72+490+1568+80+99+50+720+1+100*2+151+889+121+500+100</f>
        <v>9591</v>
      </c>
      <c r="X58" s="15">
        <v>0</v>
      </c>
      <c r="Z58" s="15">
        <f>114838</f>
        <v>114838</v>
      </c>
      <c r="AA58" s="15">
        <v>0</v>
      </c>
      <c r="AB58" s="74">
        <f t="shared" si="0"/>
        <v>17817513</v>
      </c>
      <c r="AC58" s="75">
        <f t="shared" si="1"/>
        <v>23.854105438831144</v>
      </c>
      <c r="AD58" s="75">
        <f t="shared" si="2"/>
        <v>79.498758251871863</v>
      </c>
      <c r="AE58" s="76">
        <f t="shared" si="53"/>
        <v>2.3849627475561559</v>
      </c>
      <c r="AF58" s="77">
        <f t="shared" si="4"/>
        <v>24.33922743452197</v>
      </c>
      <c r="AG58" s="77">
        <f t="shared" si="5"/>
        <v>24.510396334779841</v>
      </c>
      <c r="AH58" s="77">
        <f t="shared" si="6"/>
        <v>0.17116890025787157</v>
      </c>
      <c r="AI58" s="78">
        <f t="shared" si="7"/>
        <v>100</v>
      </c>
      <c r="AJ58" s="79">
        <f t="shared" si="54"/>
        <v>4</v>
      </c>
      <c r="AK58" s="113">
        <v>7</v>
      </c>
      <c r="AL58" s="113">
        <v>61</v>
      </c>
      <c r="AM58" s="113">
        <v>0</v>
      </c>
      <c r="AN58" s="81">
        <f t="shared" si="9"/>
        <v>68</v>
      </c>
      <c r="AO58" s="82">
        <f t="shared" si="10"/>
        <v>0</v>
      </c>
      <c r="AP58" s="83">
        <f t="shared" si="11"/>
        <v>100</v>
      </c>
      <c r="AQ58" s="84">
        <f t="shared" si="55"/>
        <v>2</v>
      </c>
      <c r="AR58" s="118">
        <v>4</v>
      </c>
      <c r="AS58" s="86">
        <f t="shared" si="13"/>
        <v>0.5</v>
      </c>
      <c r="AT58" s="87">
        <f t="shared" si="14"/>
        <v>3.5</v>
      </c>
      <c r="AU58" s="87">
        <f t="shared" si="15"/>
        <v>3</v>
      </c>
      <c r="AV58" s="88">
        <f t="shared" si="16"/>
        <v>14.285714285714285</v>
      </c>
      <c r="AW58" s="78">
        <f t="shared" si="17"/>
        <v>60</v>
      </c>
      <c r="AX58" s="89">
        <f t="shared" si="56"/>
        <v>0.6</v>
      </c>
      <c r="AY58" s="114">
        <v>9</v>
      </c>
      <c r="AZ58" s="114">
        <v>36</v>
      </c>
      <c r="BA58" s="91">
        <f t="shared" si="19"/>
        <v>36</v>
      </c>
      <c r="BB58" s="77">
        <f t="shared" si="20"/>
        <v>100</v>
      </c>
      <c r="BC58" s="78">
        <f t="shared" si="21"/>
        <v>100</v>
      </c>
      <c r="BD58" s="79">
        <f t="shared" si="57"/>
        <v>1</v>
      </c>
      <c r="BE58" s="92">
        <v>1226065136</v>
      </c>
      <c r="BF58" s="92">
        <v>81109493</v>
      </c>
      <c r="BG58" s="93">
        <v>0</v>
      </c>
      <c r="BH58" s="94">
        <f t="shared" si="23"/>
        <v>1307174629</v>
      </c>
      <c r="BI58" s="77">
        <f t="shared" si="24"/>
        <v>0</v>
      </c>
      <c r="BJ58" s="95" t="str">
        <f t="shared" si="25"/>
        <v>전기전자/기계업</v>
      </c>
      <c r="BK58" s="96">
        <f t="shared" si="26"/>
        <v>2.4096449716116446</v>
      </c>
      <c r="BL58" s="97">
        <f t="shared" si="27"/>
        <v>-2.4096449716116446</v>
      </c>
      <c r="BM58" s="98">
        <f t="shared" si="28"/>
        <v>100</v>
      </c>
      <c r="BN58" s="99">
        <f t="shared" si="29"/>
        <v>2</v>
      </c>
      <c r="BO58" s="114">
        <v>577140000</v>
      </c>
      <c r="BP58" s="101">
        <f t="shared" si="30"/>
        <v>7.9660517928513643</v>
      </c>
      <c r="BQ58" s="78">
        <f t="shared" si="31"/>
        <v>100</v>
      </c>
      <c r="BR58" s="79">
        <f t="shared" si="58"/>
        <v>2</v>
      </c>
      <c r="BS58" s="102">
        <v>426489059.32599998</v>
      </c>
      <c r="BT58" s="102">
        <v>49734632.626000002</v>
      </c>
      <c r="BU58" s="103">
        <f t="shared" si="33"/>
        <v>376754426.69999999</v>
      </c>
      <c r="BV58" s="77">
        <f t="shared" si="34"/>
        <v>5.2002032024781206</v>
      </c>
      <c r="BW58" s="96">
        <f t="shared" si="35"/>
        <v>5.2309968128308295</v>
      </c>
      <c r="BX58" s="96">
        <f t="shared" si="36"/>
        <v>9.4824643855446003E-4</v>
      </c>
      <c r="BY58" s="96">
        <f t="shared" si="37"/>
        <v>7.0695458012309631</v>
      </c>
      <c r="BZ58" s="96">
        <f t="shared" si="38"/>
        <v>50.173771195977857</v>
      </c>
      <c r="CA58" s="96">
        <f t="shared" si="39"/>
        <v>55</v>
      </c>
      <c r="CB58" s="104">
        <f t="shared" si="40"/>
        <v>1.1000000000000001</v>
      </c>
      <c r="CC58" s="105">
        <f t="shared" si="59"/>
        <v>36.71692498404245</v>
      </c>
      <c r="CD58" s="106">
        <f t="shared" si="60"/>
        <v>86.538847367823195</v>
      </c>
      <c r="CE58" s="107">
        <f t="shared" si="61"/>
        <v>1.2980827105173478</v>
      </c>
      <c r="CF58" s="108" t="s">
        <v>2189</v>
      </c>
      <c r="CG58" s="108" t="s">
        <v>2189</v>
      </c>
      <c r="CH58" s="108" t="s">
        <v>2189</v>
      </c>
      <c r="CI58" s="108" t="s">
        <v>2189</v>
      </c>
      <c r="CJ58" s="109"/>
      <c r="CK58" s="116" t="s">
        <v>2199</v>
      </c>
      <c r="CL58" s="116" t="s">
        <v>2193</v>
      </c>
      <c r="CM58" s="111">
        <f t="shared" si="42"/>
        <v>25</v>
      </c>
      <c r="CN58" s="107">
        <f t="shared" si="62"/>
        <v>0.375</v>
      </c>
      <c r="CO58" s="114">
        <v>723844000</v>
      </c>
      <c r="CP58" s="88">
        <f t="shared" si="44"/>
        <v>12.510557891808233</v>
      </c>
      <c r="CQ58" s="78">
        <f t="shared" si="45"/>
        <v>60</v>
      </c>
      <c r="CR58" s="79">
        <f t="shared" si="63"/>
        <v>1.7999999999999998</v>
      </c>
      <c r="CS58" s="92">
        <f>_xlfn.XLOOKUP(C58, '[1]1-1. 관계사체무보증금액 (환율 등)'!$3:$3, '[1]1-1. 관계사체무보증금액 (환율 등)'!$33:$33)</f>
        <v>0</v>
      </c>
      <c r="CT58" s="77">
        <f t="shared" si="47"/>
        <v>0</v>
      </c>
      <c r="CU58" s="78">
        <f t="shared" si="48"/>
        <v>100</v>
      </c>
      <c r="CV58" s="79">
        <f t="shared" si="64"/>
        <v>2</v>
      </c>
      <c r="CW58" s="112">
        <f t="shared" si="50"/>
        <v>20.558045458073504</v>
      </c>
    </row>
    <row r="59" spans="1:101" x14ac:dyDescent="0.35">
      <c r="A59" s="7" t="s">
        <v>1536</v>
      </c>
      <c r="B59" s="8" t="s">
        <v>1537</v>
      </c>
      <c r="C59" s="21" t="s">
        <v>1538</v>
      </c>
      <c r="D59" s="10" t="s">
        <v>141</v>
      </c>
      <c r="E59" s="11" t="s">
        <v>750</v>
      </c>
      <c r="F59" s="11" t="s">
        <v>1539</v>
      </c>
      <c r="G59" s="12">
        <v>43074</v>
      </c>
      <c r="H59" s="11" t="s">
        <v>24</v>
      </c>
      <c r="I59" s="11" t="s">
        <v>1540</v>
      </c>
      <c r="J59" s="11" t="s">
        <v>1541</v>
      </c>
      <c r="K59" s="11" t="s">
        <v>50</v>
      </c>
      <c r="L59" s="23">
        <v>483313332</v>
      </c>
      <c r="M59" s="14">
        <v>57327965</v>
      </c>
      <c r="N59" s="14">
        <v>425985367</v>
      </c>
      <c r="O59" s="14">
        <v>378192950</v>
      </c>
      <c r="P59" s="14">
        <v>60336561</v>
      </c>
      <c r="Q59" s="14">
        <v>70491799</v>
      </c>
      <c r="R59" s="14">
        <v>55385939</v>
      </c>
      <c r="S59" s="15">
        <v>20861556</v>
      </c>
      <c r="T59" s="15">
        <v>571495</v>
      </c>
      <c r="U59" s="15">
        <f>6217470+2007062</f>
        <v>8224532</v>
      </c>
      <c r="V59" s="15">
        <f>1094522+600000</f>
        <v>1694522</v>
      </c>
      <c r="W59" s="15">
        <f>826301+10000+2419</f>
        <v>838720</v>
      </c>
      <c r="X59" s="15">
        <v>0</v>
      </c>
      <c r="Z59" s="15">
        <v>0</v>
      </c>
      <c r="AA59" s="15">
        <v>0</v>
      </c>
      <c r="AB59" s="74">
        <f t="shared" si="0"/>
        <v>10757774</v>
      </c>
      <c r="AC59" s="75">
        <f t="shared" si="1"/>
        <v>51.567457384290996</v>
      </c>
      <c r="AD59" s="75">
        <f t="shared" si="2"/>
        <v>55.580445295491089</v>
      </c>
      <c r="AE59" s="76">
        <f t="shared" si="53"/>
        <v>1.6674133588647326</v>
      </c>
      <c r="AF59" s="77">
        <f t="shared" si="4"/>
        <v>48.886269982135587</v>
      </c>
      <c r="AG59" s="77">
        <f t="shared" si="5"/>
        <v>53.019919457117446</v>
      </c>
      <c r="AH59" s="77">
        <f t="shared" si="6"/>
        <v>4.1336494749818584</v>
      </c>
      <c r="AI59" s="78">
        <f t="shared" si="7"/>
        <v>100</v>
      </c>
      <c r="AJ59" s="79">
        <f t="shared" si="54"/>
        <v>4</v>
      </c>
      <c r="AK59" s="113">
        <v>9</v>
      </c>
      <c r="AL59" s="113">
        <v>30</v>
      </c>
      <c r="AM59" s="113">
        <v>2</v>
      </c>
      <c r="AN59" s="81">
        <f t="shared" si="9"/>
        <v>39</v>
      </c>
      <c r="AO59" s="82">
        <f t="shared" si="10"/>
        <v>5.1282051282051277</v>
      </c>
      <c r="AP59" s="83">
        <f t="shared" si="11"/>
        <v>100</v>
      </c>
      <c r="AQ59" s="84">
        <f t="shared" si="55"/>
        <v>2</v>
      </c>
      <c r="AR59" s="118">
        <v>2</v>
      </c>
      <c r="AS59" s="86">
        <f t="shared" si="13"/>
        <v>0.25</v>
      </c>
      <c r="AT59" s="87">
        <f t="shared" si="14"/>
        <v>2.25</v>
      </c>
      <c r="AU59" s="87">
        <f t="shared" si="15"/>
        <v>2</v>
      </c>
      <c r="AV59" s="88">
        <f t="shared" si="16"/>
        <v>0</v>
      </c>
      <c r="AW59" s="78">
        <f t="shared" si="17"/>
        <v>40</v>
      </c>
      <c r="AX59" s="89">
        <f t="shared" si="56"/>
        <v>0.4</v>
      </c>
      <c r="AY59" s="114">
        <v>7</v>
      </c>
      <c r="AZ59" s="114">
        <v>14</v>
      </c>
      <c r="BA59" s="91">
        <f t="shared" si="19"/>
        <v>14</v>
      </c>
      <c r="BB59" s="77">
        <f t="shared" si="20"/>
        <v>100</v>
      </c>
      <c r="BC59" s="78">
        <f t="shared" si="21"/>
        <v>100</v>
      </c>
      <c r="BD59" s="79">
        <f t="shared" si="57"/>
        <v>1</v>
      </c>
      <c r="BE59" s="92">
        <v>9503727</v>
      </c>
      <c r="BF59" s="92">
        <v>702917</v>
      </c>
      <c r="BG59" s="114">
        <v>301616</v>
      </c>
      <c r="BH59" s="94">
        <f t="shared" si="23"/>
        <v>10206644</v>
      </c>
      <c r="BI59" s="77">
        <f t="shared" si="24"/>
        <v>2.9550947402495864</v>
      </c>
      <c r="BJ59" s="95" t="str">
        <f t="shared" si="25"/>
        <v>전기전자/기계업</v>
      </c>
      <c r="BK59" s="96">
        <f t="shared" si="26"/>
        <v>2.4096449716116446</v>
      </c>
      <c r="BL59" s="97">
        <f t="shared" si="27"/>
        <v>0.54544976863794181</v>
      </c>
      <c r="BM59" s="98">
        <f t="shared" si="28"/>
        <v>60</v>
      </c>
      <c r="BN59" s="99">
        <f t="shared" si="29"/>
        <v>1.2</v>
      </c>
      <c r="BO59" s="114">
        <v>39475926</v>
      </c>
      <c r="BP59" s="101">
        <f t="shared" si="30"/>
        <v>10.438038572638648</v>
      </c>
      <c r="BQ59" s="78">
        <f t="shared" si="31"/>
        <v>100</v>
      </c>
      <c r="BR59" s="79">
        <f t="shared" si="58"/>
        <v>2</v>
      </c>
      <c r="BS59" s="102">
        <v>13854710.613</v>
      </c>
      <c r="BT59" s="102">
        <v>7736739.0580000002</v>
      </c>
      <c r="BU59" s="103">
        <f t="shared" si="33"/>
        <v>6117971.5549999997</v>
      </c>
      <c r="BV59" s="77">
        <f t="shared" si="34"/>
        <v>1.6176852463801876</v>
      </c>
      <c r="BW59" s="96">
        <f t="shared" si="35"/>
        <v>5.2309968128308295</v>
      </c>
      <c r="BX59" s="96">
        <f t="shared" si="36"/>
        <v>13.056020476245992</v>
      </c>
      <c r="BY59" s="96">
        <f t="shared" si="37"/>
        <v>7.0695458012309631</v>
      </c>
      <c r="BZ59" s="96">
        <f t="shared" si="38"/>
        <v>69.536278548006848</v>
      </c>
      <c r="CA59" s="96">
        <f t="shared" si="39"/>
        <v>40</v>
      </c>
      <c r="CB59" s="104">
        <f t="shared" si="40"/>
        <v>0.8</v>
      </c>
      <c r="CC59" s="105">
        <f t="shared" si="59"/>
        <v>13.457731049245172</v>
      </c>
      <c r="CD59" s="106">
        <f t="shared" si="60"/>
        <v>95.304875232696546</v>
      </c>
      <c r="CE59" s="107">
        <f t="shared" si="61"/>
        <v>1.429573128490448</v>
      </c>
      <c r="CF59" s="108" t="s">
        <v>2189</v>
      </c>
      <c r="CG59" s="108" t="s">
        <v>2189</v>
      </c>
      <c r="CH59" s="108" t="s">
        <v>2189</v>
      </c>
      <c r="CI59" s="108" t="s">
        <v>2189</v>
      </c>
      <c r="CJ59" s="109"/>
      <c r="CK59" s="116" t="s">
        <v>2207</v>
      </c>
      <c r="CL59" s="116" t="s">
        <v>2204</v>
      </c>
      <c r="CM59" s="111">
        <f t="shared" si="42"/>
        <v>70</v>
      </c>
      <c r="CN59" s="107">
        <f t="shared" si="62"/>
        <v>1.05</v>
      </c>
      <c r="CO59" s="114">
        <v>0</v>
      </c>
      <c r="CP59" s="88">
        <f t="shared" si="44"/>
        <v>0</v>
      </c>
      <c r="CQ59" s="78">
        <f t="shared" si="45"/>
        <v>100</v>
      </c>
      <c r="CR59" s="79">
        <f t="shared" si="63"/>
        <v>3</v>
      </c>
      <c r="CS59" s="92">
        <f>_xlfn.XLOOKUP(C59, '[1]1-1. 관계사체무보증금액 (환율 등)'!$3:$3, '[1]1-1. 관계사체무보증금액 (환율 등)'!$33:$33)</f>
        <v>0</v>
      </c>
      <c r="CT59" s="77">
        <f t="shared" si="47"/>
        <v>0</v>
      </c>
      <c r="CU59" s="78">
        <f t="shared" si="48"/>
        <v>100</v>
      </c>
      <c r="CV59" s="79">
        <f t="shared" si="64"/>
        <v>2</v>
      </c>
      <c r="CW59" s="112">
        <f t="shared" si="50"/>
        <v>20.546986487355181</v>
      </c>
    </row>
    <row r="60" spans="1:101" x14ac:dyDescent="0.35">
      <c r="A60" s="7" t="s">
        <v>518</v>
      </c>
      <c r="B60" s="8" t="s">
        <v>519</v>
      </c>
      <c r="C60" s="21" t="s">
        <v>520</v>
      </c>
      <c r="D60" s="10" t="s">
        <v>31</v>
      </c>
      <c r="E60" s="11" t="s">
        <v>183</v>
      </c>
      <c r="F60" s="11" t="s">
        <v>521</v>
      </c>
      <c r="G60" s="12">
        <v>32721</v>
      </c>
      <c r="H60" s="11" t="s">
        <v>24</v>
      </c>
      <c r="I60" s="11" t="s">
        <v>522</v>
      </c>
      <c r="J60" s="11" t="s">
        <v>523</v>
      </c>
      <c r="K60" s="11" t="s">
        <v>50</v>
      </c>
      <c r="L60" s="23">
        <v>1943161484</v>
      </c>
      <c r="M60" s="14">
        <v>692777309</v>
      </c>
      <c r="N60" s="14">
        <v>1250384175</v>
      </c>
      <c r="O60" s="14">
        <v>1244928840</v>
      </c>
      <c r="P60" s="14">
        <v>70305248</v>
      </c>
      <c r="Q60" s="14">
        <v>56807679</v>
      </c>
      <c r="R60" s="14">
        <v>54307547</v>
      </c>
      <c r="S60" s="15">
        <v>11686538</v>
      </c>
      <c r="T60" s="15">
        <v>273360</v>
      </c>
      <c r="U60" s="15">
        <f>5850482+66173</f>
        <v>5916655</v>
      </c>
      <c r="V60" s="15">
        <f>27500</f>
        <v>27500</v>
      </c>
      <c r="W60" s="15">
        <f>1000+10455+112+213+50+1000+600+500+1100+250+1000</f>
        <v>16280</v>
      </c>
      <c r="X60" s="15">
        <v>50910</v>
      </c>
      <c r="Y60" s="24" t="s">
        <v>2068</v>
      </c>
      <c r="Z60" s="15">
        <v>0</v>
      </c>
      <c r="AA60" s="15">
        <v>0</v>
      </c>
      <c r="AB60" s="74">
        <f t="shared" si="0"/>
        <v>6011345</v>
      </c>
      <c r="AC60" s="75">
        <f t="shared" si="1"/>
        <v>51.438201801080865</v>
      </c>
      <c r="AD60" s="75">
        <f t="shared" si="2"/>
        <v>55.692000747053342</v>
      </c>
      <c r="AE60" s="76">
        <f t="shared" si="53"/>
        <v>1.6707600224116002</v>
      </c>
      <c r="AF60" s="77">
        <f t="shared" si="4"/>
        <v>52.081506132647718</v>
      </c>
      <c r="AG60" s="77">
        <f t="shared" si="5"/>
        <v>52.670211574725286</v>
      </c>
      <c r="AH60" s="77">
        <f t="shared" si="6"/>
        <v>0.58870544207756836</v>
      </c>
      <c r="AI60" s="78">
        <f t="shared" si="7"/>
        <v>100</v>
      </c>
      <c r="AJ60" s="79">
        <f t="shared" si="54"/>
        <v>4</v>
      </c>
      <c r="AK60" s="113">
        <v>5</v>
      </c>
      <c r="AL60" s="113">
        <v>21</v>
      </c>
      <c r="AM60" s="80">
        <v>1</v>
      </c>
      <c r="AN60" s="81">
        <f t="shared" si="9"/>
        <v>26</v>
      </c>
      <c r="AO60" s="82">
        <f t="shared" si="10"/>
        <v>3.8461538461538463</v>
      </c>
      <c r="AP60" s="83">
        <f t="shared" si="11"/>
        <v>100</v>
      </c>
      <c r="AQ60" s="84">
        <f t="shared" si="55"/>
        <v>2</v>
      </c>
      <c r="AR60" s="118">
        <v>1</v>
      </c>
      <c r="AS60" s="86">
        <f t="shared" si="13"/>
        <v>0.25</v>
      </c>
      <c r="AT60" s="87">
        <f t="shared" si="14"/>
        <v>1.25</v>
      </c>
      <c r="AU60" s="87">
        <f t="shared" si="15"/>
        <v>1</v>
      </c>
      <c r="AV60" s="88">
        <f t="shared" si="16"/>
        <v>0</v>
      </c>
      <c r="AW60" s="78">
        <f t="shared" si="17"/>
        <v>40</v>
      </c>
      <c r="AX60" s="89">
        <f t="shared" si="56"/>
        <v>0.4</v>
      </c>
      <c r="AY60" s="114">
        <v>7</v>
      </c>
      <c r="AZ60" s="114">
        <v>7</v>
      </c>
      <c r="BA60" s="91">
        <f t="shared" si="19"/>
        <v>7</v>
      </c>
      <c r="BB60" s="77">
        <f t="shared" si="20"/>
        <v>100</v>
      </c>
      <c r="BC60" s="78">
        <f t="shared" si="21"/>
        <v>100</v>
      </c>
      <c r="BD60" s="79">
        <f t="shared" si="57"/>
        <v>1</v>
      </c>
      <c r="BE60" s="92">
        <v>58067000</v>
      </c>
      <c r="BF60" s="92">
        <v>5592000</v>
      </c>
      <c r="BG60" s="93">
        <v>0</v>
      </c>
      <c r="BH60" s="94">
        <f t="shared" si="23"/>
        <v>63659000</v>
      </c>
      <c r="BI60" s="77">
        <f t="shared" si="24"/>
        <v>0</v>
      </c>
      <c r="BJ60" s="95" t="str">
        <f t="shared" si="25"/>
        <v>식약/섬유/종이업</v>
      </c>
      <c r="BK60" s="96">
        <f t="shared" si="26"/>
        <v>2.1999360555264453</v>
      </c>
      <c r="BL60" s="97">
        <f t="shared" si="27"/>
        <v>-2.1999360555264453</v>
      </c>
      <c r="BM60" s="98">
        <f t="shared" si="28"/>
        <v>100</v>
      </c>
      <c r="BN60" s="99">
        <f t="shared" si="29"/>
        <v>2</v>
      </c>
      <c r="BO60" s="114">
        <f>(213631-5935)*1000</f>
        <v>207696000</v>
      </c>
      <c r="BP60" s="101">
        <f t="shared" si="30"/>
        <v>16.683363203313693</v>
      </c>
      <c r="BQ60" s="78">
        <f t="shared" si="31"/>
        <v>100</v>
      </c>
      <c r="BR60" s="79">
        <f t="shared" si="58"/>
        <v>2</v>
      </c>
      <c r="BS60" s="102">
        <v>35286853.031999998</v>
      </c>
      <c r="BT60" s="102">
        <v>155909.272</v>
      </c>
      <c r="BU60" s="103">
        <f t="shared" si="33"/>
        <v>35130943.759999998</v>
      </c>
      <c r="BV60" s="77">
        <f t="shared" si="34"/>
        <v>2.8219238426511186</v>
      </c>
      <c r="BW60" s="96">
        <f t="shared" si="35"/>
        <v>5.0508176117342298</v>
      </c>
      <c r="BX60" s="96">
        <f t="shared" si="36"/>
        <v>4.9679674338575177</v>
      </c>
      <c r="BY60" s="96">
        <f t="shared" si="37"/>
        <v>6.9871618081220923</v>
      </c>
      <c r="BZ60" s="96">
        <f t="shared" si="38"/>
        <v>62.513615496837524</v>
      </c>
      <c r="CA60" s="96">
        <f t="shared" si="39"/>
        <v>40</v>
      </c>
      <c r="CB60" s="104">
        <f t="shared" si="40"/>
        <v>0.8</v>
      </c>
      <c r="CC60" s="105">
        <f t="shared" si="59"/>
        <v>55.405156499201539</v>
      </c>
      <c r="CD60" s="106">
        <f t="shared" si="60"/>
        <v>79.495544032964247</v>
      </c>
      <c r="CE60" s="107">
        <f t="shared" si="61"/>
        <v>1.1924331604944636</v>
      </c>
      <c r="CF60" s="108" t="s">
        <v>2189</v>
      </c>
      <c r="CG60" s="108" t="s">
        <v>2189</v>
      </c>
      <c r="CH60" s="108" t="s">
        <v>2189</v>
      </c>
      <c r="CI60" s="108" t="s">
        <v>2189</v>
      </c>
      <c r="CJ60" s="109"/>
      <c r="CK60" s="116" t="s">
        <v>2207</v>
      </c>
      <c r="CL60" s="116" t="s">
        <v>2204</v>
      </c>
      <c r="CM60" s="111">
        <f t="shared" si="42"/>
        <v>70</v>
      </c>
      <c r="CN60" s="107">
        <f t="shared" si="62"/>
        <v>1.05</v>
      </c>
      <c r="CO60" s="114">
        <v>97723000</v>
      </c>
      <c r="CP60" s="88">
        <f t="shared" si="44"/>
        <v>7.8154380032840711</v>
      </c>
      <c r="CQ60" s="78">
        <f t="shared" si="45"/>
        <v>80</v>
      </c>
      <c r="CR60" s="79">
        <f t="shared" si="63"/>
        <v>2.4</v>
      </c>
      <c r="CS60" s="92">
        <f>_xlfn.XLOOKUP(C60, '[1]1-1. 관계사체무보증금액 (환율 등)'!$3:$3, '[1]1-1. 관계사체무보증금액 (환율 등)'!$33:$33)</f>
        <v>2400000</v>
      </c>
      <c r="CT60" s="77">
        <f t="shared" si="47"/>
        <v>0.19194100885033993</v>
      </c>
      <c r="CU60" s="78">
        <f t="shared" si="48"/>
        <v>100</v>
      </c>
      <c r="CV60" s="79">
        <f t="shared" si="64"/>
        <v>2</v>
      </c>
      <c r="CW60" s="112">
        <f t="shared" si="50"/>
        <v>20.513193182906061</v>
      </c>
    </row>
    <row r="61" spans="1:101" x14ac:dyDescent="0.35">
      <c r="A61" s="7" t="s">
        <v>623</v>
      </c>
      <c r="B61" s="8" t="s">
        <v>624</v>
      </c>
      <c r="C61" s="21" t="s">
        <v>625</v>
      </c>
      <c r="D61" s="10" t="s">
        <v>21</v>
      </c>
      <c r="E61" s="11" t="s">
        <v>60</v>
      </c>
      <c r="F61" s="11" t="s">
        <v>626</v>
      </c>
      <c r="G61" s="12">
        <v>32444</v>
      </c>
      <c r="H61" s="11" t="s">
        <v>24</v>
      </c>
      <c r="I61" s="11" t="s">
        <v>627</v>
      </c>
      <c r="J61" s="11" t="s">
        <v>628</v>
      </c>
      <c r="K61" s="11" t="s">
        <v>629</v>
      </c>
      <c r="L61" s="23">
        <v>823154130</v>
      </c>
      <c r="M61" s="14">
        <v>397729314</v>
      </c>
      <c r="N61" s="14">
        <v>425424816</v>
      </c>
      <c r="O61" s="14">
        <v>297680162</v>
      </c>
      <c r="P61" s="14">
        <v>45164807</v>
      </c>
      <c r="Q61" s="14">
        <v>31718775</v>
      </c>
      <c r="R61" s="14">
        <v>23212712</v>
      </c>
      <c r="S61" s="15">
        <v>30382784</v>
      </c>
      <c r="T61" s="15">
        <v>2203468</v>
      </c>
      <c r="U61" s="15">
        <f>8951145+550000</f>
        <v>9501145</v>
      </c>
      <c r="V61" s="15">
        <v>0</v>
      </c>
      <c r="W61" s="15">
        <f>44300+44000+24500+10005+10000*2+8500+5270+2066+2000*2+402</f>
        <v>163043</v>
      </c>
      <c r="X61" s="15">
        <v>0</v>
      </c>
      <c r="Z61" s="15">
        <v>0</v>
      </c>
      <c r="AA61" s="15">
        <v>0</v>
      </c>
      <c r="AB61" s="74">
        <f t="shared" si="0"/>
        <v>9664188</v>
      </c>
      <c r="AC61" s="75">
        <f t="shared" si="1"/>
        <v>31.808105537662378</v>
      </c>
      <c r="AD61" s="75">
        <f t="shared" si="2"/>
        <v>72.633971054951928</v>
      </c>
      <c r="AE61" s="76">
        <f t="shared" si="53"/>
        <v>2.1790191316485577</v>
      </c>
      <c r="AF61" s="77">
        <f t="shared" si="4"/>
        <v>33.716733933499313</v>
      </c>
      <c r="AG61" s="77">
        <f t="shared" si="5"/>
        <v>34.295324982338109</v>
      </c>
      <c r="AH61" s="77">
        <f t="shared" si="6"/>
        <v>0.57859104883879553</v>
      </c>
      <c r="AI61" s="78">
        <f t="shared" si="7"/>
        <v>100</v>
      </c>
      <c r="AJ61" s="79">
        <f t="shared" si="54"/>
        <v>4</v>
      </c>
      <c r="AK61" s="113">
        <v>7</v>
      </c>
      <c r="AL61" s="113">
        <v>37</v>
      </c>
      <c r="AM61" s="113">
        <v>1</v>
      </c>
      <c r="AN61" s="81">
        <f t="shared" si="9"/>
        <v>44</v>
      </c>
      <c r="AO61" s="82">
        <f t="shared" si="10"/>
        <v>2.2727272727272729</v>
      </c>
      <c r="AP61" s="83">
        <f t="shared" si="11"/>
        <v>100</v>
      </c>
      <c r="AQ61" s="84">
        <f t="shared" si="55"/>
        <v>2</v>
      </c>
      <c r="AR61" s="118">
        <v>2</v>
      </c>
      <c r="AS61" s="86">
        <f t="shared" si="13"/>
        <v>0.25</v>
      </c>
      <c r="AT61" s="87">
        <f t="shared" si="14"/>
        <v>1.75</v>
      </c>
      <c r="AU61" s="87">
        <f t="shared" si="15"/>
        <v>1</v>
      </c>
      <c r="AV61" s="88">
        <f t="shared" si="16"/>
        <v>14.285714285714285</v>
      </c>
      <c r="AW61" s="78">
        <f t="shared" si="17"/>
        <v>60</v>
      </c>
      <c r="AX61" s="89">
        <f t="shared" si="56"/>
        <v>0.6</v>
      </c>
      <c r="AY61" s="114">
        <v>17</v>
      </c>
      <c r="AZ61" s="114">
        <f>17*2-7</f>
        <v>27</v>
      </c>
      <c r="BA61" s="91">
        <f t="shared" si="19"/>
        <v>34</v>
      </c>
      <c r="BB61" s="77">
        <f t="shared" si="20"/>
        <v>79.411764705882348</v>
      </c>
      <c r="BC61" s="78">
        <f t="shared" si="21"/>
        <v>50</v>
      </c>
      <c r="BD61" s="79">
        <f t="shared" si="57"/>
        <v>0.5</v>
      </c>
      <c r="BE61" s="92">
        <v>28423184</v>
      </c>
      <c r="BF61" s="92">
        <v>2908372</v>
      </c>
      <c r="BG61" s="114">
        <v>1412666</v>
      </c>
      <c r="BH61" s="94">
        <f t="shared" si="23"/>
        <v>31331556</v>
      </c>
      <c r="BI61" s="77">
        <f t="shared" si="24"/>
        <v>4.5087642630962854</v>
      </c>
      <c r="BJ61" s="95" t="str">
        <f t="shared" si="25"/>
        <v>비제조/서비스업</v>
      </c>
      <c r="BK61" s="96">
        <f t="shared" si="26"/>
        <v>1.7464434573900922</v>
      </c>
      <c r="BL61" s="97">
        <f t="shared" si="27"/>
        <v>2.7623208057061932</v>
      </c>
      <c r="BM61" s="98">
        <f t="shared" si="28"/>
        <v>40</v>
      </c>
      <c r="BN61" s="99">
        <f t="shared" si="29"/>
        <v>0.8</v>
      </c>
      <c r="BO61" s="114">
        <v>14098561.336999999</v>
      </c>
      <c r="BP61" s="101">
        <f t="shared" si="30"/>
        <v>4.7361440689487395</v>
      </c>
      <c r="BQ61" s="78">
        <f t="shared" si="31"/>
        <v>100</v>
      </c>
      <c r="BR61" s="79">
        <f t="shared" si="58"/>
        <v>2</v>
      </c>
      <c r="BS61" s="102">
        <v>16718785.745999999</v>
      </c>
      <c r="BT61" s="102">
        <v>90675.001000000004</v>
      </c>
      <c r="BU61" s="103">
        <f t="shared" si="33"/>
        <v>16628110.744999999</v>
      </c>
      <c r="BV61" s="77">
        <f t="shared" si="34"/>
        <v>5.5858981778570787</v>
      </c>
      <c r="BW61" s="96">
        <f t="shared" si="35"/>
        <v>2.8482825397737606</v>
      </c>
      <c r="BX61" s="96">
        <f t="shared" si="36"/>
        <v>7.494539381878333</v>
      </c>
      <c r="BY61" s="96">
        <f t="shared" si="37"/>
        <v>5.5697595856656807</v>
      </c>
      <c r="BZ61" s="96">
        <f t="shared" si="38"/>
        <v>31.153142396643517</v>
      </c>
      <c r="CA61" s="96">
        <f t="shared" si="39"/>
        <v>70</v>
      </c>
      <c r="CB61" s="104">
        <f t="shared" si="40"/>
        <v>1.4000000000000001</v>
      </c>
      <c r="CC61" s="105">
        <f t="shared" si="59"/>
        <v>93.489918557078255</v>
      </c>
      <c r="CD61" s="106">
        <f t="shared" si="60"/>
        <v>65.141990493563469</v>
      </c>
      <c r="CE61" s="107">
        <f t="shared" si="61"/>
        <v>0.97712985740345204</v>
      </c>
      <c r="CF61" s="108" t="s">
        <v>2189</v>
      </c>
      <c r="CG61" s="108" t="s">
        <v>2189</v>
      </c>
      <c r="CH61" s="108" t="s">
        <v>2189</v>
      </c>
      <c r="CI61" s="108" t="s">
        <v>2189</v>
      </c>
      <c r="CJ61" s="109"/>
      <c r="CK61" s="116" t="s">
        <v>2203</v>
      </c>
      <c r="CL61" s="116" t="s">
        <v>2204</v>
      </c>
      <c r="CM61" s="111">
        <f t="shared" si="42"/>
        <v>70</v>
      </c>
      <c r="CN61" s="107">
        <f t="shared" si="62"/>
        <v>1.05</v>
      </c>
      <c r="CO61" s="114">
        <v>12188558</v>
      </c>
      <c r="CP61" s="88">
        <f t="shared" si="44"/>
        <v>2.8650322081822326</v>
      </c>
      <c r="CQ61" s="78">
        <f t="shared" si="45"/>
        <v>100</v>
      </c>
      <c r="CR61" s="79">
        <f t="shared" si="63"/>
        <v>3</v>
      </c>
      <c r="CS61" s="92">
        <f>_xlfn.XLOOKUP(C61, '[1]1-1. 관계사체무보증금액 (환율 등)'!$3:$3, '[1]1-1. 관계사체무보증금액 (환율 등)'!$33:$33)</f>
        <v>0</v>
      </c>
      <c r="CT61" s="77">
        <f t="shared" si="47"/>
        <v>0</v>
      </c>
      <c r="CU61" s="78">
        <f t="shared" si="48"/>
        <v>100</v>
      </c>
      <c r="CV61" s="79">
        <f t="shared" si="64"/>
        <v>2</v>
      </c>
      <c r="CW61" s="112">
        <f t="shared" si="50"/>
        <v>20.506148989052011</v>
      </c>
    </row>
    <row r="62" spans="1:101" x14ac:dyDescent="0.35">
      <c r="A62" s="7" t="s">
        <v>1810</v>
      </c>
      <c r="B62" s="8" t="s">
        <v>1811</v>
      </c>
      <c r="C62" s="21" t="s">
        <v>1812</v>
      </c>
      <c r="D62" s="10" t="s">
        <v>31</v>
      </c>
      <c r="E62" s="11" t="s">
        <v>183</v>
      </c>
      <c r="F62" s="11" t="s">
        <v>1813</v>
      </c>
      <c r="G62" s="12">
        <v>40389</v>
      </c>
      <c r="H62" s="11" t="s">
        <v>24</v>
      </c>
      <c r="I62" s="11" t="s">
        <v>1814</v>
      </c>
      <c r="J62" s="8" t="s">
        <v>1815</v>
      </c>
      <c r="K62" s="11" t="s">
        <v>50</v>
      </c>
      <c r="L62" s="23">
        <v>1399293783</v>
      </c>
      <c r="M62" s="14">
        <v>813470761</v>
      </c>
      <c r="N62" s="14">
        <v>585823022</v>
      </c>
      <c r="O62" s="14">
        <v>982048866</v>
      </c>
      <c r="P62" s="14">
        <v>79110747</v>
      </c>
      <c r="Q62" s="14">
        <v>59432696</v>
      </c>
      <c r="R62" s="14">
        <v>50327230</v>
      </c>
      <c r="S62" s="15">
        <v>12317971</v>
      </c>
      <c r="T62" s="15">
        <v>108607</v>
      </c>
      <c r="U62" s="15">
        <v>5100079</v>
      </c>
      <c r="V62" s="15">
        <v>0</v>
      </c>
      <c r="W62" s="15">
        <f>449+562+559+129+309+658+547+61+117+74+51</f>
        <v>3516</v>
      </c>
      <c r="X62" s="15">
        <v>0</v>
      </c>
      <c r="Z62" s="15">
        <v>0</v>
      </c>
      <c r="AA62" s="15">
        <v>0</v>
      </c>
      <c r="AB62" s="74">
        <f t="shared" si="0"/>
        <v>5103595</v>
      </c>
      <c r="AC62" s="75">
        <f t="shared" si="1"/>
        <v>41.432107609280784</v>
      </c>
      <c r="AD62" s="75">
        <f t="shared" si="2"/>
        <v>64.327870302692077</v>
      </c>
      <c r="AE62" s="76">
        <f t="shared" si="53"/>
        <v>1.9298361090807623</v>
      </c>
      <c r="AF62" s="77">
        <f t="shared" si="4"/>
        <v>41.771864611457239</v>
      </c>
      <c r="AG62" s="77">
        <f t="shared" si="5"/>
        <v>41.800662180274088</v>
      </c>
      <c r="AH62" s="77">
        <f t="shared" si="6"/>
        <v>2.8797568816848695E-2</v>
      </c>
      <c r="AI62" s="78">
        <f t="shared" si="7"/>
        <v>100</v>
      </c>
      <c r="AJ62" s="79">
        <f t="shared" si="54"/>
        <v>4</v>
      </c>
      <c r="AK62" s="113">
        <v>5</v>
      </c>
      <c r="AL62" s="113">
        <v>35</v>
      </c>
      <c r="AM62" s="113">
        <v>1</v>
      </c>
      <c r="AN62" s="81">
        <f t="shared" si="9"/>
        <v>40</v>
      </c>
      <c r="AO62" s="82">
        <f t="shared" si="10"/>
        <v>2.5</v>
      </c>
      <c r="AP62" s="83">
        <f t="shared" si="11"/>
        <v>100</v>
      </c>
      <c r="AQ62" s="84">
        <f t="shared" si="55"/>
        <v>2</v>
      </c>
      <c r="AR62" s="118">
        <v>2</v>
      </c>
      <c r="AS62" s="86">
        <f t="shared" si="13"/>
        <v>0.25</v>
      </c>
      <c r="AT62" s="87">
        <f t="shared" si="14"/>
        <v>1.25</v>
      </c>
      <c r="AU62" s="87">
        <f t="shared" si="15"/>
        <v>1</v>
      </c>
      <c r="AV62" s="88">
        <f t="shared" si="16"/>
        <v>20</v>
      </c>
      <c r="AW62" s="78">
        <f t="shared" si="17"/>
        <v>80</v>
      </c>
      <c r="AX62" s="89">
        <f t="shared" si="56"/>
        <v>0.8</v>
      </c>
      <c r="AY62" s="114">
        <v>8</v>
      </c>
      <c r="AZ62" s="114">
        <v>16</v>
      </c>
      <c r="BA62" s="91">
        <f t="shared" si="19"/>
        <v>16</v>
      </c>
      <c r="BB62" s="77">
        <f t="shared" si="20"/>
        <v>100</v>
      </c>
      <c r="BC62" s="78">
        <f t="shared" si="21"/>
        <v>100</v>
      </c>
      <c r="BD62" s="79">
        <f t="shared" si="57"/>
        <v>1</v>
      </c>
      <c r="BE62" s="92">
        <v>79202956</v>
      </c>
      <c r="BF62" s="92">
        <v>7094563</v>
      </c>
      <c r="BG62" s="93">
        <v>0</v>
      </c>
      <c r="BH62" s="94">
        <f t="shared" si="23"/>
        <v>86297519</v>
      </c>
      <c r="BI62" s="77">
        <f t="shared" si="24"/>
        <v>0</v>
      </c>
      <c r="BJ62" s="95" t="str">
        <f t="shared" si="25"/>
        <v>식약/섬유/종이업</v>
      </c>
      <c r="BK62" s="96">
        <f t="shared" si="26"/>
        <v>2.1999360555264453</v>
      </c>
      <c r="BL62" s="97">
        <f t="shared" si="27"/>
        <v>-2.1999360555264453</v>
      </c>
      <c r="BM62" s="98">
        <f t="shared" si="28"/>
        <v>100</v>
      </c>
      <c r="BN62" s="99">
        <f t="shared" si="29"/>
        <v>2</v>
      </c>
      <c r="BO62" s="114">
        <v>174741000</v>
      </c>
      <c r="BP62" s="101">
        <f t="shared" si="30"/>
        <v>17.793513749650824</v>
      </c>
      <c r="BQ62" s="78">
        <f t="shared" si="31"/>
        <v>100</v>
      </c>
      <c r="BR62" s="79">
        <f t="shared" si="58"/>
        <v>2</v>
      </c>
      <c r="BS62" s="102">
        <v>12668883.972999999</v>
      </c>
      <c r="BT62" s="102">
        <v>188825.389</v>
      </c>
      <c r="BU62" s="103">
        <f t="shared" si="33"/>
        <v>12480058.583999999</v>
      </c>
      <c r="BV62" s="77">
        <f t="shared" si="34"/>
        <v>1.2708184914293255</v>
      </c>
      <c r="BW62" s="96">
        <f t="shared" si="35"/>
        <v>5.0508176117342298</v>
      </c>
      <c r="BX62" s="96">
        <f t="shared" si="36"/>
        <v>14.288393349505851</v>
      </c>
      <c r="BY62" s="96">
        <f t="shared" si="37"/>
        <v>6.9871618081220923</v>
      </c>
      <c r="BZ62" s="96">
        <f t="shared" si="38"/>
        <v>70.574347523088051</v>
      </c>
      <c r="CA62" s="96">
        <f t="shared" si="39"/>
        <v>40</v>
      </c>
      <c r="CB62" s="104">
        <f t="shared" si="40"/>
        <v>0.8</v>
      </c>
      <c r="CC62" s="105">
        <f t="shared" si="59"/>
        <v>138.8594729894381</v>
      </c>
      <c r="CD62" s="106">
        <f t="shared" si="60"/>
        <v>48.042912189910268</v>
      </c>
      <c r="CE62" s="107">
        <f t="shared" si="61"/>
        <v>0.72064368284865399</v>
      </c>
      <c r="CF62" s="108" t="s">
        <v>2189</v>
      </c>
      <c r="CG62" s="108" t="s">
        <v>2189</v>
      </c>
      <c r="CH62" s="108" t="s">
        <v>2189</v>
      </c>
      <c r="CI62" s="108" t="s">
        <v>2189</v>
      </c>
      <c r="CJ62" s="109"/>
      <c r="CK62" s="116" t="s">
        <v>2202</v>
      </c>
      <c r="CL62" s="116" t="s">
        <v>2196</v>
      </c>
      <c r="CM62" s="111">
        <f t="shared" si="42"/>
        <v>55</v>
      </c>
      <c r="CN62" s="107">
        <f t="shared" si="62"/>
        <v>0.82499999999999996</v>
      </c>
      <c r="CO62" s="114">
        <f>28802000+26000000</f>
        <v>54802000</v>
      </c>
      <c r="CP62" s="88">
        <f t="shared" si="44"/>
        <v>9.3547023489971348</v>
      </c>
      <c r="CQ62" s="78">
        <f t="shared" si="45"/>
        <v>80</v>
      </c>
      <c r="CR62" s="79">
        <f t="shared" si="63"/>
        <v>2.4</v>
      </c>
      <c r="CS62" s="92">
        <f>_xlfn.XLOOKUP(C62, '[1]1-1. 관계사체무보증금액 (환율 등)'!$3:$3, '[1]1-1. 관계사체무보증금액 (환율 등)'!$33:$33)</f>
        <v>0</v>
      </c>
      <c r="CT62" s="77">
        <f t="shared" si="47"/>
        <v>0</v>
      </c>
      <c r="CU62" s="78">
        <f t="shared" si="48"/>
        <v>100</v>
      </c>
      <c r="CV62" s="79">
        <f t="shared" si="64"/>
        <v>2</v>
      </c>
      <c r="CW62" s="112">
        <f t="shared" si="50"/>
        <v>20.475479791929416</v>
      </c>
    </row>
    <row r="63" spans="1:101" x14ac:dyDescent="0.35">
      <c r="A63" s="7" t="s">
        <v>341</v>
      </c>
      <c r="B63" s="8" t="s">
        <v>342</v>
      </c>
      <c r="C63" s="21" t="s">
        <v>343</v>
      </c>
      <c r="D63" s="22" t="s">
        <v>21</v>
      </c>
      <c r="E63" s="11" t="s">
        <v>234</v>
      </c>
      <c r="F63" s="11" t="s">
        <v>344</v>
      </c>
      <c r="G63" s="12">
        <v>32819</v>
      </c>
      <c r="H63" s="11" t="s">
        <v>24</v>
      </c>
      <c r="I63" s="11" t="s">
        <v>345</v>
      </c>
      <c r="J63" s="11" t="s">
        <v>346</v>
      </c>
      <c r="K63" s="11" t="s">
        <v>27</v>
      </c>
      <c r="L63" s="23">
        <v>26432121000</v>
      </c>
      <c r="M63" s="14">
        <v>16048739000</v>
      </c>
      <c r="N63" s="14">
        <v>10383382000</v>
      </c>
      <c r="O63" s="14">
        <v>12414588000</v>
      </c>
      <c r="P63" s="14">
        <v>1321131000</v>
      </c>
      <c r="Q63" s="14">
        <v>1146250000</v>
      </c>
      <c r="R63" s="14">
        <v>869490000</v>
      </c>
      <c r="S63" s="15">
        <v>218833144</v>
      </c>
      <c r="T63" s="15">
        <v>801091</v>
      </c>
      <c r="U63" s="15">
        <f>65668397+303</f>
        <v>65668700</v>
      </c>
      <c r="V63" s="15">
        <v>0</v>
      </c>
      <c r="W63" s="15">
        <f>762+21530+7340+1711+1447*4+455+2733+3484</f>
        <v>43803</v>
      </c>
      <c r="X63" s="15">
        <v>0</v>
      </c>
      <c r="Z63" s="15">
        <v>0</v>
      </c>
      <c r="AA63" s="15">
        <v>0</v>
      </c>
      <c r="AB63" s="74">
        <f t="shared" si="0"/>
        <v>65712503</v>
      </c>
      <c r="AC63" s="75">
        <f t="shared" si="1"/>
        <v>30.02858789982929</v>
      </c>
      <c r="AD63" s="75">
        <f t="shared" si="2"/>
        <v>74.169803308547799</v>
      </c>
      <c r="AE63" s="76">
        <f t="shared" si="53"/>
        <v>2.2250940992564341</v>
      </c>
      <c r="AF63" s="77">
        <f t="shared" si="4"/>
        <v>30.118828445834062</v>
      </c>
      <c r="AG63" s="77">
        <f t="shared" si="5"/>
        <v>30.138918611200712</v>
      </c>
      <c r="AH63" s="77">
        <f t="shared" si="6"/>
        <v>2.009016536664987E-2</v>
      </c>
      <c r="AI63" s="78">
        <f t="shared" si="7"/>
        <v>100</v>
      </c>
      <c r="AJ63" s="79">
        <f t="shared" si="54"/>
        <v>4</v>
      </c>
      <c r="AK63" s="113">
        <v>8</v>
      </c>
      <c r="AL63" s="113">
        <v>99</v>
      </c>
      <c r="AM63" s="80">
        <v>1</v>
      </c>
      <c r="AN63" s="81">
        <f t="shared" si="9"/>
        <v>107</v>
      </c>
      <c r="AO63" s="82">
        <f t="shared" si="10"/>
        <v>0.93457943925233633</v>
      </c>
      <c r="AP63" s="83">
        <f t="shared" si="11"/>
        <v>100</v>
      </c>
      <c r="AQ63" s="84">
        <f t="shared" si="55"/>
        <v>2</v>
      </c>
      <c r="AR63" s="118">
        <v>5</v>
      </c>
      <c r="AS63" s="86">
        <f t="shared" si="13"/>
        <v>0.5</v>
      </c>
      <c r="AT63" s="87">
        <f t="shared" si="14"/>
        <v>4</v>
      </c>
      <c r="AU63" s="87">
        <f t="shared" si="15"/>
        <v>4</v>
      </c>
      <c r="AV63" s="88">
        <f t="shared" si="16"/>
        <v>12.5</v>
      </c>
      <c r="AW63" s="78">
        <f t="shared" si="17"/>
        <v>60</v>
      </c>
      <c r="AX63" s="89">
        <f t="shared" si="56"/>
        <v>0.6</v>
      </c>
      <c r="AY63" s="114">
        <v>13</v>
      </c>
      <c r="AZ63" s="114">
        <f>13*5</f>
        <v>65</v>
      </c>
      <c r="BA63" s="91">
        <f t="shared" si="19"/>
        <v>65</v>
      </c>
      <c r="BB63" s="77">
        <f t="shared" si="20"/>
        <v>100</v>
      </c>
      <c r="BC63" s="78">
        <f t="shared" si="21"/>
        <v>100</v>
      </c>
      <c r="BD63" s="79">
        <f t="shared" si="57"/>
        <v>1</v>
      </c>
      <c r="BE63" s="92">
        <v>992964000</v>
      </c>
      <c r="BF63" s="92">
        <v>28932000</v>
      </c>
      <c r="BG63" s="93">
        <v>0</v>
      </c>
      <c r="BH63" s="94">
        <f t="shared" si="23"/>
        <v>1021896000</v>
      </c>
      <c r="BI63" s="77">
        <f t="shared" si="24"/>
        <v>0</v>
      </c>
      <c r="BJ63" s="95" t="str">
        <f t="shared" si="25"/>
        <v>비제조/서비스업</v>
      </c>
      <c r="BK63" s="96">
        <f t="shared" si="26"/>
        <v>1.7464434573900922</v>
      </c>
      <c r="BL63" s="97">
        <f t="shared" si="27"/>
        <v>-1.7464434573900922</v>
      </c>
      <c r="BM63" s="98">
        <f t="shared" si="28"/>
        <v>80</v>
      </c>
      <c r="BN63" s="99">
        <f t="shared" si="29"/>
        <v>1.6</v>
      </c>
      <c r="BO63" s="114">
        <v>374360000</v>
      </c>
      <c r="BP63" s="101">
        <f t="shared" si="30"/>
        <v>3.0154846862417024</v>
      </c>
      <c r="BQ63" s="78">
        <f t="shared" si="31"/>
        <v>85</v>
      </c>
      <c r="BR63" s="79">
        <f t="shared" si="58"/>
        <v>1.7</v>
      </c>
      <c r="BS63" s="102">
        <v>2074860000</v>
      </c>
      <c r="BT63" s="102">
        <v>12795000</v>
      </c>
      <c r="BU63" s="103">
        <f t="shared" si="33"/>
        <v>2062065000</v>
      </c>
      <c r="BV63" s="77">
        <f t="shared" si="34"/>
        <v>16.610015572002872</v>
      </c>
      <c r="BW63" s="96">
        <f t="shared" si="35"/>
        <v>2.8482825397737606</v>
      </c>
      <c r="BX63" s="96">
        <f t="shared" si="36"/>
        <v>189.38529605034586</v>
      </c>
      <c r="BY63" s="96">
        <f t="shared" si="37"/>
        <v>5.5697595856656807</v>
      </c>
      <c r="BZ63" s="96">
        <f t="shared" si="38"/>
        <v>0.67406575162560767</v>
      </c>
      <c r="CA63" s="96">
        <f t="shared" si="39"/>
        <v>100</v>
      </c>
      <c r="CB63" s="104">
        <f t="shared" si="40"/>
        <v>2</v>
      </c>
      <c r="CC63" s="105">
        <f t="shared" si="59"/>
        <v>154.5617699512548</v>
      </c>
      <c r="CD63" s="106">
        <f t="shared" si="60"/>
        <v>42.12496107364769</v>
      </c>
      <c r="CE63" s="107">
        <f t="shared" si="61"/>
        <v>0.63187441610471529</v>
      </c>
      <c r="CF63" s="108" t="s">
        <v>2189</v>
      </c>
      <c r="CG63" s="108" t="s">
        <v>2189</v>
      </c>
      <c r="CH63" s="108" t="s">
        <v>2189</v>
      </c>
      <c r="CI63" s="108" t="s">
        <v>2189</v>
      </c>
      <c r="CJ63" s="109"/>
      <c r="CK63" s="116" t="s">
        <v>2214</v>
      </c>
      <c r="CL63" s="116" t="s">
        <v>2198</v>
      </c>
      <c r="CM63" s="111">
        <f t="shared" si="42"/>
        <v>100</v>
      </c>
      <c r="CN63" s="107">
        <f t="shared" si="62"/>
        <v>1.5</v>
      </c>
      <c r="CO63" s="114">
        <v>3786536000</v>
      </c>
      <c r="CP63" s="88">
        <f t="shared" si="44"/>
        <v>36.467270490481809</v>
      </c>
      <c r="CQ63" s="78">
        <f t="shared" si="45"/>
        <v>40</v>
      </c>
      <c r="CR63" s="79">
        <f t="shared" si="63"/>
        <v>1.2</v>
      </c>
      <c r="CS63" s="92">
        <f>_xlfn.XLOOKUP(C63, '[1]1-1. 관계사체무보증금액 (환율 등)'!$3:$3, '[1]1-1. 관계사체무보증금액 (환율 등)'!$33:$33)</f>
        <v>38705000</v>
      </c>
      <c r="CT63" s="77">
        <f t="shared" si="47"/>
        <v>0.372759087549702</v>
      </c>
      <c r="CU63" s="78">
        <f t="shared" si="48"/>
        <v>100</v>
      </c>
      <c r="CV63" s="79">
        <f t="shared" si="64"/>
        <v>2</v>
      </c>
      <c r="CW63" s="112">
        <f t="shared" si="50"/>
        <v>20.456968515361147</v>
      </c>
    </row>
    <row r="64" spans="1:101" x14ac:dyDescent="0.35">
      <c r="A64" s="7" t="s">
        <v>1040</v>
      </c>
      <c r="B64" s="8" t="s">
        <v>1041</v>
      </c>
      <c r="C64" s="21" t="s">
        <v>1042</v>
      </c>
      <c r="D64" s="10" t="s">
        <v>31</v>
      </c>
      <c r="E64" s="11" t="s">
        <v>46</v>
      </c>
      <c r="F64" s="11" t="s">
        <v>1043</v>
      </c>
      <c r="G64" s="12">
        <v>42591</v>
      </c>
      <c r="H64" s="11" t="s">
        <v>24</v>
      </c>
      <c r="I64" s="11" t="s">
        <v>1044</v>
      </c>
      <c r="J64" s="11" t="s">
        <v>1045</v>
      </c>
      <c r="K64" s="11" t="s">
        <v>27</v>
      </c>
      <c r="L64" s="23">
        <v>323958042</v>
      </c>
      <c r="M64" s="14">
        <v>108746469</v>
      </c>
      <c r="N64" s="14">
        <v>215211573</v>
      </c>
      <c r="O64" s="14">
        <v>362553052</v>
      </c>
      <c r="P64" s="14">
        <v>8643494</v>
      </c>
      <c r="Q64" s="14">
        <v>12941595</v>
      </c>
      <c r="R64" s="14">
        <v>11435933</v>
      </c>
      <c r="S64" s="15">
        <v>4568286</v>
      </c>
      <c r="T64" s="15">
        <v>1690</v>
      </c>
      <c r="U64" s="15">
        <f>2255842+9365</f>
        <v>2265207</v>
      </c>
      <c r="V64" s="15">
        <f>1344+252504+34606+31077+30000+25000</f>
        <v>374531</v>
      </c>
      <c r="W64" s="15">
        <f>30000*2+27000+5+5+10+5</f>
        <v>87025</v>
      </c>
      <c r="X64" s="15">
        <v>0</v>
      </c>
      <c r="Z64" s="15">
        <v>15364</v>
      </c>
      <c r="AA64" s="15">
        <v>0</v>
      </c>
      <c r="AB64" s="74">
        <f t="shared" si="0"/>
        <v>2742127</v>
      </c>
      <c r="AC64" s="75">
        <f t="shared" si="1"/>
        <v>60.025291761505294</v>
      </c>
      <c r="AD64" s="75">
        <f t="shared" si="2"/>
        <v>48.280818387653667</v>
      </c>
      <c r="AE64" s="76">
        <f t="shared" si="53"/>
        <v>1.4484245516296099</v>
      </c>
      <c r="AF64" s="77">
        <f t="shared" si="4"/>
        <v>57.805376258377137</v>
      </c>
      <c r="AG64" s="77">
        <f t="shared" si="5"/>
        <v>60.047505844615991</v>
      </c>
      <c r="AH64" s="77">
        <f t="shared" si="6"/>
        <v>2.2421295862388533</v>
      </c>
      <c r="AI64" s="78">
        <f t="shared" si="7"/>
        <v>100</v>
      </c>
      <c r="AJ64" s="79">
        <f t="shared" si="54"/>
        <v>4</v>
      </c>
      <c r="AK64" s="113">
        <v>4</v>
      </c>
      <c r="AL64" s="113">
        <v>7</v>
      </c>
      <c r="AM64" s="80">
        <v>1</v>
      </c>
      <c r="AN64" s="81">
        <f t="shared" si="9"/>
        <v>11</v>
      </c>
      <c r="AO64" s="82">
        <f t="shared" si="10"/>
        <v>9.0909090909090917</v>
      </c>
      <c r="AP64" s="83">
        <f t="shared" si="11"/>
        <v>100</v>
      </c>
      <c r="AQ64" s="84">
        <f t="shared" si="55"/>
        <v>2</v>
      </c>
      <c r="AR64" s="118">
        <v>1</v>
      </c>
      <c r="AS64" s="86">
        <f t="shared" si="13"/>
        <v>0.25</v>
      </c>
      <c r="AT64" s="87">
        <f t="shared" si="14"/>
        <v>1</v>
      </c>
      <c r="AU64" s="87">
        <f t="shared" si="15"/>
        <v>1</v>
      </c>
      <c r="AV64" s="88">
        <f t="shared" si="16"/>
        <v>0</v>
      </c>
      <c r="AW64" s="78">
        <f t="shared" si="17"/>
        <v>40</v>
      </c>
      <c r="AX64" s="89">
        <f t="shared" si="56"/>
        <v>0.4</v>
      </c>
      <c r="AY64" s="114">
        <v>11</v>
      </c>
      <c r="AZ64" s="114">
        <v>11</v>
      </c>
      <c r="BA64" s="91">
        <f t="shared" si="19"/>
        <v>11</v>
      </c>
      <c r="BB64" s="77">
        <f t="shared" si="20"/>
        <v>100</v>
      </c>
      <c r="BC64" s="78">
        <f t="shared" si="21"/>
        <v>100</v>
      </c>
      <c r="BD64" s="79">
        <f t="shared" si="57"/>
        <v>1</v>
      </c>
      <c r="BE64" s="92">
        <v>17181616</v>
      </c>
      <c r="BF64" s="92">
        <v>1199136</v>
      </c>
      <c r="BG64" s="114">
        <v>91186</v>
      </c>
      <c r="BH64" s="94">
        <f t="shared" si="23"/>
        <v>18380752</v>
      </c>
      <c r="BI64" s="77">
        <f t="shared" si="24"/>
        <v>0.49609504551282774</v>
      </c>
      <c r="BJ64" s="95" t="str">
        <f t="shared" si="25"/>
        <v>식약/섬유/종이업</v>
      </c>
      <c r="BK64" s="96">
        <f t="shared" si="26"/>
        <v>2.1999360555264453</v>
      </c>
      <c r="BL64" s="97">
        <f t="shared" si="27"/>
        <v>-1.7038410100136177</v>
      </c>
      <c r="BM64" s="98">
        <f t="shared" si="28"/>
        <v>80</v>
      </c>
      <c r="BN64" s="99">
        <f t="shared" si="29"/>
        <v>1.6</v>
      </c>
      <c r="BO64" s="114">
        <v>11667443.302999999</v>
      </c>
      <c r="BP64" s="101">
        <f t="shared" si="30"/>
        <v>3.2181340740720064</v>
      </c>
      <c r="BQ64" s="78">
        <f t="shared" si="31"/>
        <v>85</v>
      </c>
      <c r="BR64" s="79">
        <f t="shared" si="58"/>
        <v>1.7</v>
      </c>
      <c r="BS64" s="102">
        <v>38011761.686999999</v>
      </c>
      <c r="BT64" s="102">
        <v>38144.290999999997</v>
      </c>
      <c r="BU64" s="103">
        <f t="shared" si="33"/>
        <v>37973617.395999998</v>
      </c>
      <c r="BV64" s="77">
        <f t="shared" si="34"/>
        <v>10.473947795093999</v>
      </c>
      <c r="BW64" s="96">
        <f t="shared" si="35"/>
        <v>5.0508176117342298</v>
      </c>
      <c r="BX64" s="96">
        <f t="shared" si="36"/>
        <v>29.410340985667759</v>
      </c>
      <c r="BY64" s="96">
        <f t="shared" si="37"/>
        <v>6.9871618081220923</v>
      </c>
      <c r="BZ64" s="96">
        <f t="shared" si="38"/>
        <v>21.882833022222524</v>
      </c>
      <c r="CA64" s="96">
        <f t="shared" si="39"/>
        <v>70</v>
      </c>
      <c r="CB64" s="104">
        <f t="shared" si="40"/>
        <v>1.4000000000000001</v>
      </c>
      <c r="CC64" s="105">
        <f t="shared" si="59"/>
        <v>50.530028419986508</v>
      </c>
      <c r="CD64" s="106">
        <f t="shared" si="60"/>
        <v>81.332903861814131</v>
      </c>
      <c r="CE64" s="107">
        <f t="shared" si="61"/>
        <v>1.2199935579272119</v>
      </c>
      <c r="CF64" s="108" t="s">
        <v>2189</v>
      </c>
      <c r="CG64" s="108" t="s">
        <v>2189</v>
      </c>
      <c r="CH64" s="108" t="s">
        <v>2189</v>
      </c>
      <c r="CI64" s="108" t="s">
        <v>2189</v>
      </c>
      <c r="CJ64" s="109"/>
      <c r="CK64" s="116" t="s">
        <v>2207</v>
      </c>
      <c r="CL64" s="116" t="s">
        <v>2204</v>
      </c>
      <c r="CM64" s="111">
        <f t="shared" si="42"/>
        <v>70</v>
      </c>
      <c r="CN64" s="107">
        <f t="shared" si="62"/>
        <v>1.05</v>
      </c>
      <c r="CO64" s="114">
        <v>2591921</v>
      </c>
      <c r="CP64" s="88">
        <f t="shared" si="44"/>
        <v>1.2043594886042677</v>
      </c>
      <c r="CQ64" s="78">
        <f t="shared" si="45"/>
        <v>100</v>
      </c>
      <c r="CR64" s="79">
        <f t="shared" si="63"/>
        <v>3</v>
      </c>
      <c r="CS64" s="92">
        <f>_xlfn.XLOOKUP(C64, '[1]1-1. 관계사체무보증금액 (환율 등)'!$3:$3, '[1]1-1. 관계사체무보증금액 (환율 등)'!$33:$33)</f>
        <v>12658227.848101264</v>
      </c>
      <c r="CT64" s="77">
        <f t="shared" si="47"/>
        <v>5.881759829013129</v>
      </c>
      <c r="CU64" s="78">
        <f t="shared" si="48"/>
        <v>80</v>
      </c>
      <c r="CV64" s="79">
        <f t="shared" si="64"/>
        <v>1.6</v>
      </c>
      <c r="CW64" s="112">
        <f t="shared" si="50"/>
        <v>20.418418109556825</v>
      </c>
    </row>
    <row r="65" spans="1:101" x14ac:dyDescent="0.35">
      <c r="A65" s="7" t="s">
        <v>472</v>
      </c>
      <c r="B65" s="8" t="s">
        <v>473</v>
      </c>
      <c r="C65" s="21" t="s">
        <v>474</v>
      </c>
      <c r="D65" s="10" t="s">
        <v>75</v>
      </c>
      <c r="E65" s="11" t="s">
        <v>76</v>
      </c>
      <c r="F65" s="11" t="s">
        <v>475</v>
      </c>
      <c r="G65" s="12">
        <v>32164</v>
      </c>
      <c r="H65" s="11" t="s">
        <v>24</v>
      </c>
      <c r="I65" s="11" t="s">
        <v>476</v>
      </c>
      <c r="J65" s="11" t="s">
        <v>477</v>
      </c>
      <c r="K65" s="11" t="s">
        <v>27</v>
      </c>
      <c r="L65" s="23">
        <v>4278839838</v>
      </c>
      <c r="M65" s="14">
        <v>1085433049</v>
      </c>
      <c r="N65" s="14">
        <v>3193406789</v>
      </c>
      <c r="O65" s="14">
        <v>5086855586</v>
      </c>
      <c r="P65" s="14">
        <v>656205503</v>
      </c>
      <c r="Q65" s="14">
        <v>747318671</v>
      </c>
      <c r="R65" s="14">
        <v>575138552</v>
      </c>
      <c r="S65" s="15">
        <v>29314312</v>
      </c>
      <c r="T65" s="15">
        <v>5248834</v>
      </c>
      <c r="U65" s="15">
        <v>2599132</v>
      </c>
      <c r="V65" s="15">
        <f>2039629+2183120+297515+25875+14373+152400+152400+152400</f>
        <v>5017712</v>
      </c>
      <c r="W65" s="15">
        <f>7000+3071+1500*2+1000+2208+2100+3299+350+534+1500+700+1076+1032+370+100+700+400+300+500+1000+60+800+50+219+300+100+400+150+120+200</f>
        <v>32639</v>
      </c>
      <c r="X65" s="15">
        <v>0</v>
      </c>
      <c r="Z65" s="15">
        <v>0</v>
      </c>
      <c r="AA65" s="15">
        <v>0</v>
      </c>
      <c r="AB65" s="74">
        <f t="shared" si="0"/>
        <v>7649483</v>
      </c>
      <c r="AC65" s="75">
        <f t="shared" si="1"/>
        <v>26.094704184085916</v>
      </c>
      <c r="AD65" s="75">
        <f t="shared" si="2"/>
        <v>77.5649848813988</v>
      </c>
      <c r="AE65" s="76">
        <f t="shared" si="53"/>
        <v>2.3269495464419641</v>
      </c>
      <c r="AF65" s="77">
        <f t="shared" si="4"/>
        <v>31.650499524671815</v>
      </c>
      <c r="AG65" s="77">
        <f t="shared" si="5"/>
        <v>31.786125336882982</v>
      </c>
      <c r="AH65" s="77">
        <f t="shared" si="6"/>
        <v>0.13562581221116687</v>
      </c>
      <c r="AI65" s="78">
        <f t="shared" si="7"/>
        <v>100</v>
      </c>
      <c r="AJ65" s="79">
        <f t="shared" si="54"/>
        <v>4</v>
      </c>
      <c r="AK65" s="113">
        <v>10</v>
      </c>
      <c r="AL65" s="113">
        <v>37</v>
      </c>
      <c r="AM65" s="113">
        <v>2</v>
      </c>
      <c r="AN65" s="81">
        <f t="shared" si="9"/>
        <v>47</v>
      </c>
      <c r="AO65" s="82">
        <f t="shared" si="10"/>
        <v>4.2553191489361701</v>
      </c>
      <c r="AP65" s="83">
        <f t="shared" si="11"/>
        <v>100</v>
      </c>
      <c r="AQ65" s="84">
        <f t="shared" si="55"/>
        <v>2</v>
      </c>
      <c r="AR65" s="118">
        <v>7</v>
      </c>
      <c r="AS65" s="86">
        <f t="shared" si="13"/>
        <v>0.5</v>
      </c>
      <c r="AT65" s="87">
        <f t="shared" si="14"/>
        <v>5</v>
      </c>
      <c r="AU65" s="87">
        <f t="shared" si="15"/>
        <v>5</v>
      </c>
      <c r="AV65" s="88">
        <f t="shared" si="16"/>
        <v>20</v>
      </c>
      <c r="AW65" s="78">
        <f t="shared" si="17"/>
        <v>80</v>
      </c>
      <c r="AX65" s="89">
        <f t="shared" si="56"/>
        <v>0.8</v>
      </c>
      <c r="AY65" s="114">
        <v>10</v>
      </c>
      <c r="AZ65" s="114">
        <v>70</v>
      </c>
      <c r="BA65" s="91">
        <f t="shared" si="19"/>
        <v>70</v>
      </c>
      <c r="BB65" s="77">
        <f t="shared" si="20"/>
        <v>100</v>
      </c>
      <c r="BC65" s="78">
        <f t="shared" si="21"/>
        <v>100</v>
      </c>
      <c r="BD65" s="79">
        <f t="shared" si="57"/>
        <v>1</v>
      </c>
      <c r="BE65" s="92">
        <v>48404000</v>
      </c>
      <c r="BF65" s="92">
        <v>5991000</v>
      </c>
      <c r="BG65" s="114">
        <v>1182000</v>
      </c>
      <c r="BH65" s="94">
        <f t="shared" si="23"/>
        <v>54395000</v>
      </c>
      <c r="BI65" s="77">
        <f t="shared" si="24"/>
        <v>2.1729938413457122</v>
      </c>
      <c r="BJ65" s="95" t="str">
        <f t="shared" si="25"/>
        <v>금속/비금속/화학업</v>
      </c>
      <c r="BK65" s="96">
        <f t="shared" si="26"/>
        <v>3.9534118626990469</v>
      </c>
      <c r="BL65" s="97">
        <f t="shared" si="27"/>
        <v>-1.7804180213533347</v>
      </c>
      <c r="BM65" s="98">
        <f t="shared" si="28"/>
        <v>80</v>
      </c>
      <c r="BN65" s="99">
        <f t="shared" si="29"/>
        <v>1.6</v>
      </c>
      <c r="BO65" s="114">
        <f>(59098-950)*1000</f>
        <v>58148000</v>
      </c>
      <c r="BP65" s="101">
        <f t="shared" si="30"/>
        <v>1.1431030234086932</v>
      </c>
      <c r="BQ65" s="78">
        <f t="shared" si="31"/>
        <v>70</v>
      </c>
      <c r="BR65" s="79">
        <f t="shared" si="58"/>
        <v>1.4000000000000001</v>
      </c>
      <c r="BS65" s="102">
        <v>255503578.07600001</v>
      </c>
      <c r="BT65" s="102">
        <v>4803000</v>
      </c>
      <c r="BU65" s="103">
        <f t="shared" si="33"/>
        <v>250700578.07600001</v>
      </c>
      <c r="BV65" s="77">
        <f t="shared" si="34"/>
        <v>4.9283997518226386</v>
      </c>
      <c r="BW65" s="96">
        <f t="shared" si="35"/>
        <v>5.1474158565187738</v>
      </c>
      <c r="BX65" s="96">
        <f t="shared" si="36"/>
        <v>4.7968054116268449E-2</v>
      </c>
      <c r="BY65" s="96">
        <f t="shared" si="37"/>
        <v>6.6930498535228535</v>
      </c>
      <c r="BZ65" s="96">
        <f t="shared" si="38"/>
        <v>51.305222511994288</v>
      </c>
      <c r="CA65" s="96">
        <f t="shared" si="39"/>
        <v>55</v>
      </c>
      <c r="CB65" s="104">
        <f t="shared" si="40"/>
        <v>1.1000000000000001</v>
      </c>
      <c r="CC65" s="105">
        <f t="shared" si="59"/>
        <v>33.98981466247519</v>
      </c>
      <c r="CD65" s="106">
        <f t="shared" si="60"/>
        <v>87.5666527653988</v>
      </c>
      <c r="CE65" s="107">
        <f t="shared" si="61"/>
        <v>1.3134997914809821</v>
      </c>
      <c r="CF65" s="108" t="s">
        <v>2189</v>
      </c>
      <c r="CG65" s="108" t="s">
        <v>2189</v>
      </c>
      <c r="CH65" s="108" t="s">
        <v>2189</v>
      </c>
      <c r="CI65" s="108" t="s">
        <v>2189</v>
      </c>
      <c r="CJ65" s="109"/>
      <c r="CK65" s="116" t="s">
        <v>2207</v>
      </c>
      <c r="CL65" s="116" t="s">
        <v>2204</v>
      </c>
      <c r="CM65" s="111">
        <f t="shared" si="42"/>
        <v>70</v>
      </c>
      <c r="CN65" s="107">
        <f t="shared" si="62"/>
        <v>1.05</v>
      </c>
      <c r="CO65" s="114">
        <f>199140000+68827000+148764000+7476000+27849000+102885000+189072000+14490000+11022000</f>
        <v>769525000</v>
      </c>
      <c r="CP65" s="88">
        <f t="shared" si="44"/>
        <v>24.097305819311956</v>
      </c>
      <c r="CQ65" s="78">
        <f t="shared" si="45"/>
        <v>60</v>
      </c>
      <c r="CR65" s="79">
        <f t="shared" si="63"/>
        <v>1.7999999999999998</v>
      </c>
      <c r="CS65" s="92">
        <f>_xlfn.XLOOKUP(C65, '[1]1-1. 관계사체무보증금액 (환율 등)'!$3:$3, '[1]1-1. 관계사체무보증금액 (환율 등)'!$33:$33)</f>
        <v>6545454.5454545459</v>
      </c>
      <c r="CT65" s="77">
        <f t="shared" si="47"/>
        <v>0.20496776571030662</v>
      </c>
      <c r="CU65" s="78">
        <f t="shared" si="48"/>
        <v>100</v>
      </c>
      <c r="CV65" s="79">
        <f t="shared" si="64"/>
        <v>2</v>
      </c>
      <c r="CW65" s="112">
        <f t="shared" si="50"/>
        <v>20.390449337922949</v>
      </c>
    </row>
    <row r="66" spans="1:101" x14ac:dyDescent="0.35">
      <c r="A66" s="7" t="s">
        <v>1875</v>
      </c>
      <c r="B66" s="8" t="s">
        <v>1876</v>
      </c>
      <c r="C66" s="21" t="s">
        <v>1877</v>
      </c>
      <c r="D66" s="22" t="s">
        <v>21</v>
      </c>
      <c r="E66" s="11" t="s">
        <v>646</v>
      </c>
      <c r="F66" s="11" t="s">
        <v>1878</v>
      </c>
      <c r="G66" s="12">
        <v>40528</v>
      </c>
      <c r="H66" s="11" t="s">
        <v>24</v>
      </c>
      <c r="I66" s="11" t="s">
        <v>1879</v>
      </c>
      <c r="J66" s="11" t="s">
        <v>1880</v>
      </c>
      <c r="K66" s="11" t="s">
        <v>27</v>
      </c>
      <c r="L66" s="23">
        <v>152002052</v>
      </c>
      <c r="M66" s="14">
        <v>59834292</v>
      </c>
      <c r="N66" s="14">
        <v>92167760</v>
      </c>
      <c r="O66" s="14">
        <v>337599455</v>
      </c>
      <c r="P66" s="14">
        <v>14950788</v>
      </c>
      <c r="Q66" s="14">
        <v>19578310</v>
      </c>
      <c r="R66" s="14">
        <v>14881619</v>
      </c>
      <c r="S66" s="15">
        <v>32600000</v>
      </c>
      <c r="T66" s="15">
        <v>0</v>
      </c>
      <c r="U66" s="15">
        <v>10106000</v>
      </c>
      <c r="V66" s="15">
        <v>0</v>
      </c>
      <c r="W66" s="15">
        <v>0</v>
      </c>
      <c r="X66" s="15">
        <v>0</v>
      </c>
      <c r="Y66" s="24" t="s">
        <v>2119</v>
      </c>
      <c r="Z66" s="15">
        <v>0</v>
      </c>
      <c r="AA66" s="15">
        <v>0</v>
      </c>
      <c r="AB66" s="74">
        <f t="shared" ref="AB66:AB129" si="65">SUM(U66,V66,Z66,W66,X66)</f>
        <v>10106000</v>
      </c>
      <c r="AC66" s="75">
        <f t="shared" ref="AC66:AC129" si="66">(AB66/S66)*100</f>
        <v>31</v>
      </c>
      <c r="AD66" s="75">
        <f t="shared" ref="AD66:AD129" si="67">100-(75*(AC66-0.1))/(87-0.1)</f>
        <v>73.331415420023021</v>
      </c>
      <c r="AE66" s="76">
        <f t="shared" si="53"/>
        <v>2.1999424626006907</v>
      </c>
      <c r="AF66" s="77">
        <f t="shared" ref="AF66:AF129" si="68">(U66+V66)/(S66-T66-AA66)*100</f>
        <v>31</v>
      </c>
      <c r="AG66" s="77">
        <f t="shared" ref="AG66:AG129" si="69">(U66+V66+Z66+W66+X66-AA66)/(S66-T66-AA66)*100</f>
        <v>31</v>
      </c>
      <c r="AH66" s="77">
        <f t="shared" ref="AH66:AH129" si="70">AG66-AF66</f>
        <v>0</v>
      </c>
      <c r="AI66" s="78">
        <f t="shared" ref="AI66:AI129" si="71">IF(AH66&lt;10, 100, IF(AH66&lt;30, 80, IF(AH66&lt;50, 60, IF(AH66&lt;80, 40, IF(AH66&lt;=100, 20)))))</f>
        <v>100</v>
      </c>
      <c r="AJ66" s="79">
        <f t="shared" si="54"/>
        <v>4</v>
      </c>
      <c r="AK66" s="113">
        <v>9</v>
      </c>
      <c r="AL66" s="113">
        <v>2</v>
      </c>
      <c r="AM66" s="113">
        <v>0</v>
      </c>
      <c r="AN66" s="81">
        <f t="shared" ref="AN66:AN129" si="72">SUM(AK66:AL66)</f>
        <v>11</v>
      </c>
      <c r="AO66" s="82">
        <f t="shared" ref="AO66:AO129" si="73">(AM66/AN66)*100</f>
        <v>0</v>
      </c>
      <c r="AP66" s="83">
        <f t="shared" ref="AP66:AP129" si="74">IF(AO66&lt;10, 100, IF(AO66&lt;20, 80, IF(AO66&lt;30, 60, IF(AO66&lt;50, 40, IF(AO66&gt;=50, 20)))))</f>
        <v>100</v>
      </c>
      <c r="AQ66" s="84">
        <f t="shared" si="55"/>
        <v>2</v>
      </c>
      <c r="AR66" s="118">
        <v>4</v>
      </c>
      <c r="AS66" s="86">
        <f t="shared" ref="AS66:AS129" si="75">IF(L66&gt;=2000000000, 0.5, IF(L66&lt;2000000000, 0.25))</f>
        <v>0.25</v>
      </c>
      <c r="AT66" s="87">
        <f t="shared" ref="AT66:AT129" si="76">AK66*AS66</f>
        <v>2.25</v>
      </c>
      <c r="AU66" s="87">
        <f t="shared" ref="AU66:AU129" si="77">ROUNDDOWN(AT66,0)</f>
        <v>2</v>
      </c>
      <c r="AV66" s="88">
        <f t="shared" ref="AV66:AV129" si="78">(AR66-AU66)/AK66*100</f>
        <v>22.222222222222221</v>
      </c>
      <c r="AW66" s="78">
        <f t="shared" ref="AW66:AW129" si="79">IF(AV66&lt;0, 20, IF(AV66=0, 40, IF(AV66&lt;20, 60, IF(AV66&lt;40, 80, IF(AV66&gt;=40, 100)))))</f>
        <v>80</v>
      </c>
      <c r="AX66" s="89">
        <f t="shared" si="56"/>
        <v>0.8</v>
      </c>
      <c r="AY66" s="114">
        <v>5</v>
      </c>
      <c r="AZ66" s="114">
        <f>20-1</f>
        <v>19</v>
      </c>
      <c r="BA66" s="91">
        <f t="shared" ref="BA66:BA129" si="80">AR66*AY66</f>
        <v>20</v>
      </c>
      <c r="BB66" s="77">
        <f t="shared" ref="BB66:BB129" si="81">(AZ66/BA66)*100</f>
        <v>95</v>
      </c>
      <c r="BC66" s="78">
        <f t="shared" ref="BC66:BC129" si="82">IF(BB66&lt;70, 25, IF(BB66&lt;80, 50, IF(BB66&lt;90, 75, IF(BB66&gt;=90, 100))))</f>
        <v>100</v>
      </c>
      <c r="BD66" s="79">
        <f t="shared" si="57"/>
        <v>1</v>
      </c>
      <c r="BE66" s="92">
        <v>8481895.0429999996</v>
      </c>
      <c r="BF66" s="92">
        <f>(672978869+66802150)/1000</f>
        <v>739781.01899999997</v>
      </c>
      <c r="BG66" s="93">
        <v>0</v>
      </c>
      <c r="BH66" s="94">
        <f t="shared" ref="BH66:BH129" si="83">SUM(BE66:BF66)</f>
        <v>9221676.061999999</v>
      </c>
      <c r="BI66" s="77">
        <f t="shared" ref="BI66:BI129" si="84">(BG66/BH66)*100</f>
        <v>0</v>
      </c>
      <c r="BJ66" s="95" t="str">
        <f t="shared" ref="BJ66:BJ129" si="85">IF(D66="금융업(보험)", "금융업", IF(D66="금융업(증권)", "금융업", IF(D66="금융업(종금)", "금융업", D66)))</f>
        <v>비제조/서비스업</v>
      </c>
      <c r="BK66" s="96">
        <f t="shared" ref="BK66:BK129" si="86">AVERAGEIF(BJ:BJ, BJ66, BI:BI)</f>
        <v>1.7464434573900922</v>
      </c>
      <c r="BL66" s="97">
        <f t="shared" ref="BL66:BL129" si="87">BI66-BK66</f>
        <v>-1.7464434573900922</v>
      </c>
      <c r="BM66" s="98">
        <f t="shared" ref="BM66:BM129" si="88">IF(BL66&lt;-2, 100, IF(BL66&lt;0, 80, IF(BL66&lt;2, 60, IF(BL66&lt;10, 40, 20))))</f>
        <v>80</v>
      </c>
      <c r="BN66" s="99">
        <f t="shared" ref="BN66:BN129" si="89">BM66*0.02</f>
        <v>1.6</v>
      </c>
      <c r="BO66" s="114">
        <v>2059015.35</v>
      </c>
      <c r="BP66" s="101">
        <f t="shared" ref="BP66:BP129" si="90">(BO66/O66)*100</f>
        <v>0.60989889631190308</v>
      </c>
      <c r="BQ66" s="78">
        <f t="shared" ref="BQ66:BQ129" si="91">IF(BP66=0, 25, IF(BP66&lt;0.1, 40, IF(BP66&lt;0.5, 55, IF(BP66&lt;2, 70, IF(BP66&lt;4, 85, IF(BP66&gt;=4, 100))))))</f>
        <v>70</v>
      </c>
      <c r="BR66" s="79">
        <f t="shared" si="58"/>
        <v>1.4000000000000001</v>
      </c>
      <c r="BS66" s="102">
        <v>487106.07400000002</v>
      </c>
      <c r="BT66" s="102">
        <v>1592</v>
      </c>
      <c r="BU66" s="103">
        <f t="shared" ref="BU66:BU129" si="92">BS66-BT66</f>
        <v>485514.07400000002</v>
      </c>
      <c r="BV66" s="77">
        <f t="shared" ref="BV66:BV129" si="93">BU66/O66*100</f>
        <v>0.14381364270863531</v>
      </c>
      <c r="BW66" s="96">
        <f t="shared" ref="BW66:BW129" si="94">AVERAGEIF(BJ:BJ, BJ66, BV:BV)</f>
        <v>2.8482825397737606</v>
      </c>
      <c r="BX66" s="96">
        <f t="shared" ref="BX66:BX129" si="95">(BV66-BW66)^2</f>
        <v>7.3141520151926542</v>
      </c>
      <c r="BY66" s="96">
        <f t="shared" ref="BY66:BY129" si="96">SQRT(SUMIF(BJ:BJ, BJ66, BX:BX)/COUNTIF(BJ:BJ, BJ66))</f>
        <v>5.5697595856656807</v>
      </c>
      <c r="BZ66" s="96">
        <f t="shared" ref="BZ66:BZ129" si="97">(1-_xlfn.NORM.DIST(BV66, BW66, BY66, TRUE))*100</f>
        <v>68.636146486020266</v>
      </c>
      <c r="CA66" s="96">
        <f t="shared" ref="CA66:CA129" si="98">IF(BZ66&lt;=5, 100, IF(BZ66&lt;=15, 85, IF(BZ66&lt;=35, 70, IF(BZ66&lt;=60, 55, IF(BZ66&lt;=90, 40, 25)))))</f>
        <v>40</v>
      </c>
      <c r="CB66" s="104">
        <f t="shared" ref="CB66:CB129" si="99">CA66*0.02</f>
        <v>0.8</v>
      </c>
      <c r="CC66" s="105">
        <f t="shared" si="59"/>
        <v>64.918895717982082</v>
      </c>
      <c r="CD66" s="106">
        <f t="shared" si="60"/>
        <v>75.909963925383636</v>
      </c>
      <c r="CE66" s="107">
        <f t="shared" si="61"/>
        <v>1.1386494588807545</v>
      </c>
      <c r="CF66" s="108" t="s">
        <v>2189</v>
      </c>
      <c r="CG66" s="108" t="s">
        <v>2189</v>
      </c>
      <c r="CH66" s="108" t="s">
        <v>2189</v>
      </c>
      <c r="CI66" s="108" t="s">
        <v>2189</v>
      </c>
      <c r="CJ66" s="109"/>
      <c r="CK66" s="116" t="s">
        <v>2203</v>
      </c>
      <c r="CL66" s="116" t="s">
        <v>2204</v>
      </c>
      <c r="CM66" s="111">
        <f t="shared" ref="CM66:CM129" si="100">IF(CL66="A", 100, IF(CL66="B", 85, IF(CL66="C", 70, IF(CL66="D", 55, IF(CL66="E", 40, 25)))))</f>
        <v>70</v>
      </c>
      <c r="CN66" s="107">
        <f t="shared" si="62"/>
        <v>1.05</v>
      </c>
      <c r="CO66" s="114">
        <f>1161000+925000+929000</f>
        <v>3015000</v>
      </c>
      <c r="CP66" s="88">
        <f t="shared" ref="CP66:CP129" si="101">(CO66/N66)*100</f>
        <v>3.2712089346643554</v>
      </c>
      <c r="CQ66" s="78">
        <f t="shared" ref="CQ66:CQ129" si="102">IF(CP66&lt;3, 100, IF(CP66&lt;10, 80, IF(CP66&lt;35, 60, IF(CP66&lt;100, 40, IF(CP66&gt;=100, 20)))))</f>
        <v>80</v>
      </c>
      <c r="CR66" s="79">
        <f t="shared" si="63"/>
        <v>2.4</v>
      </c>
      <c r="CS66" s="92">
        <f>_xlfn.XLOOKUP(C66, '[1]1-1. 관계사체무보증금액 (환율 등)'!$3:$3, '[1]1-1. 관계사체무보증금액 (환율 등)'!$33:$33)</f>
        <v>0</v>
      </c>
      <c r="CT66" s="77">
        <f t="shared" ref="CT66:CT129" si="103">(CS66/N66)*100</f>
        <v>0</v>
      </c>
      <c r="CU66" s="78">
        <f t="shared" ref="CU66:CU129" si="104">IF(CT66&lt;3, 100, IF(CT66&lt;10, 80, IF(CT66&lt;35, 60, IF(CT66&lt;100, 40, 20))))</f>
        <v>100</v>
      </c>
      <c r="CV66" s="79">
        <f t="shared" si="64"/>
        <v>2</v>
      </c>
      <c r="CW66" s="112">
        <f t="shared" ref="CW66:CW129" si="105">AE66+AJ66+AQ66+AX66+BD66+BN66+BR66+CB66+CE66+CJ66+CN66+CR66+CV66</f>
        <v>20.388591921481446</v>
      </c>
    </row>
    <row r="67" spans="1:101" x14ac:dyDescent="0.35">
      <c r="A67" s="7" t="s">
        <v>883</v>
      </c>
      <c r="B67" s="8" t="s">
        <v>884</v>
      </c>
      <c r="C67" s="21" t="s">
        <v>885</v>
      </c>
      <c r="D67" s="22" t="s">
        <v>75</v>
      </c>
      <c r="E67" s="11" t="s">
        <v>98</v>
      </c>
      <c r="F67" s="11" t="s">
        <v>886</v>
      </c>
      <c r="G67" s="12">
        <v>28913</v>
      </c>
      <c r="H67" s="11" t="s">
        <v>24</v>
      </c>
      <c r="I67" s="11" t="s">
        <v>887</v>
      </c>
      <c r="J67" s="11" t="s">
        <v>888</v>
      </c>
      <c r="K67" s="11" t="s">
        <v>50</v>
      </c>
      <c r="L67" s="23">
        <v>18848886743</v>
      </c>
      <c r="M67" s="14">
        <v>6192868704</v>
      </c>
      <c r="N67" s="14">
        <v>12656018039</v>
      </c>
      <c r="O67" s="14">
        <v>17458293610</v>
      </c>
      <c r="P67" s="14">
        <v>1010874359</v>
      </c>
      <c r="Q67" s="14">
        <v>1064689936</v>
      </c>
      <c r="R67" s="14">
        <v>865838207</v>
      </c>
      <c r="S67" s="15">
        <v>68764530</v>
      </c>
      <c r="T67" s="15">
        <v>3331391</v>
      </c>
      <c r="U67" s="15">
        <v>13462673</v>
      </c>
      <c r="V67" s="15">
        <v>0</v>
      </c>
      <c r="W67" s="15">
        <f>5500+100+22+99+70+100+150+140+200+200+6+58+100+25+20+30+70+90+35+150+30+31+32+50+7+40</f>
        <v>7355</v>
      </c>
      <c r="X67" s="15">
        <f>400723+170100</f>
        <v>570823</v>
      </c>
      <c r="Y67" s="24" t="s">
        <v>2081</v>
      </c>
      <c r="Z67" s="15">
        <v>78685</v>
      </c>
      <c r="AA67" s="15">
        <v>0</v>
      </c>
      <c r="AB67" s="74">
        <f t="shared" si="65"/>
        <v>14119536</v>
      </c>
      <c r="AC67" s="75">
        <f t="shared" si="66"/>
        <v>20.53316731751093</v>
      </c>
      <c r="AD67" s="75">
        <f t="shared" si="67"/>
        <v>82.364930393402545</v>
      </c>
      <c r="AE67" s="76">
        <f t="shared" si="53"/>
        <v>2.4709479118020763</v>
      </c>
      <c r="AF67" s="77">
        <f t="shared" si="68"/>
        <v>20.574701452118934</v>
      </c>
      <c r="AG67" s="77">
        <f t="shared" si="69"/>
        <v>21.578570454949443</v>
      </c>
      <c r="AH67" s="77">
        <f t="shared" si="70"/>
        <v>1.0038690028305091</v>
      </c>
      <c r="AI67" s="78">
        <f t="shared" si="71"/>
        <v>100</v>
      </c>
      <c r="AJ67" s="79">
        <f t="shared" si="54"/>
        <v>4</v>
      </c>
      <c r="AK67" s="113">
        <v>7</v>
      </c>
      <c r="AL67" s="113">
        <v>83</v>
      </c>
      <c r="AM67" s="113">
        <v>0</v>
      </c>
      <c r="AN67" s="81">
        <f t="shared" si="72"/>
        <v>90</v>
      </c>
      <c r="AO67" s="82">
        <f t="shared" si="73"/>
        <v>0</v>
      </c>
      <c r="AP67" s="83">
        <f t="shared" si="74"/>
        <v>100</v>
      </c>
      <c r="AQ67" s="84">
        <f t="shared" si="55"/>
        <v>2</v>
      </c>
      <c r="AR67" s="118">
        <v>4</v>
      </c>
      <c r="AS67" s="86">
        <f t="shared" si="75"/>
        <v>0.5</v>
      </c>
      <c r="AT67" s="87">
        <f t="shared" si="76"/>
        <v>3.5</v>
      </c>
      <c r="AU67" s="87">
        <f t="shared" si="77"/>
        <v>3</v>
      </c>
      <c r="AV67" s="88">
        <f t="shared" si="78"/>
        <v>14.285714285714285</v>
      </c>
      <c r="AW67" s="78">
        <f t="shared" si="79"/>
        <v>60</v>
      </c>
      <c r="AX67" s="89">
        <f t="shared" si="56"/>
        <v>0.6</v>
      </c>
      <c r="AY67" s="114">
        <v>8</v>
      </c>
      <c r="AZ67" s="114">
        <v>32</v>
      </c>
      <c r="BA67" s="91">
        <f t="shared" si="80"/>
        <v>32</v>
      </c>
      <c r="BB67" s="77">
        <f t="shared" si="81"/>
        <v>100</v>
      </c>
      <c r="BC67" s="78">
        <f t="shared" si="82"/>
        <v>100</v>
      </c>
      <c r="BD67" s="79">
        <f t="shared" si="57"/>
        <v>1</v>
      </c>
      <c r="BE67" s="92">
        <v>230364798</v>
      </c>
      <c r="BF67" s="92">
        <v>20013260</v>
      </c>
      <c r="BG67" s="93">
        <v>0</v>
      </c>
      <c r="BH67" s="94">
        <f t="shared" si="83"/>
        <v>250378058</v>
      </c>
      <c r="BI67" s="77">
        <f t="shared" si="84"/>
        <v>0</v>
      </c>
      <c r="BJ67" s="95" t="str">
        <f t="shared" si="85"/>
        <v>금속/비금속/화학업</v>
      </c>
      <c r="BK67" s="96">
        <f t="shared" si="86"/>
        <v>3.9534118626990469</v>
      </c>
      <c r="BL67" s="97">
        <f t="shared" si="87"/>
        <v>-3.9534118626990469</v>
      </c>
      <c r="BM67" s="98">
        <f t="shared" si="88"/>
        <v>100</v>
      </c>
      <c r="BN67" s="99">
        <f t="shared" si="89"/>
        <v>2</v>
      </c>
      <c r="BO67" s="114">
        <v>1076353000</v>
      </c>
      <c r="BP67" s="101">
        <f t="shared" si="90"/>
        <v>6.1652818084321357</v>
      </c>
      <c r="BQ67" s="78">
        <f t="shared" si="91"/>
        <v>100</v>
      </c>
      <c r="BR67" s="79">
        <f t="shared" si="58"/>
        <v>2</v>
      </c>
      <c r="BS67" s="102">
        <v>583476911.75899994</v>
      </c>
      <c r="BT67" s="102">
        <v>1764198.9909999999</v>
      </c>
      <c r="BU67" s="103">
        <f t="shared" si="92"/>
        <v>581712712.76799989</v>
      </c>
      <c r="BV67" s="77">
        <f t="shared" si="93"/>
        <v>3.3320135733929837</v>
      </c>
      <c r="BW67" s="96">
        <f t="shared" si="94"/>
        <v>5.1474158565187738</v>
      </c>
      <c r="BX67" s="96">
        <f t="shared" si="95"/>
        <v>3.2956854495783312</v>
      </c>
      <c r="BY67" s="96">
        <f t="shared" si="96"/>
        <v>6.6930498535228535</v>
      </c>
      <c r="BZ67" s="96">
        <f t="shared" si="97"/>
        <v>60.689559375977218</v>
      </c>
      <c r="CA67" s="96">
        <f t="shared" si="98"/>
        <v>40</v>
      </c>
      <c r="CB67" s="104">
        <f t="shared" si="99"/>
        <v>0.8</v>
      </c>
      <c r="CC67" s="105">
        <f t="shared" si="59"/>
        <v>48.93220509734136</v>
      </c>
      <c r="CD67" s="106">
        <f t="shared" si="60"/>
        <v>81.93509858140402</v>
      </c>
      <c r="CE67" s="107">
        <f t="shared" si="61"/>
        <v>1.2290264787210603</v>
      </c>
      <c r="CF67" s="108" t="s">
        <v>2189</v>
      </c>
      <c r="CG67" s="108" t="s">
        <v>2189</v>
      </c>
      <c r="CH67" s="108" t="s">
        <v>2189</v>
      </c>
      <c r="CI67" s="108" t="s">
        <v>2189</v>
      </c>
      <c r="CJ67" s="109"/>
      <c r="CK67" s="116" t="s">
        <v>2190</v>
      </c>
      <c r="CL67" s="116" t="s">
        <v>2191</v>
      </c>
      <c r="CM67" s="111">
        <f t="shared" si="100"/>
        <v>85</v>
      </c>
      <c r="CN67" s="107">
        <f t="shared" si="62"/>
        <v>1.2749999999999999</v>
      </c>
      <c r="CO67" s="114">
        <v>3474478000</v>
      </c>
      <c r="CP67" s="88">
        <f t="shared" si="101"/>
        <v>27.453168834725616</v>
      </c>
      <c r="CQ67" s="78">
        <f t="shared" si="102"/>
        <v>60</v>
      </c>
      <c r="CR67" s="79">
        <f t="shared" si="63"/>
        <v>1.7999999999999998</v>
      </c>
      <c r="CS67" s="92">
        <f>_xlfn.XLOOKUP(C67, '[1]1-1. 관계사체무보증금액 (환율 등)'!$3:$3, '[1]1-1. 관계사체무보증금액 (환율 등)'!$33:$33)</f>
        <v>3441208584.4678278</v>
      </c>
      <c r="CT67" s="77">
        <f t="shared" si="103"/>
        <v>27.190294560766372</v>
      </c>
      <c r="CU67" s="78">
        <f t="shared" si="104"/>
        <v>60</v>
      </c>
      <c r="CV67" s="79">
        <f t="shared" si="64"/>
        <v>1.2</v>
      </c>
      <c r="CW67" s="112">
        <f t="shared" si="105"/>
        <v>20.374974390523136</v>
      </c>
    </row>
    <row r="68" spans="1:101" x14ac:dyDescent="0.35">
      <c r="A68" s="7" t="s">
        <v>971</v>
      </c>
      <c r="B68" s="8" t="s">
        <v>972</v>
      </c>
      <c r="C68" s="21" t="s">
        <v>973</v>
      </c>
      <c r="D68" s="22" t="s">
        <v>75</v>
      </c>
      <c r="E68" s="11" t="s">
        <v>276</v>
      </c>
      <c r="F68" s="11" t="s">
        <v>974</v>
      </c>
      <c r="G68" s="12">
        <v>27941</v>
      </c>
      <c r="H68" s="11" t="s">
        <v>24</v>
      </c>
      <c r="I68" s="11" t="s">
        <v>975</v>
      </c>
      <c r="J68" s="11" t="s">
        <v>976</v>
      </c>
      <c r="K68" s="11" t="s">
        <v>27</v>
      </c>
      <c r="L68" s="23">
        <v>98509521</v>
      </c>
      <c r="M68" s="14">
        <v>46664469</v>
      </c>
      <c r="N68" s="14">
        <v>51845052</v>
      </c>
      <c r="O68" s="14">
        <v>115386329</v>
      </c>
      <c r="P68" s="14">
        <v>2879227</v>
      </c>
      <c r="Q68" s="14">
        <v>2393878</v>
      </c>
      <c r="R68" s="14">
        <v>2701762</v>
      </c>
      <c r="S68" s="15">
        <v>34000000</v>
      </c>
      <c r="T68" s="15">
        <v>12260</v>
      </c>
      <c r="U68" s="15">
        <v>7540000</v>
      </c>
      <c r="V68" s="15">
        <v>543388</v>
      </c>
      <c r="W68" s="15">
        <v>0</v>
      </c>
      <c r="X68" s="15">
        <v>0</v>
      </c>
      <c r="Z68" s="15">
        <v>0</v>
      </c>
      <c r="AA68" s="15">
        <v>0</v>
      </c>
      <c r="AB68" s="74">
        <f t="shared" si="65"/>
        <v>8083388</v>
      </c>
      <c r="AC68" s="75">
        <f t="shared" si="66"/>
        <v>23.774670588235296</v>
      </c>
      <c r="AD68" s="75">
        <f t="shared" si="67"/>
        <v>79.567315372639271</v>
      </c>
      <c r="AE68" s="76">
        <f t="shared" si="53"/>
        <v>2.387019461179178</v>
      </c>
      <c r="AF68" s="77">
        <f t="shared" si="68"/>
        <v>23.783246547137292</v>
      </c>
      <c r="AG68" s="77">
        <f t="shared" si="69"/>
        <v>23.783246547137292</v>
      </c>
      <c r="AH68" s="77">
        <f t="shared" si="70"/>
        <v>0</v>
      </c>
      <c r="AI68" s="78">
        <f t="shared" si="71"/>
        <v>100</v>
      </c>
      <c r="AJ68" s="79">
        <f t="shared" si="54"/>
        <v>4</v>
      </c>
      <c r="AK68" s="113">
        <v>5</v>
      </c>
      <c r="AL68" s="113">
        <v>5</v>
      </c>
      <c r="AM68" s="113">
        <v>1</v>
      </c>
      <c r="AN68" s="81">
        <f t="shared" si="72"/>
        <v>10</v>
      </c>
      <c r="AO68" s="82">
        <f t="shared" si="73"/>
        <v>10</v>
      </c>
      <c r="AP68" s="83">
        <f t="shared" si="74"/>
        <v>80</v>
      </c>
      <c r="AQ68" s="84">
        <f t="shared" si="55"/>
        <v>1.6</v>
      </c>
      <c r="AR68" s="118">
        <v>2</v>
      </c>
      <c r="AS68" s="86">
        <f t="shared" si="75"/>
        <v>0.25</v>
      </c>
      <c r="AT68" s="87">
        <f t="shared" si="76"/>
        <v>1.25</v>
      </c>
      <c r="AU68" s="87">
        <f t="shared" si="77"/>
        <v>1</v>
      </c>
      <c r="AV68" s="88">
        <f t="shared" si="78"/>
        <v>20</v>
      </c>
      <c r="AW68" s="78">
        <f t="shared" si="79"/>
        <v>80</v>
      </c>
      <c r="AX68" s="89">
        <f t="shared" si="56"/>
        <v>0.8</v>
      </c>
      <c r="AY68" s="114">
        <v>11</v>
      </c>
      <c r="AZ68" s="114">
        <f>22-5</f>
        <v>17</v>
      </c>
      <c r="BA68" s="91">
        <f t="shared" si="80"/>
        <v>22</v>
      </c>
      <c r="BB68" s="77">
        <f t="shared" si="81"/>
        <v>77.272727272727266</v>
      </c>
      <c r="BC68" s="78">
        <f t="shared" si="82"/>
        <v>50</v>
      </c>
      <c r="BD68" s="79">
        <f t="shared" si="57"/>
        <v>0.5</v>
      </c>
      <c r="BE68" s="92">
        <v>1178805</v>
      </c>
      <c r="BF68" s="92">
        <v>154014</v>
      </c>
      <c r="BG68" s="114">
        <v>41166</v>
      </c>
      <c r="BH68" s="94">
        <f t="shared" si="83"/>
        <v>1332819</v>
      </c>
      <c r="BI68" s="77">
        <f t="shared" si="84"/>
        <v>3.0886414434368055</v>
      </c>
      <c r="BJ68" s="95" t="str">
        <f t="shared" si="85"/>
        <v>금속/비금속/화학업</v>
      </c>
      <c r="BK68" s="96">
        <f t="shared" si="86"/>
        <v>3.9534118626990469</v>
      </c>
      <c r="BL68" s="97">
        <f t="shared" si="87"/>
        <v>-0.86477041926224141</v>
      </c>
      <c r="BM68" s="98">
        <f t="shared" si="88"/>
        <v>80</v>
      </c>
      <c r="BN68" s="99">
        <f t="shared" si="89"/>
        <v>1.6</v>
      </c>
      <c r="BO68" s="114">
        <v>3492000</v>
      </c>
      <c r="BP68" s="101">
        <f t="shared" si="90"/>
        <v>3.0263550545922993</v>
      </c>
      <c r="BQ68" s="78">
        <f t="shared" si="91"/>
        <v>85</v>
      </c>
      <c r="BR68" s="79">
        <f t="shared" si="58"/>
        <v>1.7</v>
      </c>
      <c r="BS68" s="102">
        <v>20719642.124000002</v>
      </c>
      <c r="BT68" s="102">
        <v>23200</v>
      </c>
      <c r="BU68" s="103">
        <f t="shared" si="92"/>
        <v>20696442.124000002</v>
      </c>
      <c r="BV68" s="77">
        <f t="shared" si="93"/>
        <v>17.936650124296786</v>
      </c>
      <c r="BW68" s="96">
        <f t="shared" si="94"/>
        <v>5.1474158565187738</v>
      </c>
      <c r="BX68" s="96">
        <f t="shared" si="95"/>
        <v>163.56451315610741</v>
      </c>
      <c r="BY68" s="96">
        <f t="shared" si="96"/>
        <v>6.6930498535228535</v>
      </c>
      <c r="BZ68" s="96">
        <f t="shared" si="97"/>
        <v>2.8013659058323204</v>
      </c>
      <c r="CA68" s="96">
        <f t="shared" si="98"/>
        <v>100</v>
      </c>
      <c r="CB68" s="104">
        <f t="shared" si="99"/>
        <v>2</v>
      </c>
      <c r="CC68" s="105">
        <f t="shared" si="59"/>
        <v>90.007565234962044</v>
      </c>
      <c r="CD68" s="106">
        <f t="shared" si="60"/>
        <v>66.454435212953996</v>
      </c>
      <c r="CE68" s="107">
        <f t="shared" si="61"/>
        <v>0.99681652819430988</v>
      </c>
      <c r="CF68" s="108" t="s">
        <v>2189</v>
      </c>
      <c r="CG68" s="108" t="s">
        <v>2189</v>
      </c>
      <c r="CH68" s="108" t="s">
        <v>2189</v>
      </c>
      <c r="CI68" s="108" t="s">
        <v>2189</v>
      </c>
      <c r="CJ68" s="109"/>
      <c r="CK68" s="116" t="s">
        <v>2199</v>
      </c>
      <c r="CL68" s="116" t="s">
        <v>2193</v>
      </c>
      <c r="CM68" s="111">
        <f t="shared" si="100"/>
        <v>25</v>
      </c>
      <c r="CN68" s="107">
        <f t="shared" si="62"/>
        <v>0.375</v>
      </c>
      <c r="CO68" s="114">
        <v>4840000</v>
      </c>
      <c r="CP68" s="88">
        <f t="shared" si="101"/>
        <v>9.3355099730635818</v>
      </c>
      <c r="CQ68" s="78">
        <f t="shared" si="102"/>
        <v>80</v>
      </c>
      <c r="CR68" s="79">
        <f t="shared" si="63"/>
        <v>2.4</v>
      </c>
      <c r="CS68" s="92">
        <f>_xlfn.XLOOKUP(C68, '[1]1-1. 관계사체무보증금액 (환율 등)'!$3:$3, '[1]1-1. 관계사체무보증금액 (환율 등)'!$33:$33)</f>
        <v>0</v>
      </c>
      <c r="CT68" s="77">
        <f t="shared" si="103"/>
        <v>0</v>
      </c>
      <c r="CU68" s="78">
        <f t="shared" si="104"/>
        <v>100</v>
      </c>
      <c r="CV68" s="79">
        <f t="shared" si="64"/>
        <v>2</v>
      </c>
      <c r="CW68" s="112">
        <f t="shared" si="105"/>
        <v>20.358835989373489</v>
      </c>
    </row>
    <row r="69" spans="1:101" x14ac:dyDescent="0.35">
      <c r="A69" s="7" t="s">
        <v>1449</v>
      </c>
      <c r="B69" s="8" t="s">
        <v>1450</v>
      </c>
      <c r="C69" s="21" t="s">
        <v>1451</v>
      </c>
      <c r="D69" s="10" t="s">
        <v>75</v>
      </c>
      <c r="E69" s="11" t="s">
        <v>1452</v>
      </c>
      <c r="F69" s="11" t="s">
        <v>1453</v>
      </c>
      <c r="G69" s="12">
        <v>38695</v>
      </c>
      <c r="H69" s="11" t="s">
        <v>24</v>
      </c>
      <c r="I69" s="11" t="s">
        <v>1454</v>
      </c>
      <c r="J69" s="11" t="s">
        <v>1455</v>
      </c>
      <c r="K69" s="11" t="s">
        <v>453</v>
      </c>
      <c r="L69" s="23">
        <v>89562390</v>
      </c>
      <c r="M69" s="14">
        <v>12372096</v>
      </c>
      <c r="N69" s="14">
        <v>77190293</v>
      </c>
      <c r="O69" s="14">
        <v>71732783</v>
      </c>
      <c r="P69" s="14">
        <v>2955130</v>
      </c>
      <c r="Q69" s="14">
        <v>147493</v>
      </c>
      <c r="R69" s="14">
        <v>19601</v>
      </c>
      <c r="S69" s="15">
        <v>10000000</v>
      </c>
      <c r="T69" s="15">
        <v>2801930</v>
      </c>
      <c r="U69" s="15">
        <v>3856744</v>
      </c>
      <c r="V69" s="15">
        <f>420000+769819+45649</f>
        <v>1235468</v>
      </c>
      <c r="W69" s="15">
        <f>1546+2406+12604</f>
        <v>16556</v>
      </c>
      <c r="X69" s="15">
        <v>0</v>
      </c>
      <c r="Z69" s="15">
        <v>0</v>
      </c>
      <c r="AA69" s="15">
        <v>0</v>
      </c>
      <c r="AB69" s="74">
        <f t="shared" si="65"/>
        <v>5108768</v>
      </c>
      <c r="AC69" s="75">
        <f t="shared" si="66"/>
        <v>51.087679999999999</v>
      </c>
      <c r="AD69" s="75">
        <f t="shared" si="67"/>
        <v>55.994522439585737</v>
      </c>
      <c r="AE69" s="76">
        <f t="shared" si="53"/>
        <v>1.6798356731875721</v>
      </c>
      <c r="AF69" s="77">
        <f t="shared" si="68"/>
        <v>70.744130023742485</v>
      </c>
      <c r="AG69" s="77">
        <f t="shared" si="69"/>
        <v>70.974136122599532</v>
      </c>
      <c r="AH69" s="77">
        <f t="shared" si="70"/>
        <v>0.23000609885704648</v>
      </c>
      <c r="AI69" s="78">
        <f t="shared" si="71"/>
        <v>100</v>
      </c>
      <c r="AJ69" s="79">
        <f t="shared" si="54"/>
        <v>4</v>
      </c>
      <c r="AK69" s="113">
        <v>7</v>
      </c>
      <c r="AL69" s="113">
        <v>2</v>
      </c>
      <c r="AM69" s="113">
        <v>2</v>
      </c>
      <c r="AN69" s="81">
        <f t="shared" si="72"/>
        <v>9</v>
      </c>
      <c r="AO69" s="82">
        <f t="shared" si="73"/>
        <v>22.222222222222221</v>
      </c>
      <c r="AP69" s="83">
        <f t="shared" si="74"/>
        <v>60</v>
      </c>
      <c r="AQ69" s="84">
        <f t="shared" si="55"/>
        <v>1.2</v>
      </c>
      <c r="AR69" s="118">
        <v>3</v>
      </c>
      <c r="AS69" s="86">
        <f t="shared" si="75"/>
        <v>0.25</v>
      </c>
      <c r="AT69" s="87">
        <f t="shared" si="76"/>
        <v>1.75</v>
      </c>
      <c r="AU69" s="87">
        <f t="shared" si="77"/>
        <v>1</v>
      </c>
      <c r="AV69" s="88">
        <f t="shared" si="78"/>
        <v>28.571428571428569</v>
      </c>
      <c r="AW69" s="78">
        <f t="shared" si="79"/>
        <v>80</v>
      </c>
      <c r="AX69" s="89">
        <f t="shared" si="56"/>
        <v>0.8</v>
      </c>
      <c r="AY69" s="114">
        <v>22</v>
      </c>
      <c r="AZ69" s="114">
        <f>22*3</f>
        <v>66</v>
      </c>
      <c r="BA69" s="91">
        <f t="shared" si="80"/>
        <v>66</v>
      </c>
      <c r="BB69" s="77">
        <f t="shared" si="81"/>
        <v>100</v>
      </c>
      <c r="BC69" s="78">
        <f t="shared" si="82"/>
        <v>100</v>
      </c>
      <c r="BD69" s="79">
        <f t="shared" si="57"/>
        <v>1</v>
      </c>
      <c r="BE69" s="92">
        <v>2915293.1869999999</v>
      </c>
      <c r="BF69" s="92">
        <v>355297.59700000001</v>
      </c>
      <c r="BG69" s="93">
        <v>0</v>
      </c>
      <c r="BH69" s="94">
        <f t="shared" si="83"/>
        <v>3270590.784</v>
      </c>
      <c r="BI69" s="77">
        <f t="shared" si="84"/>
        <v>0</v>
      </c>
      <c r="BJ69" s="95" t="str">
        <f t="shared" si="85"/>
        <v>금속/비금속/화학업</v>
      </c>
      <c r="BK69" s="96">
        <f t="shared" si="86"/>
        <v>3.9534118626990469</v>
      </c>
      <c r="BL69" s="97">
        <f t="shared" si="87"/>
        <v>-3.9534118626990469</v>
      </c>
      <c r="BM69" s="98">
        <f t="shared" si="88"/>
        <v>100</v>
      </c>
      <c r="BN69" s="99">
        <f t="shared" si="89"/>
        <v>2</v>
      </c>
      <c r="BO69" s="114">
        <v>818495.67200000002</v>
      </c>
      <c r="BP69" s="101">
        <f t="shared" si="90"/>
        <v>1.1410343189947056</v>
      </c>
      <c r="BQ69" s="78">
        <f t="shared" si="91"/>
        <v>70</v>
      </c>
      <c r="BR69" s="79">
        <f t="shared" si="58"/>
        <v>1.4000000000000001</v>
      </c>
      <c r="BS69" s="102">
        <v>1716824.236</v>
      </c>
      <c r="BT69" s="102">
        <v>628117.59199999995</v>
      </c>
      <c r="BU69" s="103">
        <f t="shared" si="92"/>
        <v>1088706.6440000001</v>
      </c>
      <c r="BV69" s="77">
        <f t="shared" si="93"/>
        <v>1.5177253669357844</v>
      </c>
      <c r="BW69" s="96">
        <f t="shared" si="94"/>
        <v>5.1474158565187738</v>
      </c>
      <c r="BX69" s="96">
        <f t="shared" si="95"/>
        <v>13.174653050169201</v>
      </c>
      <c r="BY69" s="96">
        <f t="shared" si="96"/>
        <v>6.6930498535228535</v>
      </c>
      <c r="BZ69" s="96">
        <f t="shared" si="97"/>
        <v>70.619662197292982</v>
      </c>
      <c r="CA69" s="96">
        <f t="shared" si="98"/>
        <v>40</v>
      </c>
      <c r="CB69" s="104">
        <f t="shared" si="99"/>
        <v>0.8</v>
      </c>
      <c r="CC69" s="105">
        <f t="shared" si="59"/>
        <v>16.028046428065768</v>
      </c>
      <c r="CD69" s="106">
        <f t="shared" si="60"/>
        <v>94.336163406507879</v>
      </c>
      <c r="CE69" s="107">
        <f t="shared" si="61"/>
        <v>1.4150424510976181</v>
      </c>
      <c r="CF69" s="108" t="s">
        <v>2189</v>
      </c>
      <c r="CG69" s="108" t="s">
        <v>2189</v>
      </c>
      <c r="CH69" s="108" t="s">
        <v>2189</v>
      </c>
      <c r="CI69" s="108" t="s">
        <v>2189</v>
      </c>
      <c r="CJ69" s="109"/>
      <c r="CK69" s="116" t="s">
        <v>2207</v>
      </c>
      <c r="CL69" s="116" t="s">
        <v>2204</v>
      </c>
      <c r="CM69" s="111">
        <f t="shared" si="100"/>
        <v>70</v>
      </c>
      <c r="CN69" s="107">
        <f t="shared" si="62"/>
        <v>1.05</v>
      </c>
      <c r="CO69" s="114">
        <v>0</v>
      </c>
      <c r="CP69" s="88">
        <f t="shared" si="101"/>
        <v>0</v>
      </c>
      <c r="CQ69" s="78">
        <f t="shared" si="102"/>
        <v>100</v>
      </c>
      <c r="CR69" s="79">
        <f t="shared" si="63"/>
        <v>3</v>
      </c>
      <c r="CS69" s="92">
        <f>_xlfn.XLOOKUP(C69, '[1]1-1. 관계사체무보증금액 (환율 등)'!$3:$3, '[1]1-1. 관계사체무보증금액 (환율 등)'!$33:$33)</f>
        <v>0</v>
      </c>
      <c r="CT69" s="77">
        <f t="shared" si="103"/>
        <v>0</v>
      </c>
      <c r="CU69" s="78">
        <f t="shared" si="104"/>
        <v>100</v>
      </c>
      <c r="CV69" s="79">
        <f t="shared" si="64"/>
        <v>2</v>
      </c>
      <c r="CW69" s="112">
        <f t="shared" si="105"/>
        <v>20.344878124285191</v>
      </c>
    </row>
    <row r="70" spans="1:101" x14ac:dyDescent="0.35">
      <c r="A70" s="7" t="s">
        <v>1952</v>
      </c>
      <c r="B70" s="8" t="s">
        <v>1953</v>
      </c>
      <c r="C70" s="21" t="s">
        <v>1954</v>
      </c>
      <c r="D70" s="10" t="s">
        <v>141</v>
      </c>
      <c r="E70" s="11" t="s">
        <v>489</v>
      </c>
      <c r="F70" s="11" t="s">
        <v>1955</v>
      </c>
      <c r="G70" s="12">
        <v>27208</v>
      </c>
      <c r="H70" s="11" t="s">
        <v>24</v>
      </c>
      <c r="I70" s="11" t="s">
        <v>1956</v>
      </c>
      <c r="J70" s="11" t="s">
        <v>1957</v>
      </c>
      <c r="K70" s="11" t="s">
        <v>27</v>
      </c>
      <c r="L70" s="23">
        <v>83412349000</v>
      </c>
      <c r="M70" s="14">
        <v>27656534000</v>
      </c>
      <c r="N70" s="14">
        <v>55755815000</v>
      </c>
      <c r="O70" s="14">
        <v>65308350000</v>
      </c>
      <c r="P70" s="14">
        <v>2828569000</v>
      </c>
      <c r="Q70" s="14">
        <v>4175475000</v>
      </c>
      <c r="R70" s="14">
        <v>3701958000</v>
      </c>
      <c r="S70" s="15">
        <v>213668187</v>
      </c>
      <c r="T70" s="15">
        <v>11408711</v>
      </c>
      <c r="U70" s="15">
        <f>45782023+5598478</f>
        <v>51380501</v>
      </c>
      <c r="V70" s="15">
        <f>11395859+1445+1445</f>
        <v>11398749</v>
      </c>
      <c r="W70" s="15">
        <f>400+858+500+370+730+239+240+135+130+335+30+535+185+420+575+105+170+70+300+50+313+130+150+35+365+128+250+120+135+75+50+205+75+765+30+730+550+70+235+229+1200+350+500+220+354+100+65+135*2+140+220+75+305+335+135+30+499+135*2+160+209+111+205+505+20+90+20+130+565+20+140+20+20+120+155+500+320+140+10+165+200+716+65+100+165+451+135+50+110+180+535+180+125+30+30+100+65+85+165+300+280+100+10+600+340+447+60+250+150+411+50+100+100+30+200+165+95+65+69+130+136+294+50+253+130+89+580+135+5+30+402+200+300+50+130+1010+115+30+55+30+30+10+130+180+600+155+95+30+5+11+390+30+95+65+30+663+215+210+85+30+270+198+150+30+65+150+215+536+30+60+335+90+165+100+30+180+347+30+566+135+415+100+53+30+52+135+175+30+30+165+42+60+165+160+135+30+165*2+135+167+1105+30+80+30+4+10+50+60+165+30+20+135+5+70+165+165+365+84+274+90+1315+5+5+135+35+5+5+10+147+15+5+5+5+170+70+5+93+5+200+70+105+135+35+165+238+36+35+5</f>
        <v>46319</v>
      </c>
      <c r="X70" s="15">
        <v>0</v>
      </c>
      <c r="Z70" s="15">
        <v>0</v>
      </c>
      <c r="AA70" s="15">
        <v>0</v>
      </c>
      <c r="AB70" s="74">
        <f t="shared" si="65"/>
        <v>62825569</v>
      </c>
      <c r="AC70" s="75">
        <f t="shared" si="66"/>
        <v>29.403333215908273</v>
      </c>
      <c r="AD70" s="75">
        <f t="shared" si="67"/>
        <v>74.709436234831756</v>
      </c>
      <c r="AE70" s="76">
        <f t="shared" si="53"/>
        <v>2.2412830870449527</v>
      </c>
      <c r="AF70" s="77">
        <f t="shared" si="68"/>
        <v>31.03896600622064</v>
      </c>
      <c r="AG70" s="77">
        <f t="shared" si="69"/>
        <v>31.061866787393438</v>
      </c>
      <c r="AH70" s="77">
        <f t="shared" si="70"/>
        <v>2.290078117279748E-2</v>
      </c>
      <c r="AI70" s="78">
        <f t="shared" si="71"/>
        <v>100</v>
      </c>
      <c r="AJ70" s="79">
        <f t="shared" si="54"/>
        <v>4</v>
      </c>
      <c r="AK70" s="113">
        <v>11</v>
      </c>
      <c r="AL70" s="113">
        <v>379</v>
      </c>
      <c r="AM70" s="113">
        <v>1</v>
      </c>
      <c r="AN70" s="81">
        <f t="shared" si="72"/>
        <v>390</v>
      </c>
      <c r="AO70" s="82">
        <f t="shared" si="73"/>
        <v>0.25641025641025639</v>
      </c>
      <c r="AP70" s="83">
        <f t="shared" si="74"/>
        <v>100</v>
      </c>
      <c r="AQ70" s="84">
        <f t="shared" si="55"/>
        <v>2</v>
      </c>
      <c r="AR70" s="118">
        <v>6</v>
      </c>
      <c r="AS70" s="86">
        <f t="shared" si="75"/>
        <v>0.5</v>
      </c>
      <c r="AT70" s="87">
        <f t="shared" si="76"/>
        <v>5.5</v>
      </c>
      <c r="AU70" s="87">
        <f t="shared" si="77"/>
        <v>5</v>
      </c>
      <c r="AV70" s="88">
        <f t="shared" si="78"/>
        <v>9.0909090909090917</v>
      </c>
      <c r="AW70" s="78">
        <f t="shared" si="79"/>
        <v>60</v>
      </c>
      <c r="AX70" s="89">
        <f t="shared" si="56"/>
        <v>0.6</v>
      </c>
      <c r="AY70" s="114">
        <v>9</v>
      </c>
      <c r="AZ70" s="114">
        <v>54</v>
      </c>
      <c r="BA70" s="91">
        <f t="shared" si="80"/>
        <v>54</v>
      </c>
      <c r="BB70" s="77">
        <f t="shared" si="81"/>
        <v>100</v>
      </c>
      <c r="BC70" s="78">
        <f t="shared" si="82"/>
        <v>100</v>
      </c>
      <c r="BD70" s="79">
        <f t="shared" si="57"/>
        <v>1</v>
      </c>
      <c r="BE70" s="92">
        <v>1687960000</v>
      </c>
      <c r="BF70" s="92">
        <v>116939000</v>
      </c>
      <c r="BG70" s="93">
        <v>0</v>
      </c>
      <c r="BH70" s="94">
        <f t="shared" si="83"/>
        <v>1804899000</v>
      </c>
      <c r="BI70" s="77">
        <f t="shared" si="84"/>
        <v>0</v>
      </c>
      <c r="BJ70" s="95" t="str">
        <f t="shared" si="85"/>
        <v>전기전자/기계업</v>
      </c>
      <c r="BK70" s="96">
        <f t="shared" si="86"/>
        <v>2.4096449716116446</v>
      </c>
      <c r="BL70" s="97">
        <f t="shared" si="87"/>
        <v>-2.4096449716116446</v>
      </c>
      <c r="BM70" s="98">
        <f t="shared" si="88"/>
        <v>100</v>
      </c>
      <c r="BN70" s="99">
        <f t="shared" si="89"/>
        <v>2</v>
      </c>
      <c r="BO70" s="114">
        <f>(3340589-4016)*1000</f>
        <v>3336573000</v>
      </c>
      <c r="BP70" s="101">
        <f t="shared" si="90"/>
        <v>5.1089531430513864</v>
      </c>
      <c r="BQ70" s="78">
        <f t="shared" si="91"/>
        <v>100</v>
      </c>
      <c r="BR70" s="79">
        <f t="shared" si="58"/>
        <v>2</v>
      </c>
      <c r="BS70" s="102">
        <v>2178158000</v>
      </c>
      <c r="BT70" s="102">
        <v>57554000</v>
      </c>
      <c r="BU70" s="103">
        <f t="shared" si="92"/>
        <v>2120604000</v>
      </c>
      <c r="BV70" s="77">
        <f t="shared" si="93"/>
        <v>3.2470641196722929</v>
      </c>
      <c r="BW70" s="96">
        <f t="shared" si="94"/>
        <v>5.2309968128308295</v>
      </c>
      <c r="BX70" s="96">
        <f t="shared" si="95"/>
        <v>3.9359889309832843</v>
      </c>
      <c r="BY70" s="96">
        <f t="shared" si="96"/>
        <v>7.0695458012309631</v>
      </c>
      <c r="BZ70" s="96">
        <f t="shared" si="97"/>
        <v>61.050322668458854</v>
      </c>
      <c r="CA70" s="96">
        <f t="shared" si="98"/>
        <v>40</v>
      </c>
      <c r="CB70" s="104">
        <f t="shared" si="99"/>
        <v>0.8</v>
      </c>
      <c r="CC70" s="105">
        <f t="shared" si="59"/>
        <v>49.60295890213424</v>
      </c>
      <c r="CD70" s="106">
        <f t="shared" si="60"/>
        <v>81.682301921306191</v>
      </c>
      <c r="CE70" s="107">
        <f t="shared" si="61"/>
        <v>1.2252345288195927</v>
      </c>
      <c r="CF70" s="108" t="s">
        <v>2189</v>
      </c>
      <c r="CG70" s="108" t="s">
        <v>2189</v>
      </c>
      <c r="CH70" s="108" t="s">
        <v>2189</v>
      </c>
      <c r="CI70" s="108" t="s">
        <v>2189</v>
      </c>
      <c r="CJ70" s="109"/>
      <c r="CK70" s="116" t="s">
        <v>2212</v>
      </c>
      <c r="CL70" s="116" t="s">
        <v>2191</v>
      </c>
      <c r="CM70" s="111">
        <f t="shared" si="100"/>
        <v>85</v>
      </c>
      <c r="CN70" s="107">
        <f t="shared" si="62"/>
        <v>1.2749999999999999</v>
      </c>
      <c r="CO70" s="114">
        <v>21928209000</v>
      </c>
      <c r="CP70" s="88">
        <f t="shared" si="101"/>
        <v>39.329008104356475</v>
      </c>
      <c r="CQ70" s="78">
        <f t="shared" si="102"/>
        <v>40</v>
      </c>
      <c r="CR70" s="79">
        <f t="shared" si="63"/>
        <v>1.2</v>
      </c>
      <c r="CS70" s="92">
        <f>_xlfn.XLOOKUP(C70, '[1]1-1. 관계사체무보증금액 (환율 등)'!$3:$3, '[1]1-1. 관계사체무보증금액 (환율 등)'!$33:$33)</f>
        <v>1064160000</v>
      </c>
      <c r="CT70" s="77">
        <f t="shared" si="103"/>
        <v>1.9086080976486488</v>
      </c>
      <c r="CU70" s="78">
        <f t="shared" si="104"/>
        <v>100</v>
      </c>
      <c r="CV70" s="79">
        <f t="shared" si="64"/>
        <v>2</v>
      </c>
      <c r="CW70" s="112">
        <f t="shared" si="105"/>
        <v>20.341517615864543</v>
      </c>
    </row>
    <row r="71" spans="1:101" x14ac:dyDescent="0.35">
      <c r="A71" s="7" t="s">
        <v>1419</v>
      </c>
      <c r="B71" s="8" t="s">
        <v>1420</v>
      </c>
      <c r="C71" s="21" t="s">
        <v>1421</v>
      </c>
      <c r="D71" s="10" t="s">
        <v>31</v>
      </c>
      <c r="E71" s="11" t="s">
        <v>183</v>
      </c>
      <c r="F71" s="11" t="s">
        <v>1422</v>
      </c>
      <c r="G71" s="12">
        <v>27269</v>
      </c>
      <c r="H71" s="11" t="s">
        <v>24</v>
      </c>
      <c r="I71" s="11" t="s">
        <v>1423</v>
      </c>
      <c r="J71" s="11" t="s">
        <v>1424</v>
      </c>
      <c r="K71" s="11" t="s">
        <v>50</v>
      </c>
      <c r="L71" s="23">
        <v>348763942</v>
      </c>
      <c r="M71" s="14">
        <v>159228662</v>
      </c>
      <c r="N71" s="14">
        <v>189535280</v>
      </c>
      <c r="O71" s="14">
        <v>235057199</v>
      </c>
      <c r="P71" s="14">
        <v>11763437</v>
      </c>
      <c r="Q71" s="14">
        <v>12291336</v>
      </c>
      <c r="R71" s="14">
        <v>9393997</v>
      </c>
      <c r="S71" s="15">
        <v>19085664</v>
      </c>
      <c r="T71" s="15">
        <v>998805</v>
      </c>
      <c r="U71" s="15">
        <v>4167794</v>
      </c>
      <c r="V71" s="15">
        <f>11694+66693+25011+778877+10162</f>
        <v>892437</v>
      </c>
      <c r="W71" s="15">
        <f>9392+3220</f>
        <v>12612</v>
      </c>
      <c r="X71" s="15">
        <v>0</v>
      </c>
      <c r="Z71" s="15">
        <v>0</v>
      </c>
      <c r="AA71" s="15">
        <v>0</v>
      </c>
      <c r="AB71" s="74">
        <f t="shared" si="65"/>
        <v>5072843</v>
      </c>
      <c r="AC71" s="75">
        <f t="shared" si="66"/>
        <v>26.579337244960406</v>
      </c>
      <c r="AD71" s="75">
        <f t="shared" si="67"/>
        <v>77.146716992266619</v>
      </c>
      <c r="AE71" s="76">
        <f t="shared" si="53"/>
        <v>2.3144015097679986</v>
      </c>
      <c r="AF71" s="77">
        <f t="shared" si="68"/>
        <v>27.977389551165295</v>
      </c>
      <c r="AG71" s="77">
        <f t="shared" si="69"/>
        <v>28.047119734830684</v>
      </c>
      <c r="AH71" s="77">
        <f t="shared" si="70"/>
        <v>6.9730183665388523E-2</v>
      </c>
      <c r="AI71" s="78">
        <f t="shared" si="71"/>
        <v>100</v>
      </c>
      <c r="AJ71" s="79">
        <f t="shared" si="54"/>
        <v>4</v>
      </c>
      <c r="AK71" s="113">
        <v>6</v>
      </c>
      <c r="AL71" s="113">
        <v>16</v>
      </c>
      <c r="AM71" s="113">
        <v>1</v>
      </c>
      <c r="AN71" s="81">
        <f t="shared" si="72"/>
        <v>22</v>
      </c>
      <c r="AO71" s="82">
        <f t="shared" si="73"/>
        <v>4.5454545454545459</v>
      </c>
      <c r="AP71" s="83">
        <f t="shared" si="74"/>
        <v>100</v>
      </c>
      <c r="AQ71" s="84">
        <f t="shared" si="55"/>
        <v>2</v>
      </c>
      <c r="AR71" s="118">
        <v>3</v>
      </c>
      <c r="AS71" s="86">
        <f t="shared" si="75"/>
        <v>0.25</v>
      </c>
      <c r="AT71" s="87">
        <f t="shared" si="76"/>
        <v>1.5</v>
      </c>
      <c r="AU71" s="87">
        <f t="shared" si="77"/>
        <v>1</v>
      </c>
      <c r="AV71" s="88">
        <f t="shared" si="78"/>
        <v>33.333333333333329</v>
      </c>
      <c r="AW71" s="78">
        <f t="shared" si="79"/>
        <v>80</v>
      </c>
      <c r="AX71" s="89">
        <f t="shared" si="56"/>
        <v>0.8</v>
      </c>
      <c r="AY71" s="114">
        <v>16</v>
      </c>
      <c r="AZ71" s="114">
        <f>16*3</f>
        <v>48</v>
      </c>
      <c r="BA71" s="91">
        <f t="shared" si="80"/>
        <v>48</v>
      </c>
      <c r="BB71" s="77">
        <f t="shared" si="81"/>
        <v>100</v>
      </c>
      <c r="BC71" s="78">
        <f t="shared" si="82"/>
        <v>100</v>
      </c>
      <c r="BD71" s="79">
        <f t="shared" si="57"/>
        <v>1</v>
      </c>
      <c r="BE71" s="92">
        <v>36745290</v>
      </c>
      <c r="BF71" s="92">
        <v>2344389</v>
      </c>
      <c r="BG71" s="114">
        <v>240319</v>
      </c>
      <c r="BH71" s="94">
        <f t="shared" si="83"/>
        <v>39089679</v>
      </c>
      <c r="BI71" s="77">
        <f t="shared" si="84"/>
        <v>0.61478888071708138</v>
      </c>
      <c r="BJ71" s="95" t="str">
        <f t="shared" si="85"/>
        <v>식약/섬유/종이업</v>
      </c>
      <c r="BK71" s="96">
        <f t="shared" si="86"/>
        <v>2.1999360555264453</v>
      </c>
      <c r="BL71" s="97">
        <f t="shared" si="87"/>
        <v>-1.585147174809364</v>
      </c>
      <c r="BM71" s="98">
        <f t="shared" si="88"/>
        <v>80</v>
      </c>
      <c r="BN71" s="99">
        <f t="shared" si="89"/>
        <v>1.6</v>
      </c>
      <c r="BO71" s="114">
        <f>40546466-29334</f>
        <v>40517132</v>
      </c>
      <c r="BP71" s="101">
        <f t="shared" si="90"/>
        <v>17.237137246751587</v>
      </c>
      <c r="BQ71" s="78">
        <f t="shared" si="91"/>
        <v>100</v>
      </c>
      <c r="BR71" s="79">
        <f t="shared" si="58"/>
        <v>2</v>
      </c>
      <c r="BS71" s="102">
        <v>1052011.69</v>
      </c>
      <c r="BT71" s="102">
        <v>0</v>
      </c>
      <c r="BU71" s="103">
        <f t="shared" si="92"/>
        <v>1052011.69</v>
      </c>
      <c r="BV71" s="77">
        <f t="shared" si="93"/>
        <v>0.44755561389974702</v>
      </c>
      <c r="BW71" s="96">
        <f t="shared" si="94"/>
        <v>5.0508176117342298</v>
      </c>
      <c r="BX71" s="96">
        <f t="shared" si="95"/>
        <v>21.19002102070711</v>
      </c>
      <c r="BY71" s="96">
        <f t="shared" si="96"/>
        <v>6.9871618081220923</v>
      </c>
      <c r="BZ71" s="96">
        <f t="shared" si="97"/>
        <v>74.49934020479499</v>
      </c>
      <c r="CA71" s="96">
        <f t="shared" si="98"/>
        <v>40</v>
      </c>
      <c r="CB71" s="104">
        <f t="shared" si="99"/>
        <v>0.8</v>
      </c>
      <c r="CC71" s="105">
        <f t="shared" si="59"/>
        <v>84.010038658765794</v>
      </c>
      <c r="CD71" s="106">
        <f t="shared" si="60"/>
        <v>68.71480955071641</v>
      </c>
      <c r="CE71" s="107">
        <f t="shared" si="61"/>
        <v>1.0307221432607461</v>
      </c>
      <c r="CF71" s="108" t="s">
        <v>2189</v>
      </c>
      <c r="CG71" s="108" t="s">
        <v>2189</v>
      </c>
      <c r="CH71" s="108" t="s">
        <v>2189</v>
      </c>
      <c r="CI71" s="108" t="s">
        <v>2189</v>
      </c>
      <c r="CJ71" s="109"/>
      <c r="CK71" s="116" t="s">
        <v>2192</v>
      </c>
      <c r="CL71" s="116" t="s">
        <v>2193</v>
      </c>
      <c r="CM71" s="111">
        <f t="shared" si="100"/>
        <v>25</v>
      </c>
      <c r="CN71" s="107">
        <f t="shared" si="62"/>
        <v>0.375</v>
      </c>
      <c r="CO71" s="114">
        <v>16849000</v>
      </c>
      <c r="CP71" s="88">
        <f t="shared" si="101"/>
        <v>8.8896378552847786</v>
      </c>
      <c r="CQ71" s="78">
        <f t="shared" si="102"/>
        <v>80</v>
      </c>
      <c r="CR71" s="79">
        <f t="shared" si="63"/>
        <v>2.4</v>
      </c>
      <c r="CS71" s="92">
        <f>_xlfn.XLOOKUP(C71, '[1]1-1. 관계사체무보증금액 (환율 등)'!$3:$3, '[1]1-1. 관계사체무보증금액 (환율 등)'!$33:$33)</f>
        <v>0</v>
      </c>
      <c r="CT71" s="77">
        <f t="shared" si="103"/>
        <v>0</v>
      </c>
      <c r="CU71" s="78">
        <f t="shared" si="104"/>
        <v>100</v>
      </c>
      <c r="CV71" s="79">
        <f t="shared" si="64"/>
        <v>2</v>
      </c>
      <c r="CW71" s="112">
        <f t="shared" si="105"/>
        <v>20.320123653028745</v>
      </c>
    </row>
    <row r="72" spans="1:101" x14ac:dyDescent="0.35">
      <c r="A72" s="7" t="s">
        <v>1706</v>
      </c>
      <c r="B72" s="8" t="s">
        <v>1707</v>
      </c>
      <c r="C72" s="21" t="s">
        <v>1708</v>
      </c>
      <c r="D72" s="10" t="s">
        <v>75</v>
      </c>
      <c r="E72" s="11" t="s">
        <v>98</v>
      </c>
      <c r="F72" s="11" t="s">
        <v>1709</v>
      </c>
      <c r="G72" s="12">
        <v>43614</v>
      </c>
      <c r="H72" s="11" t="s">
        <v>24</v>
      </c>
      <c r="I72" s="11" t="s">
        <v>1710</v>
      </c>
      <c r="J72" s="11" t="s">
        <v>1711</v>
      </c>
      <c r="K72" s="11" t="s">
        <v>453</v>
      </c>
      <c r="L72" s="23">
        <v>4276625735</v>
      </c>
      <c r="M72" s="14">
        <v>1849501419</v>
      </c>
      <c r="N72" s="14">
        <v>2427124316</v>
      </c>
      <c r="O72" s="14">
        <v>3041287029</v>
      </c>
      <c r="P72" s="14">
        <v>153190221</v>
      </c>
      <c r="Q72" s="14">
        <v>125561645</v>
      </c>
      <c r="R72" s="14">
        <v>114853461</v>
      </c>
      <c r="S72" s="15">
        <v>77463220</v>
      </c>
      <c r="T72" s="15">
        <v>56035</v>
      </c>
      <c r="U72" s="15">
        <v>46261601</v>
      </c>
      <c r="V72" s="15">
        <v>0</v>
      </c>
      <c r="W72" s="15">
        <f>48452188-46261601-2174587+7615+1100+249+831+624+726+800+110+374+2491+3997+2498+150+500+3123+990+1100</f>
        <v>43278</v>
      </c>
      <c r="X72" s="15">
        <v>2174587</v>
      </c>
      <c r="Y72" s="24" t="s">
        <v>2110</v>
      </c>
      <c r="Z72" s="15">
        <v>0</v>
      </c>
      <c r="AA72" s="15">
        <v>0</v>
      </c>
      <c r="AB72" s="74">
        <f t="shared" si="65"/>
        <v>48479466</v>
      </c>
      <c r="AC72" s="75">
        <f t="shared" si="66"/>
        <v>62.58385076169052</v>
      </c>
      <c r="AD72" s="75">
        <f t="shared" si="67"/>
        <v>46.07262592489311</v>
      </c>
      <c r="AE72" s="76">
        <f t="shared" si="53"/>
        <v>1.3821787777467933</v>
      </c>
      <c r="AF72" s="77">
        <f t="shared" si="68"/>
        <v>59.763962479710372</v>
      </c>
      <c r="AG72" s="77">
        <f t="shared" si="69"/>
        <v>62.629155161759208</v>
      </c>
      <c r="AH72" s="77">
        <f t="shared" si="70"/>
        <v>2.8651926820488356</v>
      </c>
      <c r="AI72" s="78">
        <f t="shared" si="71"/>
        <v>100</v>
      </c>
      <c r="AJ72" s="79">
        <f t="shared" si="54"/>
        <v>4</v>
      </c>
      <c r="AK72" s="113">
        <v>9</v>
      </c>
      <c r="AL72" s="113">
        <v>19</v>
      </c>
      <c r="AM72" s="113">
        <v>0</v>
      </c>
      <c r="AN72" s="81">
        <f t="shared" si="72"/>
        <v>28</v>
      </c>
      <c r="AO72" s="82">
        <f t="shared" si="73"/>
        <v>0</v>
      </c>
      <c r="AP72" s="83">
        <f t="shared" si="74"/>
        <v>100</v>
      </c>
      <c r="AQ72" s="84">
        <f t="shared" si="55"/>
        <v>2</v>
      </c>
      <c r="AR72" s="118">
        <v>5</v>
      </c>
      <c r="AS72" s="86">
        <f t="shared" si="75"/>
        <v>0.5</v>
      </c>
      <c r="AT72" s="87">
        <f t="shared" si="76"/>
        <v>4.5</v>
      </c>
      <c r="AU72" s="87">
        <f t="shared" si="77"/>
        <v>4</v>
      </c>
      <c r="AV72" s="88">
        <f t="shared" si="78"/>
        <v>11.111111111111111</v>
      </c>
      <c r="AW72" s="78">
        <f t="shared" si="79"/>
        <v>60</v>
      </c>
      <c r="AX72" s="89">
        <f t="shared" si="56"/>
        <v>0.6</v>
      </c>
      <c r="AY72" s="114">
        <v>11</v>
      </c>
      <c r="AZ72" s="114">
        <f>55-4</f>
        <v>51</v>
      </c>
      <c r="BA72" s="91">
        <f t="shared" si="80"/>
        <v>55</v>
      </c>
      <c r="BB72" s="77">
        <f t="shared" si="81"/>
        <v>92.72727272727272</v>
      </c>
      <c r="BC72" s="78">
        <f t="shared" si="82"/>
        <v>100</v>
      </c>
      <c r="BD72" s="79">
        <f t="shared" si="57"/>
        <v>1</v>
      </c>
      <c r="BE72" s="92">
        <v>41939722</v>
      </c>
      <c r="BF72" s="92">
        <v>2865170</v>
      </c>
      <c r="BG72" s="93">
        <v>0</v>
      </c>
      <c r="BH72" s="94">
        <f t="shared" si="83"/>
        <v>44804892</v>
      </c>
      <c r="BI72" s="77">
        <f t="shared" si="84"/>
        <v>0</v>
      </c>
      <c r="BJ72" s="95" t="str">
        <f t="shared" si="85"/>
        <v>금속/비금속/화학업</v>
      </c>
      <c r="BK72" s="96">
        <f t="shared" si="86"/>
        <v>3.9534118626990469</v>
      </c>
      <c r="BL72" s="97">
        <f t="shared" si="87"/>
        <v>-3.9534118626990469</v>
      </c>
      <c r="BM72" s="98">
        <f t="shared" si="88"/>
        <v>100</v>
      </c>
      <c r="BN72" s="99">
        <f t="shared" si="89"/>
        <v>2</v>
      </c>
      <c r="BO72" s="114">
        <f>(40440-556)*1000</f>
        <v>39884000</v>
      </c>
      <c r="BP72" s="101">
        <f t="shared" si="90"/>
        <v>1.3114184757863576</v>
      </c>
      <c r="BQ72" s="78">
        <f t="shared" si="91"/>
        <v>70</v>
      </c>
      <c r="BR72" s="79">
        <f t="shared" si="58"/>
        <v>1.4000000000000001</v>
      </c>
      <c r="BS72" s="102">
        <v>493735439.37</v>
      </c>
      <c r="BT72" s="102">
        <v>78426</v>
      </c>
      <c r="BU72" s="103">
        <f t="shared" si="92"/>
        <v>493657013.37</v>
      </c>
      <c r="BV72" s="77">
        <f t="shared" si="93"/>
        <v>16.231845552976907</v>
      </c>
      <c r="BW72" s="96">
        <f t="shared" si="94"/>
        <v>5.1474158565187738</v>
      </c>
      <c r="BX72" s="96">
        <f t="shared" si="95"/>
        <v>122.86458169572296</v>
      </c>
      <c r="BY72" s="96">
        <f t="shared" si="96"/>
        <v>6.6930498535228535</v>
      </c>
      <c r="BZ72" s="96">
        <f t="shared" si="97"/>
        <v>4.8849728382709623</v>
      </c>
      <c r="CA72" s="96">
        <f t="shared" si="98"/>
        <v>100</v>
      </c>
      <c r="CB72" s="104">
        <f t="shared" si="99"/>
        <v>2</v>
      </c>
      <c r="CC72" s="105">
        <f t="shared" si="59"/>
        <v>76.201346869947471</v>
      </c>
      <c r="CD72" s="106">
        <f t="shared" si="60"/>
        <v>71.657783842984628</v>
      </c>
      <c r="CE72" s="107">
        <f t="shared" si="61"/>
        <v>1.0748667576447695</v>
      </c>
      <c r="CF72" s="108" t="s">
        <v>2189</v>
      </c>
      <c r="CG72" s="108" t="s">
        <v>2189</v>
      </c>
      <c r="CH72" s="108" t="s">
        <v>2189</v>
      </c>
      <c r="CI72" s="108" t="s">
        <v>2189</v>
      </c>
      <c r="CJ72" s="109"/>
      <c r="CK72" s="116" t="s">
        <v>2203</v>
      </c>
      <c r="CL72" s="116" t="s">
        <v>2204</v>
      </c>
      <c r="CM72" s="111">
        <f t="shared" si="100"/>
        <v>70</v>
      </c>
      <c r="CN72" s="107">
        <f t="shared" si="62"/>
        <v>1.05</v>
      </c>
      <c r="CO72" s="114">
        <v>275268255</v>
      </c>
      <c r="CP72" s="88">
        <f t="shared" si="101"/>
        <v>11.341333164740952</v>
      </c>
      <c r="CQ72" s="78">
        <f t="shared" si="102"/>
        <v>60</v>
      </c>
      <c r="CR72" s="79">
        <f t="shared" si="63"/>
        <v>1.7999999999999998</v>
      </c>
      <c r="CS72" s="92">
        <f>_xlfn.XLOOKUP(C72, '[1]1-1. 관계사체무보증금액 (환율 등)'!$3:$3, '[1]1-1. 관계사체무보증금액 (환율 등)'!$33:$33)</f>
        <v>0</v>
      </c>
      <c r="CT72" s="77">
        <f t="shared" si="103"/>
        <v>0</v>
      </c>
      <c r="CU72" s="78">
        <f t="shared" si="104"/>
        <v>100</v>
      </c>
      <c r="CV72" s="79">
        <f t="shared" si="64"/>
        <v>2</v>
      </c>
      <c r="CW72" s="112">
        <f t="shared" si="105"/>
        <v>20.307045535391563</v>
      </c>
    </row>
    <row r="73" spans="1:101" x14ac:dyDescent="0.35">
      <c r="A73" s="7" t="s">
        <v>334</v>
      </c>
      <c r="B73" s="8" t="s">
        <v>335</v>
      </c>
      <c r="C73" s="21" t="s">
        <v>336</v>
      </c>
      <c r="D73" s="22" t="s">
        <v>75</v>
      </c>
      <c r="E73" s="11" t="s">
        <v>337</v>
      </c>
      <c r="F73" s="11" t="s">
        <v>338</v>
      </c>
      <c r="G73" s="12">
        <v>43105</v>
      </c>
      <c r="H73" s="11" t="s">
        <v>24</v>
      </c>
      <c r="I73" s="11" t="s">
        <v>339</v>
      </c>
      <c r="J73" s="11" t="s">
        <v>340</v>
      </c>
      <c r="K73" s="11" t="s">
        <v>50</v>
      </c>
      <c r="L73" s="23">
        <v>1810477193</v>
      </c>
      <c r="M73" s="14">
        <v>690879147</v>
      </c>
      <c r="N73" s="14">
        <v>1119598046</v>
      </c>
      <c r="O73" s="14">
        <v>1256030179</v>
      </c>
      <c r="P73" s="14">
        <v>107526937</v>
      </c>
      <c r="Q73" s="14">
        <v>88400704</v>
      </c>
      <c r="R73" s="14">
        <v>69270430</v>
      </c>
      <c r="S73" s="15">
        <v>17253783</v>
      </c>
      <c r="T73" s="15">
        <v>30857</v>
      </c>
      <c r="U73" s="15">
        <v>7056899</v>
      </c>
      <c r="V73" s="15">
        <f>12177+37359+62389</f>
        <v>111925</v>
      </c>
      <c r="W73" s="15">
        <f>3000+775+1164+1024+477+90+17+317+327</f>
        <v>7191</v>
      </c>
      <c r="X73" s="15">
        <v>186808</v>
      </c>
      <c r="Y73" s="24" t="s">
        <v>2060</v>
      </c>
      <c r="Z73" s="15">
        <v>0</v>
      </c>
      <c r="AA73" s="15">
        <v>0</v>
      </c>
      <c r="AB73" s="74">
        <f t="shared" si="65"/>
        <v>7362823</v>
      </c>
      <c r="AC73" s="75">
        <f t="shared" si="66"/>
        <v>42.673673361951984</v>
      </c>
      <c r="AD73" s="75">
        <f t="shared" si="67"/>
        <v>63.256323335484481</v>
      </c>
      <c r="AE73" s="76">
        <f t="shared" si="53"/>
        <v>1.8976897000645343</v>
      </c>
      <c r="AF73" s="77">
        <f t="shared" si="68"/>
        <v>41.623728743884755</v>
      </c>
      <c r="AG73" s="77">
        <f t="shared" si="69"/>
        <v>42.750128520554519</v>
      </c>
      <c r="AH73" s="77">
        <f t="shared" si="70"/>
        <v>1.1263997766697642</v>
      </c>
      <c r="AI73" s="78">
        <f t="shared" si="71"/>
        <v>100</v>
      </c>
      <c r="AJ73" s="79">
        <f t="shared" si="54"/>
        <v>4</v>
      </c>
      <c r="AK73" s="113">
        <v>7</v>
      </c>
      <c r="AL73" s="113">
        <v>26</v>
      </c>
      <c r="AM73" s="113">
        <v>0</v>
      </c>
      <c r="AN73" s="81">
        <f t="shared" si="72"/>
        <v>33</v>
      </c>
      <c r="AO73" s="82">
        <f t="shared" si="73"/>
        <v>0</v>
      </c>
      <c r="AP73" s="83">
        <f t="shared" si="74"/>
        <v>100</v>
      </c>
      <c r="AQ73" s="84">
        <f t="shared" si="55"/>
        <v>2</v>
      </c>
      <c r="AR73" s="118">
        <v>4</v>
      </c>
      <c r="AS73" s="86">
        <f t="shared" si="75"/>
        <v>0.25</v>
      </c>
      <c r="AT73" s="87">
        <f t="shared" si="76"/>
        <v>1.75</v>
      </c>
      <c r="AU73" s="87">
        <f t="shared" si="77"/>
        <v>1</v>
      </c>
      <c r="AV73" s="88">
        <f t="shared" si="78"/>
        <v>42.857142857142854</v>
      </c>
      <c r="AW73" s="78">
        <f t="shared" si="79"/>
        <v>100</v>
      </c>
      <c r="AX73" s="89">
        <f t="shared" si="56"/>
        <v>1</v>
      </c>
      <c r="AY73" s="114">
        <v>16</v>
      </c>
      <c r="AZ73" s="114">
        <f>16*4</f>
        <v>64</v>
      </c>
      <c r="BA73" s="91">
        <f t="shared" si="80"/>
        <v>64</v>
      </c>
      <c r="BB73" s="77">
        <f t="shared" si="81"/>
        <v>100</v>
      </c>
      <c r="BC73" s="78">
        <f t="shared" si="82"/>
        <v>100</v>
      </c>
      <c r="BD73" s="79">
        <f t="shared" si="57"/>
        <v>1</v>
      </c>
      <c r="BE73" s="92">
        <v>60629194</v>
      </c>
      <c r="BF73" s="92">
        <v>4824961</v>
      </c>
      <c r="BG73" s="114">
        <v>1093949</v>
      </c>
      <c r="BH73" s="94">
        <f t="shared" si="83"/>
        <v>65454155</v>
      </c>
      <c r="BI73" s="77">
        <f t="shared" si="84"/>
        <v>1.6713209421158979</v>
      </c>
      <c r="BJ73" s="95" t="str">
        <f t="shared" si="85"/>
        <v>금속/비금속/화학업</v>
      </c>
      <c r="BK73" s="96">
        <f t="shared" si="86"/>
        <v>3.9534118626990469</v>
      </c>
      <c r="BL73" s="97">
        <f t="shared" si="87"/>
        <v>-2.282090920583149</v>
      </c>
      <c r="BM73" s="98">
        <f t="shared" si="88"/>
        <v>100</v>
      </c>
      <c r="BN73" s="99">
        <f t="shared" si="89"/>
        <v>2</v>
      </c>
      <c r="BO73" s="114">
        <v>42267000</v>
      </c>
      <c r="BP73" s="101">
        <f t="shared" si="90"/>
        <v>3.3651261495684177</v>
      </c>
      <c r="BQ73" s="78">
        <f t="shared" si="91"/>
        <v>85</v>
      </c>
      <c r="BR73" s="79">
        <f t="shared" si="58"/>
        <v>1.7</v>
      </c>
      <c r="BS73" s="102">
        <v>61770720.064999998</v>
      </c>
      <c r="BT73" s="102">
        <v>1306234.469</v>
      </c>
      <c r="BU73" s="103">
        <f t="shared" si="92"/>
        <v>60464485.596000001</v>
      </c>
      <c r="BV73" s="77">
        <f t="shared" si="93"/>
        <v>4.8139357323515393</v>
      </c>
      <c r="BW73" s="96">
        <f t="shared" si="94"/>
        <v>5.1474158565187738</v>
      </c>
      <c r="BX73" s="96">
        <f t="shared" si="95"/>
        <v>0.11120899321459414</v>
      </c>
      <c r="BY73" s="96">
        <f t="shared" si="96"/>
        <v>6.6930498535228535</v>
      </c>
      <c r="BZ73" s="96">
        <f t="shared" si="97"/>
        <v>51.986901326983535</v>
      </c>
      <c r="CA73" s="96">
        <f t="shared" si="98"/>
        <v>55</v>
      </c>
      <c r="CB73" s="104">
        <f t="shared" si="99"/>
        <v>1.1000000000000001</v>
      </c>
      <c r="CC73" s="105">
        <f t="shared" si="59"/>
        <v>61.707784277429866</v>
      </c>
      <c r="CD73" s="106">
        <f t="shared" si="60"/>
        <v>77.120181804988746</v>
      </c>
      <c r="CE73" s="107">
        <f t="shared" si="61"/>
        <v>1.1568027270748311</v>
      </c>
      <c r="CF73" s="108" t="s">
        <v>2189</v>
      </c>
      <c r="CG73" s="108" t="s">
        <v>2189</v>
      </c>
      <c r="CH73" s="108" t="s">
        <v>2189</v>
      </c>
      <c r="CI73" s="108" t="s">
        <v>2189</v>
      </c>
      <c r="CJ73" s="109"/>
      <c r="CK73" s="116" t="s">
        <v>2207</v>
      </c>
      <c r="CL73" s="116" t="s">
        <v>2204</v>
      </c>
      <c r="CM73" s="111">
        <f t="shared" si="100"/>
        <v>70</v>
      </c>
      <c r="CN73" s="107">
        <f t="shared" si="62"/>
        <v>1.05</v>
      </c>
      <c r="CO73" s="114">
        <f>439018000-3369000-1000000-1500000-3000000-2712000-25128000-7700000-4892000</f>
        <v>389717000</v>
      </c>
      <c r="CP73" s="88">
        <f t="shared" si="101"/>
        <v>34.808653104776852</v>
      </c>
      <c r="CQ73" s="78">
        <f t="shared" si="102"/>
        <v>60</v>
      </c>
      <c r="CR73" s="79">
        <f t="shared" si="63"/>
        <v>1.7999999999999998</v>
      </c>
      <c r="CS73" s="92">
        <f>_xlfn.XLOOKUP(C73, '[1]1-1. 관계사체무보증금액 (환율 등)'!$3:$3, '[1]1-1. 관계사체무보증금액 (환율 등)'!$33:$33)</f>
        <v>48642504.027617946</v>
      </c>
      <c r="CT73" s="77">
        <f t="shared" si="103"/>
        <v>4.3446399537229938</v>
      </c>
      <c r="CU73" s="78">
        <f t="shared" si="104"/>
        <v>80</v>
      </c>
      <c r="CV73" s="79">
        <f t="shared" si="64"/>
        <v>1.6</v>
      </c>
      <c r="CW73" s="112">
        <f t="shared" si="105"/>
        <v>20.304492427139365</v>
      </c>
    </row>
    <row r="74" spans="1:101" x14ac:dyDescent="0.35">
      <c r="A74" s="7" t="s">
        <v>199</v>
      </c>
      <c r="B74" s="8" t="s">
        <v>200</v>
      </c>
      <c r="C74" s="21" t="s">
        <v>201</v>
      </c>
      <c r="D74" s="10" t="s">
        <v>21</v>
      </c>
      <c r="E74" s="11" t="s">
        <v>176</v>
      </c>
      <c r="F74" s="11" t="s">
        <v>202</v>
      </c>
      <c r="G74" s="12">
        <v>39381</v>
      </c>
      <c r="H74" s="11" t="s">
        <v>24</v>
      </c>
      <c r="I74" s="11" t="s">
        <v>203</v>
      </c>
      <c r="J74" s="11" t="s">
        <v>204</v>
      </c>
      <c r="K74" s="11" t="s">
        <v>27</v>
      </c>
      <c r="L74" s="23">
        <v>1612037798</v>
      </c>
      <c r="M74" s="14">
        <v>1209670390</v>
      </c>
      <c r="N74" s="14">
        <v>402367409</v>
      </c>
      <c r="O74" s="14">
        <v>403836166</v>
      </c>
      <c r="P74" s="14">
        <v>64029204</v>
      </c>
      <c r="Q74" s="14">
        <v>42678216</v>
      </c>
      <c r="R74" s="14">
        <v>42137473</v>
      </c>
      <c r="S74" s="15">
        <v>23085880</v>
      </c>
      <c r="T74" s="15">
        <v>508355</v>
      </c>
      <c r="U74" s="15">
        <v>3585386</v>
      </c>
      <c r="V74" s="15">
        <f>100000*3+300000*2+900</f>
        <v>900900</v>
      </c>
      <c r="W74" s="15">
        <f>11000+10536+2800+1899</f>
        <v>26235</v>
      </c>
      <c r="X74" s="15">
        <v>400000</v>
      </c>
      <c r="Y74" s="24" t="s">
        <v>2056</v>
      </c>
      <c r="Z74" s="15">
        <v>0</v>
      </c>
      <c r="AA74" s="15">
        <v>0</v>
      </c>
      <c r="AB74" s="74">
        <f t="shared" si="65"/>
        <v>4912521</v>
      </c>
      <c r="AC74" s="75">
        <f t="shared" si="66"/>
        <v>21.27933178202434</v>
      </c>
      <c r="AD74" s="75">
        <f t="shared" si="67"/>
        <v>81.720944952222951</v>
      </c>
      <c r="AE74" s="76">
        <f t="shared" si="53"/>
        <v>2.4516283485666883</v>
      </c>
      <c r="AF74" s="77">
        <f t="shared" si="68"/>
        <v>19.87058368886758</v>
      </c>
      <c r="AG74" s="77">
        <f t="shared" si="69"/>
        <v>21.75845669531979</v>
      </c>
      <c r="AH74" s="77">
        <f t="shared" si="70"/>
        <v>1.8878730064522102</v>
      </c>
      <c r="AI74" s="78">
        <f t="shared" si="71"/>
        <v>100</v>
      </c>
      <c r="AJ74" s="79">
        <f t="shared" si="54"/>
        <v>4</v>
      </c>
      <c r="AK74" s="113">
        <v>7</v>
      </c>
      <c r="AL74" s="113">
        <v>0</v>
      </c>
      <c r="AM74" s="113">
        <v>0</v>
      </c>
      <c r="AN74" s="81">
        <f t="shared" si="72"/>
        <v>7</v>
      </c>
      <c r="AO74" s="82">
        <f t="shared" si="73"/>
        <v>0</v>
      </c>
      <c r="AP74" s="83">
        <f t="shared" si="74"/>
        <v>100</v>
      </c>
      <c r="AQ74" s="84">
        <f t="shared" si="55"/>
        <v>2</v>
      </c>
      <c r="AR74" s="118">
        <v>5</v>
      </c>
      <c r="AS74" s="86">
        <f t="shared" si="75"/>
        <v>0.25</v>
      </c>
      <c r="AT74" s="87">
        <f t="shared" si="76"/>
        <v>1.75</v>
      </c>
      <c r="AU74" s="87">
        <f t="shared" si="77"/>
        <v>1</v>
      </c>
      <c r="AV74" s="88">
        <f t="shared" si="78"/>
        <v>57.142857142857139</v>
      </c>
      <c r="AW74" s="78">
        <f t="shared" si="79"/>
        <v>100</v>
      </c>
      <c r="AX74" s="89">
        <f t="shared" si="56"/>
        <v>1</v>
      </c>
      <c r="AY74" s="114">
        <v>12</v>
      </c>
      <c r="AZ74" s="114">
        <f>12*4+9</f>
        <v>57</v>
      </c>
      <c r="BA74" s="91">
        <f t="shared" si="80"/>
        <v>60</v>
      </c>
      <c r="BB74" s="77">
        <f t="shared" si="81"/>
        <v>95</v>
      </c>
      <c r="BC74" s="78">
        <f t="shared" si="82"/>
        <v>100</v>
      </c>
      <c r="BD74" s="79">
        <f t="shared" si="57"/>
        <v>1</v>
      </c>
      <c r="BE74" s="92">
        <v>34395298</v>
      </c>
      <c r="BF74" s="92">
        <v>2599484</v>
      </c>
      <c r="BG74" s="93">
        <v>0</v>
      </c>
      <c r="BH74" s="94">
        <f t="shared" si="83"/>
        <v>36994782</v>
      </c>
      <c r="BI74" s="77">
        <f t="shared" si="84"/>
        <v>0</v>
      </c>
      <c r="BJ74" s="95" t="str">
        <f t="shared" si="85"/>
        <v>비제조/서비스업</v>
      </c>
      <c r="BK74" s="96">
        <f t="shared" si="86"/>
        <v>1.7464434573900922</v>
      </c>
      <c r="BL74" s="97">
        <f t="shared" si="87"/>
        <v>-1.7464434573900922</v>
      </c>
      <c r="BM74" s="98">
        <f t="shared" si="88"/>
        <v>80</v>
      </c>
      <c r="BN74" s="99">
        <f t="shared" si="89"/>
        <v>1.6</v>
      </c>
      <c r="BO74" s="114">
        <v>0</v>
      </c>
      <c r="BP74" s="101">
        <f t="shared" si="90"/>
        <v>0</v>
      </c>
      <c r="BQ74" s="78">
        <f t="shared" si="91"/>
        <v>25</v>
      </c>
      <c r="BR74" s="79">
        <f t="shared" si="58"/>
        <v>0.5</v>
      </c>
      <c r="BS74" s="102">
        <v>168776489</v>
      </c>
      <c r="BT74" s="102">
        <v>15439315</v>
      </c>
      <c r="BU74" s="103">
        <f t="shared" si="92"/>
        <v>153337174</v>
      </c>
      <c r="BV74" s="77">
        <f t="shared" si="93"/>
        <v>37.970144060846692</v>
      </c>
      <c r="BW74" s="96">
        <f t="shared" si="94"/>
        <v>2.8482825397737606</v>
      </c>
      <c r="BX74" s="96">
        <f t="shared" si="95"/>
        <v>1233.5451567054233</v>
      </c>
      <c r="BY74" s="96">
        <f t="shared" si="96"/>
        <v>5.5697595856656807</v>
      </c>
      <c r="BZ74" s="96">
        <f t="shared" si="97"/>
        <v>1.4334267106619336E-8</v>
      </c>
      <c r="CA74" s="96">
        <f t="shared" si="98"/>
        <v>100</v>
      </c>
      <c r="CB74" s="104">
        <f t="shared" si="99"/>
        <v>2</v>
      </c>
      <c r="CC74" s="105">
        <f t="shared" si="59"/>
        <v>300.63826317503765</v>
      </c>
      <c r="CD74" s="106">
        <f t="shared" si="60"/>
        <v>25</v>
      </c>
      <c r="CE74" s="107">
        <f t="shared" si="61"/>
        <v>0.375</v>
      </c>
      <c r="CF74" s="108" t="s">
        <v>2189</v>
      </c>
      <c r="CG74" s="108" t="s">
        <v>2189</v>
      </c>
      <c r="CH74" s="108" t="s">
        <v>2189</v>
      </c>
      <c r="CI74" s="108" t="s">
        <v>2189</v>
      </c>
      <c r="CJ74" s="109"/>
      <c r="CK74" s="116" t="s">
        <v>2199</v>
      </c>
      <c r="CL74" s="116" t="s">
        <v>2193</v>
      </c>
      <c r="CM74" s="111">
        <f t="shared" si="100"/>
        <v>25</v>
      </c>
      <c r="CN74" s="107">
        <f t="shared" si="62"/>
        <v>0.375</v>
      </c>
      <c r="CO74" s="114">
        <f>1125000+120000</f>
        <v>1245000</v>
      </c>
      <c r="CP74" s="88">
        <f t="shared" si="101"/>
        <v>0.30941869847117764</v>
      </c>
      <c r="CQ74" s="78">
        <f t="shared" si="102"/>
        <v>100</v>
      </c>
      <c r="CR74" s="79">
        <f t="shared" si="63"/>
        <v>3</v>
      </c>
      <c r="CS74" s="92">
        <f>_xlfn.XLOOKUP(C74, '[1]1-1. 관계사체무보증금액 (환율 등)'!$3:$3, '[1]1-1. 관계사체무보증금액 (환율 등)'!$33:$33)</f>
        <v>0</v>
      </c>
      <c r="CT74" s="77">
        <f t="shared" si="103"/>
        <v>0</v>
      </c>
      <c r="CU74" s="78">
        <f t="shared" si="104"/>
        <v>100</v>
      </c>
      <c r="CV74" s="79">
        <f t="shared" si="64"/>
        <v>2</v>
      </c>
      <c r="CW74" s="112">
        <f t="shared" si="105"/>
        <v>20.301628348566688</v>
      </c>
    </row>
    <row r="75" spans="1:101" x14ac:dyDescent="0.35">
      <c r="A75" s="7" t="s">
        <v>1835</v>
      </c>
      <c r="B75" s="8" t="s">
        <v>1836</v>
      </c>
      <c r="C75" s="21" t="s">
        <v>1837</v>
      </c>
      <c r="D75" s="10" t="s">
        <v>75</v>
      </c>
      <c r="E75" s="11" t="s">
        <v>76</v>
      </c>
      <c r="F75" s="11" t="s">
        <v>1838</v>
      </c>
      <c r="G75" s="12">
        <v>32648</v>
      </c>
      <c r="H75" s="11" t="s">
        <v>24</v>
      </c>
      <c r="I75" s="11" t="s">
        <v>1839</v>
      </c>
      <c r="J75" s="11" t="s">
        <v>1840</v>
      </c>
      <c r="K75" s="11" t="s">
        <v>27</v>
      </c>
      <c r="L75" s="23">
        <v>969016968</v>
      </c>
      <c r="M75" s="14">
        <v>318689082</v>
      </c>
      <c r="N75" s="14">
        <v>650327885</v>
      </c>
      <c r="O75" s="14">
        <v>637646664</v>
      </c>
      <c r="P75" s="14">
        <v>145266257</v>
      </c>
      <c r="Q75" s="14">
        <v>152220142</v>
      </c>
      <c r="R75" s="14">
        <v>120839991</v>
      </c>
      <c r="S75" s="15">
        <v>11335195</v>
      </c>
      <c r="T75" s="15">
        <v>456880</v>
      </c>
      <c r="U75" s="15">
        <v>1320408</v>
      </c>
      <c r="V75" s="15">
        <f>35479+14643+161080+78500+78500</f>
        <v>368202</v>
      </c>
      <c r="W75" s="15">
        <f>6000+3000+3000+2000</f>
        <v>14000</v>
      </c>
      <c r="X75" s="15">
        <v>0</v>
      </c>
      <c r="Z75" s="15">
        <v>0</v>
      </c>
      <c r="AA75" s="15">
        <v>0</v>
      </c>
      <c r="AB75" s="74">
        <f t="shared" si="65"/>
        <v>1702610</v>
      </c>
      <c r="AC75" s="75">
        <f t="shared" si="66"/>
        <v>15.020562063555149</v>
      </c>
      <c r="AD75" s="75">
        <f t="shared" si="67"/>
        <v>87.122644939394291</v>
      </c>
      <c r="AE75" s="76">
        <f t="shared" si="53"/>
        <v>2.6136793481818286</v>
      </c>
      <c r="AF75" s="77">
        <f t="shared" si="68"/>
        <v>15.522716523652791</v>
      </c>
      <c r="AG75" s="77">
        <f t="shared" si="69"/>
        <v>15.651412925623131</v>
      </c>
      <c r="AH75" s="77">
        <f t="shared" si="70"/>
        <v>0.12869640197033938</v>
      </c>
      <c r="AI75" s="78">
        <f t="shared" si="71"/>
        <v>100</v>
      </c>
      <c r="AJ75" s="79">
        <f t="shared" si="54"/>
        <v>4</v>
      </c>
      <c r="AK75" s="113">
        <v>6</v>
      </c>
      <c r="AL75" s="113">
        <v>10</v>
      </c>
      <c r="AM75" s="113">
        <v>2</v>
      </c>
      <c r="AN75" s="81">
        <f t="shared" si="72"/>
        <v>16</v>
      </c>
      <c r="AO75" s="82">
        <f t="shared" si="73"/>
        <v>12.5</v>
      </c>
      <c r="AP75" s="83">
        <f t="shared" si="74"/>
        <v>80</v>
      </c>
      <c r="AQ75" s="84">
        <f t="shared" si="55"/>
        <v>1.6</v>
      </c>
      <c r="AR75" s="118">
        <v>3</v>
      </c>
      <c r="AS75" s="86">
        <f t="shared" si="75"/>
        <v>0.25</v>
      </c>
      <c r="AT75" s="87">
        <f t="shared" si="76"/>
        <v>1.5</v>
      </c>
      <c r="AU75" s="87">
        <f t="shared" si="77"/>
        <v>1</v>
      </c>
      <c r="AV75" s="88">
        <f t="shared" si="78"/>
        <v>33.333333333333329</v>
      </c>
      <c r="AW75" s="78">
        <f t="shared" si="79"/>
        <v>80</v>
      </c>
      <c r="AX75" s="89">
        <f t="shared" si="56"/>
        <v>0.8</v>
      </c>
      <c r="AY75" s="114">
        <v>8</v>
      </c>
      <c r="AZ75" s="114">
        <f>24-2</f>
        <v>22</v>
      </c>
      <c r="BA75" s="91">
        <f t="shared" si="80"/>
        <v>24</v>
      </c>
      <c r="BB75" s="77">
        <f t="shared" si="81"/>
        <v>91.666666666666657</v>
      </c>
      <c r="BC75" s="78">
        <f t="shared" si="82"/>
        <v>100</v>
      </c>
      <c r="BD75" s="79">
        <f t="shared" si="57"/>
        <v>1</v>
      </c>
      <c r="BE75" s="92">
        <v>20495578</v>
      </c>
      <c r="BF75" s="92">
        <v>2389347</v>
      </c>
      <c r="BG75" s="114">
        <v>1460740</v>
      </c>
      <c r="BH75" s="94">
        <f t="shared" si="83"/>
        <v>22884925</v>
      </c>
      <c r="BI75" s="77">
        <f t="shared" si="84"/>
        <v>6.3829791882647635</v>
      </c>
      <c r="BJ75" s="95" t="str">
        <f t="shared" si="85"/>
        <v>금속/비금속/화학업</v>
      </c>
      <c r="BK75" s="96">
        <f t="shared" si="86"/>
        <v>3.9534118626990469</v>
      </c>
      <c r="BL75" s="97">
        <f t="shared" si="87"/>
        <v>2.4295673255657166</v>
      </c>
      <c r="BM75" s="98">
        <f t="shared" si="88"/>
        <v>40</v>
      </c>
      <c r="BN75" s="99">
        <f t="shared" si="89"/>
        <v>0.8</v>
      </c>
      <c r="BO75" s="114">
        <v>18955000</v>
      </c>
      <c r="BP75" s="101">
        <f t="shared" si="90"/>
        <v>2.9726494421054479</v>
      </c>
      <c r="BQ75" s="78">
        <f t="shared" si="91"/>
        <v>85</v>
      </c>
      <c r="BR75" s="79">
        <f t="shared" si="58"/>
        <v>1.7</v>
      </c>
      <c r="BS75" s="102">
        <v>99011831.915999994</v>
      </c>
      <c r="BT75" s="102">
        <v>2666.2</v>
      </c>
      <c r="BU75" s="103">
        <f t="shared" si="92"/>
        <v>99009165.715999991</v>
      </c>
      <c r="BV75" s="77">
        <f t="shared" si="93"/>
        <v>15.527277300395316</v>
      </c>
      <c r="BW75" s="96">
        <f t="shared" si="94"/>
        <v>5.1474158565187738</v>
      </c>
      <c r="BX75" s="96">
        <f t="shared" si="95"/>
        <v>107.74152359407482</v>
      </c>
      <c r="BY75" s="96">
        <f t="shared" si="96"/>
        <v>6.6930498535228535</v>
      </c>
      <c r="BZ75" s="96">
        <f t="shared" si="97"/>
        <v>6.0469801004347286</v>
      </c>
      <c r="CA75" s="96">
        <f t="shared" si="98"/>
        <v>85</v>
      </c>
      <c r="CB75" s="104">
        <f t="shared" si="99"/>
        <v>1.7</v>
      </c>
      <c r="CC75" s="105">
        <f t="shared" si="59"/>
        <v>49.004369849525979</v>
      </c>
      <c r="CD75" s="106">
        <f t="shared" si="60"/>
        <v>81.907900810480157</v>
      </c>
      <c r="CE75" s="107">
        <f t="shared" si="61"/>
        <v>1.2286185121572024</v>
      </c>
      <c r="CF75" s="108" t="s">
        <v>2189</v>
      </c>
      <c r="CG75" s="108" t="s">
        <v>2189</v>
      </c>
      <c r="CH75" s="108" t="s">
        <v>2189</v>
      </c>
      <c r="CI75" s="108" t="s">
        <v>2189</v>
      </c>
      <c r="CJ75" s="109"/>
      <c r="CK75" s="116" t="s">
        <v>2207</v>
      </c>
      <c r="CL75" s="116" t="s">
        <v>2204</v>
      </c>
      <c r="CM75" s="111">
        <f t="shared" si="100"/>
        <v>70</v>
      </c>
      <c r="CN75" s="107">
        <f t="shared" si="62"/>
        <v>1.05</v>
      </c>
      <c r="CO75" s="114">
        <f>95633000-1000000</f>
        <v>94633000</v>
      </c>
      <c r="CP75" s="88">
        <f t="shared" si="101"/>
        <v>14.551582698933476</v>
      </c>
      <c r="CQ75" s="78">
        <f t="shared" si="102"/>
        <v>60</v>
      </c>
      <c r="CR75" s="79">
        <f t="shared" si="63"/>
        <v>1.7999999999999998</v>
      </c>
      <c r="CS75" s="92">
        <f>_xlfn.XLOOKUP(C75, '[1]1-1. 관계사체무보증금액 (환율 등)'!$3:$3, '[1]1-1. 관계사체무보증금액 (환율 등)'!$33:$33)</f>
        <v>0</v>
      </c>
      <c r="CT75" s="77">
        <f t="shared" si="103"/>
        <v>0</v>
      </c>
      <c r="CU75" s="78">
        <f t="shared" si="104"/>
        <v>100</v>
      </c>
      <c r="CV75" s="79">
        <f t="shared" si="64"/>
        <v>2</v>
      </c>
      <c r="CW75" s="112">
        <f t="shared" si="105"/>
        <v>20.292297860339033</v>
      </c>
    </row>
    <row r="76" spans="1:101" x14ac:dyDescent="0.35">
      <c r="A76" s="7" t="s">
        <v>1916</v>
      </c>
      <c r="B76" s="8" t="s">
        <v>1917</v>
      </c>
      <c r="C76" s="21" t="s">
        <v>1918</v>
      </c>
      <c r="D76" s="10" t="s">
        <v>21</v>
      </c>
      <c r="E76" s="11" t="s">
        <v>1831</v>
      </c>
      <c r="F76" s="11" t="s">
        <v>1919</v>
      </c>
      <c r="G76" s="12">
        <v>38712</v>
      </c>
      <c r="H76" s="11" t="s">
        <v>24</v>
      </c>
      <c r="I76" s="11" t="s">
        <v>1920</v>
      </c>
      <c r="J76" s="11" t="s">
        <v>1921</v>
      </c>
      <c r="K76" s="11" t="s">
        <v>27</v>
      </c>
      <c r="L76" s="23">
        <v>11586104724</v>
      </c>
      <c r="M76" s="14">
        <v>5729632009</v>
      </c>
      <c r="N76" s="14">
        <v>5856472715</v>
      </c>
      <c r="O76" s="14">
        <v>21528979386</v>
      </c>
      <c r="P76" s="14">
        <v>1595700562</v>
      </c>
      <c r="Q76" s="14">
        <v>1527487113</v>
      </c>
      <c r="R76" s="14">
        <v>1209437646</v>
      </c>
      <c r="S76" s="15">
        <v>37500000</v>
      </c>
      <c r="T76" s="15">
        <v>0</v>
      </c>
      <c r="U76" s="15">
        <v>7499991</v>
      </c>
      <c r="V76" s="15">
        <v>0</v>
      </c>
      <c r="W76" s="15">
        <f>400+300+2325+250+560+313+6+2000+172+14+530+50</f>
        <v>6920</v>
      </c>
      <c r="X76" s="15">
        <v>1671018</v>
      </c>
      <c r="Y76" s="24" t="s">
        <v>2121</v>
      </c>
      <c r="Z76" s="15">
        <v>1830939</v>
      </c>
      <c r="AA76" s="15">
        <v>0</v>
      </c>
      <c r="AB76" s="74">
        <f t="shared" si="65"/>
        <v>11008868</v>
      </c>
      <c r="AC76" s="75">
        <f t="shared" si="66"/>
        <v>29.35698133333333</v>
      </c>
      <c r="AD76" s="75">
        <f t="shared" si="67"/>
        <v>74.749440736478718</v>
      </c>
      <c r="AE76" s="76">
        <f t="shared" si="53"/>
        <v>2.2424832220943616</v>
      </c>
      <c r="AF76" s="77">
        <f t="shared" si="68"/>
        <v>19.999976</v>
      </c>
      <c r="AG76" s="77">
        <f t="shared" si="69"/>
        <v>29.35698133333333</v>
      </c>
      <c r="AH76" s="77">
        <f t="shared" si="70"/>
        <v>9.3570053333333298</v>
      </c>
      <c r="AI76" s="78">
        <f t="shared" si="71"/>
        <v>100</v>
      </c>
      <c r="AJ76" s="79">
        <f t="shared" si="54"/>
        <v>4</v>
      </c>
      <c r="AK76" s="113">
        <v>9</v>
      </c>
      <c r="AL76" s="113">
        <v>36</v>
      </c>
      <c r="AM76" s="113">
        <v>0</v>
      </c>
      <c r="AN76" s="81">
        <f t="shared" si="72"/>
        <v>45</v>
      </c>
      <c r="AO76" s="82">
        <f t="shared" si="73"/>
        <v>0</v>
      </c>
      <c r="AP76" s="83">
        <f t="shared" si="74"/>
        <v>100</v>
      </c>
      <c r="AQ76" s="84">
        <f t="shared" si="55"/>
        <v>2</v>
      </c>
      <c r="AR76" s="118">
        <v>5</v>
      </c>
      <c r="AS76" s="86">
        <f t="shared" si="75"/>
        <v>0.5</v>
      </c>
      <c r="AT76" s="87">
        <f t="shared" si="76"/>
        <v>4.5</v>
      </c>
      <c r="AU76" s="87">
        <f t="shared" si="77"/>
        <v>4</v>
      </c>
      <c r="AV76" s="88">
        <f t="shared" si="78"/>
        <v>11.111111111111111</v>
      </c>
      <c r="AW76" s="78">
        <f t="shared" si="79"/>
        <v>60</v>
      </c>
      <c r="AX76" s="89">
        <f t="shared" si="56"/>
        <v>0.6</v>
      </c>
      <c r="AY76" s="114">
        <v>10</v>
      </c>
      <c r="AZ76" s="114">
        <v>50</v>
      </c>
      <c r="BA76" s="91">
        <f t="shared" si="80"/>
        <v>50</v>
      </c>
      <c r="BB76" s="77">
        <f t="shared" si="81"/>
        <v>100</v>
      </c>
      <c r="BC76" s="78">
        <f t="shared" si="82"/>
        <v>100</v>
      </c>
      <c r="BD76" s="79">
        <f t="shared" si="57"/>
        <v>1</v>
      </c>
      <c r="BE76" s="92">
        <v>136838004</v>
      </c>
      <c r="BF76" s="92">
        <v>13310333</v>
      </c>
      <c r="BG76" s="93">
        <v>0</v>
      </c>
      <c r="BH76" s="94">
        <f t="shared" si="83"/>
        <v>150148337</v>
      </c>
      <c r="BI76" s="77">
        <f t="shared" si="84"/>
        <v>0</v>
      </c>
      <c r="BJ76" s="95" t="str">
        <f t="shared" si="85"/>
        <v>비제조/서비스업</v>
      </c>
      <c r="BK76" s="96">
        <f t="shared" si="86"/>
        <v>1.7464434573900922</v>
      </c>
      <c r="BL76" s="97">
        <f t="shared" si="87"/>
        <v>-1.7464434573900922</v>
      </c>
      <c r="BM76" s="98">
        <f t="shared" si="88"/>
        <v>80</v>
      </c>
      <c r="BN76" s="99">
        <f t="shared" si="89"/>
        <v>1.6</v>
      </c>
      <c r="BO76" s="114">
        <v>8216231</v>
      </c>
      <c r="BP76" s="101">
        <f t="shared" si="90"/>
        <v>3.8163588030294196E-2</v>
      </c>
      <c r="BQ76" s="78">
        <f t="shared" si="91"/>
        <v>40</v>
      </c>
      <c r="BR76" s="79">
        <f t="shared" si="58"/>
        <v>0.8</v>
      </c>
      <c r="BS76" s="102">
        <v>137412965.12400001</v>
      </c>
      <c r="BT76" s="102">
        <v>215025.245</v>
      </c>
      <c r="BU76" s="103">
        <f t="shared" si="92"/>
        <v>137197939.87900001</v>
      </c>
      <c r="BV76" s="77">
        <f t="shared" si="93"/>
        <v>0.63727098911255375</v>
      </c>
      <c r="BW76" s="96">
        <f t="shared" si="94"/>
        <v>2.8482825397737606</v>
      </c>
      <c r="BX76" s="96">
        <f t="shared" si="95"/>
        <v>4.8885720771572752</v>
      </c>
      <c r="BY76" s="96">
        <f t="shared" si="96"/>
        <v>5.5697595856656807</v>
      </c>
      <c r="BZ76" s="96">
        <f t="shared" si="97"/>
        <v>65.43041549402821</v>
      </c>
      <c r="CA76" s="96">
        <f t="shared" si="98"/>
        <v>40</v>
      </c>
      <c r="CB76" s="104">
        <f t="shared" si="99"/>
        <v>0.8</v>
      </c>
      <c r="CC76" s="105">
        <f t="shared" si="59"/>
        <v>97.834179169397871</v>
      </c>
      <c r="CD76" s="106">
        <f t="shared" si="60"/>
        <v>63.504706343191756</v>
      </c>
      <c r="CE76" s="107">
        <f t="shared" si="61"/>
        <v>0.95257059514787634</v>
      </c>
      <c r="CF76" s="108" t="s">
        <v>2189</v>
      </c>
      <c r="CG76" s="108" t="s">
        <v>2189</v>
      </c>
      <c r="CH76" s="108" t="s">
        <v>2189</v>
      </c>
      <c r="CI76" s="108" t="s">
        <v>2189</v>
      </c>
      <c r="CJ76" s="109"/>
      <c r="CK76" s="116" t="s">
        <v>2190</v>
      </c>
      <c r="CL76" s="116" t="s">
        <v>2191</v>
      </c>
      <c r="CM76" s="111">
        <f t="shared" si="100"/>
        <v>85</v>
      </c>
      <c r="CN76" s="107">
        <f t="shared" si="62"/>
        <v>1.2749999999999999</v>
      </c>
      <c r="CO76" s="114">
        <v>132665693</v>
      </c>
      <c r="CP76" s="88">
        <f t="shared" si="101"/>
        <v>2.2652832081025069</v>
      </c>
      <c r="CQ76" s="78">
        <f t="shared" si="102"/>
        <v>100</v>
      </c>
      <c r="CR76" s="79">
        <f t="shared" si="63"/>
        <v>3</v>
      </c>
      <c r="CS76" s="92">
        <f>_xlfn.XLOOKUP(C76, '[1]1-1. 관계사체무보증금액 (환율 등)'!$3:$3, '[1]1-1. 관계사체무보증금액 (환율 등)'!$33:$33)</f>
        <v>110255098.07275631</v>
      </c>
      <c r="CT76" s="77">
        <f t="shared" si="103"/>
        <v>1.8826195124304663</v>
      </c>
      <c r="CU76" s="78">
        <f t="shared" si="104"/>
        <v>100</v>
      </c>
      <c r="CV76" s="79">
        <f t="shared" si="64"/>
        <v>2</v>
      </c>
      <c r="CW76" s="112">
        <f t="shared" si="105"/>
        <v>20.270053817242236</v>
      </c>
    </row>
    <row r="77" spans="1:101" x14ac:dyDescent="0.35">
      <c r="A77" s="7" t="s">
        <v>1028</v>
      </c>
      <c r="B77" s="8" t="s">
        <v>1029</v>
      </c>
      <c r="C77" s="21" t="s">
        <v>1030</v>
      </c>
      <c r="D77" s="10" t="s">
        <v>141</v>
      </c>
      <c r="E77" s="11" t="s">
        <v>241</v>
      </c>
      <c r="F77" s="11" t="s">
        <v>1031</v>
      </c>
      <c r="G77" s="12">
        <v>27937</v>
      </c>
      <c r="H77" s="11" t="s">
        <v>24</v>
      </c>
      <c r="I77" s="11" t="s">
        <v>1032</v>
      </c>
      <c r="J77" s="11" t="s">
        <v>1033</v>
      </c>
      <c r="K77" s="11" t="s">
        <v>50</v>
      </c>
      <c r="L77" s="23">
        <v>258833722</v>
      </c>
      <c r="M77" s="14">
        <v>56671294</v>
      </c>
      <c r="N77" s="14">
        <v>202162428</v>
      </c>
      <c r="O77" s="14">
        <v>211265922</v>
      </c>
      <c r="P77" s="14">
        <v>24633492</v>
      </c>
      <c r="Q77" s="14">
        <v>27322194</v>
      </c>
      <c r="R77" s="14">
        <v>21624124</v>
      </c>
      <c r="S77" s="15">
        <v>10395000</v>
      </c>
      <c r="T77" s="15">
        <v>134000</v>
      </c>
      <c r="U77" s="15">
        <v>1680198</v>
      </c>
      <c r="V77" s="15">
        <v>351000</v>
      </c>
      <c r="W77" s="15">
        <v>0</v>
      </c>
      <c r="X77" s="15">
        <v>0</v>
      </c>
      <c r="Z77" s="15">
        <f>233000+662045</f>
        <v>895045</v>
      </c>
      <c r="AA77" s="15">
        <v>165780</v>
      </c>
      <c r="AB77" s="74">
        <f t="shared" si="65"/>
        <v>2926243</v>
      </c>
      <c r="AC77" s="75">
        <f t="shared" si="66"/>
        <v>28.150485810485808</v>
      </c>
      <c r="AD77" s="75">
        <f t="shared" si="67"/>
        <v>75.790719956427665</v>
      </c>
      <c r="AE77" s="76">
        <f t="shared" si="53"/>
        <v>2.2737215986928301</v>
      </c>
      <c r="AF77" s="77">
        <f t="shared" si="68"/>
        <v>20.120393612026284</v>
      </c>
      <c r="AG77" s="77">
        <f t="shared" si="69"/>
        <v>27.344257975556747</v>
      </c>
      <c r="AH77" s="77">
        <f t="shared" si="70"/>
        <v>7.2238643635304634</v>
      </c>
      <c r="AI77" s="78">
        <f t="shared" si="71"/>
        <v>100</v>
      </c>
      <c r="AJ77" s="79">
        <f t="shared" si="54"/>
        <v>4</v>
      </c>
      <c r="AK77" s="113">
        <v>9</v>
      </c>
      <c r="AL77" s="113">
        <v>8</v>
      </c>
      <c r="AM77" s="113">
        <v>1</v>
      </c>
      <c r="AN77" s="81">
        <f t="shared" si="72"/>
        <v>17</v>
      </c>
      <c r="AO77" s="82">
        <f t="shared" si="73"/>
        <v>5.8823529411764701</v>
      </c>
      <c r="AP77" s="83">
        <f t="shared" si="74"/>
        <v>100</v>
      </c>
      <c r="AQ77" s="84">
        <f t="shared" si="55"/>
        <v>2</v>
      </c>
      <c r="AR77" s="118">
        <v>2</v>
      </c>
      <c r="AS77" s="86">
        <f t="shared" si="75"/>
        <v>0.25</v>
      </c>
      <c r="AT77" s="87">
        <f t="shared" si="76"/>
        <v>2.25</v>
      </c>
      <c r="AU77" s="87">
        <f t="shared" si="77"/>
        <v>2</v>
      </c>
      <c r="AV77" s="88">
        <f t="shared" si="78"/>
        <v>0</v>
      </c>
      <c r="AW77" s="78">
        <f t="shared" si="79"/>
        <v>40</v>
      </c>
      <c r="AX77" s="89">
        <f t="shared" si="56"/>
        <v>0.4</v>
      </c>
      <c r="AY77" s="114">
        <v>7</v>
      </c>
      <c r="AZ77" s="114">
        <v>14</v>
      </c>
      <c r="BA77" s="91">
        <f t="shared" si="80"/>
        <v>14</v>
      </c>
      <c r="BB77" s="77">
        <f t="shared" si="81"/>
        <v>100</v>
      </c>
      <c r="BC77" s="78">
        <f t="shared" si="82"/>
        <v>100</v>
      </c>
      <c r="BD77" s="79">
        <f t="shared" si="57"/>
        <v>1</v>
      </c>
      <c r="BE77" s="92">
        <v>10391630</v>
      </c>
      <c r="BF77" s="92">
        <v>1007549</v>
      </c>
      <c r="BG77" s="93">
        <v>0</v>
      </c>
      <c r="BH77" s="94">
        <f t="shared" si="83"/>
        <v>11399179</v>
      </c>
      <c r="BI77" s="77">
        <f t="shared" si="84"/>
        <v>0</v>
      </c>
      <c r="BJ77" s="95" t="str">
        <f t="shared" si="85"/>
        <v>전기전자/기계업</v>
      </c>
      <c r="BK77" s="96">
        <f t="shared" si="86"/>
        <v>2.4096449716116446</v>
      </c>
      <c r="BL77" s="97">
        <f t="shared" si="87"/>
        <v>-2.4096449716116446</v>
      </c>
      <c r="BM77" s="98">
        <f t="shared" si="88"/>
        <v>100</v>
      </c>
      <c r="BN77" s="99">
        <f t="shared" si="89"/>
        <v>2</v>
      </c>
      <c r="BO77" s="114">
        <v>3222564</v>
      </c>
      <c r="BP77" s="101">
        <f t="shared" si="90"/>
        <v>1.5253591158918662</v>
      </c>
      <c r="BQ77" s="78">
        <f t="shared" si="91"/>
        <v>70</v>
      </c>
      <c r="BR77" s="79">
        <f t="shared" si="58"/>
        <v>1.4000000000000001</v>
      </c>
      <c r="BS77" s="102">
        <v>22680596.897999998</v>
      </c>
      <c r="BT77" s="102">
        <v>10573.8</v>
      </c>
      <c r="BU77" s="103">
        <f t="shared" si="92"/>
        <v>22670023.097999997</v>
      </c>
      <c r="BV77" s="77">
        <f t="shared" si="93"/>
        <v>10.730563113723566</v>
      </c>
      <c r="BW77" s="96">
        <f t="shared" si="94"/>
        <v>5.2309968128308295</v>
      </c>
      <c r="BX77" s="96">
        <f t="shared" si="95"/>
        <v>30.245229497915012</v>
      </c>
      <c r="BY77" s="96">
        <f t="shared" si="96"/>
        <v>7.0695458012309631</v>
      </c>
      <c r="BZ77" s="96">
        <f t="shared" si="97"/>
        <v>21.830703637809378</v>
      </c>
      <c r="CA77" s="96">
        <f t="shared" si="98"/>
        <v>70</v>
      </c>
      <c r="CB77" s="104">
        <f t="shared" si="99"/>
        <v>1.4000000000000001</v>
      </c>
      <c r="CC77" s="105">
        <f t="shared" si="59"/>
        <v>28.03255508981125</v>
      </c>
      <c r="CD77" s="106">
        <f t="shared" si="60"/>
        <v>89.811851096804801</v>
      </c>
      <c r="CE77" s="107">
        <f t="shared" si="61"/>
        <v>1.3471777664520719</v>
      </c>
      <c r="CF77" s="108" t="s">
        <v>2189</v>
      </c>
      <c r="CG77" s="108" t="s">
        <v>2189</v>
      </c>
      <c r="CH77" s="108" t="s">
        <v>2189</v>
      </c>
      <c r="CI77" s="108" t="s">
        <v>2189</v>
      </c>
      <c r="CJ77" s="109"/>
      <c r="CK77" s="116" t="s">
        <v>2192</v>
      </c>
      <c r="CL77" s="116" t="s">
        <v>2193</v>
      </c>
      <c r="CM77" s="111">
        <f t="shared" si="100"/>
        <v>25</v>
      </c>
      <c r="CN77" s="107">
        <f t="shared" si="62"/>
        <v>0.375</v>
      </c>
      <c r="CO77" s="114">
        <f>13020000-562000-3000</f>
        <v>12455000</v>
      </c>
      <c r="CP77" s="88">
        <f t="shared" si="101"/>
        <v>6.1608876205226428</v>
      </c>
      <c r="CQ77" s="78">
        <f t="shared" si="102"/>
        <v>80</v>
      </c>
      <c r="CR77" s="79">
        <f t="shared" si="63"/>
        <v>2.4</v>
      </c>
      <c r="CS77" s="92">
        <f>_xlfn.XLOOKUP(C77, '[1]1-1. 관계사체무보증금액 (환율 등)'!$3:$3, '[1]1-1. 관계사체무보증금액 (환율 등)'!$33:$33)</f>
        <v>6417875</v>
      </c>
      <c r="CT77" s="77">
        <f t="shared" si="103"/>
        <v>3.1746131383028309</v>
      </c>
      <c r="CU77" s="78">
        <f t="shared" si="104"/>
        <v>80</v>
      </c>
      <c r="CV77" s="79">
        <f t="shared" si="64"/>
        <v>1.6</v>
      </c>
      <c r="CW77" s="112">
        <f t="shared" si="105"/>
        <v>20.195899365144903</v>
      </c>
    </row>
    <row r="78" spans="1:101" x14ac:dyDescent="0.35">
      <c r="A78" s="7" t="s">
        <v>1657</v>
      </c>
      <c r="B78" s="8" t="s">
        <v>1658</v>
      </c>
      <c r="C78" s="21" t="s">
        <v>1659</v>
      </c>
      <c r="D78" s="22" t="s">
        <v>75</v>
      </c>
      <c r="E78" s="11" t="s">
        <v>276</v>
      </c>
      <c r="F78" s="11" t="s">
        <v>1660</v>
      </c>
      <c r="G78" s="12">
        <v>43039</v>
      </c>
      <c r="H78" s="11" t="s">
        <v>24</v>
      </c>
      <c r="I78" s="11" t="s">
        <v>1661</v>
      </c>
      <c r="J78" s="11" t="s">
        <v>1662</v>
      </c>
      <c r="K78" s="11" t="s">
        <v>50</v>
      </c>
      <c r="L78" s="23">
        <v>136133552</v>
      </c>
      <c r="M78" s="14">
        <v>44833578</v>
      </c>
      <c r="N78" s="14">
        <v>91299975</v>
      </c>
      <c r="O78" s="14">
        <v>179753809</v>
      </c>
      <c r="P78" s="14">
        <v>24450342</v>
      </c>
      <c r="Q78" s="14">
        <v>25307795</v>
      </c>
      <c r="R78" s="14">
        <v>20467189</v>
      </c>
      <c r="S78" s="15">
        <v>4717650</v>
      </c>
      <c r="T78" s="15">
        <v>0</v>
      </c>
      <c r="U78" s="15">
        <v>2141300</v>
      </c>
      <c r="V78" s="15">
        <v>10726</v>
      </c>
      <c r="W78" s="15">
        <f>4040+4000</f>
        <v>8040</v>
      </c>
      <c r="X78" s="15">
        <v>0</v>
      </c>
      <c r="Z78" s="15">
        <v>0</v>
      </c>
      <c r="AA78" s="15">
        <v>0</v>
      </c>
      <c r="AB78" s="74">
        <f t="shared" si="65"/>
        <v>2160066</v>
      </c>
      <c r="AC78" s="75">
        <f t="shared" si="66"/>
        <v>45.786906616641758</v>
      </c>
      <c r="AD78" s="75">
        <f t="shared" si="67"/>
        <v>60.569413161701597</v>
      </c>
      <c r="AE78" s="76">
        <f t="shared" si="53"/>
        <v>1.8170823948510479</v>
      </c>
      <c r="AF78" s="77">
        <f t="shared" si="68"/>
        <v>45.616482782741407</v>
      </c>
      <c r="AG78" s="77">
        <f t="shared" si="69"/>
        <v>45.786906616641758</v>
      </c>
      <c r="AH78" s="77">
        <f t="shared" si="70"/>
        <v>0.17042383390035099</v>
      </c>
      <c r="AI78" s="78">
        <f t="shared" si="71"/>
        <v>100</v>
      </c>
      <c r="AJ78" s="79">
        <f t="shared" si="54"/>
        <v>4</v>
      </c>
      <c r="AK78" s="113">
        <v>6</v>
      </c>
      <c r="AL78" s="113">
        <v>2</v>
      </c>
      <c r="AM78" s="113">
        <v>0</v>
      </c>
      <c r="AN78" s="81">
        <f t="shared" si="72"/>
        <v>8</v>
      </c>
      <c r="AO78" s="82">
        <f t="shared" si="73"/>
        <v>0</v>
      </c>
      <c r="AP78" s="83">
        <f t="shared" si="74"/>
        <v>100</v>
      </c>
      <c r="AQ78" s="84">
        <f t="shared" si="55"/>
        <v>2</v>
      </c>
      <c r="AR78" s="118">
        <v>3</v>
      </c>
      <c r="AS78" s="86">
        <f t="shared" si="75"/>
        <v>0.25</v>
      </c>
      <c r="AT78" s="87">
        <f t="shared" si="76"/>
        <v>1.5</v>
      </c>
      <c r="AU78" s="87">
        <f t="shared" si="77"/>
        <v>1</v>
      </c>
      <c r="AV78" s="88">
        <f t="shared" si="78"/>
        <v>33.333333333333329</v>
      </c>
      <c r="AW78" s="78">
        <f t="shared" si="79"/>
        <v>80</v>
      </c>
      <c r="AX78" s="89">
        <f t="shared" si="56"/>
        <v>0.8</v>
      </c>
      <c r="AY78" s="114">
        <v>8</v>
      </c>
      <c r="AZ78" s="114">
        <f>24-3</f>
        <v>21</v>
      </c>
      <c r="BA78" s="91">
        <f t="shared" si="80"/>
        <v>24</v>
      </c>
      <c r="BB78" s="77">
        <f t="shared" si="81"/>
        <v>87.5</v>
      </c>
      <c r="BC78" s="78">
        <f t="shared" si="82"/>
        <v>75</v>
      </c>
      <c r="BD78" s="79">
        <f t="shared" si="57"/>
        <v>0.75</v>
      </c>
      <c r="BE78" s="92">
        <v>5192911</v>
      </c>
      <c r="BF78" s="92">
        <v>433805</v>
      </c>
      <c r="BG78" s="114">
        <v>253313</v>
      </c>
      <c r="BH78" s="94">
        <f t="shared" si="83"/>
        <v>5626716</v>
      </c>
      <c r="BI78" s="77">
        <f t="shared" si="84"/>
        <v>4.5019688216003795</v>
      </c>
      <c r="BJ78" s="95" t="str">
        <f t="shared" si="85"/>
        <v>금속/비금속/화학업</v>
      </c>
      <c r="BK78" s="96">
        <f t="shared" si="86"/>
        <v>3.9534118626990469</v>
      </c>
      <c r="BL78" s="97">
        <f t="shared" si="87"/>
        <v>0.5485569589013326</v>
      </c>
      <c r="BM78" s="98">
        <f t="shared" si="88"/>
        <v>60</v>
      </c>
      <c r="BN78" s="99">
        <f t="shared" si="89"/>
        <v>1.2</v>
      </c>
      <c r="BO78" s="114">
        <v>3973000</v>
      </c>
      <c r="BP78" s="101">
        <f t="shared" si="90"/>
        <v>2.2102452360272378</v>
      </c>
      <c r="BQ78" s="78">
        <f t="shared" si="91"/>
        <v>85</v>
      </c>
      <c r="BR78" s="79">
        <f t="shared" si="58"/>
        <v>1.7</v>
      </c>
      <c r="BS78" s="102">
        <v>7300870.6859999998</v>
      </c>
      <c r="BT78" s="102">
        <v>22594.3</v>
      </c>
      <c r="BU78" s="103">
        <f t="shared" si="92"/>
        <v>7278276.3859999999</v>
      </c>
      <c r="BV78" s="77">
        <f t="shared" si="93"/>
        <v>4.049024844864344</v>
      </c>
      <c r="BW78" s="96">
        <f t="shared" si="94"/>
        <v>5.1474158565187738</v>
      </c>
      <c r="BX78" s="96">
        <f t="shared" si="95"/>
        <v>1.2064628144832417</v>
      </c>
      <c r="BY78" s="96">
        <f t="shared" si="96"/>
        <v>6.6930498535228535</v>
      </c>
      <c r="BZ78" s="96">
        <f t="shared" si="97"/>
        <v>56.517740760492252</v>
      </c>
      <c r="CA78" s="96">
        <f t="shared" si="98"/>
        <v>55</v>
      </c>
      <c r="CB78" s="104">
        <f t="shared" si="99"/>
        <v>1.1000000000000001</v>
      </c>
      <c r="CC78" s="105">
        <f t="shared" si="59"/>
        <v>49.105794388224098</v>
      </c>
      <c r="CD78" s="106">
        <f t="shared" si="60"/>
        <v>81.869675481825084</v>
      </c>
      <c r="CE78" s="107">
        <f t="shared" si="61"/>
        <v>1.2280451322273762</v>
      </c>
      <c r="CF78" s="108" t="s">
        <v>2189</v>
      </c>
      <c r="CG78" s="108" t="s">
        <v>2189</v>
      </c>
      <c r="CH78" s="108" t="s">
        <v>2189</v>
      </c>
      <c r="CI78" s="108" t="s">
        <v>2189</v>
      </c>
      <c r="CJ78" s="109"/>
      <c r="CK78" s="116" t="s">
        <v>2208</v>
      </c>
      <c r="CL78" s="116" t="s">
        <v>2209</v>
      </c>
      <c r="CM78" s="111">
        <f t="shared" si="100"/>
        <v>40</v>
      </c>
      <c r="CN78" s="107">
        <f t="shared" si="62"/>
        <v>0.6</v>
      </c>
      <c r="CO78" s="114">
        <v>903000</v>
      </c>
      <c r="CP78" s="88">
        <f t="shared" si="101"/>
        <v>0.98904736830431783</v>
      </c>
      <c r="CQ78" s="78">
        <f t="shared" si="102"/>
        <v>100</v>
      </c>
      <c r="CR78" s="79">
        <f t="shared" si="63"/>
        <v>3</v>
      </c>
      <c r="CS78" s="92">
        <f>_xlfn.XLOOKUP(C78, '[1]1-1. 관계사체무보증금액 (환율 등)'!$3:$3, '[1]1-1. 관계사체무보증금액 (환율 등)'!$33:$33)</f>
        <v>0</v>
      </c>
      <c r="CT78" s="77">
        <f t="shared" si="103"/>
        <v>0</v>
      </c>
      <c r="CU78" s="78">
        <f t="shared" si="104"/>
        <v>100</v>
      </c>
      <c r="CV78" s="79">
        <f t="shared" si="64"/>
        <v>2</v>
      </c>
      <c r="CW78" s="112">
        <f t="shared" si="105"/>
        <v>20.195127527078419</v>
      </c>
    </row>
    <row r="79" spans="1:101" x14ac:dyDescent="0.35">
      <c r="A79" s="7" t="s">
        <v>1351</v>
      </c>
      <c r="B79" s="8" t="s">
        <v>1352</v>
      </c>
      <c r="C79" s="21" t="s">
        <v>1353</v>
      </c>
      <c r="D79" s="10" t="s">
        <v>31</v>
      </c>
      <c r="E79" s="11" t="s">
        <v>183</v>
      </c>
      <c r="F79" s="11" t="s">
        <v>1354</v>
      </c>
      <c r="G79" s="12">
        <v>22951</v>
      </c>
      <c r="H79" s="11" t="s">
        <v>24</v>
      </c>
      <c r="I79" s="11" t="s">
        <v>1355</v>
      </c>
      <c r="J79" s="11" t="s">
        <v>1356</v>
      </c>
      <c r="K79" s="11" t="s">
        <v>27</v>
      </c>
      <c r="L79" s="23">
        <v>2274482334</v>
      </c>
      <c r="M79" s="14">
        <v>333634565</v>
      </c>
      <c r="N79" s="14">
        <v>1940847769</v>
      </c>
      <c r="O79" s="14">
        <v>1726364617</v>
      </c>
      <c r="P79" s="14">
        <v>41119507</v>
      </c>
      <c r="Q79" s="14">
        <v>153965942</v>
      </c>
      <c r="R79" s="14">
        <v>130274124</v>
      </c>
      <c r="S79" s="15">
        <v>73231476</v>
      </c>
      <c r="T79" s="15">
        <v>6236192</v>
      </c>
      <c r="U79" s="15">
        <v>11509054</v>
      </c>
      <c r="V79" s="15">
        <v>0</v>
      </c>
      <c r="W79" s="15">
        <f>52608+16586+800+1050+3526+396+54+275+44+1064+882+1584+375+1482+1487+2730+3053+1003+142</f>
        <v>89141</v>
      </c>
      <c r="X79" s="15">
        <v>0</v>
      </c>
      <c r="Y79" s="24" t="s">
        <v>2099</v>
      </c>
      <c r="Z79" s="15">
        <v>0</v>
      </c>
      <c r="AA79" s="15">
        <v>0</v>
      </c>
      <c r="AB79" s="74">
        <f t="shared" si="65"/>
        <v>11598195</v>
      </c>
      <c r="AC79" s="75">
        <f t="shared" si="66"/>
        <v>15.83771846958267</v>
      </c>
      <c r="AD79" s="75">
        <f t="shared" si="67"/>
        <v>86.417389122914841</v>
      </c>
      <c r="AE79" s="76">
        <f t="shared" si="53"/>
        <v>2.592521673687445</v>
      </c>
      <c r="AF79" s="77">
        <f t="shared" si="68"/>
        <v>17.178901726873789</v>
      </c>
      <c r="AG79" s="77">
        <f t="shared" si="69"/>
        <v>17.311957361058429</v>
      </c>
      <c r="AH79" s="77">
        <f t="shared" si="70"/>
        <v>0.13305563418463962</v>
      </c>
      <c r="AI79" s="78">
        <f t="shared" si="71"/>
        <v>100</v>
      </c>
      <c r="AJ79" s="79">
        <f t="shared" si="54"/>
        <v>4</v>
      </c>
      <c r="AK79" s="113">
        <v>8</v>
      </c>
      <c r="AL79" s="113">
        <v>22</v>
      </c>
      <c r="AM79" s="113">
        <v>0</v>
      </c>
      <c r="AN79" s="81">
        <f t="shared" si="72"/>
        <v>30</v>
      </c>
      <c r="AO79" s="82">
        <f t="shared" si="73"/>
        <v>0</v>
      </c>
      <c r="AP79" s="83">
        <f t="shared" si="74"/>
        <v>100</v>
      </c>
      <c r="AQ79" s="84">
        <f t="shared" si="55"/>
        <v>2</v>
      </c>
      <c r="AR79" s="118">
        <v>5</v>
      </c>
      <c r="AS79" s="86">
        <f t="shared" si="75"/>
        <v>0.5</v>
      </c>
      <c r="AT79" s="87">
        <f t="shared" si="76"/>
        <v>4</v>
      </c>
      <c r="AU79" s="87">
        <f t="shared" si="77"/>
        <v>4</v>
      </c>
      <c r="AV79" s="88">
        <f t="shared" si="78"/>
        <v>12.5</v>
      </c>
      <c r="AW79" s="78">
        <f t="shared" si="79"/>
        <v>60</v>
      </c>
      <c r="AX79" s="89">
        <f t="shared" si="56"/>
        <v>0.6</v>
      </c>
      <c r="AY79" s="114">
        <v>10</v>
      </c>
      <c r="AZ79" s="114">
        <v>49</v>
      </c>
      <c r="BA79" s="91">
        <f t="shared" si="80"/>
        <v>50</v>
      </c>
      <c r="BB79" s="77">
        <f t="shared" si="81"/>
        <v>98</v>
      </c>
      <c r="BC79" s="78">
        <f t="shared" si="82"/>
        <v>100</v>
      </c>
      <c r="BD79" s="79">
        <f t="shared" si="57"/>
        <v>1</v>
      </c>
      <c r="BE79" s="92">
        <f>61008105+55749291</f>
        <v>116757396</v>
      </c>
      <c r="BF79" s="92">
        <v>14774235</v>
      </c>
      <c r="BG79" s="114">
        <v>490623</v>
      </c>
      <c r="BH79" s="94">
        <f t="shared" si="83"/>
        <v>131531631</v>
      </c>
      <c r="BI79" s="77">
        <f t="shared" si="84"/>
        <v>0.37300761517965214</v>
      </c>
      <c r="BJ79" s="95" t="str">
        <f t="shared" si="85"/>
        <v>식약/섬유/종이업</v>
      </c>
      <c r="BK79" s="96">
        <f t="shared" si="86"/>
        <v>2.1999360555264453</v>
      </c>
      <c r="BL79" s="97">
        <f t="shared" si="87"/>
        <v>-1.8269284403467931</v>
      </c>
      <c r="BM79" s="98">
        <f t="shared" si="88"/>
        <v>80</v>
      </c>
      <c r="BN79" s="99">
        <f t="shared" si="89"/>
        <v>1.6</v>
      </c>
      <c r="BO79" s="114">
        <v>180035000</v>
      </c>
      <c r="BP79" s="101">
        <f t="shared" si="90"/>
        <v>10.428561743396759</v>
      </c>
      <c r="BQ79" s="78">
        <f t="shared" si="91"/>
        <v>100</v>
      </c>
      <c r="BR79" s="79">
        <f t="shared" si="58"/>
        <v>2</v>
      </c>
      <c r="BS79" s="102">
        <v>29324228.079999998</v>
      </c>
      <c r="BT79" s="102">
        <v>65782.835999999996</v>
      </c>
      <c r="BU79" s="103">
        <f t="shared" si="92"/>
        <v>29258445.243999999</v>
      </c>
      <c r="BV79" s="77">
        <f t="shared" si="93"/>
        <v>1.6948010261496222</v>
      </c>
      <c r="BW79" s="96">
        <f t="shared" si="94"/>
        <v>5.0508176117342298</v>
      </c>
      <c r="BX79" s="96">
        <f t="shared" si="95"/>
        <v>11.262847322718969</v>
      </c>
      <c r="BY79" s="96">
        <f t="shared" si="96"/>
        <v>6.9871618081220923</v>
      </c>
      <c r="BZ79" s="96">
        <f t="shared" si="97"/>
        <v>68.449716654188691</v>
      </c>
      <c r="CA79" s="96">
        <f t="shared" si="98"/>
        <v>40</v>
      </c>
      <c r="CB79" s="104">
        <f t="shared" si="99"/>
        <v>0.8</v>
      </c>
      <c r="CC79" s="105">
        <f t="shared" si="59"/>
        <v>17.190145993361522</v>
      </c>
      <c r="CD79" s="106">
        <f t="shared" si="60"/>
        <v>93.898186183406466</v>
      </c>
      <c r="CE79" s="107">
        <f t="shared" si="61"/>
        <v>1.4084727927510969</v>
      </c>
      <c r="CF79" s="108" t="s">
        <v>2189</v>
      </c>
      <c r="CG79" s="108" t="s">
        <v>2189</v>
      </c>
      <c r="CH79" s="108" t="s">
        <v>2189</v>
      </c>
      <c r="CI79" s="108" t="s">
        <v>2189</v>
      </c>
      <c r="CJ79" s="109"/>
      <c r="CK79" s="116" t="s">
        <v>2199</v>
      </c>
      <c r="CL79" s="116" t="s">
        <v>2193</v>
      </c>
      <c r="CM79" s="111">
        <f t="shared" si="100"/>
        <v>25</v>
      </c>
      <c r="CN79" s="107">
        <f t="shared" si="62"/>
        <v>0.375</v>
      </c>
      <c r="CO79" s="114">
        <v>246902000</v>
      </c>
      <c r="CP79" s="88">
        <f t="shared" si="101"/>
        <v>12.721348059524187</v>
      </c>
      <c r="CQ79" s="78">
        <f t="shared" si="102"/>
        <v>60</v>
      </c>
      <c r="CR79" s="79">
        <f t="shared" si="63"/>
        <v>1.7999999999999998</v>
      </c>
      <c r="CS79" s="92">
        <f>_xlfn.XLOOKUP(C79, '[1]1-1. 관계사체무보증금액 (환율 등)'!$3:$3, '[1]1-1. 관계사체무보증금액 (환율 등)'!$33:$33)</f>
        <v>0</v>
      </c>
      <c r="CT79" s="77">
        <f t="shared" si="103"/>
        <v>0</v>
      </c>
      <c r="CU79" s="78">
        <f t="shared" si="104"/>
        <v>100</v>
      </c>
      <c r="CV79" s="79">
        <f t="shared" si="64"/>
        <v>2</v>
      </c>
      <c r="CW79" s="112">
        <f t="shared" si="105"/>
        <v>20.175994466438542</v>
      </c>
    </row>
    <row r="80" spans="1:101" x14ac:dyDescent="0.35">
      <c r="A80" s="7" t="s">
        <v>1816</v>
      </c>
      <c r="B80" s="8" t="s">
        <v>1817</v>
      </c>
      <c r="C80" s="21" t="s">
        <v>1818</v>
      </c>
      <c r="D80" s="10" t="s">
        <v>31</v>
      </c>
      <c r="E80" s="11" t="s">
        <v>32</v>
      </c>
      <c r="F80" s="11" t="s">
        <v>1819</v>
      </c>
      <c r="G80" s="12">
        <v>35249</v>
      </c>
      <c r="H80" s="11" t="s">
        <v>24</v>
      </c>
      <c r="I80" s="11" t="s">
        <v>1820</v>
      </c>
      <c r="J80" s="11" t="s">
        <v>1821</v>
      </c>
      <c r="K80" s="11" t="s">
        <v>27</v>
      </c>
      <c r="L80" s="23">
        <v>1687627808</v>
      </c>
      <c r="M80" s="14">
        <v>342539051</v>
      </c>
      <c r="N80" s="14">
        <v>1345088757</v>
      </c>
      <c r="O80" s="14">
        <v>1537082442</v>
      </c>
      <c r="P80" s="14">
        <v>174260144</v>
      </c>
      <c r="Q80" s="14">
        <v>166140393</v>
      </c>
      <c r="R80" s="14">
        <v>125065962</v>
      </c>
      <c r="S80" s="15">
        <v>24630000</v>
      </c>
      <c r="T80" s="15">
        <v>2660406</v>
      </c>
      <c r="U80" s="15">
        <v>8532763</v>
      </c>
      <c r="V80" s="15">
        <v>0</v>
      </c>
      <c r="W80" s="15">
        <v>0</v>
      </c>
      <c r="X80" s="15">
        <v>0</v>
      </c>
      <c r="Z80" s="15">
        <v>0</v>
      </c>
      <c r="AA80" s="15">
        <v>0</v>
      </c>
      <c r="AB80" s="74">
        <f t="shared" si="65"/>
        <v>8532763</v>
      </c>
      <c r="AC80" s="75">
        <f t="shared" si="66"/>
        <v>34.643779943158748</v>
      </c>
      <c r="AD80" s="75">
        <f t="shared" si="67"/>
        <v>70.186611096238138</v>
      </c>
      <c r="AE80" s="76">
        <f t="shared" si="53"/>
        <v>2.1055983328871442</v>
      </c>
      <c r="AF80" s="77">
        <f t="shared" si="68"/>
        <v>38.838965344557572</v>
      </c>
      <c r="AG80" s="77">
        <f t="shared" si="69"/>
        <v>38.838965344557572</v>
      </c>
      <c r="AH80" s="77">
        <f t="shared" si="70"/>
        <v>0</v>
      </c>
      <c r="AI80" s="78">
        <f t="shared" si="71"/>
        <v>100</v>
      </c>
      <c r="AJ80" s="79">
        <f t="shared" si="54"/>
        <v>4</v>
      </c>
      <c r="AK80" s="113">
        <v>7</v>
      </c>
      <c r="AL80" s="113">
        <v>19</v>
      </c>
      <c r="AM80" s="113">
        <v>0</v>
      </c>
      <c r="AN80" s="81">
        <f t="shared" si="72"/>
        <v>26</v>
      </c>
      <c r="AO80" s="82">
        <f t="shared" si="73"/>
        <v>0</v>
      </c>
      <c r="AP80" s="83">
        <f t="shared" si="74"/>
        <v>100</v>
      </c>
      <c r="AQ80" s="84">
        <f t="shared" si="55"/>
        <v>2</v>
      </c>
      <c r="AR80" s="118">
        <v>3</v>
      </c>
      <c r="AS80" s="86">
        <f t="shared" si="75"/>
        <v>0.25</v>
      </c>
      <c r="AT80" s="87">
        <f t="shared" si="76"/>
        <v>1.75</v>
      </c>
      <c r="AU80" s="87">
        <f t="shared" si="77"/>
        <v>1</v>
      </c>
      <c r="AV80" s="88">
        <f t="shared" si="78"/>
        <v>28.571428571428569</v>
      </c>
      <c r="AW80" s="78">
        <f t="shared" si="79"/>
        <v>80</v>
      </c>
      <c r="AX80" s="89">
        <f t="shared" si="56"/>
        <v>0.8</v>
      </c>
      <c r="AY80" s="114">
        <v>9</v>
      </c>
      <c r="AZ80" s="114">
        <f>27-1</f>
        <v>26</v>
      </c>
      <c r="BA80" s="91">
        <f t="shared" si="80"/>
        <v>27</v>
      </c>
      <c r="BB80" s="77">
        <f t="shared" si="81"/>
        <v>96.296296296296291</v>
      </c>
      <c r="BC80" s="78">
        <f t="shared" si="82"/>
        <v>100</v>
      </c>
      <c r="BD80" s="79">
        <f t="shared" si="57"/>
        <v>1</v>
      </c>
      <c r="BE80" s="92">
        <v>59354504</v>
      </c>
      <c r="BF80" s="92">
        <v>6028875</v>
      </c>
      <c r="BG80" s="114">
        <v>2752092</v>
      </c>
      <c r="BH80" s="94">
        <f t="shared" si="83"/>
        <v>65383379</v>
      </c>
      <c r="BI80" s="77">
        <f t="shared" si="84"/>
        <v>4.2091614751204585</v>
      </c>
      <c r="BJ80" s="95" t="str">
        <f t="shared" si="85"/>
        <v>식약/섬유/종이업</v>
      </c>
      <c r="BK80" s="96">
        <f t="shared" si="86"/>
        <v>2.1999360555264453</v>
      </c>
      <c r="BL80" s="97">
        <f t="shared" si="87"/>
        <v>2.0092254195940131</v>
      </c>
      <c r="BM80" s="98">
        <f t="shared" si="88"/>
        <v>40</v>
      </c>
      <c r="BN80" s="99">
        <f t="shared" si="89"/>
        <v>0.8</v>
      </c>
      <c r="BO80" s="114">
        <v>0</v>
      </c>
      <c r="BP80" s="101">
        <f t="shared" si="90"/>
        <v>0</v>
      </c>
      <c r="BQ80" s="78">
        <f t="shared" si="91"/>
        <v>25</v>
      </c>
      <c r="BR80" s="79">
        <f t="shared" si="58"/>
        <v>0.5</v>
      </c>
      <c r="BS80" s="102">
        <v>75419837</v>
      </c>
      <c r="BT80" s="102">
        <v>156205</v>
      </c>
      <c r="BU80" s="103">
        <f t="shared" si="92"/>
        <v>75263632</v>
      </c>
      <c r="BV80" s="77">
        <f t="shared" si="93"/>
        <v>4.8965253875432664</v>
      </c>
      <c r="BW80" s="96">
        <f t="shared" si="94"/>
        <v>5.0508176117342298</v>
      </c>
      <c r="BX80" s="96">
        <f t="shared" si="95"/>
        <v>2.3806090445794525E-2</v>
      </c>
      <c r="BY80" s="96">
        <f t="shared" si="96"/>
        <v>6.9871618081220923</v>
      </c>
      <c r="BZ80" s="96">
        <f t="shared" si="97"/>
        <v>50.880882557142691</v>
      </c>
      <c r="CA80" s="96">
        <f t="shared" si="98"/>
        <v>55</v>
      </c>
      <c r="CB80" s="104">
        <f t="shared" si="99"/>
        <v>1.1000000000000001</v>
      </c>
      <c r="CC80" s="105">
        <f t="shared" si="59"/>
        <v>25.465906931225657</v>
      </c>
      <c r="CD80" s="106">
        <f t="shared" si="60"/>
        <v>90.779180804814445</v>
      </c>
      <c r="CE80" s="107">
        <f t="shared" si="61"/>
        <v>1.3616877120722166</v>
      </c>
      <c r="CF80" s="108" t="s">
        <v>2189</v>
      </c>
      <c r="CG80" s="108" t="s">
        <v>2189</v>
      </c>
      <c r="CH80" s="108" t="s">
        <v>2189</v>
      </c>
      <c r="CI80" s="108" t="s">
        <v>2189</v>
      </c>
      <c r="CJ80" s="109"/>
      <c r="CK80" s="116" t="s">
        <v>2206</v>
      </c>
      <c r="CL80" s="116" t="s">
        <v>2198</v>
      </c>
      <c r="CM80" s="111">
        <f t="shared" si="100"/>
        <v>100</v>
      </c>
      <c r="CN80" s="107">
        <f t="shared" si="62"/>
        <v>1.5</v>
      </c>
      <c r="CO80" s="114">
        <f>790000+7107000</f>
        <v>7897000</v>
      </c>
      <c r="CP80" s="88">
        <f t="shared" si="101"/>
        <v>0.58709880362192335</v>
      </c>
      <c r="CQ80" s="78">
        <f t="shared" si="102"/>
        <v>100</v>
      </c>
      <c r="CR80" s="79">
        <f t="shared" si="63"/>
        <v>3</v>
      </c>
      <c r="CS80" s="92">
        <f>_xlfn.XLOOKUP(C80, '[1]1-1. 관계사체무보증금액 (환율 등)'!$3:$3, '[1]1-1. 관계사체무보증금액 (환율 등)'!$33:$33)</f>
        <v>0</v>
      </c>
      <c r="CT80" s="77">
        <f t="shared" si="103"/>
        <v>0</v>
      </c>
      <c r="CU80" s="78">
        <f t="shared" si="104"/>
        <v>100</v>
      </c>
      <c r="CV80" s="79">
        <f t="shared" si="64"/>
        <v>2</v>
      </c>
      <c r="CW80" s="112">
        <f t="shared" si="105"/>
        <v>20.167286044959361</v>
      </c>
    </row>
    <row r="81" spans="1:101" x14ac:dyDescent="0.35">
      <c r="A81" s="7" t="s">
        <v>1767</v>
      </c>
      <c r="B81" s="8" t="s">
        <v>1768</v>
      </c>
      <c r="C81" s="21" t="s">
        <v>1769</v>
      </c>
      <c r="D81" s="10" t="s">
        <v>21</v>
      </c>
      <c r="E81" s="11" t="s">
        <v>646</v>
      </c>
      <c r="F81" s="11" t="s">
        <v>1770</v>
      </c>
      <c r="G81" s="12">
        <v>40661</v>
      </c>
      <c r="H81" s="11" t="s">
        <v>24</v>
      </c>
      <c r="I81" s="11" t="s">
        <v>1771</v>
      </c>
      <c r="J81" s="11" t="s">
        <v>1772</v>
      </c>
      <c r="K81" s="11" t="s">
        <v>50</v>
      </c>
      <c r="L81" s="23">
        <v>332695360</v>
      </c>
      <c r="M81" s="14">
        <v>183900048</v>
      </c>
      <c r="N81" s="14">
        <v>148795312</v>
      </c>
      <c r="O81" s="14">
        <v>283702516</v>
      </c>
      <c r="P81" s="14">
        <v>5425717</v>
      </c>
      <c r="Q81" s="14">
        <v>6710645</v>
      </c>
      <c r="R81" s="14">
        <v>3799292</v>
      </c>
      <c r="S81" s="15">
        <v>10950000</v>
      </c>
      <c r="T81" s="15">
        <v>546085</v>
      </c>
      <c r="U81" s="15">
        <v>5798907</v>
      </c>
      <c r="V81" s="15">
        <v>0</v>
      </c>
      <c r="W81" s="15">
        <f>630+512+809+785+694+89+548+595+674+697+100</f>
        <v>6133</v>
      </c>
      <c r="X81" s="15">
        <v>0</v>
      </c>
      <c r="Z81" s="15">
        <v>65001</v>
      </c>
      <c r="AA81" s="15">
        <v>0</v>
      </c>
      <c r="AB81" s="74">
        <f t="shared" si="65"/>
        <v>5870041</v>
      </c>
      <c r="AC81" s="75">
        <f t="shared" si="66"/>
        <v>53.607680365296808</v>
      </c>
      <c r="AD81" s="75">
        <f t="shared" si="67"/>
        <v>53.819608430411272</v>
      </c>
      <c r="AE81" s="76">
        <f t="shared" si="53"/>
        <v>1.6145882529123381</v>
      </c>
      <c r="AF81" s="77">
        <f t="shared" si="68"/>
        <v>55.737739110709775</v>
      </c>
      <c r="AG81" s="77">
        <f t="shared" si="69"/>
        <v>56.421462497530975</v>
      </c>
      <c r="AH81" s="77">
        <f t="shared" si="70"/>
        <v>0.6837233868211996</v>
      </c>
      <c r="AI81" s="78">
        <f t="shared" si="71"/>
        <v>100</v>
      </c>
      <c r="AJ81" s="79">
        <f t="shared" si="54"/>
        <v>4</v>
      </c>
      <c r="AK81" s="113">
        <v>7</v>
      </c>
      <c r="AL81" s="113">
        <v>36</v>
      </c>
      <c r="AM81" s="113">
        <v>0</v>
      </c>
      <c r="AN81" s="81">
        <f t="shared" si="72"/>
        <v>43</v>
      </c>
      <c r="AO81" s="82">
        <f t="shared" si="73"/>
        <v>0</v>
      </c>
      <c r="AP81" s="83">
        <f t="shared" si="74"/>
        <v>100</v>
      </c>
      <c r="AQ81" s="84">
        <f t="shared" si="55"/>
        <v>2</v>
      </c>
      <c r="AR81" s="118">
        <v>3</v>
      </c>
      <c r="AS81" s="86">
        <f t="shared" si="75"/>
        <v>0.25</v>
      </c>
      <c r="AT81" s="87">
        <f t="shared" si="76"/>
        <v>1.75</v>
      </c>
      <c r="AU81" s="87">
        <f t="shared" si="77"/>
        <v>1</v>
      </c>
      <c r="AV81" s="88">
        <f t="shared" si="78"/>
        <v>28.571428571428569</v>
      </c>
      <c r="AW81" s="78">
        <f t="shared" si="79"/>
        <v>80</v>
      </c>
      <c r="AX81" s="89">
        <f t="shared" si="56"/>
        <v>0.8</v>
      </c>
      <c r="AY81" s="114">
        <v>11</v>
      </c>
      <c r="AZ81" s="114">
        <v>32</v>
      </c>
      <c r="BA81" s="91">
        <f t="shared" si="80"/>
        <v>33</v>
      </c>
      <c r="BB81" s="77">
        <f t="shared" si="81"/>
        <v>96.969696969696969</v>
      </c>
      <c r="BC81" s="78">
        <f t="shared" si="82"/>
        <v>100</v>
      </c>
      <c r="BD81" s="79">
        <f t="shared" si="57"/>
        <v>1</v>
      </c>
      <c r="BE81" s="92">
        <v>15697973</v>
      </c>
      <c r="BF81" s="92">
        <v>683300</v>
      </c>
      <c r="BG81" s="93">
        <v>0</v>
      </c>
      <c r="BH81" s="94">
        <f t="shared" si="83"/>
        <v>16381273</v>
      </c>
      <c r="BI81" s="77">
        <f t="shared" si="84"/>
        <v>0</v>
      </c>
      <c r="BJ81" s="95" t="str">
        <f t="shared" si="85"/>
        <v>비제조/서비스업</v>
      </c>
      <c r="BK81" s="96">
        <f t="shared" si="86"/>
        <v>1.7464434573900922</v>
      </c>
      <c r="BL81" s="97">
        <f t="shared" si="87"/>
        <v>-1.7464434573900922</v>
      </c>
      <c r="BM81" s="98">
        <f t="shared" si="88"/>
        <v>80</v>
      </c>
      <c r="BN81" s="99">
        <f t="shared" si="89"/>
        <v>1.6</v>
      </c>
      <c r="BO81" s="114">
        <f>(7480-188)*1000</f>
        <v>7292000</v>
      </c>
      <c r="BP81" s="101">
        <f t="shared" si="90"/>
        <v>2.5702979666207826</v>
      </c>
      <c r="BQ81" s="78">
        <f t="shared" si="91"/>
        <v>85</v>
      </c>
      <c r="BR81" s="79">
        <f t="shared" si="58"/>
        <v>1.7</v>
      </c>
      <c r="BS81" s="102">
        <v>159273.79999999999</v>
      </c>
      <c r="BT81" s="102">
        <v>0</v>
      </c>
      <c r="BU81" s="103">
        <f t="shared" si="92"/>
        <v>159273.79999999999</v>
      </c>
      <c r="BV81" s="77">
        <f t="shared" si="93"/>
        <v>5.6141130591876739E-2</v>
      </c>
      <c r="BW81" s="96">
        <f t="shared" si="94"/>
        <v>2.8482825397737606</v>
      </c>
      <c r="BX81" s="96">
        <f t="shared" si="95"/>
        <v>7.7960536488681962</v>
      </c>
      <c r="BY81" s="96">
        <f t="shared" si="96"/>
        <v>5.5697595856656807</v>
      </c>
      <c r="BZ81" s="96">
        <f t="shared" si="97"/>
        <v>69.192131941068212</v>
      </c>
      <c r="CA81" s="96">
        <f t="shared" si="98"/>
        <v>40</v>
      </c>
      <c r="CB81" s="104">
        <f t="shared" si="99"/>
        <v>0.8</v>
      </c>
      <c r="CC81" s="105">
        <f t="shared" si="59"/>
        <v>123.59263576798709</v>
      </c>
      <c r="CD81" s="106">
        <f t="shared" si="60"/>
        <v>53.796745313572707</v>
      </c>
      <c r="CE81" s="107">
        <f t="shared" si="61"/>
        <v>0.80695117970359054</v>
      </c>
      <c r="CF81" s="108" t="s">
        <v>2189</v>
      </c>
      <c r="CG81" s="108" t="s">
        <v>2189</v>
      </c>
      <c r="CH81" s="108" t="s">
        <v>2189</v>
      </c>
      <c r="CI81" s="108" t="s">
        <v>2189</v>
      </c>
      <c r="CJ81" s="109"/>
      <c r="CK81" s="116" t="s">
        <v>2237</v>
      </c>
      <c r="CL81" s="116" t="s">
        <v>2196</v>
      </c>
      <c r="CM81" s="111">
        <f t="shared" si="100"/>
        <v>55</v>
      </c>
      <c r="CN81" s="107">
        <f t="shared" si="62"/>
        <v>0.82499999999999996</v>
      </c>
      <c r="CO81" s="114">
        <v>0</v>
      </c>
      <c r="CP81" s="88">
        <f t="shared" si="101"/>
        <v>0</v>
      </c>
      <c r="CQ81" s="78">
        <f t="shared" si="102"/>
        <v>100</v>
      </c>
      <c r="CR81" s="79">
        <f t="shared" si="63"/>
        <v>3</v>
      </c>
      <c r="CS81" s="92">
        <f>_xlfn.XLOOKUP(C81, '[1]1-1. 관계사체무보증금액 (환율 등)'!$3:$3, '[1]1-1. 관계사체무보증금액 (환율 등)'!$33:$33)</f>
        <v>0</v>
      </c>
      <c r="CT81" s="77">
        <f t="shared" si="103"/>
        <v>0</v>
      </c>
      <c r="CU81" s="78">
        <f t="shared" si="104"/>
        <v>100</v>
      </c>
      <c r="CV81" s="79">
        <f t="shared" si="64"/>
        <v>2</v>
      </c>
      <c r="CW81" s="112">
        <f t="shared" si="105"/>
        <v>20.146539432615928</v>
      </c>
    </row>
    <row r="82" spans="1:101" x14ac:dyDescent="0.35">
      <c r="A82" s="7" t="s">
        <v>238</v>
      </c>
      <c r="B82" s="8" t="s">
        <v>239</v>
      </c>
      <c r="C82" s="21" t="s">
        <v>240</v>
      </c>
      <c r="D82" s="10" t="s">
        <v>141</v>
      </c>
      <c r="E82" s="11" t="s">
        <v>241</v>
      </c>
      <c r="F82" s="11" t="s">
        <v>242</v>
      </c>
      <c r="G82" s="12">
        <v>39653</v>
      </c>
      <c r="H82" s="11" t="s">
        <v>24</v>
      </c>
      <c r="I82" s="11" t="s">
        <v>243</v>
      </c>
      <c r="J82" s="11" t="s">
        <v>244</v>
      </c>
      <c r="K82" s="11" t="s">
        <v>27</v>
      </c>
      <c r="L82" s="23">
        <v>8668015355</v>
      </c>
      <c r="M82" s="14">
        <v>5103993834</v>
      </c>
      <c r="N82" s="14">
        <v>3564021521</v>
      </c>
      <c r="O82" s="14">
        <v>19092897004</v>
      </c>
      <c r="P82" s="14">
        <v>1016233433</v>
      </c>
      <c r="Q82" s="14">
        <v>955882532</v>
      </c>
      <c r="R82" s="14">
        <v>720393793</v>
      </c>
      <c r="S82" s="15">
        <v>23667107</v>
      </c>
      <c r="T82" s="15">
        <v>2600</v>
      </c>
      <c r="U82" s="15">
        <v>9653181</v>
      </c>
      <c r="V82" s="15">
        <v>0</v>
      </c>
      <c r="W82" s="15">
        <f>2000+1200+718+50+41+300+148+179+240</f>
        <v>4876</v>
      </c>
      <c r="X82" s="15">
        <v>0</v>
      </c>
      <c r="Z82" s="15">
        <v>0</v>
      </c>
      <c r="AA82" s="15">
        <v>0</v>
      </c>
      <c r="AB82" s="74">
        <f t="shared" si="65"/>
        <v>9658057</v>
      </c>
      <c r="AC82" s="75">
        <f t="shared" si="66"/>
        <v>40.807932291851301</v>
      </c>
      <c r="AD82" s="75">
        <f t="shared" si="67"/>
        <v>64.866571669863674</v>
      </c>
      <c r="AE82" s="76">
        <f t="shared" si="53"/>
        <v>1.9459971500959101</v>
      </c>
      <c r="AF82" s="77">
        <f t="shared" si="68"/>
        <v>40.791811128793007</v>
      </c>
      <c r="AG82" s="77">
        <f t="shared" si="69"/>
        <v>40.812415825945578</v>
      </c>
      <c r="AH82" s="77">
        <f t="shared" si="70"/>
        <v>2.060469715257085E-2</v>
      </c>
      <c r="AI82" s="78">
        <f t="shared" si="71"/>
        <v>100</v>
      </c>
      <c r="AJ82" s="79">
        <f t="shared" si="54"/>
        <v>4</v>
      </c>
      <c r="AK82" s="113">
        <v>7</v>
      </c>
      <c r="AL82" s="113">
        <v>39</v>
      </c>
      <c r="AM82" s="113">
        <v>0</v>
      </c>
      <c r="AN82" s="81">
        <f t="shared" si="72"/>
        <v>46</v>
      </c>
      <c r="AO82" s="82">
        <f t="shared" si="73"/>
        <v>0</v>
      </c>
      <c r="AP82" s="83">
        <f t="shared" si="74"/>
        <v>100</v>
      </c>
      <c r="AQ82" s="84">
        <f t="shared" si="55"/>
        <v>2</v>
      </c>
      <c r="AR82" s="118">
        <v>4</v>
      </c>
      <c r="AS82" s="86">
        <f t="shared" si="75"/>
        <v>0.5</v>
      </c>
      <c r="AT82" s="87">
        <f t="shared" si="76"/>
        <v>3.5</v>
      </c>
      <c r="AU82" s="87">
        <f t="shared" si="77"/>
        <v>3</v>
      </c>
      <c r="AV82" s="88">
        <f t="shared" si="78"/>
        <v>14.285714285714285</v>
      </c>
      <c r="AW82" s="78">
        <f t="shared" si="79"/>
        <v>60</v>
      </c>
      <c r="AX82" s="89">
        <f t="shared" si="56"/>
        <v>0.6</v>
      </c>
      <c r="AY82" s="114">
        <v>9</v>
      </c>
      <c r="AZ82" s="114">
        <f>36-2</f>
        <v>34</v>
      </c>
      <c r="BA82" s="91">
        <f t="shared" si="80"/>
        <v>36</v>
      </c>
      <c r="BB82" s="77">
        <f t="shared" si="81"/>
        <v>94.444444444444443</v>
      </c>
      <c r="BC82" s="78">
        <f t="shared" si="82"/>
        <v>100</v>
      </c>
      <c r="BD82" s="79">
        <f t="shared" si="57"/>
        <v>1</v>
      </c>
      <c r="BE82" s="92">
        <v>317359000</v>
      </c>
      <c r="BF82" s="92">
        <v>23138000</v>
      </c>
      <c r="BG82" s="93">
        <v>0</v>
      </c>
      <c r="BH82" s="94">
        <f t="shared" si="83"/>
        <v>340497000</v>
      </c>
      <c r="BI82" s="77">
        <f t="shared" si="84"/>
        <v>0</v>
      </c>
      <c r="BJ82" s="95" t="str">
        <f t="shared" si="85"/>
        <v>전기전자/기계업</v>
      </c>
      <c r="BK82" s="96">
        <f t="shared" si="86"/>
        <v>2.4096449716116446</v>
      </c>
      <c r="BL82" s="97">
        <f t="shared" si="87"/>
        <v>-2.4096449716116446</v>
      </c>
      <c r="BM82" s="98">
        <f t="shared" si="88"/>
        <v>100</v>
      </c>
      <c r="BN82" s="99">
        <f t="shared" si="89"/>
        <v>2</v>
      </c>
      <c r="BO82" s="114">
        <f>(752983-206)*1000</f>
        <v>752777000</v>
      </c>
      <c r="BP82" s="101">
        <f t="shared" si="90"/>
        <v>3.9427070697667919</v>
      </c>
      <c r="BQ82" s="78">
        <f t="shared" si="91"/>
        <v>85</v>
      </c>
      <c r="BR82" s="79">
        <f t="shared" si="58"/>
        <v>1.7</v>
      </c>
      <c r="BS82" s="102">
        <v>1445111505.309</v>
      </c>
      <c r="BT82" s="102">
        <v>30874786.116999999</v>
      </c>
      <c r="BU82" s="103">
        <f t="shared" si="92"/>
        <v>1414236719.1919999</v>
      </c>
      <c r="BV82" s="77">
        <f t="shared" si="93"/>
        <v>7.4071353283669552</v>
      </c>
      <c r="BW82" s="96">
        <f t="shared" si="94"/>
        <v>5.2309968128308295</v>
      </c>
      <c r="BX82" s="96">
        <f t="shared" si="95"/>
        <v>4.735578838799773</v>
      </c>
      <c r="BY82" s="96">
        <f t="shared" si="96"/>
        <v>7.0695458012309631</v>
      </c>
      <c r="BZ82" s="96">
        <f t="shared" si="97"/>
        <v>37.911013942896943</v>
      </c>
      <c r="CA82" s="96">
        <f t="shared" si="98"/>
        <v>55</v>
      </c>
      <c r="CB82" s="104">
        <f t="shared" si="99"/>
        <v>1.1000000000000001</v>
      </c>
      <c r="CC82" s="105">
        <f t="shared" si="59"/>
        <v>143.20883877737953</v>
      </c>
      <c r="CD82" s="106">
        <f t="shared" si="60"/>
        <v>46.403703978374551</v>
      </c>
      <c r="CE82" s="107">
        <f t="shared" si="61"/>
        <v>0.69605555967561827</v>
      </c>
      <c r="CF82" s="108" t="s">
        <v>2189</v>
      </c>
      <c r="CG82" s="108" t="s">
        <v>2189</v>
      </c>
      <c r="CH82" s="108" t="s">
        <v>2189</v>
      </c>
      <c r="CI82" s="108" t="s">
        <v>2189</v>
      </c>
      <c r="CJ82" s="109"/>
      <c r="CK82" s="116" t="s">
        <v>2206</v>
      </c>
      <c r="CL82" s="116" t="s">
        <v>2198</v>
      </c>
      <c r="CM82" s="111">
        <f t="shared" si="100"/>
        <v>100</v>
      </c>
      <c r="CN82" s="107">
        <f t="shared" si="62"/>
        <v>1.5</v>
      </c>
      <c r="CO82" s="114">
        <f>247338000-142000-1269000-7774000</f>
        <v>238153000</v>
      </c>
      <c r="CP82" s="88">
        <f t="shared" si="101"/>
        <v>6.6821425907994687</v>
      </c>
      <c r="CQ82" s="78">
        <f t="shared" si="102"/>
        <v>80</v>
      </c>
      <c r="CR82" s="79">
        <f t="shared" si="63"/>
        <v>2.4</v>
      </c>
      <c r="CS82" s="92">
        <f>_xlfn.XLOOKUP(C82, '[1]1-1. 관계사체무보증금액 (환율 등)'!$3:$3, '[1]1-1. 관계사체무보증금액 (환율 등)'!$33:$33)</f>
        <v>1125948000</v>
      </c>
      <c r="CT82" s="77">
        <f t="shared" si="103"/>
        <v>31.59206512546757</v>
      </c>
      <c r="CU82" s="78">
        <f t="shared" si="104"/>
        <v>60</v>
      </c>
      <c r="CV82" s="79">
        <f t="shared" si="64"/>
        <v>1.2</v>
      </c>
      <c r="CW82" s="112">
        <f t="shared" si="105"/>
        <v>20.142052709771527</v>
      </c>
    </row>
    <row r="83" spans="1:101" x14ac:dyDescent="0.35">
      <c r="A83" s="7" t="s">
        <v>1904</v>
      </c>
      <c r="B83" s="8" t="s">
        <v>1905</v>
      </c>
      <c r="C83" s="21" t="s">
        <v>1906</v>
      </c>
      <c r="D83" s="10" t="s">
        <v>141</v>
      </c>
      <c r="E83" s="11" t="s">
        <v>241</v>
      </c>
      <c r="F83" s="11" t="s">
        <v>1907</v>
      </c>
      <c r="G83" s="12">
        <v>43782</v>
      </c>
      <c r="H83" s="11" t="s">
        <v>24</v>
      </c>
      <c r="I83" s="11" t="s">
        <v>1908</v>
      </c>
      <c r="J83" s="11" t="s">
        <v>1909</v>
      </c>
      <c r="K83" s="11" t="s">
        <v>453</v>
      </c>
      <c r="L83" s="23">
        <v>4152100072</v>
      </c>
      <c r="M83" s="14">
        <v>1905070749</v>
      </c>
      <c r="N83" s="14">
        <v>2247029323</v>
      </c>
      <c r="O83" s="14">
        <v>2187405670</v>
      </c>
      <c r="P83" s="14">
        <v>93679890</v>
      </c>
      <c r="Q83" s="14">
        <v>53049827</v>
      </c>
      <c r="R83" s="14">
        <v>28545981</v>
      </c>
      <c r="S83" s="15">
        <v>188919389</v>
      </c>
      <c r="T83" s="15">
        <v>1926128</v>
      </c>
      <c r="U83" s="15">
        <v>88289321</v>
      </c>
      <c r="V83" s="15">
        <v>0</v>
      </c>
      <c r="W83" s="15">
        <f>17506+34054+38343+40256+37644+31452+33236+19604+18939+28454+19784+24081+28823+5724+25802+29869+21293+20618+19362+21906+21697+8149+10435+14503+13732+17972+6460+7712+25913+9027+8323+11116+11424+8627+13859+9618+9198+5050+16956+1390+24961+12361</f>
        <v>785233</v>
      </c>
      <c r="X83" s="15">
        <v>0</v>
      </c>
      <c r="Z83" s="15">
        <v>24174187</v>
      </c>
      <c r="AA83" s="15">
        <v>0</v>
      </c>
      <c r="AB83" s="74">
        <f t="shared" si="65"/>
        <v>113248741</v>
      </c>
      <c r="AC83" s="75">
        <f t="shared" si="66"/>
        <v>59.945536347251263</v>
      </c>
      <c r="AD83" s="75">
        <f t="shared" si="67"/>
        <v>48.349652174409151</v>
      </c>
      <c r="AE83" s="76">
        <f t="shared" si="53"/>
        <v>1.4504895652322745</v>
      </c>
      <c r="AF83" s="77">
        <f t="shared" si="68"/>
        <v>47.215242157844393</v>
      </c>
      <c r="AG83" s="77">
        <f t="shared" si="69"/>
        <v>60.563006599473127</v>
      </c>
      <c r="AH83" s="77">
        <f t="shared" si="70"/>
        <v>13.347764441628733</v>
      </c>
      <c r="AI83" s="78">
        <f t="shared" si="71"/>
        <v>80</v>
      </c>
      <c r="AJ83" s="79">
        <f t="shared" si="54"/>
        <v>3.2</v>
      </c>
      <c r="AK83" s="113">
        <v>8</v>
      </c>
      <c r="AL83" s="113">
        <v>49</v>
      </c>
      <c r="AM83" s="113">
        <v>1</v>
      </c>
      <c r="AN83" s="81">
        <f t="shared" si="72"/>
        <v>57</v>
      </c>
      <c r="AO83" s="82">
        <f t="shared" si="73"/>
        <v>1.7543859649122806</v>
      </c>
      <c r="AP83" s="83">
        <f t="shared" si="74"/>
        <v>100</v>
      </c>
      <c r="AQ83" s="84">
        <f t="shared" si="55"/>
        <v>2</v>
      </c>
      <c r="AR83" s="118">
        <v>5</v>
      </c>
      <c r="AS83" s="86">
        <f t="shared" si="75"/>
        <v>0.5</v>
      </c>
      <c r="AT83" s="87">
        <f t="shared" si="76"/>
        <v>4</v>
      </c>
      <c r="AU83" s="87">
        <f t="shared" si="77"/>
        <v>4</v>
      </c>
      <c r="AV83" s="88">
        <f t="shared" si="78"/>
        <v>12.5</v>
      </c>
      <c r="AW83" s="78">
        <f t="shared" si="79"/>
        <v>60</v>
      </c>
      <c r="AX83" s="89">
        <f t="shared" si="56"/>
        <v>0.6</v>
      </c>
      <c r="AY83" s="114">
        <v>11</v>
      </c>
      <c r="AZ83" s="114">
        <f>55-2</f>
        <v>53</v>
      </c>
      <c r="BA83" s="91">
        <f t="shared" si="80"/>
        <v>55</v>
      </c>
      <c r="BB83" s="77">
        <f t="shared" si="81"/>
        <v>96.36363636363636</v>
      </c>
      <c r="BC83" s="78">
        <f t="shared" si="82"/>
        <v>100</v>
      </c>
      <c r="BD83" s="79">
        <f t="shared" si="57"/>
        <v>1</v>
      </c>
      <c r="BE83" s="92">
        <v>79133650</v>
      </c>
      <c r="BF83" s="92">
        <v>31250342</v>
      </c>
      <c r="BG83" s="93">
        <v>0</v>
      </c>
      <c r="BH83" s="94">
        <f t="shared" si="83"/>
        <v>110383992</v>
      </c>
      <c r="BI83" s="77">
        <f t="shared" si="84"/>
        <v>0</v>
      </c>
      <c r="BJ83" s="95" t="str">
        <f t="shared" si="85"/>
        <v>전기전자/기계업</v>
      </c>
      <c r="BK83" s="96">
        <f t="shared" si="86"/>
        <v>2.4096449716116446</v>
      </c>
      <c r="BL83" s="97">
        <f t="shared" si="87"/>
        <v>-2.4096449716116446</v>
      </c>
      <c r="BM83" s="98">
        <f t="shared" si="88"/>
        <v>100</v>
      </c>
      <c r="BN83" s="99">
        <f t="shared" si="89"/>
        <v>2</v>
      </c>
      <c r="BO83" s="114">
        <f>(324039-2456)*1000</f>
        <v>321583000</v>
      </c>
      <c r="BP83" s="101">
        <f t="shared" si="90"/>
        <v>14.70157110820692</v>
      </c>
      <c r="BQ83" s="78">
        <f t="shared" si="91"/>
        <v>100</v>
      </c>
      <c r="BR83" s="79">
        <f t="shared" si="58"/>
        <v>2</v>
      </c>
      <c r="BS83" s="102">
        <v>43156564.351000004</v>
      </c>
      <c r="BT83" s="102">
        <v>182097.32699999999</v>
      </c>
      <c r="BU83" s="103">
        <f t="shared" si="92"/>
        <v>42974467.024000004</v>
      </c>
      <c r="BV83" s="77">
        <f t="shared" si="93"/>
        <v>1.9646317833673717</v>
      </c>
      <c r="BW83" s="96">
        <f t="shared" si="94"/>
        <v>5.2309968128308295</v>
      </c>
      <c r="BX83" s="96">
        <f t="shared" si="95"/>
        <v>10.669140505701815</v>
      </c>
      <c r="BY83" s="96">
        <f t="shared" si="96"/>
        <v>7.0695458012309631</v>
      </c>
      <c r="BZ83" s="96">
        <f t="shared" si="97"/>
        <v>67.797125199522085</v>
      </c>
      <c r="CA83" s="96">
        <f t="shared" si="98"/>
        <v>40</v>
      </c>
      <c r="CB83" s="104">
        <f t="shared" si="99"/>
        <v>0.8</v>
      </c>
      <c r="CC83" s="105">
        <f t="shared" si="59"/>
        <v>84.781748484552381</v>
      </c>
      <c r="CD83" s="106">
        <f t="shared" si="60"/>
        <v>68.423964138987799</v>
      </c>
      <c r="CE83" s="107">
        <f t="shared" si="61"/>
        <v>1.0263594620848169</v>
      </c>
      <c r="CF83" s="108" t="s">
        <v>2189</v>
      </c>
      <c r="CG83" s="108" t="s">
        <v>2189</v>
      </c>
      <c r="CH83" s="108" t="s">
        <v>2189</v>
      </c>
      <c r="CI83" s="108" t="s">
        <v>2189</v>
      </c>
      <c r="CJ83" s="109"/>
      <c r="CK83" s="116" t="s">
        <v>2203</v>
      </c>
      <c r="CL83" s="116" t="s">
        <v>2204</v>
      </c>
      <c r="CM83" s="111">
        <f t="shared" si="100"/>
        <v>70</v>
      </c>
      <c r="CN83" s="107">
        <f t="shared" si="62"/>
        <v>1.05</v>
      </c>
      <c r="CO83" s="114">
        <v>62914000</v>
      </c>
      <c r="CP83" s="88">
        <f t="shared" si="101"/>
        <v>2.799874454508843</v>
      </c>
      <c r="CQ83" s="78">
        <f t="shared" si="102"/>
        <v>100</v>
      </c>
      <c r="CR83" s="79">
        <f t="shared" si="63"/>
        <v>3</v>
      </c>
      <c r="CS83" s="92">
        <f>_xlfn.XLOOKUP(C83, '[1]1-1. 관계사체무보증금액 (환율 등)'!$3:$3, '[1]1-1. 관계사체무보증금액 (환율 등)'!$33:$33)</f>
        <v>0</v>
      </c>
      <c r="CT83" s="77">
        <f t="shared" si="103"/>
        <v>0</v>
      </c>
      <c r="CU83" s="78">
        <f t="shared" si="104"/>
        <v>100</v>
      </c>
      <c r="CV83" s="79">
        <f t="shared" si="64"/>
        <v>2</v>
      </c>
      <c r="CW83" s="112">
        <f t="shared" si="105"/>
        <v>20.126849027317093</v>
      </c>
    </row>
    <row r="84" spans="1:101" x14ac:dyDescent="0.35">
      <c r="A84" s="7" t="s">
        <v>1779</v>
      </c>
      <c r="B84" s="8" t="s">
        <v>1780</v>
      </c>
      <c r="C84" s="21" t="s">
        <v>1781</v>
      </c>
      <c r="D84" s="10" t="s">
        <v>75</v>
      </c>
      <c r="E84" s="11" t="s">
        <v>1782</v>
      </c>
      <c r="F84" s="11" t="s">
        <v>1783</v>
      </c>
      <c r="G84" s="12">
        <v>34888</v>
      </c>
      <c r="H84" s="11" t="s">
        <v>24</v>
      </c>
      <c r="I84" s="11" t="s">
        <v>1784</v>
      </c>
      <c r="J84" s="11" t="s">
        <v>1785</v>
      </c>
      <c r="K84" s="11" t="s">
        <v>102</v>
      </c>
      <c r="L84" s="23">
        <v>573791494</v>
      </c>
      <c r="M84" s="14">
        <v>172708851</v>
      </c>
      <c r="N84" s="14">
        <v>401082642</v>
      </c>
      <c r="O84" s="14">
        <v>340208179</v>
      </c>
      <c r="P84" s="14">
        <v>28719054</v>
      </c>
      <c r="Q84" s="14">
        <v>9790753</v>
      </c>
      <c r="R84" s="14">
        <v>2174394</v>
      </c>
      <c r="S84" s="15">
        <v>43960757</v>
      </c>
      <c r="T84" s="15">
        <v>938592</v>
      </c>
      <c r="U84" s="15">
        <v>7886235</v>
      </c>
      <c r="V84" s="15">
        <f>10262599-7886235-415126</f>
        <v>1961238</v>
      </c>
      <c r="W84" s="15">
        <v>0</v>
      </c>
      <c r="X84" s="15">
        <v>0</v>
      </c>
      <c r="Z84" s="15">
        <v>415126</v>
      </c>
      <c r="AA84" s="15">
        <v>0</v>
      </c>
      <c r="AB84" s="74">
        <f t="shared" si="65"/>
        <v>10262599</v>
      </c>
      <c r="AC84" s="75">
        <f t="shared" si="66"/>
        <v>23.344909642934493</v>
      </c>
      <c r="AD84" s="75">
        <f t="shared" si="67"/>
        <v>79.938225279400612</v>
      </c>
      <c r="AE84" s="76">
        <f t="shared" si="53"/>
        <v>2.3981467583820182</v>
      </c>
      <c r="AF84" s="77">
        <f t="shared" si="68"/>
        <v>22.889301363611057</v>
      </c>
      <c r="AG84" s="77">
        <f t="shared" si="69"/>
        <v>23.854213287499597</v>
      </c>
      <c r="AH84" s="77">
        <f t="shared" si="70"/>
        <v>0.96491192388853975</v>
      </c>
      <c r="AI84" s="78">
        <f t="shared" si="71"/>
        <v>100</v>
      </c>
      <c r="AJ84" s="79">
        <f t="shared" si="54"/>
        <v>4</v>
      </c>
      <c r="AK84" s="113">
        <v>4</v>
      </c>
      <c r="AL84" s="113">
        <v>31</v>
      </c>
      <c r="AM84" s="113">
        <v>1</v>
      </c>
      <c r="AN84" s="81">
        <f t="shared" si="72"/>
        <v>35</v>
      </c>
      <c r="AO84" s="82">
        <f t="shared" si="73"/>
        <v>2.8571428571428572</v>
      </c>
      <c r="AP84" s="83">
        <f t="shared" si="74"/>
        <v>100</v>
      </c>
      <c r="AQ84" s="84">
        <f t="shared" si="55"/>
        <v>2</v>
      </c>
      <c r="AR84" s="118">
        <v>1</v>
      </c>
      <c r="AS84" s="86">
        <f t="shared" si="75"/>
        <v>0.25</v>
      </c>
      <c r="AT84" s="87">
        <f t="shared" si="76"/>
        <v>1</v>
      </c>
      <c r="AU84" s="87">
        <f t="shared" si="77"/>
        <v>1</v>
      </c>
      <c r="AV84" s="88">
        <f t="shared" si="78"/>
        <v>0</v>
      </c>
      <c r="AW84" s="78">
        <f t="shared" si="79"/>
        <v>40</v>
      </c>
      <c r="AX84" s="89">
        <f t="shared" si="56"/>
        <v>0.4</v>
      </c>
      <c r="AY84" s="114">
        <v>5</v>
      </c>
      <c r="AZ84" s="114">
        <f>5-2</f>
        <v>3</v>
      </c>
      <c r="BA84" s="91">
        <f t="shared" si="80"/>
        <v>5</v>
      </c>
      <c r="BB84" s="77">
        <f t="shared" si="81"/>
        <v>60</v>
      </c>
      <c r="BC84" s="78">
        <f t="shared" si="82"/>
        <v>25</v>
      </c>
      <c r="BD84" s="79">
        <f t="shared" si="57"/>
        <v>0.25</v>
      </c>
      <c r="BE84" s="92">
        <v>7964683</v>
      </c>
      <c r="BF84" s="92">
        <v>1152844</v>
      </c>
      <c r="BG84" s="114">
        <v>452857</v>
      </c>
      <c r="BH84" s="94">
        <f t="shared" si="83"/>
        <v>9117527</v>
      </c>
      <c r="BI84" s="77">
        <f t="shared" si="84"/>
        <v>4.9668841123256344</v>
      </c>
      <c r="BJ84" s="95" t="str">
        <f t="shared" si="85"/>
        <v>금속/비금속/화학업</v>
      </c>
      <c r="BK84" s="96">
        <f t="shared" si="86"/>
        <v>3.9534118626990469</v>
      </c>
      <c r="BL84" s="97">
        <f t="shared" si="87"/>
        <v>1.0134722496265876</v>
      </c>
      <c r="BM84" s="98">
        <f t="shared" si="88"/>
        <v>60</v>
      </c>
      <c r="BN84" s="99">
        <f t="shared" si="89"/>
        <v>1.2</v>
      </c>
      <c r="BO84" s="114">
        <v>12443607</v>
      </c>
      <c r="BP84" s="101">
        <f t="shared" si="90"/>
        <v>3.6576448680853142</v>
      </c>
      <c r="BQ84" s="78">
        <f t="shared" si="91"/>
        <v>85</v>
      </c>
      <c r="BR84" s="79">
        <f t="shared" si="58"/>
        <v>1.7</v>
      </c>
      <c r="BS84" s="102">
        <v>27048697</v>
      </c>
      <c r="BT84" s="102">
        <v>25497</v>
      </c>
      <c r="BU84" s="103">
        <f t="shared" si="92"/>
        <v>27023200</v>
      </c>
      <c r="BV84" s="77">
        <f t="shared" si="93"/>
        <v>7.9431364876151322</v>
      </c>
      <c r="BW84" s="96">
        <f t="shared" si="94"/>
        <v>5.1474158565187738</v>
      </c>
      <c r="BX84" s="96">
        <f t="shared" si="95"/>
        <v>7.8160538471378214</v>
      </c>
      <c r="BY84" s="96">
        <f t="shared" si="96"/>
        <v>6.6930498535228535</v>
      </c>
      <c r="BZ84" s="96">
        <f t="shared" si="97"/>
        <v>33.8081394862213</v>
      </c>
      <c r="CA84" s="96">
        <f t="shared" si="98"/>
        <v>70</v>
      </c>
      <c r="CB84" s="104">
        <f t="shared" si="99"/>
        <v>1.4000000000000001</v>
      </c>
      <c r="CC84" s="105">
        <f t="shared" si="59"/>
        <v>43.060664540052571</v>
      </c>
      <c r="CD84" s="106">
        <f t="shared" si="60"/>
        <v>84.147990751236463</v>
      </c>
      <c r="CE84" s="107">
        <f t="shared" si="61"/>
        <v>1.2622198612685469</v>
      </c>
      <c r="CF84" s="108" t="s">
        <v>2189</v>
      </c>
      <c r="CG84" s="108" t="s">
        <v>2189</v>
      </c>
      <c r="CH84" s="108" t="s">
        <v>2189</v>
      </c>
      <c r="CI84" s="108" t="s">
        <v>2189</v>
      </c>
      <c r="CJ84" s="109"/>
      <c r="CK84" s="116" t="s">
        <v>2238</v>
      </c>
      <c r="CL84" s="116" t="s">
        <v>2204</v>
      </c>
      <c r="CM84" s="111">
        <f t="shared" si="100"/>
        <v>70</v>
      </c>
      <c r="CN84" s="107">
        <f t="shared" si="62"/>
        <v>1.05</v>
      </c>
      <c r="CO84" s="114">
        <v>13249000</v>
      </c>
      <c r="CP84" s="88">
        <f t="shared" si="101"/>
        <v>3.3033092466763994</v>
      </c>
      <c r="CQ84" s="78">
        <f t="shared" si="102"/>
        <v>80</v>
      </c>
      <c r="CR84" s="79">
        <f t="shared" si="63"/>
        <v>2.4</v>
      </c>
      <c r="CS84" s="92">
        <f>_xlfn.XLOOKUP(C84, '[1]1-1. 관계사체무보증금액 (환율 등)'!$3:$3, '[1]1-1. 관계사체무보증금액 (환율 등)'!$33:$33)</f>
        <v>11502620</v>
      </c>
      <c r="CT84" s="77">
        <f t="shared" si="103"/>
        <v>2.8678927471510973</v>
      </c>
      <c r="CU84" s="78">
        <f t="shared" si="104"/>
        <v>100</v>
      </c>
      <c r="CV84" s="79">
        <f t="shared" si="64"/>
        <v>2</v>
      </c>
      <c r="CW84" s="112">
        <f t="shared" si="105"/>
        <v>20.060366619650566</v>
      </c>
    </row>
    <row r="85" spans="1:101" x14ac:dyDescent="0.35">
      <c r="A85" s="7" t="s">
        <v>160</v>
      </c>
      <c r="B85" s="8" t="s">
        <v>161</v>
      </c>
      <c r="C85" s="21" t="s">
        <v>162</v>
      </c>
      <c r="D85" s="22" t="s">
        <v>141</v>
      </c>
      <c r="E85" s="11" t="s">
        <v>163</v>
      </c>
      <c r="F85" s="11" t="s">
        <v>164</v>
      </c>
      <c r="G85" s="12">
        <v>43788</v>
      </c>
      <c r="H85" s="11" t="s">
        <v>24</v>
      </c>
      <c r="I85" s="11" t="s">
        <v>165</v>
      </c>
      <c r="J85" s="11" t="s">
        <v>166</v>
      </c>
      <c r="K85" s="11" t="s">
        <v>50</v>
      </c>
      <c r="L85" s="23">
        <v>654805747</v>
      </c>
      <c r="M85" s="14">
        <v>269730556</v>
      </c>
      <c r="N85" s="14">
        <v>385075191</v>
      </c>
      <c r="O85" s="14">
        <v>1022975319</v>
      </c>
      <c r="P85" s="14">
        <v>95989545</v>
      </c>
      <c r="Q85" s="14">
        <v>80403526</v>
      </c>
      <c r="R85" s="14">
        <v>64390770</v>
      </c>
      <c r="S85" s="15">
        <v>11200000</v>
      </c>
      <c r="T85" s="15">
        <v>0</v>
      </c>
      <c r="U85" s="15">
        <v>6000000</v>
      </c>
      <c r="V85" s="15">
        <v>0</v>
      </c>
      <c r="W85" s="15">
        <f>10+2000</f>
        <v>2010</v>
      </c>
      <c r="X85" s="15">
        <v>0</v>
      </c>
      <c r="Z85" s="15">
        <v>0</v>
      </c>
      <c r="AA85" s="15">
        <v>0</v>
      </c>
      <c r="AB85" s="74">
        <f t="shared" si="65"/>
        <v>6002010</v>
      </c>
      <c r="AC85" s="75">
        <f t="shared" si="66"/>
        <v>53.589374999999997</v>
      </c>
      <c r="AD85" s="75">
        <f t="shared" si="67"/>
        <v>53.835407077100122</v>
      </c>
      <c r="AE85" s="76">
        <f t="shared" si="53"/>
        <v>1.6150622123130036</v>
      </c>
      <c r="AF85" s="77">
        <f t="shared" si="68"/>
        <v>53.571428571428569</v>
      </c>
      <c r="AG85" s="77">
        <f t="shared" si="69"/>
        <v>53.589374999999997</v>
      </c>
      <c r="AH85" s="77">
        <f t="shared" si="70"/>
        <v>1.7946428571427475E-2</v>
      </c>
      <c r="AI85" s="78">
        <f t="shared" si="71"/>
        <v>100</v>
      </c>
      <c r="AJ85" s="79">
        <f t="shared" si="54"/>
        <v>4</v>
      </c>
      <c r="AK85" s="113">
        <v>5</v>
      </c>
      <c r="AL85" s="113">
        <v>5</v>
      </c>
      <c r="AM85" s="113">
        <v>0</v>
      </c>
      <c r="AN85" s="81">
        <f t="shared" si="72"/>
        <v>10</v>
      </c>
      <c r="AO85" s="82">
        <f t="shared" si="73"/>
        <v>0</v>
      </c>
      <c r="AP85" s="83">
        <f t="shared" si="74"/>
        <v>100</v>
      </c>
      <c r="AQ85" s="84">
        <f t="shared" si="55"/>
        <v>2</v>
      </c>
      <c r="AR85" s="118">
        <v>3</v>
      </c>
      <c r="AS85" s="86">
        <f t="shared" si="75"/>
        <v>0.25</v>
      </c>
      <c r="AT85" s="87">
        <f t="shared" si="76"/>
        <v>1.25</v>
      </c>
      <c r="AU85" s="87">
        <f t="shared" si="77"/>
        <v>1</v>
      </c>
      <c r="AV85" s="88">
        <f t="shared" si="78"/>
        <v>40</v>
      </c>
      <c r="AW85" s="78">
        <f t="shared" si="79"/>
        <v>100</v>
      </c>
      <c r="AX85" s="89">
        <f t="shared" si="56"/>
        <v>1</v>
      </c>
      <c r="AY85" s="114">
        <v>7</v>
      </c>
      <c r="AZ85" s="114">
        <v>21</v>
      </c>
      <c r="BA85" s="91">
        <f t="shared" si="80"/>
        <v>21</v>
      </c>
      <c r="BB85" s="77">
        <f t="shared" si="81"/>
        <v>100</v>
      </c>
      <c r="BC85" s="78">
        <f t="shared" si="82"/>
        <v>100</v>
      </c>
      <c r="BD85" s="79">
        <f t="shared" si="57"/>
        <v>1</v>
      </c>
      <c r="BE85" s="92">
        <f>6605153+2188203</f>
        <v>8793356</v>
      </c>
      <c r="BF85" s="92">
        <v>773974</v>
      </c>
      <c r="BG85" s="93">
        <v>0</v>
      </c>
      <c r="BH85" s="94">
        <f t="shared" si="83"/>
        <v>9567330</v>
      </c>
      <c r="BI85" s="77">
        <f t="shared" si="84"/>
        <v>0</v>
      </c>
      <c r="BJ85" s="95" t="str">
        <f t="shared" si="85"/>
        <v>전기전자/기계업</v>
      </c>
      <c r="BK85" s="96">
        <f t="shared" si="86"/>
        <v>2.4096449716116446</v>
      </c>
      <c r="BL85" s="97">
        <f t="shared" si="87"/>
        <v>-2.4096449716116446</v>
      </c>
      <c r="BM85" s="98">
        <f t="shared" si="88"/>
        <v>100</v>
      </c>
      <c r="BN85" s="99">
        <f t="shared" si="89"/>
        <v>2</v>
      </c>
      <c r="BO85" s="114">
        <f>3973000-532000</f>
        <v>3441000</v>
      </c>
      <c r="BP85" s="101">
        <f t="shared" si="90"/>
        <v>0.33637175170205647</v>
      </c>
      <c r="BQ85" s="78">
        <f t="shared" si="91"/>
        <v>55</v>
      </c>
      <c r="BR85" s="79">
        <f t="shared" si="58"/>
        <v>1.1000000000000001</v>
      </c>
      <c r="BS85" s="102">
        <v>13332246.464</v>
      </c>
      <c r="BT85" s="102">
        <v>222986.7</v>
      </c>
      <c r="BU85" s="103">
        <f t="shared" si="92"/>
        <v>13109259.764</v>
      </c>
      <c r="BV85" s="77">
        <f t="shared" si="93"/>
        <v>1.2814834845492495</v>
      </c>
      <c r="BW85" s="96">
        <f t="shared" si="94"/>
        <v>5.2309968128308295</v>
      </c>
      <c r="BX85" s="96">
        <f t="shared" si="95"/>
        <v>15.598655530273845</v>
      </c>
      <c r="BY85" s="96">
        <f t="shared" si="96"/>
        <v>7.0695458012309631</v>
      </c>
      <c r="BZ85" s="96">
        <f t="shared" si="97"/>
        <v>71.180508157479423</v>
      </c>
      <c r="CA85" s="96">
        <f t="shared" si="98"/>
        <v>40</v>
      </c>
      <c r="CB85" s="104">
        <f t="shared" si="99"/>
        <v>0.8</v>
      </c>
      <c r="CC85" s="105">
        <f t="shared" si="59"/>
        <v>70.046204560604892</v>
      </c>
      <c r="CD85" s="106">
        <f t="shared" si="60"/>
        <v>73.977561095249413</v>
      </c>
      <c r="CE85" s="107">
        <f t="shared" si="61"/>
        <v>1.1096634164287411</v>
      </c>
      <c r="CF85" s="108" t="s">
        <v>2189</v>
      </c>
      <c r="CG85" s="108" t="s">
        <v>2189</v>
      </c>
      <c r="CH85" s="108" t="s">
        <v>2189</v>
      </c>
      <c r="CI85" s="108" t="s">
        <v>2189</v>
      </c>
      <c r="CJ85" s="109"/>
      <c r="CK85" s="116" t="s">
        <v>2199</v>
      </c>
      <c r="CL85" s="116" t="s">
        <v>2193</v>
      </c>
      <c r="CM85" s="111">
        <f t="shared" si="100"/>
        <v>25</v>
      </c>
      <c r="CN85" s="107">
        <f t="shared" si="62"/>
        <v>0.375</v>
      </c>
      <c r="CO85" s="114">
        <v>599000</v>
      </c>
      <c r="CP85" s="88">
        <f t="shared" si="101"/>
        <v>0.15555403567922921</v>
      </c>
      <c r="CQ85" s="78">
        <f t="shared" si="102"/>
        <v>100</v>
      </c>
      <c r="CR85" s="79">
        <f t="shared" si="63"/>
        <v>3</v>
      </c>
      <c r="CS85" s="92">
        <f>_xlfn.XLOOKUP(C85, '[1]1-1. 관계사체무보증금액 (환율 등)'!$3:$3, '[1]1-1. 관계사체무보증금액 (환율 등)'!$33:$33)</f>
        <v>0</v>
      </c>
      <c r="CT85" s="77">
        <f t="shared" si="103"/>
        <v>0</v>
      </c>
      <c r="CU85" s="78">
        <f t="shared" si="104"/>
        <v>100</v>
      </c>
      <c r="CV85" s="79">
        <f t="shared" si="64"/>
        <v>2</v>
      </c>
      <c r="CW85" s="112">
        <f t="shared" si="105"/>
        <v>19.999725628741743</v>
      </c>
    </row>
    <row r="86" spans="1:101" x14ac:dyDescent="0.35">
      <c r="A86" s="7" t="s">
        <v>1804</v>
      </c>
      <c r="B86" s="8" t="s">
        <v>1805</v>
      </c>
      <c r="C86" s="21" t="s">
        <v>1806</v>
      </c>
      <c r="D86" s="10" t="s">
        <v>141</v>
      </c>
      <c r="E86" s="11" t="s">
        <v>481</v>
      </c>
      <c r="F86" s="11" t="s">
        <v>1807</v>
      </c>
      <c r="G86" s="12">
        <v>38555</v>
      </c>
      <c r="H86" s="11" t="s">
        <v>24</v>
      </c>
      <c r="I86" s="11" t="s">
        <v>1808</v>
      </c>
      <c r="J86" s="11" t="s">
        <v>1809</v>
      </c>
      <c r="K86" s="11" t="s">
        <v>87</v>
      </c>
      <c r="L86" s="23">
        <v>441490503</v>
      </c>
      <c r="M86" s="14">
        <v>66273961</v>
      </c>
      <c r="N86" s="14">
        <v>375216542</v>
      </c>
      <c r="O86" s="14">
        <v>323948862</v>
      </c>
      <c r="P86" s="14">
        <v>109531252</v>
      </c>
      <c r="Q86" s="14">
        <v>126178452</v>
      </c>
      <c r="R86" s="14">
        <v>91469843</v>
      </c>
      <c r="S86" s="15">
        <v>97339302</v>
      </c>
      <c r="T86" s="15">
        <v>0</v>
      </c>
      <c r="U86" s="15">
        <v>34562450</v>
      </c>
      <c r="V86" s="15">
        <f>55041625-U86-Z86</f>
        <v>19302768</v>
      </c>
      <c r="W86" s="15">
        <v>51524</v>
      </c>
      <c r="X86" s="15">
        <v>0</v>
      </c>
      <c r="Z86" s="15">
        <f>318333+858074</f>
        <v>1176407</v>
      </c>
      <c r="AA86" s="15">
        <f>858074+148960</f>
        <v>1007034</v>
      </c>
      <c r="AB86" s="74">
        <f t="shared" si="65"/>
        <v>55093149</v>
      </c>
      <c r="AC86" s="75">
        <f t="shared" si="66"/>
        <v>56.59907957835982</v>
      </c>
      <c r="AD86" s="75">
        <f t="shared" si="67"/>
        <v>51.237848465167019</v>
      </c>
      <c r="AE86" s="76">
        <f t="shared" si="53"/>
        <v>1.5371354539550106</v>
      </c>
      <c r="AF86" s="77">
        <f t="shared" si="68"/>
        <v>55.916069577018575</v>
      </c>
      <c r="AG86" s="77">
        <f t="shared" si="69"/>
        <v>56.145376957179082</v>
      </c>
      <c r="AH86" s="77">
        <f t="shared" si="70"/>
        <v>0.22930738016050611</v>
      </c>
      <c r="AI86" s="78">
        <f t="shared" si="71"/>
        <v>100</v>
      </c>
      <c r="AJ86" s="79">
        <f t="shared" si="54"/>
        <v>4</v>
      </c>
      <c r="AK86" s="113">
        <v>4</v>
      </c>
      <c r="AL86" s="113">
        <v>19</v>
      </c>
      <c r="AM86" s="113">
        <v>1</v>
      </c>
      <c r="AN86" s="81">
        <f t="shared" si="72"/>
        <v>23</v>
      </c>
      <c r="AO86" s="82">
        <f t="shared" si="73"/>
        <v>4.3478260869565215</v>
      </c>
      <c r="AP86" s="83">
        <f t="shared" si="74"/>
        <v>100</v>
      </c>
      <c r="AQ86" s="84">
        <f t="shared" si="55"/>
        <v>2</v>
      </c>
      <c r="AR86" s="118">
        <v>1</v>
      </c>
      <c r="AS86" s="86">
        <f t="shared" si="75"/>
        <v>0.25</v>
      </c>
      <c r="AT86" s="87">
        <f t="shared" si="76"/>
        <v>1</v>
      </c>
      <c r="AU86" s="87">
        <f t="shared" si="77"/>
        <v>1</v>
      </c>
      <c r="AV86" s="88">
        <f t="shared" si="78"/>
        <v>0</v>
      </c>
      <c r="AW86" s="78">
        <f t="shared" si="79"/>
        <v>40</v>
      </c>
      <c r="AX86" s="89">
        <f t="shared" si="56"/>
        <v>0.4</v>
      </c>
      <c r="AY86" s="114">
        <v>13</v>
      </c>
      <c r="AZ86" s="114">
        <v>13</v>
      </c>
      <c r="BA86" s="91">
        <f t="shared" si="80"/>
        <v>13</v>
      </c>
      <c r="BB86" s="77">
        <f t="shared" si="81"/>
        <v>100</v>
      </c>
      <c r="BC86" s="78">
        <f t="shared" si="82"/>
        <v>100</v>
      </c>
      <c r="BD86" s="79">
        <f t="shared" si="57"/>
        <v>1</v>
      </c>
      <c r="BE86" s="92">
        <v>11729820</v>
      </c>
      <c r="BF86" s="92">
        <v>613673</v>
      </c>
      <c r="BG86" s="114">
        <v>573393</v>
      </c>
      <c r="BH86" s="94">
        <f t="shared" si="83"/>
        <v>12343493</v>
      </c>
      <c r="BI86" s="77">
        <f t="shared" si="84"/>
        <v>4.645305830367465</v>
      </c>
      <c r="BJ86" s="95" t="str">
        <f t="shared" si="85"/>
        <v>전기전자/기계업</v>
      </c>
      <c r="BK86" s="96">
        <f t="shared" si="86"/>
        <v>2.4096449716116446</v>
      </c>
      <c r="BL86" s="97">
        <f t="shared" si="87"/>
        <v>2.2356608587558204</v>
      </c>
      <c r="BM86" s="98">
        <f t="shared" si="88"/>
        <v>40</v>
      </c>
      <c r="BN86" s="99">
        <f t="shared" si="89"/>
        <v>0.8</v>
      </c>
      <c r="BO86" s="114">
        <v>20394000</v>
      </c>
      <c r="BP86" s="101">
        <f t="shared" si="90"/>
        <v>6.2954380744205247</v>
      </c>
      <c r="BQ86" s="78">
        <f t="shared" si="91"/>
        <v>100</v>
      </c>
      <c r="BR86" s="79">
        <f t="shared" si="58"/>
        <v>2</v>
      </c>
      <c r="BS86" s="102">
        <v>9082536.2960000001</v>
      </c>
      <c r="BT86" s="102">
        <v>999727.272</v>
      </c>
      <c r="BU86" s="103">
        <f t="shared" si="92"/>
        <v>8082809.0240000002</v>
      </c>
      <c r="BV86" s="77">
        <f t="shared" si="93"/>
        <v>2.4950879512581836</v>
      </c>
      <c r="BW86" s="96">
        <f t="shared" si="94"/>
        <v>5.2309968128308295</v>
      </c>
      <c r="BX86" s="96">
        <f t="shared" si="95"/>
        <v>7.4851972988317312</v>
      </c>
      <c r="BY86" s="96">
        <f t="shared" si="96"/>
        <v>7.0695458012309631</v>
      </c>
      <c r="BZ86" s="96">
        <f t="shared" si="97"/>
        <v>65.062161519251063</v>
      </c>
      <c r="CA86" s="96">
        <f t="shared" si="98"/>
        <v>40</v>
      </c>
      <c r="CB86" s="104">
        <f t="shared" si="99"/>
        <v>0.8</v>
      </c>
      <c r="CC86" s="105">
        <f t="shared" si="59"/>
        <v>17.662856932357744</v>
      </c>
      <c r="CD86" s="106">
        <f t="shared" si="60"/>
        <v>93.720028794337537</v>
      </c>
      <c r="CE86" s="107">
        <f t="shared" si="61"/>
        <v>1.405800431915063</v>
      </c>
      <c r="CF86" s="108" t="s">
        <v>2189</v>
      </c>
      <c r="CG86" s="108" t="s">
        <v>2189</v>
      </c>
      <c r="CH86" s="108" t="s">
        <v>2189</v>
      </c>
      <c r="CI86" s="108" t="s">
        <v>2189</v>
      </c>
      <c r="CJ86" s="109"/>
      <c r="CK86" s="116" t="s">
        <v>2203</v>
      </c>
      <c r="CL86" s="116" t="s">
        <v>2204</v>
      </c>
      <c r="CM86" s="111">
        <f t="shared" si="100"/>
        <v>70</v>
      </c>
      <c r="CN86" s="107">
        <f t="shared" si="62"/>
        <v>1.05</v>
      </c>
      <c r="CO86" s="114">
        <f>1381481+2614346+746279</f>
        <v>4742106</v>
      </c>
      <c r="CP86" s="88">
        <f t="shared" si="101"/>
        <v>1.2638318062213791</v>
      </c>
      <c r="CQ86" s="78">
        <f t="shared" si="102"/>
        <v>100</v>
      </c>
      <c r="CR86" s="79">
        <f t="shared" si="63"/>
        <v>3</v>
      </c>
      <c r="CS86" s="92">
        <f>_xlfn.XLOOKUP(C86, '[1]1-1. 관계사체무보증금액 (환율 등)'!$3:$3, '[1]1-1. 관계사체무보증금액 (환율 등)'!$33:$33)</f>
        <v>0</v>
      </c>
      <c r="CT86" s="77">
        <f t="shared" si="103"/>
        <v>0</v>
      </c>
      <c r="CU86" s="78">
        <f t="shared" si="104"/>
        <v>100</v>
      </c>
      <c r="CV86" s="79">
        <f t="shared" si="64"/>
        <v>2</v>
      </c>
      <c r="CW86" s="112">
        <f t="shared" si="105"/>
        <v>19.992935885870075</v>
      </c>
    </row>
    <row r="87" spans="1:101" x14ac:dyDescent="0.35">
      <c r="A87" s="7" t="s">
        <v>1743</v>
      </c>
      <c r="B87" s="8" t="s">
        <v>1744</v>
      </c>
      <c r="C87" s="21" t="s">
        <v>1745</v>
      </c>
      <c r="D87" s="10" t="s">
        <v>141</v>
      </c>
      <c r="E87" s="11" t="s">
        <v>429</v>
      </c>
      <c r="F87" s="11" t="s">
        <v>1746</v>
      </c>
      <c r="G87" s="12">
        <v>35354</v>
      </c>
      <c r="H87" s="11" t="s">
        <v>24</v>
      </c>
      <c r="I87" s="11" t="s">
        <v>1747</v>
      </c>
      <c r="J87" s="11" t="s">
        <v>1748</v>
      </c>
      <c r="K87" s="11" t="s">
        <v>87</v>
      </c>
      <c r="L87" s="23">
        <v>1115216321</v>
      </c>
      <c r="M87" s="14">
        <v>343407952</v>
      </c>
      <c r="N87" s="14">
        <v>771808369</v>
      </c>
      <c r="O87" s="14">
        <v>1105239370</v>
      </c>
      <c r="P87" s="14">
        <v>45133384</v>
      </c>
      <c r="Q87" s="14">
        <v>54914570</v>
      </c>
      <c r="R87" s="14">
        <v>41039812</v>
      </c>
      <c r="S87" s="15">
        <v>10415000</v>
      </c>
      <c r="T87" s="15">
        <v>100000</v>
      </c>
      <c r="U87" s="15">
        <v>744550</v>
      </c>
      <c r="V87" s="15">
        <f>3457117-744550-1000400-312450</f>
        <v>1399717</v>
      </c>
      <c r="W87" s="15">
        <v>0</v>
      </c>
      <c r="X87" s="15">
        <v>312450</v>
      </c>
      <c r="Y87" s="24" t="s">
        <v>2112</v>
      </c>
      <c r="Z87" s="15">
        <v>1000400</v>
      </c>
      <c r="AA87" s="15">
        <v>6834</v>
      </c>
      <c r="AB87" s="74">
        <f t="shared" si="65"/>
        <v>3457117</v>
      </c>
      <c r="AC87" s="75">
        <f t="shared" si="66"/>
        <v>33.193634181469037</v>
      </c>
      <c r="AD87" s="75">
        <f t="shared" si="67"/>
        <v>71.438175332449049</v>
      </c>
      <c r="AE87" s="76">
        <f t="shared" si="53"/>
        <v>2.1431452599734713</v>
      </c>
      <c r="AF87" s="77">
        <f t="shared" si="68"/>
        <v>20.801634354743609</v>
      </c>
      <c r="AG87" s="77">
        <f t="shared" si="69"/>
        <v>33.471356592433608</v>
      </c>
      <c r="AH87" s="77">
        <f t="shared" si="70"/>
        <v>12.669722237689999</v>
      </c>
      <c r="AI87" s="78">
        <f t="shared" si="71"/>
        <v>80</v>
      </c>
      <c r="AJ87" s="79">
        <f t="shared" si="54"/>
        <v>3.2</v>
      </c>
      <c r="AK87" s="113">
        <v>5</v>
      </c>
      <c r="AL87" s="113">
        <v>20</v>
      </c>
      <c r="AM87" s="113">
        <v>2</v>
      </c>
      <c r="AN87" s="81">
        <f t="shared" si="72"/>
        <v>25</v>
      </c>
      <c r="AO87" s="82">
        <f t="shared" si="73"/>
        <v>8</v>
      </c>
      <c r="AP87" s="83">
        <f t="shared" si="74"/>
        <v>100</v>
      </c>
      <c r="AQ87" s="84">
        <f t="shared" si="55"/>
        <v>2</v>
      </c>
      <c r="AR87" s="118">
        <v>1</v>
      </c>
      <c r="AS87" s="86">
        <f t="shared" si="75"/>
        <v>0.25</v>
      </c>
      <c r="AT87" s="87">
        <f t="shared" si="76"/>
        <v>1.25</v>
      </c>
      <c r="AU87" s="87">
        <f t="shared" si="77"/>
        <v>1</v>
      </c>
      <c r="AV87" s="88">
        <f t="shared" si="78"/>
        <v>0</v>
      </c>
      <c r="AW87" s="78">
        <f t="shared" si="79"/>
        <v>40</v>
      </c>
      <c r="AX87" s="89">
        <f t="shared" si="56"/>
        <v>0.4</v>
      </c>
      <c r="AY87" s="114">
        <v>12</v>
      </c>
      <c r="AZ87" s="114">
        <v>12</v>
      </c>
      <c r="BA87" s="91">
        <f t="shared" si="80"/>
        <v>12</v>
      </c>
      <c r="BB87" s="77">
        <f t="shared" si="81"/>
        <v>100</v>
      </c>
      <c r="BC87" s="78">
        <f t="shared" si="82"/>
        <v>100</v>
      </c>
      <c r="BD87" s="79">
        <f t="shared" si="57"/>
        <v>1</v>
      </c>
      <c r="BE87" s="92">
        <v>19616611</v>
      </c>
      <c r="BF87" s="92">
        <v>2171428</v>
      </c>
      <c r="BG87" s="114">
        <v>625386</v>
      </c>
      <c r="BH87" s="94">
        <f t="shared" si="83"/>
        <v>21788039</v>
      </c>
      <c r="BI87" s="77">
        <f t="shared" si="84"/>
        <v>2.8703179758398636</v>
      </c>
      <c r="BJ87" s="95" t="str">
        <f t="shared" si="85"/>
        <v>전기전자/기계업</v>
      </c>
      <c r="BK87" s="96">
        <f t="shared" si="86"/>
        <v>2.4096449716116446</v>
      </c>
      <c r="BL87" s="97">
        <f t="shared" si="87"/>
        <v>0.460673004228219</v>
      </c>
      <c r="BM87" s="98">
        <f t="shared" si="88"/>
        <v>60</v>
      </c>
      <c r="BN87" s="99">
        <f t="shared" si="89"/>
        <v>1.2</v>
      </c>
      <c r="BO87" s="114">
        <v>45480352</v>
      </c>
      <c r="BP87" s="101">
        <f t="shared" si="90"/>
        <v>4.1149775545907312</v>
      </c>
      <c r="BQ87" s="78">
        <f t="shared" si="91"/>
        <v>100</v>
      </c>
      <c r="BR87" s="79">
        <f t="shared" si="58"/>
        <v>2</v>
      </c>
      <c r="BS87" s="102">
        <v>79393961.657000005</v>
      </c>
      <c r="BT87" s="102">
        <v>9767137.8320000004</v>
      </c>
      <c r="BU87" s="103">
        <f t="shared" si="92"/>
        <v>69626823.825000003</v>
      </c>
      <c r="BV87" s="77">
        <f t="shared" si="93"/>
        <v>6.2997053593014884</v>
      </c>
      <c r="BW87" s="96">
        <f t="shared" si="94"/>
        <v>5.2309968128308295</v>
      </c>
      <c r="BX87" s="96">
        <f t="shared" si="95"/>
        <v>1.1421379572994286</v>
      </c>
      <c r="BY87" s="96">
        <f t="shared" si="96"/>
        <v>7.0695458012309631</v>
      </c>
      <c r="BZ87" s="96">
        <f t="shared" si="97"/>
        <v>43.992051129932605</v>
      </c>
      <c r="CA87" s="96">
        <f t="shared" si="98"/>
        <v>55</v>
      </c>
      <c r="CB87" s="104">
        <f t="shared" si="99"/>
        <v>1.1000000000000001</v>
      </c>
      <c r="CC87" s="105">
        <f t="shared" si="59"/>
        <v>44.49393991994922</v>
      </c>
      <c r="CD87" s="106">
        <f t="shared" si="60"/>
        <v>83.607811587958835</v>
      </c>
      <c r="CE87" s="107">
        <f t="shared" si="61"/>
        <v>1.2541171738193826</v>
      </c>
      <c r="CF87" s="108" t="s">
        <v>2189</v>
      </c>
      <c r="CG87" s="108" t="s">
        <v>2189</v>
      </c>
      <c r="CH87" s="108" t="s">
        <v>2189</v>
      </c>
      <c r="CI87" s="108" t="s">
        <v>2189</v>
      </c>
      <c r="CJ87" s="109"/>
      <c r="CK87" s="116" t="s">
        <v>2236</v>
      </c>
      <c r="CL87" s="116" t="s">
        <v>2191</v>
      </c>
      <c r="CM87" s="111">
        <f t="shared" si="100"/>
        <v>85</v>
      </c>
      <c r="CN87" s="107">
        <f t="shared" si="62"/>
        <v>1.2749999999999999</v>
      </c>
      <c r="CO87" s="114">
        <v>75498000</v>
      </c>
      <c r="CP87" s="88">
        <f t="shared" si="101"/>
        <v>9.781961822702133</v>
      </c>
      <c r="CQ87" s="78">
        <f t="shared" si="102"/>
        <v>80</v>
      </c>
      <c r="CR87" s="79">
        <f t="shared" si="63"/>
        <v>2.4</v>
      </c>
      <c r="CS87" s="92">
        <f>_xlfn.XLOOKUP(C87, '[1]1-1. 관계사체무보증금액 (환율 등)'!$3:$3, '[1]1-1. 관계사체무보증금액 (환율 등)'!$33:$33)</f>
        <v>0</v>
      </c>
      <c r="CT87" s="77">
        <f t="shared" si="103"/>
        <v>0</v>
      </c>
      <c r="CU87" s="78">
        <f t="shared" si="104"/>
        <v>100</v>
      </c>
      <c r="CV87" s="79">
        <f t="shared" si="64"/>
        <v>2</v>
      </c>
      <c r="CW87" s="112">
        <f t="shared" si="105"/>
        <v>19.972262433792853</v>
      </c>
    </row>
    <row r="88" spans="1:101" x14ac:dyDescent="0.35">
      <c r="A88" s="7" t="s">
        <v>889</v>
      </c>
      <c r="B88" s="8" t="s">
        <v>890</v>
      </c>
      <c r="C88" s="189" t="s">
        <v>891</v>
      </c>
      <c r="D88" s="22" t="s">
        <v>21</v>
      </c>
      <c r="E88" s="36" t="s">
        <v>303</v>
      </c>
      <c r="F88" s="36" t="s">
        <v>892</v>
      </c>
      <c r="G88" s="37">
        <v>41991</v>
      </c>
      <c r="H88" s="36" t="s">
        <v>24</v>
      </c>
      <c r="I88" s="36" t="s">
        <v>893</v>
      </c>
      <c r="J88" s="36" t="s">
        <v>894</v>
      </c>
      <c r="K88" s="36" t="s">
        <v>27</v>
      </c>
      <c r="L88" s="193">
        <v>39636329822</v>
      </c>
      <c r="M88" s="196">
        <v>15712704458</v>
      </c>
      <c r="N88" s="196">
        <v>23923625364</v>
      </c>
      <c r="O88" s="196">
        <v>26406560657</v>
      </c>
      <c r="P88" s="196">
        <v>939411977</v>
      </c>
      <c r="Q88" s="196">
        <v>1886089047</v>
      </c>
      <c r="R88" s="196">
        <v>1461807709</v>
      </c>
      <c r="S88" s="15">
        <v>186887081</v>
      </c>
      <c r="T88" s="15">
        <v>24718099</v>
      </c>
      <c r="U88" s="15">
        <v>33880220</v>
      </c>
      <c r="V88" s="15">
        <f>11662168*2+1808577+600000</f>
        <v>25732913</v>
      </c>
      <c r="W88" s="15">
        <f>2000+1000+2364+3299+200+654+15+1350+227+223+689+140+1200+1240+500+280+73+105+17+447+317+600+700+1046+122+119+78+410+1227+300+1000+2004+238+100+100+21+397+2102+1188+400</f>
        <v>28492</v>
      </c>
      <c r="X88" s="15">
        <f>1144086+80946</f>
        <v>1225032</v>
      </c>
      <c r="Y88" s="24" t="s">
        <v>2081</v>
      </c>
      <c r="Z88" s="15">
        <f>255144</f>
        <v>255144</v>
      </c>
      <c r="AA88" s="15">
        <v>255144</v>
      </c>
      <c r="AB88" s="74">
        <f t="shared" si="65"/>
        <v>61121801</v>
      </c>
      <c r="AC88" s="75">
        <f t="shared" si="66"/>
        <v>32.705203951470565</v>
      </c>
      <c r="AD88" s="75">
        <f t="shared" si="67"/>
        <v>71.859720410123217</v>
      </c>
      <c r="AE88" s="76">
        <f t="shared" si="53"/>
        <v>2.1557916123036964</v>
      </c>
      <c r="AF88" s="77">
        <f t="shared" si="68"/>
        <v>36.817812323119661</v>
      </c>
      <c r="AG88" s="77">
        <f t="shared" si="69"/>
        <v>37.592004335046397</v>
      </c>
      <c r="AH88" s="77">
        <f t="shared" si="70"/>
        <v>0.77419201192673626</v>
      </c>
      <c r="AI88" s="78">
        <f t="shared" si="71"/>
        <v>100</v>
      </c>
      <c r="AJ88" s="79">
        <f t="shared" si="54"/>
        <v>4</v>
      </c>
      <c r="AK88" s="113">
        <v>9</v>
      </c>
      <c r="AL88" s="113">
        <v>151</v>
      </c>
      <c r="AM88" s="113">
        <v>0</v>
      </c>
      <c r="AN88" s="81">
        <f t="shared" si="72"/>
        <v>160</v>
      </c>
      <c r="AO88" s="82">
        <f t="shared" si="73"/>
        <v>0</v>
      </c>
      <c r="AP88" s="83">
        <f t="shared" si="74"/>
        <v>100</v>
      </c>
      <c r="AQ88" s="84">
        <f t="shared" si="55"/>
        <v>2</v>
      </c>
      <c r="AR88" s="118">
        <v>5</v>
      </c>
      <c r="AS88" s="86">
        <f t="shared" si="75"/>
        <v>0.5</v>
      </c>
      <c r="AT88" s="87">
        <f t="shared" si="76"/>
        <v>4.5</v>
      </c>
      <c r="AU88" s="87">
        <f t="shared" si="77"/>
        <v>4</v>
      </c>
      <c r="AV88" s="88">
        <f t="shared" si="78"/>
        <v>11.111111111111111</v>
      </c>
      <c r="AW88" s="78">
        <f t="shared" si="79"/>
        <v>60</v>
      </c>
      <c r="AX88" s="89">
        <f t="shared" si="56"/>
        <v>0.6</v>
      </c>
      <c r="AY88" s="114">
        <v>6</v>
      </c>
      <c r="AZ88" s="114">
        <f>30-2</f>
        <v>28</v>
      </c>
      <c r="BA88" s="91">
        <f t="shared" si="80"/>
        <v>30</v>
      </c>
      <c r="BB88" s="77">
        <f t="shared" si="81"/>
        <v>93.333333333333329</v>
      </c>
      <c r="BC88" s="78">
        <f t="shared" si="82"/>
        <v>100</v>
      </c>
      <c r="BD88" s="79">
        <f t="shared" si="57"/>
        <v>1</v>
      </c>
      <c r="BE88" s="92">
        <v>659449000</v>
      </c>
      <c r="BF88" s="92">
        <v>57910000</v>
      </c>
      <c r="BG88" s="93">
        <v>0</v>
      </c>
      <c r="BH88" s="94">
        <f t="shared" si="83"/>
        <v>717359000</v>
      </c>
      <c r="BI88" s="77">
        <f t="shared" si="84"/>
        <v>0</v>
      </c>
      <c r="BJ88" s="95" t="str">
        <f t="shared" si="85"/>
        <v>비제조/서비스업</v>
      </c>
      <c r="BK88" s="96">
        <f t="shared" si="86"/>
        <v>1.7464434573900922</v>
      </c>
      <c r="BL88" s="97">
        <f t="shared" si="87"/>
        <v>-1.7464434573900922</v>
      </c>
      <c r="BM88" s="98">
        <f t="shared" si="88"/>
        <v>80</v>
      </c>
      <c r="BN88" s="99">
        <f t="shared" si="89"/>
        <v>1.6</v>
      </c>
      <c r="BO88" s="114">
        <v>383597000</v>
      </c>
      <c r="BP88" s="101">
        <f t="shared" si="90"/>
        <v>1.4526579397545054</v>
      </c>
      <c r="BQ88" s="78">
        <f t="shared" si="91"/>
        <v>70</v>
      </c>
      <c r="BR88" s="79">
        <f t="shared" si="58"/>
        <v>1.4000000000000001</v>
      </c>
      <c r="BS88" s="102">
        <v>77190265.527999997</v>
      </c>
      <c r="BT88" s="102">
        <v>16193641.328</v>
      </c>
      <c r="BU88" s="103">
        <f t="shared" si="92"/>
        <v>60996624.199999996</v>
      </c>
      <c r="BV88" s="77">
        <f t="shared" si="93"/>
        <v>0.23099041557246747</v>
      </c>
      <c r="BW88" s="96">
        <f t="shared" si="94"/>
        <v>2.8482825397737606</v>
      </c>
      <c r="BX88" s="96">
        <f t="shared" si="95"/>
        <v>6.8502180634061176</v>
      </c>
      <c r="BY88" s="96">
        <f t="shared" si="96"/>
        <v>5.5697595856656807</v>
      </c>
      <c r="BZ88" s="96">
        <f t="shared" si="97"/>
        <v>68.079075057648197</v>
      </c>
      <c r="CA88" s="96">
        <f t="shared" si="98"/>
        <v>40</v>
      </c>
      <c r="CB88" s="104">
        <f t="shared" si="99"/>
        <v>0.8</v>
      </c>
      <c r="CC88" s="105">
        <f t="shared" si="59"/>
        <v>65.678609403591054</v>
      </c>
      <c r="CD88" s="106">
        <f t="shared" si="60"/>
        <v>75.623639672013411</v>
      </c>
      <c r="CE88" s="107">
        <f t="shared" si="61"/>
        <v>1.1343545950802012</v>
      </c>
      <c r="CF88" s="108" t="s">
        <v>2189</v>
      </c>
      <c r="CG88" s="108" t="s">
        <v>2189</v>
      </c>
      <c r="CH88" s="108" t="s">
        <v>2189</v>
      </c>
      <c r="CI88" s="108" t="s">
        <v>2189</v>
      </c>
      <c r="CJ88" s="109"/>
      <c r="CK88" s="116" t="s">
        <v>2212</v>
      </c>
      <c r="CL88" s="116" t="s">
        <v>2191</v>
      </c>
      <c r="CM88" s="111">
        <f t="shared" si="100"/>
        <v>85</v>
      </c>
      <c r="CN88" s="107">
        <f t="shared" si="62"/>
        <v>1.2749999999999999</v>
      </c>
      <c r="CO88" s="114">
        <v>1778664000</v>
      </c>
      <c r="CP88" s="88">
        <f t="shared" si="101"/>
        <v>7.4347594603137086</v>
      </c>
      <c r="CQ88" s="78">
        <f t="shared" si="102"/>
        <v>80</v>
      </c>
      <c r="CR88" s="79">
        <f t="shared" si="63"/>
        <v>2.4</v>
      </c>
      <c r="CS88" s="92">
        <f>_xlfn.XLOOKUP(C88, '[1]1-1. 관계사체무보증금액 (환율 등)'!$3:$3, '[1]1-1. 관계사체무보증금액 (환율 등)'!$33:$33)</f>
        <v>807756000</v>
      </c>
      <c r="CT88" s="77">
        <f t="shared" si="103"/>
        <v>3.3763946212579556</v>
      </c>
      <c r="CU88" s="78">
        <f t="shared" si="104"/>
        <v>80</v>
      </c>
      <c r="CV88" s="79">
        <f t="shared" si="64"/>
        <v>1.6</v>
      </c>
      <c r="CW88" s="112">
        <f t="shared" si="105"/>
        <v>19.965146207383899</v>
      </c>
    </row>
    <row r="89" spans="1:101" x14ac:dyDescent="0.35">
      <c r="A89" s="7" t="s">
        <v>592</v>
      </c>
      <c r="B89" s="8" t="s">
        <v>593</v>
      </c>
      <c r="C89" s="21" t="s">
        <v>594</v>
      </c>
      <c r="D89" s="22" t="s">
        <v>141</v>
      </c>
      <c r="E89" s="11" t="s">
        <v>369</v>
      </c>
      <c r="F89" s="11" t="s">
        <v>595</v>
      </c>
      <c r="G89" s="12">
        <v>25199</v>
      </c>
      <c r="H89" s="11" t="s">
        <v>24</v>
      </c>
      <c r="I89" s="11" t="s">
        <v>596</v>
      </c>
      <c r="J89" s="11" t="s">
        <v>597</v>
      </c>
      <c r="K89" s="11" t="s">
        <v>50</v>
      </c>
      <c r="L89" s="23">
        <v>1552592143</v>
      </c>
      <c r="M89" s="14">
        <v>682188473</v>
      </c>
      <c r="N89" s="14">
        <v>870403670</v>
      </c>
      <c r="O89" s="14">
        <v>2199525188</v>
      </c>
      <c r="P89" s="14">
        <v>28784541</v>
      </c>
      <c r="Q89" s="14">
        <v>14593912</v>
      </c>
      <c r="R89" s="14">
        <v>8438935</v>
      </c>
      <c r="S89" s="15">
        <v>1244473009</v>
      </c>
      <c r="T89" s="15">
        <v>6840777</v>
      </c>
      <c r="U89" s="15">
        <f>499044607+77400</f>
        <v>499122007</v>
      </c>
      <c r="V89" s="15">
        <v>0</v>
      </c>
      <c r="W89" s="15">
        <f>25050+18576*2+20000+9288*2+8740*2+22900+22431+17027</f>
        <v>180616</v>
      </c>
      <c r="X89" s="15">
        <v>0</v>
      </c>
      <c r="Z89" s="15">
        <v>0</v>
      </c>
      <c r="AA89" s="15">
        <v>0</v>
      </c>
      <c r="AB89" s="74">
        <f t="shared" si="65"/>
        <v>499302623</v>
      </c>
      <c r="AC89" s="75">
        <f t="shared" si="66"/>
        <v>40.121611267504797</v>
      </c>
      <c r="AD89" s="75">
        <f t="shared" si="67"/>
        <v>65.458908572349145</v>
      </c>
      <c r="AE89" s="76">
        <f t="shared" si="53"/>
        <v>1.9637672571704743</v>
      </c>
      <c r="AF89" s="77">
        <f t="shared" si="68"/>
        <v>40.328782177353631</v>
      </c>
      <c r="AG89" s="77">
        <f t="shared" si="69"/>
        <v>40.343375850282477</v>
      </c>
      <c r="AH89" s="77">
        <f t="shared" si="70"/>
        <v>1.4593672928846502E-2</v>
      </c>
      <c r="AI89" s="78">
        <f t="shared" si="71"/>
        <v>100</v>
      </c>
      <c r="AJ89" s="79">
        <f t="shared" si="54"/>
        <v>4</v>
      </c>
      <c r="AK89" s="113">
        <v>7</v>
      </c>
      <c r="AL89" s="113">
        <v>21</v>
      </c>
      <c r="AM89" s="113">
        <v>0</v>
      </c>
      <c r="AN89" s="81">
        <f t="shared" si="72"/>
        <v>28</v>
      </c>
      <c r="AO89" s="82">
        <f t="shared" si="73"/>
        <v>0</v>
      </c>
      <c r="AP89" s="83">
        <f t="shared" si="74"/>
        <v>100</v>
      </c>
      <c r="AQ89" s="84">
        <f t="shared" si="55"/>
        <v>2</v>
      </c>
      <c r="AR89" s="118">
        <v>3</v>
      </c>
      <c r="AS89" s="86">
        <f t="shared" si="75"/>
        <v>0.25</v>
      </c>
      <c r="AT89" s="87">
        <f t="shared" si="76"/>
        <v>1.75</v>
      </c>
      <c r="AU89" s="87">
        <f t="shared" si="77"/>
        <v>1</v>
      </c>
      <c r="AV89" s="88">
        <f t="shared" si="78"/>
        <v>28.571428571428569</v>
      </c>
      <c r="AW89" s="78">
        <f t="shared" si="79"/>
        <v>80</v>
      </c>
      <c r="AX89" s="89">
        <f t="shared" si="56"/>
        <v>0.8</v>
      </c>
      <c r="AY89" s="114">
        <v>9</v>
      </c>
      <c r="AZ89" s="114">
        <v>27</v>
      </c>
      <c r="BA89" s="91">
        <f t="shared" si="80"/>
        <v>27</v>
      </c>
      <c r="BB89" s="77">
        <f t="shared" si="81"/>
        <v>100</v>
      </c>
      <c r="BC89" s="78">
        <f t="shared" si="82"/>
        <v>100</v>
      </c>
      <c r="BD89" s="79">
        <f t="shared" si="57"/>
        <v>1</v>
      </c>
      <c r="BE89" s="92">
        <v>18090000</v>
      </c>
      <c r="BF89" s="92">
        <v>2050000</v>
      </c>
      <c r="BG89" s="93">
        <v>0</v>
      </c>
      <c r="BH89" s="94">
        <f t="shared" si="83"/>
        <v>20140000</v>
      </c>
      <c r="BI89" s="77">
        <f t="shared" si="84"/>
        <v>0</v>
      </c>
      <c r="BJ89" s="95" t="str">
        <f t="shared" si="85"/>
        <v>전기전자/기계업</v>
      </c>
      <c r="BK89" s="96">
        <f t="shared" si="86"/>
        <v>2.4096449716116446</v>
      </c>
      <c r="BL89" s="97">
        <f t="shared" si="87"/>
        <v>-2.4096449716116446</v>
      </c>
      <c r="BM89" s="98">
        <f t="shared" si="88"/>
        <v>100</v>
      </c>
      <c r="BN89" s="99">
        <f t="shared" si="89"/>
        <v>2</v>
      </c>
      <c r="BO89" s="114">
        <f>6022746-568356</f>
        <v>5454390</v>
      </c>
      <c r="BP89" s="101">
        <f t="shared" si="90"/>
        <v>0.24798033820015525</v>
      </c>
      <c r="BQ89" s="78">
        <f t="shared" si="91"/>
        <v>55</v>
      </c>
      <c r="BR89" s="79">
        <f t="shared" si="58"/>
        <v>1.1000000000000001</v>
      </c>
      <c r="BS89" s="102">
        <v>12505338</v>
      </c>
      <c r="BT89" s="102">
        <v>1756632</v>
      </c>
      <c r="BU89" s="103">
        <f t="shared" si="92"/>
        <v>10748706</v>
      </c>
      <c r="BV89" s="77">
        <f t="shared" si="93"/>
        <v>0.48868301479982873</v>
      </c>
      <c r="BW89" s="96">
        <f t="shared" si="94"/>
        <v>5.2309968128308295</v>
      </c>
      <c r="BX89" s="96">
        <f t="shared" si="95"/>
        <v>22.489540158995215</v>
      </c>
      <c r="BY89" s="96">
        <f t="shared" si="96"/>
        <v>7.0695458012309631</v>
      </c>
      <c r="BZ89" s="96">
        <f t="shared" si="97"/>
        <v>74.882884146932653</v>
      </c>
      <c r="CA89" s="96">
        <f t="shared" si="98"/>
        <v>40</v>
      </c>
      <c r="CB89" s="104">
        <f t="shared" si="99"/>
        <v>0.8</v>
      </c>
      <c r="CC89" s="105">
        <f t="shared" si="59"/>
        <v>78.376102550210973</v>
      </c>
      <c r="CD89" s="106">
        <f t="shared" si="60"/>
        <v>70.838152305196871</v>
      </c>
      <c r="CE89" s="107">
        <f t="shared" si="61"/>
        <v>1.0625722845779531</v>
      </c>
      <c r="CF89" s="108" t="s">
        <v>2189</v>
      </c>
      <c r="CG89" s="108" t="s">
        <v>2189</v>
      </c>
      <c r="CH89" s="108" t="s">
        <v>2189</v>
      </c>
      <c r="CI89" s="108" t="s">
        <v>2189</v>
      </c>
      <c r="CJ89" s="109"/>
      <c r="CK89" s="116" t="s">
        <v>2195</v>
      </c>
      <c r="CL89" s="116" t="s">
        <v>2196</v>
      </c>
      <c r="CM89" s="111">
        <f t="shared" si="100"/>
        <v>55</v>
      </c>
      <c r="CN89" s="107">
        <f t="shared" si="62"/>
        <v>0.82499999999999996</v>
      </c>
      <c r="CO89" s="114">
        <f>56308000-3938000-16815000-1192000-700000</f>
        <v>33663000</v>
      </c>
      <c r="CP89" s="88">
        <f t="shared" si="101"/>
        <v>3.8675158619218601</v>
      </c>
      <c r="CQ89" s="78">
        <f t="shared" si="102"/>
        <v>80</v>
      </c>
      <c r="CR89" s="79">
        <f t="shared" si="63"/>
        <v>2.4</v>
      </c>
      <c r="CS89" s="92">
        <f>_xlfn.XLOOKUP(C89, '[1]1-1. 관계사체무보증금액 (환율 등)'!$3:$3, '[1]1-1. 관계사체무보증금액 (환율 등)'!$33:$33)</f>
        <v>0</v>
      </c>
      <c r="CT89" s="77">
        <f t="shared" si="103"/>
        <v>0</v>
      </c>
      <c r="CU89" s="78">
        <f t="shared" si="104"/>
        <v>100</v>
      </c>
      <c r="CV89" s="79">
        <f t="shared" si="64"/>
        <v>2</v>
      </c>
      <c r="CW89" s="112">
        <f t="shared" si="105"/>
        <v>19.951339541748428</v>
      </c>
    </row>
    <row r="90" spans="1:101" x14ac:dyDescent="0.35">
      <c r="A90" s="7" t="s">
        <v>1723</v>
      </c>
      <c r="B90" s="8" t="s">
        <v>1724</v>
      </c>
      <c r="C90" s="21" t="s">
        <v>1725</v>
      </c>
      <c r="D90" s="10" t="s">
        <v>31</v>
      </c>
      <c r="E90" s="11" t="s">
        <v>183</v>
      </c>
      <c r="F90" s="11" t="s">
        <v>1726</v>
      </c>
      <c r="G90" s="12">
        <v>43375</v>
      </c>
      <c r="H90" s="11" t="s">
        <v>24</v>
      </c>
      <c r="I90" s="11" t="s">
        <v>1727</v>
      </c>
      <c r="J90" s="11" t="s">
        <v>1728</v>
      </c>
      <c r="K90" s="11" t="s">
        <v>50</v>
      </c>
      <c r="L90" s="23">
        <v>345964556</v>
      </c>
      <c r="M90" s="14">
        <v>77567636</v>
      </c>
      <c r="N90" s="14">
        <v>268396921</v>
      </c>
      <c r="O90" s="14">
        <v>210844992</v>
      </c>
      <c r="P90" s="14">
        <v>31170755</v>
      </c>
      <c r="Q90" s="14">
        <v>30718351</v>
      </c>
      <c r="R90" s="14">
        <v>24307179</v>
      </c>
      <c r="S90" s="15">
        <v>17772946</v>
      </c>
      <c r="T90" s="15">
        <v>473460</v>
      </c>
      <c r="U90" s="15">
        <v>4495508</v>
      </c>
      <c r="V90" s="15">
        <f>10258553-4495508-11033</f>
        <v>5752012</v>
      </c>
      <c r="W90" s="15">
        <f>11033+7936+1155+6395</f>
        <v>26519</v>
      </c>
      <c r="X90" s="15">
        <v>0</v>
      </c>
      <c r="Z90" s="15">
        <v>0</v>
      </c>
      <c r="AA90" s="15">
        <v>0</v>
      </c>
      <c r="AB90" s="74">
        <f t="shared" si="65"/>
        <v>10274039</v>
      </c>
      <c r="AC90" s="75">
        <f t="shared" si="66"/>
        <v>57.807180644109316</v>
      </c>
      <c r="AD90" s="75">
        <f t="shared" si="67"/>
        <v>50.195183563772176</v>
      </c>
      <c r="AE90" s="76">
        <f t="shared" si="53"/>
        <v>1.5058555069131652</v>
      </c>
      <c r="AF90" s="77">
        <f t="shared" si="68"/>
        <v>59.235979612342234</v>
      </c>
      <c r="AG90" s="77">
        <f t="shared" si="69"/>
        <v>59.389273184185932</v>
      </c>
      <c r="AH90" s="77">
        <f t="shared" si="70"/>
        <v>0.15329357184369741</v>
      </c>
      <c r="AI90" s="78">
        <f t="shared" si="71"/>
        <v>100</v>
      </c>
      <c r="AJ90" s="79">
        <f t="shared" si="54"/>
        <v>4</v>
      </c>
      <c r="AK90" s="113">
        <v>7</v>
      </c>
      <c r="AL90" s="113">
        <v>20</v>
      </c>
      <c r="AM90" s="113">
        <v>3</v>
      </c>
      <c r="AN90" s="81">
        <f t="shared" si="72"/>
        <v>27</v>
      </c>
      <c r="AO90" s="82">
        <f t="shared" si="73"/>
        <v>11.111111111111111</v>
      </c>
      <c r="AP90" s="83">
        <f t="shared" si="74"/>
        <v>80</v>
      </c>
      <c r="AQ90" s="84">
        <f t="shared" si="55"/>
        <v>1.6</v>
      </c>
      <c r="AR90" s="118">
        <v>2</v>
      </c>
      <c r="AS90" s="86">
        <f t="shared" si="75"/>
        <v>0.25</v>
      </c>
      <c r="AT90" s="87">
        <f t="shared" si="76"/>
        <v>1.75</v>
      </c>
      <c r="AU90" s="87">
        <f t="shared" si="77"/>
        <v>1</v>
      </c>
      <c r="AV90" s="88">
        <f t="shared" si="78"/>
        <v>14.285714285714285</v>
      </c>
      <c r="AW90" s="78">
        <f t="shared" si="79"/>
        <v>60</v>
      </c>
      <c r="AX90" s="89">
        <f t="shared" si="56"/>
        <v>0.6</v>
      </c>
      <c r="AY90" s="114">
        <v>11</v>
      </c>
      <c r="AZ90" s="114">
        <v>22</v>
      </c>
      <c r="BA90" s="91">
        <f t="shared" si="80"/>
        <v>22</v>
      </c>
      <c r="BB90" s="77">
        <f t="shared" si="81"/>
        <v>100</v>
      </c>
      <c r="BC90" s="78">
        <f t="shared" si="82"/>
        <v>100</v>
      </c>
      <c r="BD90" s="79">
        <f t="shared" si="57"/>
        <v>1</v>
      </c>
      <c r="BE90" s="92">
        <v>33156681</v>
      </c>
      <c r="BF90" s="92">
        <v>714257</v>
      </c>
      <c r="BG90" s="114">
        <v>2334089</v>
      </c>
      <c r="BH90" s="94">
        <f t="shared" si="83"/>
        <v>33870938</v>
      </c>
      <c r="BI90" s="77">
        <f t="shared" si="84"/>
        <v>6.8911259558267917</v>
      </c>
      <c r="BJ90" s="95" t="str">
        <f t="shared" si="85"/>
        <v>식약/섬유/종이업</v>
      </c>
      <c r="BK90" s="96">
        <f t="shared" si="86"/>
        <v>2.1999360555264453</v>
      </c>
      <c r="BL90" s="97">
        <f t="shared" si="87"/>
        <v>4.6911899003003459</v>
      </c>
      <c r="BM90" s="98">
        <f t="shared" si="88"/>
        <v>40</v>
      </c>
      <c r="BN90" s="99">
        <f t="shared" si="89"/>
        <v>0.8</v>
      </c>
      <c r="BO90" s="114">
        <v>10438581</v>
      </c>
      <c r="BP90" s="101">
        <f t="shared" si="90"/>
        <v>4.9508318414316435</v>
      </c>
      <c r="BQ90" s="78">
        <f t="shared" si="91"/>
        <v>100</v>
      </c>
      <c r="BR90" s="79">
        <f t="shared" si="58"/>
        <v>2</v>
      </c>
      <c r="BS90" s="102">
        <v>35649577</v>
      </c>
      <c r="BT90" s="102">
        <v>3271587</v>
      </c>
      <c r="BU90" s="103">
        <f t="shared" si="92"/>
        <v>32377990</v>
      </c>
      <c r="BV90" s="77">
        <f t="shared" si="93"/>
        <v>15.3563002340601</v>
      </c>
      <c r="BW90" s="96">
        <f t="shared" si="94"/>
        <v>5.0508176117342298</v>
      </c>
      <c r="BX90" s="96">
        <f t="shared" si="95"/>
        <v>106.2029720790605</v>
      </c>
      <c r="BY90" s="96">
        <f t="shared" si="96"/>
        <v>6.9871618081220923</v>
      </c>
      <c r="BZ90" s="96">
        <f t="shared" si="97"/>
        <v>7.0117451006926341</v>
      </c>
      <c r="CA90" s="96">
        <f t="shared" si="98"/>
        <v>85</v>
      </c>
      <c r="CB90" s="104">
        <f t="shared" si="99"/>
        <v>1.7</v>
      </c>
      <c r="CC90" s="105">
        <f t="shared" si="59"/>
        <v>28.900344948442978</v>
      </c>
      <c r="CD90" s="106">
        <f t="shared" si="60"/>
        <v>89.484794617420988</v>
      </c>
      <c r="CE90" s="107">
        <f t="shared" si="61"/>
        <v>1.3422719192613148</v>
      </c>
      <c r="CF90" s="108" t="s">
        <v>2189</v>
      </c>
      <c r="CG90" s="108" t="s">
        <v>2189</v>
      </c>
      <c r="CH90" s="108" t="s">
        <v>2189</v>
      </c>
      <c r="CI90" s="108" t="s">
        <v>2189</v>
      </c>
      <c r="CJ90" s="109"/>
      <c r="CK90" s="116" t="s">
        <v>2199</v>
      </c>
      <c r="CL90" s="116" t="s">
        <v>2193</v>
      </c>
      <c r="CM90" s="111">
        <f t="shared" si="100"/>
        <v>25</v>
      </c>
      <c r="CN90" s="107">
        <f t="shared" si="62"/>
        <v>0.375</v>
      </c>
      <c r="CO90" s="114">
        <v>0</v>
      </c>
      <c r="CP90" s="88">
        <f t="shared" si="101"/>
        <v>0</v>
      </c>
      <c r="CQ90" s="78">
        <f t="shared" si="102"/>
        <v>100</v>
      </c>
      <c r="CR90" s="79">
        <f t="shared" si="63"/>
        <v>3</v>
      </c>
      <c r="CS90" s="92">
        <f>_xlfn.XLOOKUP(C90, '[1]1-1. 관계사체무보증금액 (환율 등)'!$3:$3, '[1]1-1. 관계사체무보증금액 (환율 등)'!$33:$33)</f>
        <v>0</v>
      </c>
      <c r="CT90" s="77">
        <f t="shared" si="103"/>
        <v>0</v>
      </c>
      <c r="CU90" s="78">
        <f t="shared" si="104"/>
        <v>100</v>
      </c>
      <c r="CV90" s="79">
        <f t="shared" si="64"/>
        <v>2</v>
      </c>
      <c r="CW90" s="112">
        <f t="shared" si="105"/>
        <v>19.923127426174482</v>
      </c>
    </row>
    <row r="91" spans="1:101" x14ac:dyDescent="0.35">
      <c r="A91" s="7" t="s">
        <v>1476</v>
      </c>
      <c r="B91" s="8" t="s">
        <v>1477</v>
      </c>
      <c r="C91" s="21" t="s">
        <v>1478</v>
      </c>
      <c r="D91" s="10" t="s">
        <v>75</v>
      </c>
      <c r="E91" s="11" t="s">
        <v>1479</v>
      </c>
      <c r="F91" s="11" t="s">
        <v>1480</v>
      </c>
      <c r="G91" s="12">
        <v>40228</v>
      </c>
      <c r="H91" s="11" t="s">
        <v>24</v>
      </c>
      <c r="I91" s="11" t="s">
        <v>1481</v>
      </c>
      <c r="J91" s="11" t="s">
        <v>1482</v>
      </c>
      <c r="K91" s="11" t="s">
        <v>453</v>
      </c>
      <c r="L91" s="23">
        <v>145133297</v>
      </c>
      <c r="M91" s="14">
        <v>9248179</v>
      </c>
      <c r="N91" s="14">
        <v>135885117</v>
      </c>
      <c r="O91" s="14">
        <v>66976160</v>
      </c>
      <c r="P91" s="14">
        <v>9435413</v>
      </c>
      <c r="Q91" s="14">
        <v>13174731</v>
      </c>
      <c r="R91" s="14">
        <v>10522135</v>
      </c>
      <c r="S91" s="15">
        <v>1257651</v>
      </c>
      <c r="T91" s="15">
        <v>248617</v>
      </c>
      <c r="U91" s="15">
        <f>570059+81939</f>
        <v>651998</v>
      </c>
      <c r="V91" s="15">
        <v>0</v>
      </c>
      <c r="W91" s="15">
        <v>0</v>
      </c>
      <c r="X91" s="15">
        <v>0</v>
      </c>
      <c r="Z91" s="15">
        <v>0</v>
      </c>
      <c r="AA91" s="15">
        <v>0</v>
      </c>
      <c r="AB91" s="74">
        <f t="shared" si="65"/>
        <v>651998</v>
      </c>
      <c r="AC91" s="75">
        <f t="shared" si="66"/>
        <v>51.842522289570006</v>
      </c>
      <c r="AD91" s="75">
        <f t="shared" si="67"/>
        <v>55.343047506124854</v>
      </c>
      <c r="AE91" s="76">
        <f t="shared" si="53"/>
        <v>1.6602914251837455</v>
      </c>
      <c r="AF91" s="77">
        <f t="shared" si="68"/>
        <v>64.616058527264684</v>
      </c>
      <c r="AG91" s="77">
        <f t="shared" si="69"/>
        <v>64.616058527264684</v>
      </c>
      <c r="AH91" s="77">
        <f t="shared" si="70"/>
        <v>0</v>
      </c>
      <c r="AI91" s="78">
        <f t="shared" si="71"/>
        <v>100</v>
      </c>
      <c r="AJ91" s="79">
        <f t="shared" si="54"/>
        <v>4</v>
      </c>
      <c r="AK91" s="113">
        <v>5</v>
      </c>
      <c r="AL91" s="113">
        <v>4</v>
      </c>
      <c r="AM91" s="113">
        <v>1</v>
      </c>
      <c r="AN91" s="81">
        <f t="shared" si="72"/>
        <v>9</v>
      </c>
      <c r="AO91" s="82">
        <f t="shared" si="73"/>
        <v>11.111111111111111</v>
      </c>
      <c r="AP91" s="83">
        <f t="shared" si="74"/>
        <v>80</v>
      </c>
      <c r="AQ91" s="84">
        <f t="shared" si="55"/>
        <v>1.6</v>
      </c>
      <c r="AR91" s="118">
        <v>3</v>
      </c>
      <c r="AS91" s="86">
        <f t="shared" si="75"/>
        <v>0.25</v>
      </c>
      <c r="AT91" s="87">
        <f t="shared" si="76"/>
        <v>1.25</v>
      </c>
      <c r="AU91" s="87">
        <f t="shared" si="77"/>
        <v>1</v>
      </c>
      <c r="AV91" s="88">
        <f t="shared" si="78"/>
        <v>40</v>
      </c>
      <c r="AW91" s="78">
        <f t="shared" si="79"/>
        <v>100</v>
      </c>
      <c r="AX91" s="89">
        <f t="shared" si="56"/>
        <v>1</v>
      </c>
      <c r="AY91" s="114">
        <v>6</v>
      </c>
      <c r="AZ91" s="114">
        <v>18</v>
      </c>
      <c r="BA91" s="91">
        <f t="shared" si="80"/>
        <v>18</v>
      </c>
      <c r="BB91" s="77">
        <f t="shared" si="81"/>
        <v>100</v>
      </c>
      <c r="BC91" s="78">
        <f t="shared" si="82"/>
        <v>100</v>
      </c>
      <c r="BD91" s="79">
        <f t="shared" si="57"/>
        <v>1</v>
      </c>
      <c r="BE91" s="92">
        <v>2141325.5580000002</v>
      </c>
      <c r="BF91" s="92">
        <v>245827.17800000001</v>
      </c>
      <c r="BG91" s="114">
        <v>63581.224999999999</v>
      </c>
      <c r="BH91" s="94">
        <f t="shared" si="83"/>
        <v>2387152.736</v>
      </c>
      <c r="BI91" s="77">
        <f t="shared" si="84"/>
        <v>2.6634753629773611</v>
      </c>
      <c r="BJ91" s="95" t="str">
        <f t="shared" si="85"/>
        <v>금속/비금속/화학업</v>
      </c>
      <c r="BK91" s="96">
        <f t="shared" si="86"/>
        <v>3.9534118626990469</v>
      </c>
      <c r="BL91" s="97">
        <f t="shared" si="87"/>
        <v>-1.2899364997216858</v>
      </c>
      <c r="BM91" s="98">
        <f t="shared" si="88"/>
        <v>80</v>
      </c>
      <c r="BN91" s="99">
        <f t="shared" si="89"/>
        <v>1.6</v>
      </c>
      <c r="BO91" s="114">
        <v>762000</v>
      </c>
      <c r="BP91" s="101">
        <f t="shared" si="90"/>
        <v>1.137718256764795</v>
      </c>
      <c r="BQ91" s="78">
        <f t="shared" si="91"/>
        <v>70</v>
      </c>
      <c r="BR91" s="79">
        <f t="shared" si="58"/>
        <v>1.4000000000000001</v>
      </c>
      <c r="BS91" s="102">
        <v>271646</v>
      </c>
      <c r="BT91" s="102">
        <v>0</v>
      </c>
      <c r="BU91" s="103">
        <f t="shared" si="92"/>
        <v>271646</v>
      </c>
      <c r="BV91" s="77">
        <f t="shared" si="93"/>
        <v>0.40558610705660042</v>
      </c>
      <c r="BW91" s="96">
        <f t="shared" si="94"/>
        <v>5.1474158565187738</v>
      </c>
      <c r="BX91" s="96">
        <f t="shared" si="95"/>
        <v>22.484949372884497</v>
      </c>
      <c r="BY91" s="96">
        <f t="shared" si="96"/>
        <v>6.6930498535228535</v>
      </c>
      <c r="BZ91" s="96">
        <f t="shared" si="97"/>
        <v>76.067350098247516</v>
      </c>
      <c r="CA91" s="96">
        <f t="shared" si="98"/>
        <v>40</v>
      </c>
      <c r="CB91" s="104">
        <f t="shared" si="99"/>
        <v>0.8</v>
      </c>
      <c r="CC91" s="105">
        <f t="shared" si="59"/>
        <v>6.8058807352684543</v>
      </c>
      <c r="CD91" s="106">
        <f t="shared" si="60"/>
        <v>97.811853994245553</v>
      </c>
      <c r="CE91" s="107">
        <f t="shared" si="61"/>
        <v>1.4671778099136832</v>
      </c>
      <c r="CF91" s="108" t="s">
        <v>2189</v>
      </c>
      <c r="CG91" s="108" t="s">
        <v>2189</v>
      </c>
      <c r="CH91" s="108" t="s">
        <v>2189</v>
      </c>
      <c r="CI91" s="108" t="s">
        <v>2189</v>
      </c>
      <c r="CJ91" s="109"/>
      <c r="CK91" s="116" t="s">
        <v>2192</v>
      </c>
      <c r="CL91" s="116" t="s">
        <v>2193</v>
      </c>
      <c r="CM91" s="111">
        <f t="shared" si="100"/>
        <v>25</v>
      </c>
      <c r="CN91" s="107">
        <f t="shared" si="62"/>
        <v>0.375</v>
      </c>
      <c r="CO91" s="114">
        <v>0</v>
      </c>
      <c r="CP91" s="88">
        <f t="shared" si="101"/>
        <v>0</v>
      </c>
      <c r="CQ91" s="78">
        <f t="shared" si="102"/>
        <v>100</v>
      </c>
      <c r="CR91" s="79">
        <f t="shared" si="63"/>
        <v>3</v>
      </c>
      <c r="CS91" s="92">
        <f>_xlfn.XLOOKUP(C91, '[1]1-1. 관계사체무보증금액 (환율 등)'!$3:$3, '[1]1-1. 관계사체무보증금액 (환율 등)'!$33:$33)</f>
        <v>0</v>
      </c>
      <c r="CT91" s="77">
        <f t="shared" si="103"/>
        <v>0</v>
      </c>
      <c r="CU91" s="78">
        <f t="shared" si="104"/>
        <v>100</v>
      </c>
      <c r="CV91" s="79">
        <f t="shared" si="64"/>
        <v>2</v>
      </c>
      <c r="CW91" s="112">
        <f t="shared" si="105"/>
        <v>19.902469235097428</v>
      </c>
    </row>
    <row r="92" spans="1:101" x14ac:dyDescent="0.35">
      <c r="A92" s="7" t="s">
        <v>983</v>
      </c>
      <c r="B92" s="8" t="s">
        <v>984</v>
      </c>
      <c r="C92" s="21" t="s">
        <v>985</v>
      </c>
      <c r="D92" s="10" t="s">
        <v>141</v>
      </c>
      <c r="E92" s="11" t="s">
        <v>241</v>
      </c>
      <c r="F92" s="11" t="s">
        <v>986</v>
      </c>
      <c r="G92" s="12">
        <v>28122</v>
      </c>
      <c r="H92" s="11" t="s">
        <v>24</v>
      </c>
      <c r="I92" s="11" t="s">
        <v>987</v>
      </c>
      <c r="J92" s="11" t="s">
        <v>988</v>
      </c>
      <c r="K92" s="11" t="s">
        <v>50</v>
      </c>
      <c r="L92" s="23">
        <v>486680110</v>
      </c>
      <c r="M92" s="14">
        <v>12024987</v>
      </c>
      <c r="N92" s="14">
        <v>474655123</v>
      </c>
      <c r="O92" s="14">
        <v>196500716</v>
      </c>
      <c r="P92" s="14">
        <v>14583438</v>
      </c>
      <c r="Q92" s="14">
        <v>24138425</v>
      </c>
      <c r="R92" s="14">
        <v>18484244</v>
      </c>
      <c r="S92" s="15">
        <v>20000000</v>
      </c>
      <c r="T92" s="15">
        <v>0</v>
      </c>
      <c r="U92" s="15">
        <f>2942209+6679983</f>
        <v>9622192</v>
      </c>
      <c r="V92" s="15">
        <v>0</v>
      </c>
      <c r="W92" s="15">
        <f>2000+418</f>
        <v>2418</v>
      </c>
      <c r="X92" s="15">
        <v>0</v>
      </c>
      <c r="Z92" s="15">
        <v>0</v>
      </c>
      <c r="AA92" s="15">
        <v>0</v>
      </c>
      <c r="AB92" s="74">
        <f t="shared" si="65"/>
        <v>9624610</v>
      </c>
      <c r="AC92" s="75">
        <f t="shared" si="66"/>
        <v>48.123049999999999</v>
      </c>
      <c r="AD92" s="75">
        <f t="shared" si="67"/>
        <v>58.553178941311856</v>
      </c>
      <c r="AE92" s="76">
        <f t="shared" si="53"/>
        <v>1.7565953682393556</v>
      </c>
      <c r="AF92" s="77">
        <f t="shared" si="68"/>
        <v>48.110960000000006</v>
      </c>
      <c r="AG92" s="77">
        <f t="shared" si="69"/>
        <v>48.123049999999999</v>
      </c>
      <c r="AH92" s="77">
        <f t="shared" si="70"/>
        <v>1.2089999999993495E-2</v>
      </c>
      <c r="AI92" s="78">
        <f t="shared" si="71"/>
        <v>100</v>
      </c>
      <c r="AJ92" s="79">
        <f t="shared" si="54"/>
        <v>4</v>
      </c>
      <c r="AK92" s="113">
        <v>9</v>
      </c>
      <c r="AL92" s="113">
        <v>0</v>
      </c>
      <c r="AM92" s="113">
        <v>1</v>
      </c>
      <c r="AN92" s="81">
        <f t="shared" si="72"/>
        <v>9</v>
      </c>
      <c r="AO92" s="82">
        <f t="shared" si="73"/>
        <v>11.111111111111111</v>
      </c>
      <c r="AP92" s="83">
        <f t="shared" si="74"/>
        <v>80</v>
      </c>
      <c r="AQ92" s="84">
        <f t="shared" si="55"/>
        <v>1.6</v>
      </c>
      <c r="AR92" s="118">
        <v>2</v>
      </c>
      <c r="AS92" s="86">
        <f t="shared" si="75"/>
        <v>0.25</v>
      </c>
      <c r="AT92" s="87">
        <f t="shared" si="76"/>
        <v>2.25</v>
      </c>
      <c r="AU92" s="87">
        <f t="shared" si="77"/>
        <v>2</v>
      </c>
      <c r="AV92" s="88">
        <f t="shared" si="78"/>
        <v>0</v>
      </c>
      <c r="AW92" s="78">
        <f t="shared" si="79"/>
        <v>40</v>
      </c>
      <c r="AX92" s="89">
        <f t="shared" si="56"/>
        <v>0.4</v>
      </c>
      <c r="AY92" s="114">
        <v>2</v>
      </c>
      <c r="AZ92" s="114">
        <v>4</v>
      </c>
      <c r="BA92" s="91">
        <f t="shared" si="80"/>
        <v>4</v>
      </c>
      <c r="BB92" s="77">
        <f t="shared" si="81"/>
        <v>100</v>
      </c>
      <c r="BC92" s="78">
        <f t="shared" si="82"/>
        <v>100</v>
      </c>
      <c r="BD92" s="79">
        <f t="shared" si="57"/>
        <v>1</v>
      </c>
      <c r="BE92" s="92">
        <v>5401987</v>
      </c>
      <c r="BF92" s="92">
        <v>644434</v>
      </c>
      <c r="BG92" s="93">
        <v>0</v>
      </c>
      <c r="BH92" s="94">
        <f t="shared" si="83"/>
        <v>6046421</v>
      </c>
      <c r="BI92" s="77">
        <f t="shared" si="84"/>
        <v>0</v>
      </c>
      <c r="BJ92" s="95" t="str">
        <f t="shared" si="85"/>
        <v>전기전자/기계업</v>
      </c>
      <c r="BK92" s="96">
        <f t="shared" si="86"/>
        <v>2.4096449716116446</v>
      </c>
      <c r="BL92" s="97">
        <f t="shared" si="87"/>
        <v>-2.4096449716116446</v>
      </c>
      <c r="BM92" s="98">
        <f t="shared" si="88"/>
        <v>100</v>
      </c>
      <c r="BN92" s="99">
        <f t="shared" si="89"/>
        <v>2</v>
      </c>
      <c r="BO92" s="114">
        <v>1104000</v>
      </c>
      <c r="BP92" s="101">
        <f t="shared" si="90"/>
        <v>0.56183001389165421</v>
      </c>
      <c r="BQ92" s="78">
        <f t="shared" si="91"/>
        <v>70</v>
      </c>
      <c r="BR92" s="79">
        <f t="shared" si="58"/>
        <v>1.4000000000000001</v>
      </c>
      <c r="BS92" s="102">
        <v>1471222.645</v>
      </c>
      <c r="BT92" s="102">
        <v>18670.909</v>
      </c>
      <c r="BU92" s="103">
        <f t="shared" si="92"/>
        <v>1452551.736</v>
      </c>
      <c r="BV92" s="77">
        <f t="shared" si="93"/>
        <v>0.73920938588335738</v>
      </c>
      <c r="BW92" s="96">
        <f t="shared" si="94"/>
        <v>5.2309968128308295</v>
      </c>
      <c r="BX92" s="96">
        <f t="shared" si="95"/>
        <v>20.176154288883396</v>
      </c>
      <c r="BY92" s="96">
        <f t="shared" si="96"/>
        <v>7.0695458012309631</v>
      </c>
      <c r="BZ92" s="96">
        <f t="shared" si="97"/>
        <v>73.740690163959457</v>
      </c>
      <c r="CA92" s="96">
        <f t="shared" si="98"/>
        <v>40</v>
      </c>
      <c r="CB92" s="104">
        <f t="shared" si="99"/>
        <v>0.8</v>
      </c>
      <c r="CC92" s="105">
        <f t="shared" si="59"/>
        <v>2.5334156142669504</v>
      </c>
      <c r="CD92" s="106">
        <f t="shared" si="60"/>
        <v>99.422079542361701</v>
      </c>
      <c r="CE92" s="107">
        <f t="shared" si="61"/>
        <v>1.4913311931354254</v>
      </c>
      <c r="CF92" s="108" t="s">
        <v>2189</v>
      </c>
      <c r="CG92" s="108" t="s">
        <v>2189</v>
      </c>
      <c r="CH92" s="108" t="s">
        <v>2189</v>
      </c>
      <c r="CI92" s="108" t="s">
        <v>2189</v>
      </c>
      <c r="CJ92" s="109"/>
      <c r="CK92" s="116" t="s">
        <v>2203</v>
      </c>
      <c r="CL92" s="116" t="s">
        <v>2204</v>
      </c>
      <c r="CM92" s="111">
        <f t="shared" si="100"/>
        <v>70</v>
      </c>
      <c r="CN92" s="107">
        <f t="shared" si="62"/>
        <v>1.05</v>
      </c>
      <c r="CO92" s="114">
        <v>35231000</v>
      </c>
      <c r="CP92" s="88">
        <f t="shared" si="101"/>
        <v>7.4224417461938987</v>
      </c>
      <c r="CQ92" s="78">
        <f t="shared" si="102"/>
        <v>80</v>
      </c>
      <c r="CR92" s="79">
        <f t="shared" si="63"/>
        <v>2.4</v>
      </c>
      <c r="CS92" s="92">
        <f>_xlfn.XLOOKUP(C92, '[1]1-1. 관계사체무보증금액 (환율 등)'!$3:$3, '[1]1-1. 관계사체무보증금액 (환율 등)'!$33:$33)</f>
        <v>0</v>
      </c>
      <c r="CT92" s="77">
        <f t="shared" si="103"/>
        <v>0</v>
      </c>
      <c r="CU92" s="78">
        <f t="shared" si="104"/>
        <v>100</v>
      </c>
      <c r="CV92" s="79">
        <f t="shared" si="64"/>
        <v>2</v>
      </c>
      <c r="CW92" s="112">
        <f t="shared" si="105"/>
        <v>19.897926561374781</v>
      </c>
    </row>
    <row r="93" spans="1:101" x14ac:dyDescent="0.35">
      <c r="A93" s="7" t="s">
        <v>1798</v>
      </c>
      <c r="B93" s="8" t="s">
        <v>1799</v>
      </c>
      <c r="C93" s="21" t="s">
        <v>1800</v>
      </c>
      <c r="D93" s="10" t="s">
        <v>21</v>
      </c>
      <c r="E93" s="11" t="s">
        <v>646</v>
      </c>
      <c r="F93" s="11" t="s">
        <v>1801</v>
      </c>
      <c r="G93" s="12">
        <v>39987</v>
      </c>
      <c r="H93" s="11" t="s">
        <v>24</v>
      </c>
      <c r="I93" s="11" t="s">
        <v>1802</v>
      </c>
      <c r="J93" s="11" t="s">
        <v>1803</v>
      </c>
      <c r="K93" s="11" t="s">
        <v>27</v>
      </c>
      <c r="L93" s="23">
        <v>217613616</v>
      </c>
      <c r="M93" s="14">
        <v>69409850</v>
      </c>
      <c r="N93" s="14">
        <v>148203766</v>
      </c>
      <c r="O93" s="14">
        <v>174397667</v>
      </c>
      <c r="P93" s="14">
        <v>12289879</v>
      </c>
      <c r="Q93" s="14">
        <v>16933913</v>
      </c>
      <c r="R93" s="14">
        <v>14379092</v>
      </c>
      <c r="S93" s="15">
        <v>10957550</v>
      </c>
      <c r="T93" s="15">
        <v>786000</v>
      </c>
      <c r="U93" s="15">
        <v>1139920</v>
      </c>
      <c r="V93" s="15">
        <v>0</v>
      </c>
      <c r="W93" s="15">
        <f>700+410+1000+310+2000+10+3000</f>
        <v>7430</v>
      </c>
      <c r="X93" s="15">
        <v>700989</v>
      </c>
      <c r="Y93" s="24" t="s">
        <v>2115</v>
      </c>
      <c r="Z93" s="15">
        <v>0</v>
      </c>
      <c r="AA93" s="15">
        <v>0</v>
      </c>
      <c r="AB93" s="74">
        <f t="shared" si="65"/>
        <v>1848339</v>
      </c>
      <c r="AC93" s="75">
        <f t="shared" si="66"/>
        <v>16.868177649200781</v>
      </c>
      <c r="AD93" s="75">
        <f t="shared" si="67"/>
        <v>85.528040003566645</v>
      </c>
      <c r="AE93" s="76">
        <f t="shared" ref="AE93:AE156" si="106">AD93*0.03</f>
        <v>2.5658412001069992</v>
      </c>
      <c r="AF93" s="77">
        <f t="shared" si="68"/>
        <v>11.20694486091107</v>
      </c>
      <c r="AG93" s="77">
        <f t="shared" si="69"/>
        <v>18.171655254115645</v>
      </c>
      <c r="AH93" s="77">
        <f t="shared" si="70"/>
        <v>6.9647103932045749</v>
      </c>
      <c r="AI93" s="78">
        <f t="shared" si="71"/>
        <v>100</v>
      </c>
      <c r="AJ93" s="79">
        <f t="shared" ref="AJ93:AJ156" si="107">AI93*0.04</f>
        <v>4</v>
      </c>
      <c r="AK93" s="113">
        <v>9</v>
      </c>
      <c r="AL93" s="113">
        <v>17</v>
      </c>
      <c r="AM93" s="113">
        <v>1</v>
      </c>
      <c r="AN93" s="81">
        <f t="shared" si="72"/>
        <v>26</v>
      </c>
      <c r="AO93" s="82">
        <f t="shared" si="73"/>
        <v>3.8461538461538463</v>
      </c>
      <c r="AP93" s="83">
        <f t="shared" si="74"/>
        <v>100</v>
      </c>
      <c r="AQ93" s="84">
        <f t="shared" ref="AQ93:AQ156" si="108">AP93*0.02</f>
        <v>2</v>
      </c>
      <c r="AR93" s="118">
        <v>3</v>
      </c>
      <c r="AS93" s="86">
        <f t="shared" si="75"/>
        <v>0.25</v>
      </c>
      <c r="AT93" s="87">
        <f t="shared" si="76"/>
        <v>2.25</v>
      </c>
      <c r="AU93" s="87">
        <f t="shared" si="77"/>
        <v>2</v>
      </c>
      <c r="AV93" s="88">
        <f t="shared" si="78"/>
        <v>11.111111111111111</v>
      </c>
      <c r="AW93" s="78">
        <f t="shared" si="79"/>
        <v>60</v>
      </c>
      <c r="AX93" s="89">
        <f t="shared" ref="AX93:AX156" si="109">AW93*0.01</f>
        <v>0.6</v>
      </c>
      <c r="AY93" s="114">
        <v>17</v>
      </c>
      <c r="AZ93" s="114">
        <f>17*3</f>
        <v>51</v>
      </c>
      <c r="BA93" s="91">
        <f t="shared" si="80"/>
        <v>51</v>
      </c>
      <c r="BB93" s="77">
        <f t="shared" si="81"/>
        <v>100</v>
      </c>
      <c r="BC93" s="78">
        <f t="shared" si="82"/>
        <v>100</v>
      </c>
      <c r="BD93" s="79">
        <f t="shared" ref="BD93:BD156" si="110">BC93*0.01</f>
        <v>1</v>
      </c>
      <c r="BE93" s="92">
        <f>16558389*90253907/(90253907+6491953)</f>
        <v>15447268.76039784</v>
      </c>
      <c r="BF93" s="92">
        <f>16558389*6491953/(90253907+6491953)</f>
        <v>1111120.2396021597</v>
      </c>
      <c r="BG93" s="93">
        <v>0</v>
      </c>
      <c r="BH93" s="94">
        <f t="shared" si="83"/>
        <v>16558389</v>
      </c>
      <c r="BI93" s="77">
        <f t="shared" si="84"/>
        <v>0</v>
      </c>
      <c r="BJ93" s="95" t="str">
        <f t="shared" si="85"/>
        <v>비제조/서비스업</v>
      </c>
      <c r="BK93" s="96">
        <f t="shared" si="86"/>
        <v>1.7464434573900922</v>
      </c>
      <c r="BL93" s="97">
        <f t="shared" si="87"/>
        <v>-1.7464434573900922</v>
      </c>
      <c r="BM93" s="98">
        <f t="shared" si="88"/>
        <v>80</v>
      </c>
      <c r="BN93" s="99">
        <f t="shared" si="89"/>
        <v>1.6</v>
      </c>
      <c r="BO93" s="114">
        <v>2168602</v>
      </c>
      <c r="BP93" s="101">
        <f t="shared" si="90"/>
        <v>1.2434810839528032</v>
      </c>
      <c r="BQ93" s="78">
        <f t="shared" si="91"/>
        <v>70</v>
      </c>
      <c r="BR93" s="79">
        <f t="shared" ref="BR93:BR156" si="111">BQ93*0.02</f>
        <v>1.4000000000000001</v>
      </c>
      <c r="BS93" s="102">
        <v>374745.27299999999</v>
      </c>
      <c r="BT93" s="102">
        <v>10557.005999999999</v>
      </c>
      <c r="BU93" s="103">
        <f t="shared" si="92"/>
        <v>364188.26699999999</v>
      </c>
      <c r="BV93" s="77">
        <f t="shared" si="93"/>
        <v>0.20882634112301515</v>
      </c>
      <c r="BW93" s="96">
        <f t="shared" si="94"/>
        <v>2.8482825397737606</v>
      </c>
      <c r="BX93" s="96">
        <f t="shared" si="95"/>
        <v>6.9667290245958418</v>
      </c>
      <c r="BY93" s="96">
        <f t="shared" si="96"/>
        <v>5.5697595856656807</v>
      </c>
      <c r="BZ93" s="96">
        <f t="shared" si="97"/>
        <v>68.221100578172155</v>
      </c>
      <c r="CA93" s="96">
        <f t="shared" si="98"/>
        <v>40</v>
      </c>
      <c r="CB93" s="104">
        <f t="shared" si="99"/>
        <v>0.8</v>
      </c>
      <c r="CC93" s="105">
        <f t="shared" ref="CC93:CC156" si="112">(M93/N93)*100</f>
        <v>46.834066281419595</v>
      </c>
      <c r="CD93" s="106">
        <f t="shared" ref="CD93:CD156" si="113">IF((100-(75*(CC93-1)/(200-1)))&gt;100, 100, IF((100-(75*(CC93-1)/(200-1)))&lt;25, 25, (100-(75*(CC93-1)/(200-1)))))</f>
        <v>82.725854416550405</v>
      </c>
      <c r="CE93" s="107">
        <f t="shared" ref="CE93:CE156" si="114">CD93*0.015</f>
        <v>1.2408878162482559</v>
      </c>
      <c r="CF93" s="108" t="s">
        <v>2189</v>
      </c>
      <c r="CG93" s="108" t="s">
        <v>2189</v>
      </c>
      <c r="CH93" s="108" t="s">
        <v>2189</v>
      </c>
      <c r="CI93" s="108" t="s">
        <v>2189</v>
      </c>
      <c r="CJ93" s="109"/>
      <c r="CK93" s="116" t="s">
        <v>2190</v>
      </c>
      <c r="CL93" s="116" t="s">
        <v>2191</v>
      </c>
      <c r="CM93" s="111">
        <f t="shared" si="100"/>
        <v>85</v>
      </c>
      <c r="CN93" s="107">
        <f t="shared" ref="CN93:CN156" si="115">CM93*0.015</f>
        <v>1.2749999999999999</v>
      </c>
      <c r="CO93" s="114">
        <v>0</v>
      </c>
      <c r="CP93" s="88">
        <f t="shared" si="101"/>
        <v>0</v>
      </c>
      <c r="CQ93" s="78">
        <f t="shared" si="102"/>
        <v>100</v>
      </c>
      <c r="CR93" s="79">
        <f t="shared" ref="CR93:CR156" si="116">CQ93*0.03</f>
        <v>3</v>
      </c>
      <c r="CS93" s="92">
        <f>_xlfn.XLOOKUP(C93, '[1]1-1. 관계사체무보증금액 (환율 등)'!$3:$3, '[1]1-1. 관계사체무보증금액 (환율 등)'!$33:$33)</f>
        <v>4439629939.12677</v>
      </c>
      <c r="CT93" s="77">
        <f t="shared" si="103"/>
        <v>2995.6255896538892</v>
      </c>
      <c r="CU93" s="78">
        <f t="shared" si="104"/>
        <v>20</v>
      </c>
      <c r="CV93" s="79">
        <f t="shared" ref="CV93:CV156" si="117">CU93*0.02</f>
        <v>0.4</v>
      </c>
      <c r="CW93" s="112">
        <f t="shared" si="105"/>
        <v>19.881729016355251</v>
      </c>
    </row>
    <row r="94" spans="1:101" x14ac:dyDescent="0.35">
      <c r="A94" s="7" t="s">
        <v>1614</v>
      </c>
      <c r="B94" s="8" t="s">
        <v>1615</v>
      </c>
      <c r="C94" s="21" t="s">
        <v>1616</v>
      </c>
      <c r="D94" s="22" t="s">
        <v>141</v>
      </c>
      <c r="E94" s="11" t="s">
        <v>1617</v>
      </c>
      <c r="F94" s="11" t="s">
        <v>1618</v>
      </c>
      <c r="G94" s="12">
        <v>44418</v>
      </c>
      <c r="H94" s="11" t="s">
        <v>24</v>
      </c>
      <c r="I94" s="11" t="s">
        <v>1619</v>
      </c>
      <c r="J94" s="11" t="s">
        <v>1620</v>
      </c>
      <c r="K94" s="11" t="s">
        <v>27</v>
      </c>
      <c r="L94" s="23">
        <v>5774465580</v>
      </c>
      <c r="M94" s="14">
        <v>732161313</v>
      </c>
      <c r="N94" s="14">
        <v>5042304267</v>
      </c>
      <c r="O94" s="14">
        <v>1767775811</v>
      </c>
      <c r="P94" s="14">
        <v>737821913</v>
      </c>
      <c r="Q94" s="14">
        <v>666253605</v>
      </c>
      <c r="R94" s="14">
        <v>487142608</v>
      </c>
      <c r="S94" s="15">
        <v>49081545</v>
      </c>
      <c r="T94" s="15">
        <v>2167418</v>
      </c>
      <c r="U94" s="15">
        <v>7133651</v>
      </c>
      <c r="V94" s="15">
        <f>291517+259+300</f>
        <v>292076</v>
      </c>
      <c r="W94" s="15">
        <f>10888202-U94-V94-Z94</f>
        <v>2520100</v>
      </c>
      <c r="X94" s="15">
        <v>0</v>
      </c>
      <c r="Z94" s="15">
        <v>942375</v>
      </c>
      <c r="AA94" s="15">
        <v>0</v>
      </c>
      <c r="AB94" s="74">
        <f t="shared" si="65"/>
        <v>10888202</v>
      </c>
      <c r="AC94" s="75">
        <f t="shared" si="66"/>
        <v>22.183902320108302</v>
      </c>
      <c r="AD94" s="75">
        <f t="shared" si="67"/>
        <v>80.940245408422072</v>
      </c>
      <c r="AE94" s="76">
        <f t="shared" si="106"/>
        <v>2.4282073622526621</v>
      </c>
      <c r="AF94" s="77">
        <f t="shared" si="68"/>
        <v>15.828338871146425</v>
      </c>
      <c r="AG94" s="77">
        <f t="shared" si="69"/>
        <v>23.208791671642956</v>
      </c>
      <c r="AH94" s="77">
        <f t="shared" si="70"/>
        <v>7.3804528004965313</v>
      </c>
      <c r="AI94" s="78">
        <f t="shared" si="71"/>
        <v>100</v>
      </c>
      <c r="AJ94" s="79">
        <f t="shared" si="107"/>
        <v>4</v>
      </c>
      <c r="AK94" s="113">
        <v>5</v>
      </c>
      <c r="AL94" s="113">
        <v>2</v>
      </c>
      <c r="AM94" s="113">
        <v>2</v>
      </c>
      <c r="AN94" s="81">
        <f t="shared" si="72"/>
        <v>7</v>
      </c>
      <c r="AO94" s="82">
        <f t="shared" si="73"/>
        <v>28.571428571428569</v>
      </c>
      <c r="AP94" s="83">
        <f t="shared" si="74"/>
        <v>60</v>
      </c>
      <c r="AQ94" s="84">
        <f t="shared" si="108"/>
        <v>1.2</v>
      </c>
      <c r="AR94" s="118">
        <v>3</v>
      </c>
      <c r="AS94" s="86">
        <f t="shared" si="75"/>
        <v>0.5</v>
      </c>
      <c r="AT94" s="87">
        <f t="shared" si="76"/>
        <v>2.5</v>
      </c>
      <c r="AU94" s="87">
        <f t="shared" si="77"/>
        <v>2</v>
      </c>
      <c r="AV94" s="88">
        <f t="shared" si="78"/>
        <v>20</v>
      </c>
      <c r="AW94" s="78">
        <f t="shared" si="79"/>
        <v>80</v>
      </c>
      <c r="AX94" s="89">
        <f t="shared" si="109"/>
        <v>0.8</v>
      </c>
      <c r="AY94" s="114">
        <v>10</v>
      </c>
      <c r="AZ94" s="114">
        <v>30</v>
      </c>
      <c r="BA94" s="91">
        <f t="shared" si="80"/>
        <v>30</v>
      </c>
      <c r="BB94" s="77">
        <f t="shared" si="81"/>
        <v>100</v>
      </c>
      <c r="BC94" s="78">
        <f t="shared" si="82"/>
        <v>100</v>
      </c>
      <c r="BD94" s="79">
        <f t="shared" si="110"/>
        <v>1</v>
      </c>
      <c r="BE94" s="92">
        <v>138144705</v>
      </c>
      <c r="BF94" s="92">
        <v>14689197</v>
      </c>
      <c r="BG94" s="93">
        <v>0</v>
      </c>
      <c r="BH94" s="94">
        <f t="shared" si="83"/>
        <v>152833902</v>
      </c>
      <c r="BI94" s="77">
        <f t="shared" si="84"/>
        <v>0</v>
      </c>
      <c r="BJ94" s="95" t="str">
        <f t="shared" si="85"/>
        <v>전기전자/기계업</v>
      </c>
      <c r="BK94" s="96">
        <f t="shared" si="86"/>
        <v>2.4096449716116446</v>
      </c>
      <c r="BL94" s="97">
        <f t="shared" si="87"/>
        <v>-2.4096449716116446</v>
      </c>
      <c r="BM94" s="98">
        <f t="shared" si="88"/>
        <v>100</v>
      </c>
      <c r="BN94" s="99">
        <f t="shared" si="89"/>
        <v>2</v>
      </c>
      <c r="BO94" s="114">
        <v>404079000</v>
      </c>
      <c r="BP94" s="101">
        <f t="shared" si="90"/>
        <v>22.858045544328359</v>
      </c>
      <c r="BQ94" s="78">
        <f t="shared" si="91"/>
        <v>100</v>
      </c>
      <c r="BR94" s="79">
        <f t="shared" si="111"/>
        <v>2</v>
      </c>
      <c r="BS94" s="102">
        <v>15629671.346999999</v>
      </c>
      <c r="BT94" s="102">
        <v>137264.06299999999</v>
      </c>
      <c r="BU94" s="103">
        <f t="shared" si="92"/>
        <v>15492407.284</v>
      </c>
      <c r="BV94" s="77">
        <f t="shared" si="93"/>
        <v>0.8763785083831539</v>
      </c>
      <c r="BW94" s="96">
        <f t="shared" si="94"/>
        <v>5.2309968128308295</v>
      </c>
      <c r="BX94" s="96">
        <f t="shared" si="95"/>
        <v>18.962700577430748</v>
      </c>
      <c r="BY94" s="96">
        <f t="shared" si="96"/>
        <v>7.0695458012309631</v>
      </c>
      <c r="BZ94" s="96">
        <f t="shared" si="97"/>
        <v>73.104238152662475</v>
      </c>
      <c r="CA94" s="96">
        <f t="shared" si="98"/>
        <v>40</v>
      </c>
      <c r="CB94" s="104">
        <f t="shared" si="99"/>
        <v>0.8</v>
      </c>
      <c r="CC94" s="105">
        <f t="shared" si="112"/>
        <v>14.520371525211651</v>
      </c>
      <c r="CD94" s="106">
        <f t="shared" si="113"/>
        <v>94.90438259100064</v>
      </c>
      <c r="CE94" s="107">
        <f t="shared" si="114"/>
        <v>1.4235657388650096</v>
      </c>
      <c r="CF94" s="108" t="s">
        <v>2189</v>
      </c>
      <c r="CG94" s="108" t="s">
        <v>2189</v>
      </c>
      <c r="CH94" s="108" t="s">
        <v>2189</v>
      </c>
      <c r="CI94" s="108" t="s">
        <v>2189</v>
      </c>
      <c r="CJ94" s="109"/>
      <c r="CK94" s="116" t="s">
        <v>2192</v>
      </c>
      <c r="CL94" s="116" t="s">
        <v>2193</v>
      </c>
      <c r="CM94" s="111">
        <f t="shared" si="100"/>
        <v>25</v>
      </c>
      <c r="CN94" s="107">
        <f t="shared" si="115"/>
        <v>0.375</v>
      </c>
      <c r="CO94" s="114">
        <v>893260000</v>
      </c>
      <c r="CP94" s="88">
        <f t="shared" si="101"/>
        <v>17.715313330971583</v>
      </c>
      <c r="CQ94" s="78">
        <f t="shared" si="102"/>
        <v>60</v>
      </c>
      <c r="CR94" s="79">
        <f t="shared" si="116"/>
        <v>1.7999999999999998</v>
      </c>
      <c r="CS94" s="92">
        <f>_xlfn.XLOOKUP(C94, '[1]1-1. 관계사체무보증금액 (환율 등)'!$3:$3, '[1]1-1. 관계사체무보증금액 (환율 등)'!$33:$33)</f>
        <v>6963291.1392405052</v>
      </c>
      <c r="CT94" s="77">
        <f t="shared" si="103"/>
        <v>0.13809740092069905</v>
      </c>
      <c r="CU94" s="78">
        <f t="shared" si="104"/>
        <v>100</v>
      </c>
      <c r="CV94" s="79">
        <f t="shared" si="117"/>
        <v>2</v>
      </c>
      <c r="CW94" s="112">
        <f t="shared" si="105"/>
        <v>19.826773101117674</v>
      </c>
    </row>
    <row r="95" spans="1:101" x14ac:dyDescent="0.35">
      <c r="A95" s="7" t="s">
        <v>1146</v>
      </c>
      <c r="B95" s="8" t="s">
        <v>1147</v>
      </c>
      <c r="C95" s="21" t="s">
        <v>1148</v>
      </c>
      <c r="D95" s="10" t="s">
        <v>21</v>
      </c>
      <c r="E95" s="11" t="s">
        <v>22</v>
      </c>
      <c r="F95" s="11" t="s">
        <v>1149</v>
      </c>
      <c r="G95" s="12">
        <v>31278</v>
      </c>
      <c r="H95" s="11" t="s">
        <v>24</v>
      </c>
      <c r="I95" s="11" t="s">
        <v>1150</v>
      </c>
      <c r="J95" s="11" t="s">
        <v>1151</v>
      </c>
      <c r="K95" s="11" t="s">
        <v>27</v>
      </c>
      <c r="L95" s="23">
        <v>8345250728</v>
      </c>
      <c r="M95" s="14">
        <v>4385916580</v>
      </c>
      <c r="N95" s="14">
        <v>3959334148</v>
      </c>
      <c r="O95" s="14">
        <v>1865707316</v>
      </c>
      <c r="P95" s="14">
        <v>348026286</v>
      </c>
      <c r="Q95" s="14">
        <v>294941948</v>
      </c>
      <c r="R95" s="14">
        <v>247588341</v>
      </c>
      <c r="S95" s="15">
        <v>9845181</v>
      </c>
      <c r="T95" s="15">
        <v>8774</v>
      </c>
      <c r="U95" s="15">
        <v>1827521</v>
      </c>
      <c r="V95" s="15">
        <v>984518</v>
      </c>
      <c r="W95" s="15">
        <f>210+100+800+182</f>
        <v>1292</v>
      </c>
      <c r="X95" s="15">
        <v>0</v>
      </c>
      <c r="Z95" s="15">
        <v>0</v>
      </c>
      <c r="AA95" s="15">
        <v>0</v>
      </c>
      <c r="AB95" s="74">
        <f t="shared" si="65"/>
        <v>2813331</v>
      </c>
      <c r="AC95" s="75">
        <f t="shared" si="66"/>
        <v>28.575716383477356</v>
      </c>
      <c r="AD95" s="75">
        <f t="shared" si="67"/>
        <v>75.423720037275018</v>
      </c>
      <c r="AE95" s="76">
        <f t="shared" si="106"/>
        <v>2.2627116011182506</v>
      </c>
      <c r="AF95" s="77">
        <f t="shared" si="68"/>
        <v>28.588070827081474</v>
      </c>
      <c r="AG95" s="77">
        <f t="shared" si="69"/>
        <v>28.60120570448132</v>
      </c>
      <c r="AH95" s="77">
        <f t="shared" si="70"/>
        <v>1.313487739984609E-2</v>
      </c>
      <c r="AI95" s="78">
        <f t="shared" si="71"/>
        <v>100</v>
      </c>
      <c r="AJ95" s="79">
        <f t="shared" si="107"/>
        <v>4</v>
      </c>
      <c r="AK95" s="113">
        <v>7</v>
      </c>
      <c r="AL95" s="113">
        <v>33</v>
      </c>
      <c r="AM95" s="113">
        <v>2</v>
      </c>
      <c r="AN95" s="81">
        <f t="shared" si="72"/>
        <v>40</v>
      </c>
      <c r="AO95" s="82">
        <f t="shared" si="73"/>
        <v>5</v>
      </c>
      <c r="AP95" s="83">
        <f t="shared" si="74"/>
        <v>100</v>
      </c>
      <c r="AQ95" s="84">
        <f t="shared" si="108"/>
        <v>2</v>
      </c>
      <c r="AR95" s="118">
        <v>4</v>
      </c>
      <c r="AS95" s="86">
        <f t="shared" si="75"/>
        <v>0.5</v>
      </c>
      <c r="AT95" s="87">
        <f t="shared" si="76"/>
        <v>3.5</v>
      </c>
      <c r="AU95" s="87">
        <f t="shared" si="77"/>
        <v>3</v>
      </c>
      <c r="AV95" s="88">
        <f t="shared" si="78"/>
        <v>14.285714285714285</v>
      </c>
      <c r="AW95" s="78">
        <f t="shared" si="79"/>
        <v>60</v>
      </c>
      <c r="AX95" s="89">
        <f t="shared" si="109"/>
        <v>0.6</v>
      </c>
      <c r="AY95" s="114">
        <v>11</v>
      </c>
      <c r="AZ95" s="114">
        <f>4*3+7*4</f>
        <v>40</v>
      </c>
      <c r="BA95" s="91">
        <f t="shared" si="80"/>
        <v>44</v>
      </c>
      <c r="BB95" s="77">
        <f t="shared" si="81"/>
        <v>90.909090909090907</v>
      </c>
      <c r="BC95" s="78">
        <f t="shared" si="82"/>
        <v>100</v>
      </c>
      <c r="BD95" s="79">
        <f t="shared" si="110"/>
        <v>1</v>
      </c>
      <c r="BE95" s="92">
        <v>187512000</v>
      </c>
      <c r="BF95" s="92">
        <v>19426000</v>
      </c>
      <c r="BG95" s="93">
        <v>0</v>
      </c>
      <c r="BH95" s="94">
        <f t="shared" si="83"/>
        <v>206938000</v>
      </c>
      <c r="BI95" s="77">
        <f t="shared" si="84"/>
        <v>0</v>
      </c>
      <c r="BJ95" s="95" t="str">
        <f t="shared" si="85"/>
        <v>비제조/서비스업</v>
      </c>
      <c r="BK95" s="96">
        <f t="shared" si="86"/>
        <v>1.7464434573900922</v>
      </c>
      <c r="BL95" s="97">
        <f t="shared" si="87"/>
        <v>-1.7464434573900922</v>
      </c>
      <c r="BM95" s="98">
        <f t="shared" si="88"/>
        <v>80</v>
      </c>
      <c r="BN95" s="99">
        <f t="shared" si="89"/>
        <v>1.6</v>
      </c>
      <c r="BO95" s="114">
        <v>4614000</v>
      </c>
      <c r="BP95" s="101">
        <f t="shared" si="90"/>
        <v>0.24730567117527452</v>
      </c>
      <c r="BQ95" s="78">
        <f t="shared" si="91"/>
        <v>55</v>
      </c>
      <c r="BR95" s="79">
        <f t="shared" si="111"/>
        <v>1.1000000000000001</v>
      </c>
      <c r="BS95" s="102">
        <v>223747829.741</v>
      </c>
      <c r="BT95" s="102">
        <v>130715.943</v>
      </c>
      <c r="BU95" s="103">
        <f t="shared" si="92"/>
        <v>223617113.79800001</v>
      </c>
      <c r="BV95" s="77">
        <f t="shared" si="93"/>
        <v>11.985648117488543</v>
      </c>
      <c r="BW95" s="96">
        <f t="shared" si="94"/>
        <v>2.8482825397737606</v>
      </c>
      <c r="BX95" s="96">
        <f t="shared" si="95"/>
        <v>83.491449700806982</v>
      </c>
      <c r="BY95" s="96">
        <f t="shared" si="96"/>
        <v>5.5697595856656807</v>
      </c>
      <c r="BZ95" s="96">
        <f t="shared" si="97"/>
        <v>5.0447360994441803</v>
      </c>
      <c r="CA95" s="96">
        <f t="shared" si="98"/>
        <v>85</v>
      </c>
      <c r="CB95" s="104">
        <f t="shared" si="99"/>
        <v>1.7</v>
      </c>
      <c r="CC95" s="105">
        <f t="shared" si="112"/>
        <v>110.77409524062227</v>
      </c>
      <c r="CD95" s="106">
        <f t="shared" si="113"/>
        <v>58.627853552529295</v>
      </c>
      <c r="CE95" s="107">
        <f t="shared" si="114"/>
        <v>0.87941780328793939</v>
      </c>
      <c r="CF95" s="108" t="s">
        <v>2189</v>
      </c>
      <c r="CG95" s="108" t="s">
        <v>2189</v>
      </c>
      <c r="CH95" s="108" t="s">
        <v>2189</v>
      </c>
      <c r="CI95" s="108" t="s">
        <v>2189</v>
      </c>
      <c r="CJ95" s="109"/>
      <c r="CK95" s="116" t="s">
        <v>2190</v>
      </c>
      <c r="CL95" s="116" t="s">
        <v>2191</v>
      </c>
      <c r="CM95" s="111">
        <f t="shared" si="100"/>
        <v>85</v>
      </c>
      <c r="CN95" s="107">
        <f t="shared" si="115"/>
        <v>1.2749999999999999</v>
      </c>
      <c r="CO95" s="114">
        <v>1165739000</v>
      </c>
      <c r="CP95" s="88">
        <f t="shared" si="101"/>
        <v>29.442804179305149</v>
      </c>
      <c r="CQ95" s="78">
        <f t="shared" si="102"/>
        <v>60</v>
      </c>
      <c r="CR95" s="79">
        <f t="shared" si="116"/>
        <v>1.7999999999999998</v>
      </c>
      <c r="CS95" s="92">
        <f>_xlfn.XLOOKUP(C95, '[1]1-1. 관계사체무보증금액 (환율 등)'!$3:$3, '[1]1-1. 관계사체무보증금액 (환율 등)'!$33:$33)</f>
        <v>205565000</v>
      </c>
      <c r="CT95" s="77">
        <f t="shared" si="103"/>
        <v>5.1919083440794749</v>
      </c>
      <c r="CU95" s="78">
        <f t="shared" si="104"/>
        <v>80</v>
      </c>
      <c r="CV95" s="79">
        <f t="shared" si="117"/>
        <v>1.6</v>
      </c>
      <c r="CW95" s="112">
        <f t="shared" si="105"/>
        <v>19.817129404406192</v>
      </c>
    </row>
    <row r="96" spans="1:101" x14ac:dyDescent="0.35">
      <c r="A96" s="7" t="s">
        <v>530</v>
      </c>
      <c r="B96" s="8" t="s">
        <v>531</v>
      </c>
      <c r="C96" s="21" t="s">
        <v>532</v>
      </c>
      <c r="D96" s="22" t="s">
        <v>141</v>
      </c>
      <c r="E96" s="11" t="s">
        <v>481</v>
      </c>
      <c r="F96" s="11" t="s">
        <v>533</v>
      </c>
      <c r="G96" s="12">
        <v>27572</v>
      </c>
      <c r="H96" s="11" t="s">
        <v>24</v>
      </c>
      <c r="I96" s="11" t="s">
        <v>534</v>
      </c>
      <c r="J96" s="11" t="s">
        <v>535</v>
      </c>
      <c r="K96" s="11" t="s">
        <v>536</v>
      </c>
      <c r="L96" s="23">
        <v>1037444849</v>
      </c>
      <c r="M96" s="14">
        <v>756037859</v>
      </c>
      <c r="N96" s="14">
        <v>281406990</v>
      </c>
      <c r="O96" s="14">
        <v>1020419354</v>
      </c>
      <c r="P96" s="14">
        <v>62957426</v>
      </c>
      <c r="Q96" s="14">
        <v>23841777</v>
      </c>
      <c r="R96" s="14">
        <v>11209133</v>
      </c>
      <c r="S96" s="15">
        <v>23932354</v>
      </c>
      <c r="T96" s="15">
        <v>2355259</v>
      </c>
      <c r="U96" s="15">
        <v>5706555</v>
      </c>
      <c r="V96" s="15">
        <f>349675+105770+236990+27370</f>
        <v>719805</v>
      </c>
      <c r="W96" s="15">
        <v>0</v>
      </c>
      <c r="X96" s="15">
        <v>0</v>
      </c>
      <c r="Z96" s="15">
        <v>150000</v>
      </c>
      <c r="AA96" s="15">
        <v>150000</v>
      </c>
      <c r="AB96" s="74">
        <f t="shared" si="65"/>
        <v>6576360</v>
      </c>
      <c r="AC96" s="75">
        <f t="shared" si="66"/>
        <v>27.478951715322282</v>
      </c>
      <c r="AD96" s="75">
        <f t="shared" si="67"/>
        <v>76.370294837178704</v>
      </c>
      <c r="AE96" s="76">
        <f t="shared" si="106"/>
        <v>2.2911088451153612</v>
      </c>
      <c r="AF96" s="77">
        <f t="shared" si="68"/>
        <v>29.991746431329119</v>
      </c>
      <c r="AG96" s="77">
        <f t="shared" si="69"/>
        <v>29.991746431329119</v>
      </c>
      <c r="AH96" s="77">
        <f t="shared" si="70"/>
        <v>0</v>
      </c>
      <c r="AI96" s="78">
        <f t="shared" si="71"/>
        <v>100</v>
      </c>
      <c r="AJ96" s="79">
        <f t="shared" si="107"/>
        <v>4</v>
      </c>
      <c r="AK96" s="113">
        <v>6</v>
      </c>
      <c r="AL96" s="113">
        <v>15</v>
      </c>
      <c r="AM96" s="113">
        <v>1</v>
      </c>
      <c r="AN96" s="81">
        <f t="shared" si="72"/>
        <v>21</v>
      </c>
      <c r="AO96" s="82">
        <f t="shared" si="73"/>
        <v>4.7619047619047619</v>
      </c>
      <c r="AP96" s="83">
        <f t="shared" si="74"/>
        <v>100</v>
      </c>
      <c r="AQ96" s="84">
        <f t="shared" si="108"/>
        <v>2</v>
      </c>
      <c r="AR96" s="118">
        <v>3</v>
      </c>
      <c r="AS96" s="86">
        <f t="shared" si="75"/>
        <v>0.25</v>
      </c>
      <c r="AT96" s="87">
        <f t="shared" si="76"/>
        <v>1.5</v>
      </c>
      <c r="AU96" s="87">
        <f t="shared" si="77"/>
        <v>1</v>
      </c>
      <c r="AV96" s="88">
        <f t="shared" si="78"/>
        <v>33.333333333333329</v>
      </c>
      <c r="AW96" s="78">
        <f t="shared" si="79"/>
        <v>80</v>
      </c>
      <c r="AX96" s="89">
        <f t="shared" si="109"/>
        <v>0.8</v>
      </c>
      <c r="AY96" s="114">
        <v>13</v>
      </c>
      <c r="AZ96" s="114">
        <f>13*3</f>
        <v>39</v>
      </c>
      <c r="BA96" s="91">
        <f t="shared" si="80"/>
        <v>39</v>
      </c>
      <c r="BB96" s="77">
        <f t="shared" si="81"/>
        <v>100</v>
      </c>
      <c r="BC96" s="78">
        <f t="shared" si="82"/>
        <v>100</v>
      </c>
      <c r="BD96" s="79">
        <f t="shared" si="110"/>
        <v>1</v>
      </c>
      <c r="BE96" s="92">
        <f>39073675+787529</f>
        <v>39861204</v>
      </c>
      <c r="BF96" s="92">
        <v>4306457</v>
      </c>
      <c r="BG96" s="114">
        <v>938840</v>
      </c>
      <c r="BH96" s="94">
        <f t="shared" si="83"/>
        <v>44167661</v>
      </c>
      <c r="BI96" s="77">
        <f t="shared" si="84"/>
        <v>2.1256276170024035</v>
      </c>
      <c r="BJ96" s="95" t="str">
        <f t="shared" si="85"/>
        <v>전기전자/기계업</v>
      </c>
      <c r="BK96" s="96">
        <f t="shared" si="86"/>
        <v>2.4096449716116446</v>
      </c>
      <c r="BL96" s="97">
        <f t="shared" si="87"/>
        <v>-0.28401735460924105</v>
      </c>
      <c r="BM96" s="98">
        <f t="shared" si="88"/>
        <v>80</v>
      </c>
      <c r="BN96" s="99">
        <f t="shared" si="89"/>
        <v>1.6</v>
      </c>
      <c r="BO96" s="114">
        <f>20997627-490656</f>
        <v>20506971</v>
      </c>
      <c r="BP96" s="101">
        <f t="shared" si="90"/>
        <v>2.0096611182072897</v>
      </c>
      <c r="BQ96" s="78">
        <f t="shared" si="91"/>
        <v>85</v>
      </c>
      <c r="BR96" s="79">
        <f t="shared" si="111"/>
        <v>1.7</v>
      </c>
      <c r="BS96" s="102">
        <v>21651909</v>
      </c>
      <c r="BT96" s="102">
        <v>341297</v>
      </c>
      <c r="BU96" s="103">
        <f t="shared" si="92"/>
        <v>21310612</v>
      </c>
      <c r="BV96" s="77">
        <f t="shared" si="93"/>
        <v>2.0884170724970392</v>
      </c>
      <c r="BW96" s="96">
        <f t="shared" si="94"/>
        <v>5.2309968128308295</v>
      </c>
      <c r="BX96" s="96">
        <f t="shared" si="95"/>
        <v>9.8758074243563936</v>
      </c>
      <c r="BY96" s="96">
        <f t="shared" si="96"/>
        <v>7.0695458012309631</v>
      </c>
      <c r="BZ96" s="96">
        <f t="shared" si="97"/>
        <v>67.166795420397335</v>
      </c>
      <c r="CA96" s="96">
        <f t="shared" si="98"/>
        <v>40</v>
      </c>
      <c r="CB96" s="104">
        <f t="shared" si="99"/>
        <v>0.8</v>
      </c>
      <c r="CC96" s="105">
        <f t="shared" si="112"/>
        <v>268.66349659615776</v>
      </c>
      <c r="CD96" s="106">
        <f t="shared" si="113"/>
        <v>25</v>
      </c>
      <c r="CE96" s="107">
        <f t="shared" si="114"/>
        <v>0.375</v>
      </c>
      <c r="CF96" s="108" t="s">
        <v>2189</v>
      </c>
      <c r="CG96" s="108" t="s">
        <v>2189</v>
      </c>
      <c r="CH96" s="108" t="s">
        <v>2189</v>
      </c>
      <c r="CI96" s="108" t="s">
        <v>2189</v>
      </c>
      <c r="CJ96" s="109"/>
      <c r="CK96" s="116" t="s">
        <v>2219</v>
      </c>
      <c r="CL96" s="116" t="s">
        <v>2204</v>
      </c>
      <c r="CM96" s="111">
        <f t="shared" si="100"/>
        <v>70</v>
      </c>
      <c r="CN96" s="107">
        <f t="shared" si="115"/>
        <v>1.05</v>
      </c>
      <c r="CO96" s="114">
        <v>6960900</v>
      </c>
      <c r="CP96" s="88">
        <f t="shared" si="101"/>
        <v>2.4736059328163811</v>
      </c>
      <c r="CQ96" s="78">
        <f t="shared" si="102"/>
        <v>100</v>
      </c>
      <c r="CR96" s="79">
        <f t="shared" si="116"/>
        <v>3</v>
      </c>
      <c r="CS96" s="92">
        <f>_xlfn.XLOOKUP(C96, '[1]1-1. 관계사체무보증금액 (환율 등)'!$3:$3, '[1]1-1. 관계사체무보증금액 (환율 등)'!$33:$33)</f>
        <v>55180150</v>
      </c>
      <c r="CT96" s="77">
        <f t="shared" si="103"/>
        <v>19.608663594319388</v>
      </c>
      <c r="CU96" s="78">
        <f t="shared" si="104"/>
        <v>60</v>
      </c>
      <c r="CV96" s="79">
        <f t="shared" si="117"/>
        <v>1.2</v>
      </c>
      <c r="CW96" s="112">
        <f t="shared" si="105"/>
        <v>19.816108845115362</v>
      </c>
    </row>
    <row r="97" spans="1:101" x14ac:dyDescent="0.35">
      <c r="A97" s="7" t="s">
        <v>1464</v>
      </c>
      <c r="B97" s="8" t="s">
        <v>1465</v>
      </c>
      <c r="C97" s="21" t="s">
        <v>1466</v>
      </c>
      <c r="D97" s="22" t="s">
        <v>31</v>
      </c>
      <c r="E97" s="11" t="s">
        <v>967</v>
      </c>
      <c r="F97" s="11" t="s">
        <v>1467</v>
      </c>
      <c r="G97" s="12">
        <v>28272</v>
      </c>
      <c r="H97" s="11" t="s">
        <v>24</v>
      </c>
      <c r="I97" s="11" t="s">
        <v>1468</v>
      </c>
      <c r="J97" s="11" t="s">
        <v>1469</v>
      </c>
      <c r="K97" s="11" t="s">
        <v>280</v>
      </c>
      <c r="L97" s="23">
        <v>442034876</v>
      </c>
      <c r="M97" s="14">
        <v>63994596</v>
      </c>
      <c r="N97" s="14">
        <v>378040280</v>
      </c>
      <c r="O97" s="14">
        <v>122005783</v>
      </c>
      <c r="P97" s="14">
        <v>507524</v>
      </c>
      <c r="Q97" s="14">
        <v>4251780</v>
      </c>
      <c r="R97" s="14">
        <v>6061277</v>
      </c>
      <c r="S97" s="15">
        <v>6649138</v>
      </c>
      <c r="T97" s="15">
        <v>3096215</v>
      </c>
      <c r="U97" s="15">
        <v>639541</v>
      </c>
      <c r="V97" s="15">
        <f>996159+378245</f>
        <v>1374404</v>
      </c>
      <c r="W97" s="15">
        <v>0</v>
      </c>
      <c r="X97" s="15">
        <v>0</v>
      </c>
      <c r="Z97" s="15">
        <v>0</v>
      </c>
      <c r="AA97" s="15">
        <v>0</v>
      </c>
      <c r="AB97" s="74">
        <f t="shared" si="65"/>
        <v>2013945</v>
      </c>
      <c r="AC97" s="75">
        <f t="shared" si="66"/>
        <v>30.288813377012179</v>
      </c>
      <c r="AD97" s="75">
        <f t="shared" si="67"/>
        <v>73.945212850679951</v>
      </c>
      <c r="AE97" s="76">
        <f t="shared" si="106"/>
        <v>2.2183563855203983</v>
      </c>
      <c r="AF97" s="77">
        <f t="shared" si="68"/>
        <v>56.684172440551059</v>
      </c>
      <c r="AG97" s="77">
        <f t="shared" si="69"/>
        <v>56.684172440551059</v>
      </c>
      <c r="AH97" s="77">
        <f t="shared" si="70"/>
        <v>0</v>
      </c>
      <c r="AI97" s="78">
        <f t="shared" si="71"/>
        <v>100</v>
      </c>
      <c r="AJ97" s="79">
        <f t="shared" si="107"/>
        <v>4</v>
      </c>
      <c r="AK97" s="113">
        <v>6</v>
      </c>
      <c r="AL97" s="113">
        <v>4</v>
      </c>
      <c r="AM97" s="113">
        <v>1</v>
      </c>
      <c r="AN97" s="81">
        <f t="shared" si="72"/>
        <v>10</v>
      </c>
      <c r="AO97" s="82">
        <f t="shared" si="73"/>
        <v>10</v>
      </c>
      <c r="AP97" s="83">
        <f t="shared" si="74"/>
        <v>80</v>
      </c>
      <c r="AQ97" s="84">
        <f t="shared" si="108"/>
        <v>1.6</v>
      </c>
      <c r="AR97" s="118">
        <v>3</v>
      </c>
      <c r="AS97" s="86">
        <f t="shared" si="75"/>
        <v>0.25</v>
      </c>
      <c r="AT97" s="87">
        <f t="shared" si="76"/>
        <v>1.5</v>
      </c>
      <c r="AU97" s="87">
        <f t="shared" si="77"/>
        <v>1</v>
      </c>
      <c r="AV97" s="88">
        <f t="shared" si="78"/>
        <v>33.333333333333329</v>
      </c>
      <c r="AW97" s="78">
        <f t="shared" si="79"/>
        <v>80</v>
      </c>
      <c r="AX97" s="89">
        <f t="shared" si="109"/>
        <v>0.8</v>
      </c>
      <c r="AY97" s="114">
        <v>9</v>
      </c>
      <c r="AZ97" s="114">
        <v>27</v>
      </c>
      <c r="BA97" s="91">
        <f t="shared" si="80"/>
        <v>27</v>
      </c>
      <c r="BB97" s="77">
        <f t="shared" si="81"/>
        <v>100</v>
      </c>
      <c r="BC97" s="78">
        <f t="shared" si="82"/>
        <v>100</v>
      </c>
      <c r="BD97" s="79">
        <f t="shared" si="110"/>
        <v>1</v>
      </c>
      <c r="BE97" s="92">
        <v>2516360</v>
      </c>
      <c r="BF97" s="92">
        <v>221330</v>
      </c>
      <c r="BG97" s="114">
        <v>83033</v>
      </c>
      <c r="BH97" s="94">
        <f t="shared" si="83"/>
        <v>2737690</v>
      </c>
      <c r="BI97" s="77">
        <f t="shared" si="84"/>
        <v>3.0329584430669652</v>
      </c>
      <c r="BJ97" s="95" t="str">
        <f t="shared" si="85"/>
        <v>식약/섬유/종이업</v>
      </c>
      <c r="BK97" s="96">
        <f t="shared" si="86"/>
        <v>2.1999360555264453</v>
      </c>
      <c r="BL97" s="97">
        <f t="shared" si="87"/>
        <v>0.83302238754051983</v>
      </c>
      <c r="BM97" s="98">
        <f t="shared" si="88"/>
        <v>60</v>
      </c>
      <c r="BN97" s="99">
        <f t="shared" si="89"/>
        <v>1.2</v>
      </c>
      <c r="BO97" s="114">
        <v>743445</v>
      </c>
      <c r="BP97" s="101">
        <f t="shared" si="90"/>
        <v>0.60935226324476766</v>
      </c>
      <c r="BQ97" s="78">
        <f t="shared" si="91"/>
        <v>70</v>
      </c>
      <c r="BR97" s="79">
        <f t="shared" si="111"/>
        <v>1.4000000000000001</v>
      </c>
      <c r="BS97" s="102">
        <v>2369752.3160000001</v>
      </c>
      <c r="BT97" s="102">
        <v>0</v>
      </c>
      <c r="BU97" s="103">
        <f t="shared" si="92"/>
        <v>2369752.3160000001</v>
      </c>
      <c r="BV97" s="77">
        <f t="shared" si="93"/>
        <v>1.9423278616227562</v>
      </c>
      <c r="BW97" s="96">
        <f t="shared" si="94"/>
        <v>5.0508176117342298</v>
      </c>
      <c r="BX97" s="96">
        <f t="shared" si="95"/>
        <v>9.6627085265480925</v>
      </c>
      <c r="BY97" s="96">
        <f t="shared" si="96"/>
        <v>6.9871618081220923</v>
      </c>
      <c r="BZ97" s="96">
        <f t="shared" si="97"/>
        <v>67.179889261903654</v>
      </c>
      <c r="CA97" s="96">
        <f t="shared" si="98"/>
        <v>40</v>
      </c>
      <c r="CB97" s="104">
        <f t="shared" si="99"/>
        <v>0.8</v>
      </c>
      <c r="CC97" s="105">
        <f t="shared" si="112"/>
        <v>16.927983441341222</v>
      </c>
      <c r="CD97" s="106">
        <f t="shared" si="113"/>
        <v>93.996991165323664</v>
      </c>
      <c r="CE97" s="107">
        <f t="shared" si="114"/>
        <v>1.409954867479855</v>
      </c>
      <c r="CF97" s="108" t="s">
        <v>2189</v>
      </c>
      <c r="CG97" s="108" t="s">
        <v>2189</v>
      </c>
      <c r="CH97" s="108" t="s">
        <v>2189</v>
      </c>
      <c r="CI97" s="108" t="s">
        <v>2189</v>
      </c>
      <c r="CJ97" s="109"/>
      <c r="CK97" s="116" t="s">
        <v>2192</v>
      </c>
      <c r="CL97" s="116" t="s">
        <v>2193</v>
      </c>
      <c r="CM97" s="111">
        <f t="shared" si="100"/>
        <v>25</v>
      </c>
      <c r="CN97" s="107">
        <f t="shared" si="115"/>
        <v>0.375</v>
      </c>
      <c r="CO97" s="114">
        <v>0</v>
      </c>
      <c r="CP97" s="88">
        <f t="shared" si="101"/>
        <v>0</v>
      </c>
      <c r="CQ97" s="78">
        <f t="shared" si="102"/>
        <v>100</v>
      </c>
      <c r="CR97" s="79">
        <f t="shared" si="116"/>
        <v>3</v>
      </c>
      <c r="CS97" s="92">
        <f>_xlfn.XLOOKUP(C97, '[1]1-1. 관계사체무보증금액 (환율 등)'!$3:$3, '[1]1-1. 관계사체무보증금액 (환율 등)'!$33:$33)</f>
        <v>0</v>
      </c>
      <c r="CT97" s="77">
        <f t="shared" si="103"/>
        <v>0</v>
      </c>
      <c r="CU97" s="78">
        <f t="shared" si="104"/>
        <v>100</v>
      </c>
      <c r="CV97" s="79">
        <f t="shared" si="117"/>
        <v>2</v>
      </c>
      <c r="CW97" s="112">
        <f t="shared" si="105"/>
        <v>19.803311253000253</v>
      </c>
    </row>
    <row r="98" spans="1:101" x14ac:dyDescent="0.35">
      <c r="A98" s="7" t="s">
        <v>1922</v>
      </c>
      <c r="B98" s="8" t="s">
        <v>1923</v>
      </c>
      <c r="C98" s="21" t="s">
        <v>1924</v>
      </c>
      <c r="D98" s="22" t="s">
        <v>141</v>
      </c>
      <c r="E98" s="11" t="s">
        <v>1925</v>
      </c>
      <c r="F98" s="11" t="s">
        <v>1926</v>
      </c>
      <c r="G98" s="12">
        <v>41577</v>
      </c>
      <c r="H98" s="11" t="s">
        <v>24</v>
      </c>
      <c r="I98" s="11" t="s">
        <v>1927</v>
      </c>
      <c r="J98" s="11" t="s">
        <v>1928</v>
      </c>
      <c r="K98" s="11" t="s">
        <v>102</v>
      </c>
      <c r="L98" s="23">
        <v>4676787304</v>
      </c>
      <c r="M98" s="14">
        <v>3212555016</v>
      </c>
      <c r="N98" s="14">
        <v>1464232288</v>
      </c>
      <c r="O98" s="14">
        <v>3106010725</v>
      </c>
      <c r="P98" s="14">
        <v>177983235</v>
      </c>
      <c r="Q98" s="14">
        <v>122548827</v>
      </c>
      <c r="R98" s="14">
        <v>213700726</v>
      </c>
      <c r="S98" s="15">
        <f>109142*1000</f>
        <v>109142000</v>
      </c>
      <c r="T98" s="15">
        <v>0</v>
      </c>
      <c r="U98" s="15">
        <v>36852432</v>
      </c>
      <c r="V98" s="15">
        <v>0</v>
      </c>
      <c r="W98" s="15">
        <f>1612+645+1947+2569+5136+1225+388+696+2364+2199+2149+3326+322+2037+429+1890+193+1277+1124+224</f>
        <v>31752</v>
      </c>
      <c r="X98" s="15">
        <v>0</v>
      </c>
      <c r="Z98" s="15">
        <v>0</v>
      </c>
      <c r="AA98" s="15">
        <v>0</v>
      </c>
      <c r="AB98" s="74">
        <f t="shared" si="65"/>
        <v>36884184</v>
      </c>
      <c r="AC98" s="75">
        <f t="shared" si="66"/>
        <v>33.794674827289214</v>
      </c>
      <c r="AD98" s="75">
        <f t="shared" si="67"/>
        <v>70.919440597851661</v>
      </c>
      <c r="AE98" s="76">
        <f t="shared" si="106"/>
        <v>2.1275832179355496</v>
      </c>
      <c r="AF98" s="77">
        <f t="shared" si="68"/>
        <v>33.765582452218212</v>
      </c>
      <c r="AG98" s="77">
        <f t="shared" si="69"/>
        <v>33.794674827289214</v>
      </c>
      <c r="AH98" s="77">
        <f t="shared" si="70"/>
        <v>2.9092375071002152E-2</v>
      </c>
      <c r="AI98" s="78">
        <f t="shared" si="71"/>
        <v>100</v>
      </c>
      <c r="AJ98" s="79">
        <f t="shared" si="107"/>
        <v>4</v>
      </c>
      <c r="AK98" s="113">
        <v>7</v>
      </c>
      <c r="AL98" s="113">
        <v>26</v>
      </c>
      <c r="AM98" s="113">
        <v>0</v>
      </c>
      <c r="AN98" s="81">
        <f t="shared" si="72"/>
        <v>33</v>
      </c>
      <c r="AO98" s="82">
        <f t="shared" si="73"/>
        <v>0</v>
      </c>
      <c r="AP98" s="83">
        <f t="shared" si="74"/>
        <v>100</v>
      </c>
      <c r="AQ98" s="84">
        <f t="shared" si="108"/>
        <v>2</v>
      </c>
      <c r="AR98" s="118">
        <v>4</v>
      </c>
      <c r="AS98" s="86">
        <f t="shared" si="75"/>
        <v>0.5</v>
      </c>
      <c r="AT98" s="87">
        <f t="shared" si="76"/>
        <v>3.5</v>
      </c>
      <c r="AU98" s="87">
        <f t="shared" si="77"/>
        <v>3</v>
      </c>
      <c r="AV98" s="88">
        <f t="shared" si="78"/>
        <v>14.285714285714285</v>
      </c>
      <c r="AW98" s="78">
        <f t="shared" si="79"/>
        <v>60</v>
      </c>
      <c r="AX98" s="89">
        <f t="shared" si="109"/>
        <v>0.6</v>
      </c>
      <c r="AY98" s="114">
        <v>9</v>
      </c>
      <c r="AZ98" s="114">
        <f>36-1</f>
        <v>35</v>
      </c>
      <c r="BA98" s="91">
        <f t="shared" si="80"/>
        <v>36</v>
      </c>
      <c r="BB98" s="77">
        <f t="shared" si="81"/>
        <v>97.222222222222214</v>
      </c>
      <c r="BC98" s="78">
        <f t="shared" si="82"/>
        <v>100</v>
      </c>
      <c r="BD98" s="79">
        <f t="shared" si="110"/>
        <v>1</v>
      </c>
      <c r="BE98" s="92">
        <v>78761759</v>
      </c>
      <c r="BF98" s="92">
        <v>5979052</v>
      </c>
      <c r="BG98" s="114">
        <v>743489</v>
      </c>
      <c r="BH98" s="94">
        <f t="shared" si="83"/>
        <v>84740811</v>
      </c>
      <c r="BI98" s="77">
        <f t="shared" si="84"/>
        <v>0.8773682848043548</v>
      </c>
      <c r="BJ98" s="95" t="str">
        <f t="shared" si="85"/>
        <v>전기전자/기계업</v>
      </c>
      <c r="BK98" s="96">
        <f t="shared" si="86"/>
        <v>2.4096449716116446</v>
      </c>
      <c r="BL98" s="97">
        <f t="shared" si="87"/>
        <v>-1.5322766868072897</v>
      </c>
      <c r="BM98" s="98">
        <f t="shared" si="88"/>
        <v>80</v>
      </c>
      <c r="BN98" s="99">
        <f t="shared" si="89"/>
        <v>1.6</v>
      </c>
      <c r="BO98" s="114">
        <v>112566000</v>
      </c>
      <c r="BP98" s="101">
        <f t="shared" si="90"/>
        <v>3.6241342985060045</v>
      </c>
      <c r="BQ98" s="78">
        <f t="shared" si="91"/>
        <v>85</v>
      </c>
      <c r="BR98" s="79">
        <f t="shared" si="111"/>
        <v>1.7</v>
      </c>
      <c r="BS98" s="102">
        <v>32130002</v>
      </c>
      <c r="BT98" s="102">
        <v>810965</v>
      </c>
      <c r="BU98" s="103">
        <f t="shared" si="92"/>
        <v>31319037</v>
      </c>
      <c r="BV98" s="77">
        <f t="shared" si="93"/>
        <v>1.0083364087546736</v>
      </c>
      <c r="BW98" s="96">
        <f t="shared" si="94"/>
        <v>5.2309968128308295</v>
      </c>
      <c r="BX98" s="96">
        <f t="shared" si="95"/>
        <v>17.830860888152603</v>
      </c>
      <c r="BY98" s="96">
        <f t="shared" si="96"/>
        <v>7.0695458012309631</v>
      </c>
      <c r="BZ98" s="96">
        <f t="shared" si="97"/>
        <v>72.484742489566969</v>
      </c>
      <c r="CA98" s="96">
        <f t="shared" si="98"/>
        <v>40</v>
      </c>
      <c r="CB98" s="104">
        <f t="shared" si="99"/>
        <v>0.8</v>
      </c>
      <c r="CC98" s="105">
        <f t="shared" si="112"/>
        <v>219.40200624779558</v>
      </c>
      <c r="CD98" s="106">
        <f t="shared" si="113"/>
        <v>25</v>
      </c>
      <c r="CE98" s="107">
        <f t="shared" si="114"/>
        <v>0.375</v>
      </c>
      <c r="CF98" s="108" t="s">
        <v>2189</v>
      </c>
      <c r="CG98" s="108" t="s">
        <v>2189</v>
      </c>
      <c r="CH98" s="108" t="s">
        <v>2189</v>
      </c>
      <c r="CI98" s="108" t="s">
        <v>2189</v>
      </c>
      <c r="CJ98" s="109"/>
      <c r="CK98" s="116" t="s">
        <v>2242</v>
      </c>
      <c r="CL98" s="116" t="s">
        <v>2209</v>
      </c>
      <c r="CM98" s="111">
        <f t="shared" si="100"/>
        <v>40</v>
      </c>
      <c r="CN98" s="107">
        <f t="shared" si="115"/>
        <v>0.6</v>
      </c>
      <c r="CO98" s="114">
        <v>3529000</v>
      </c>
      <c r="CP98" s="88">
        <f t="shared" si="101"/>
        <v>0.24101367173239113</v>
      </c>
      <c r="CQ98" s="78">
        <f t="shared" si="102"/>
        <v>100</v>
      </c>
      <c r="CR98" s="79">
        <f t="shared" si="116"/>
        <v>3</v>
      </c>
      <c r="CS98" s="92">
        <f>_xlfn.XLOOKUP(C98, '[1]1-1. 관계사체무보증금액 (환율 등)'!$3:$3, '[1]1-1. 관계사체무보증금액 (환율 등)'!$33:$33)</f>
        <v>41891891.891891897</v>
      </c>
      <c r="CT98" s="77">
        <f t="shared" si="103"/>
        <v>2.8610140778354354</v>
      </c>
      <c r="CU98" s="78">
        <f t="shared" si="104"/>
        <v>100</v>
      </c>
      <c r="CV98" s="79">
        <f t="shared" si="117"/>
        <v>2</v>
      </c>
      <c r="CW98" s="112">
        <f t="shared" si="105"/>
        <v>19.802583217935549</v>
      </c>
    </row>
    <row r="99" spans="1:101" x14ac:dyDescent="0.35">
      <c r="A99" s="7" t="s">
        <v>1792</v>
      </c>
      <c r="B99" s="8" t="s">
        <v>1793</v>
      </c>
      <c r="C99" s="21" t="s">
        <v>1794</v>
      </c>
      <c r="D99" s="10" t="s">
        <v>31</v>
      </c>
      <c r="E99" s="11" t="s">
        <v>183</v>
      </c>
      <c r="F99" s="11" t="s">
        <v>1795</v>
      </c>
      <c r="G99" s="12">
        <v>27941</v>
      </c>
      <c r="H99" s="11" t="s">
        <v>24</v>
      </c>
      <c r="I99" s="11" t="s">
        <v>1796</v>
      </c>
      <c r="J99" s="11" t="s">
        <v>1797</v>
      </c>
      <c r="K99" s="11" t="s">
        <v>27</v>
      </c>
      <c r="L99" s="23">
        <v>888665301</v>
      </c>
      <c r="M99" s="14">
        <v>485651737</v>
      </c>
      <c r="N99" s="14">
        <v>403013565</v>
      </c>
      <c r="O99" s="14">
        <v>536574431</v>
      </c>
      <c r="P99" s="14">
        <v>29103159</v>
      </c>
      <c r="Q99" s="14">
        <v>20616127</v>
      </c>
      <c r="R99" s="14">
        <v>17834953</v>
      </c>
      <c r="S99" s="15">
        <v>13763533</v>
      </c>
      <c r="T99" s="15">
        <v>0</v>
      </c>
      <c r="U99" s="15">
        <v>1878397</v>
      </c>
      <c r="V99" s="15">
        <f>5971143-U99-Z99-X99</f>
        <v>1441188</v>
      </c>
      <c r="W99" s="15">
        <f>1736+2119+1500+239+1200+41</f>
        <v>6835</v>
      </c>
      <c r="X99" s="15">
        <v>130000</v>
      </c>
      <c r="Y99" s="24" t="s">
        <v>2114</v>
      </c>
      <c r="Z99" s="15">
        <f>2435290+86268</f>
        <v>2521558</v>
      </c>
      <c r="AA99" s="15">
        <v>0</v>
      </c>
      <c r="AB99" s="74">
        <f t="shared" si="65"/>
        <v>5977978</v>
      </c>
      <c r="AC99" s="75">
        <f t="shared" si="66"/>
        <v>43.433455639623922</v>
      </c>
      <c r="AD99" s="75">
        <f t="shared" si="67"/>
        <v>62.600584891003521</v>
      </c>
      <c r="AE99" s="76">
        <f t="shared" si="106"/>
        <v>1.8780175467301055</v>
      </c>
      <c r="AF99" s="77">
        <f t="shared" si="68"/>
        <v>24.118698302245505</v>
      </c>
      <c r="AG99" s="77">
        <f t="shared" si="69"/>
        <v>43.433455639623922</v>
      </c>
      <c r="AH99" s="77">
        <f t="shared" si="70"/>
        <v>19.314757337378417</v>
      </c>
      <c r="AI99" s="78">
        <f t="shared" si="71"/>
        <v>80</v>
      </c>
      <c r="AJ99" s="79">
        <f t="shared" si="107"/>
        <v>3.2</v>
      </c>
      <c r="AK99" s="113">
        <v>7</v>
      </c>
      <c r="AL99" s="113">
        <v>12</v>
      </c>
      <c r="AM99" s="113">
        <v>1</v>
      </c>
      <c r="AN99" s="81">
        <f t="shared" si="72"/>
        <v>19</v>
      </c>
      <c r="AO99" s="82">
        <f t="shared" si="73"/>
        <v>5.2631578947368416</v>
      </c>
      <c r="AP99" s="83">
        <f t="shared" si="74"/>
        <v>100</v>
      </c>
      <c r="AQ99" s="84">
        <f t="shared" si="108"/>
        <v>2</v>
      </c>
      <c r="AR99" s="118">
        <v>3</v>
      </c>
      <c r="AS99" s="86">
        <f t="shared" si="75"/>
        <v>0.25</v>
      </c>
      <c r="AT99" s="87">
        <f t="shared" si="76"/>
        <v>1.75</v>
      </c>
      <c r="AU99" s="87">
        <f t="shared" si="77"/>
        <v>1</v>
      </c>
      <c r="AV99" s="88">
        <f t="shared" si="78"/>
        <v>28.571428571428569</v>
      </c>
      <c r="AW99" s="78">
        <f t="shared" si="79"/>
        <v>80</v>
      </c>
      <c r="AX99" s="89">
        <f t="shared" si="109"/>
        <v>0.8</v>
      </c>
      <c r="AY99" s="114">
        <v>8</v>
      </c>
      <c r="AZ99" s="114">
        <v>24</v>
      </c>
      <c r="BA99" s="91">
        <f t="shared" si="80"/>
        <v>24</v>
      </c>
      <c r="BB99" s="77">
        <f t="shared" si="81"/>
        <v>100</v>
      </c>
      <c r="BC99" s="78">
        <f t="shared" si="82"/>
        <v>100</v>
      </c>
      <c r="BD99" s="79">
        <f t="shared" si="110"/>
        <v>1</v>
      </c>
      <c r="BE99" s="92">
        <v>46611498</v>
      </c>
      <c r="BF99" s="92">
        <v>5686166</v>
      </c>
      <c r="BG99" s="93">
        <v>0</v>
      </c>
      <c r="BH99" s="94">
        <f t="shared" si="83"/>
        <v>52297664</v>
      </c>
      <c r="BI99" s="77">
        <f t="shared" si="84"/>
        <v>0</v>
      </c>
      <c r="BJ99" s="95" t="str">
        <f t="shared" si="85"/>
        <v>식약/섬유/종이업</v>
      </c>
      <c r="BK99" s="96">
        <f t="shared" si="86"/>
        <v>2.1999360555264453</v>
      </c>
      <c r="BL99" s="97">
        <f t="shared" si="87"/>
        <v>-2.1999360555264453</v>
      </c>
      <c r="BM99" s="98">
        <f t="shared" si="88"/>
        <v>100</v>
      </c>
      <c r="BN99" s="99">
        <f t="shared" si="89"/>
        <v>2</v>
      </c>
      <c r="BO99" s="114">
        <v>30588412.019000001</v>
      </c>
      <c r="BP99" s="101">
        <f t="shared" si="90"/>
        <v>5.7006838663544146</v>
      </c>
      <c r="BQ99" s="78">
        <f t="shared" si="91"/>
        <v>100</v>
      </c>
      <c r="BR99" s="79">
        <f t="shared" si="111"/>
        <v>2</v>
      </c>
      <c r="BS99" s="102">
        <v>36163969.089000002</v>
      </c>
      <c r="BT99" s="102">
        <v>211588.861</v>
      </c>
      <c r="BU99" s="103">
        <f t="shared" si="92"/>
        <v>35952380.228</v>
      </c>
      <c r="BV99" s="77">
        <f t="shared" si="93"/>
        <v>6.7003528589680412</v>
      </c>
      <c r="BW99" s="96">
        <f t="shared" si="94"/>
        <v>5.0508176117342298</v>
      </c>
      <c r="BX99" s="96">
        <f t="shared" si="95"/>
        <v>2.7209665318667113</v>
      </c>
      <c r="BY99" s="96">
        <f t="shared" si="96"/>
        <v>6.9871618081220923</v>
      </c>
      <c r="BZ99" s="96">
        <f t="shared" si="97"/>
        <v>40.668495848952382</v>
      </c>
      <c r="CA99" s="96">
        <f t="shared" si="98"/>
        <v>55</v>
      </c>
      <c r="CB99" s="104">
        <f t="shared" si="99"/>
        <v>1.1000000000000001</v>
      </c>
      <c r="CC99" s="105">
        <f t="shared" si="112"/>
        <v>120.50505967460425</v>
      </c>
      <c r="CD99" s="106">
        <f t="shared" si="113"/>
        <v>54.960404645249653</v>
      </c>
      <c r="CE99" s="107">
        <f t="shared" si="114"/>
        <v>0.82440606967874475</v>
      </c>
      <c r="CF99" s="108" t="s">
        <v>2189</v>
      </c>
      <c r="CG99" s="108" t="s">
        <v>2189</v>
      </c>
      <c r="CH99" s="108" t="s">
        <v>2189</v>
      </c>
      <c r="CI99" s="108" t="s">
        <v>2189</v>
      </c>
      <c r="CJ99" s="109"/>
      <c r="CK99" s="116" t="s">
        <v>2208</v>
      </c>
      <c r="CL99" s="116" t="s">
        <v>2209</v>
      </c>
      <c r="CM99" s="111">
        <f t="shared" si="100"/>
        <v>40</v>
      </c>
      <c r="CN99" s="107">
        <f t="shared" si="115"/>
        <v>0.6</v>
      </c>
      <c r="CO99" s="114">
        <v>17345000</v>
      </c>
      <c r="CP99" s="88">
        <f t="shared" si="101"/>
        <v>4.3038253563499778</v>
      </c>
      <c r="CQ99" s="78">
        <f t="shared" si="102"/>
        <v>80</v>
      </c>
      <c r="CR99" s="79">
        <f t="shared" si="116"/>
        <v>2.4</v>
      </c>
      <c r="CS99" s="92">
        <f>_xlfn.XLOOKUP(C99, '[1]1-1. 관계사체무보증금액 (환율 등)'!$3:$3, '[1]1-1. 관계사체무보증금액 (환율 등)'!$33:$33)</f>
        <v>0</v>
      </c>
      <c r="CT99" s="77">
        <f t="shared" si="103"/>
        <v>0</v>
      </c>
      <c r="CU99" s="78">
        <f t="shared" si="104"/>
        <v>100</v>
      </c>
      <c r="CV99" s="79">
        <f t="shared" si="117"/>
        <v>2</v>
      </c>
      <c r="CW99" s="112">
        <f t="shared" si="105"/>
        <v>19.802423616408849</v>
      </c>
    </row>
    <row r="100" spans="1:101" x14ac:dyDescent="0.35">
      <c r="A100" s="7" t="s">
        <v>1761</v>
      </c>
      <c r="B100" s="8" t="s">
        <v>1762</v>
      </c>
      <c r="C100" s="21" t="s">
        <v>1763</v>
      </c>
      <c r="D100" s="10" t="s">
        <v>75</v>
      </c>
      <c r="E100" s="11" t="s">
        <v>324</v>
      </c>
      <c r="F100" s="11" t="s">
        <v>1764</v>
      </c>
      <c r="G100" s="12">
        <v>32365</v>
      </c>
      <c r="H100" s="11" t="s">
        <v>24</v>
      </c>
      <c r="I100" s="11" t="s">
        <v>1765</v>
      </c>
      <c r="J100" s="11" t="s">
        <v>1766</v>
      </c>
      <c r="K100" s="11" t="s">
        <v>110</v>
      </c>
      <c r="L100" s="23">
        <v>172340454</v>
      </c>
      <c r="M100" s="14">
        <v>59384706</v>
      </c>
      <c r="N100" s="14">
        <v>112955748</v>
      </c>
      <c r="O100" s="14">
        <v>301642199</v>
      </c>
      <c r="P100" s="14">
        <v>35071601</v>
      </c>
      <c r="Q100" s="14">
        <v>36329377</v>
      </c>
      <c r="R100" s="14">
        <v>26721327</v>
      </c>
      <c r="S100" s="15">
        <v>1300000</v>
      </c>
      <c r="T100" s="15">
        <v>0</v>
      </c>
      <c r="U100" s="15">
        <v>700000</v>
      </c>
      <c r="V100" s="15">
        <v>0</v>
      </c>
      <c r="W100" s="15">
        <v>0</v>
      </c>
      <c r="X100" s="15">
        <v>0</v>
      </c>
      <c r="Z100" s="15">
        <v>0</v>
      </c>
      <c r="AA100" s="15">
        <v>0</v>
      </c>
      <c r="AB100" s="74">
        <f t="shared" si="65"/>
        <v>700000</v>
      </c>
      <c r="AC100" s="75">
        <f t="shared" si="66"/>
        <v>53.846153846153847</v>
      </c>
      <c r="AD100" s="75">
        <f t="shared" si="67"/>
        <v>53.613791272019121</v>
      </c>
      <c r="AE100" s="76">
        <f t="shared" si="106"/>
        <v>1.6084137381605736</v>
      </c>
      <c r="AF100" s="77">
        <f t="shared" si="68"/>
        <v>53.846153846153847</v>
      </c>
      <c r="AG100" s="77">
        <f t="shared" si="69"/>
        <v>53.846153846153847</v>
      </c>
      <c r="AH100" s="77">
        <f t="shared" si="70"/>
        <v>0</v>
      </c>
      <c r="AI100" s="78">
        <f t="shared" si="71"/>
        <v>100</v>
      </c>
      <c r="AJ100" s="79">
        <f t="shared" si="107"/>
        <v>4</v>
      </c>
      <c r="AK100" s="113">
        <v>7</v>
      </c>
      <c r="AL100" s="113">
        <v>5</v>
      </c>
      <c r="AM100" s="113">
        <v>0</v>
      </c>
      <c r="AN100" s="81">
        <f t="shared" si="72"/>
        <v>12</v>
      </c>
      <c r="AO100" s="82">
        <f t="shared" si="73"/>
        <v>0</v>
      </c>
      <c r="AP100" s="83">
        <f t="shared" si="74"/>
        <v>100</v>
      </c>
      <c r="AQ100" s="84">
        <f t="shared" si="108"/>
        <v>2</v>
      </c>
      <c r="AR100" s="118">
        <v>3</v>
      </c>
      <c r="AS100" s="86">
        <f t="shared" si="75"/>
        <v>0.25</v>
      </c>
      <c r="AT100" s="87">
        <f t="shared" si="76"/>
        <v>1.75</v>
      </c>
      <c r="AU100" s="87">
        <f t="shared" si="77"/>
        <v>1</v>
      </c>
      <c r="AV100" s="88">
        <f t="shared" si="78"/>
        <v>28.571428571428569</v>
      </c>
      <c r="AW100" s="78">
        <f t="shared" si="79"/>
        <v>80</v>
      </c>
      <c r="AX100" s="89">
        <f t="shared" si="109"/>
        <v>0.8</v>
      </c>
      <c r="AY100" s="114">
        <v>5</v>
      </c>
      <c r="AZ100" s="114">
        <f>15-1</f>
        <v>14</v>
      </c>
      <c r="BA100" s="91">
        <f t="shared" si="80"/>
        <v>15</v>
      </c>
      <c r="BB100" s="77">
        <f t="shared" si="81"/>
        <v>93.333333333333329</v>
      </c>
      <c r="BC100" s="78">
        <f t="shared" si="82"/>
        <v>100</v>
      </c>
      <c r="BD100" s="79">
        <f t="shared" si="110"/>
        <v>1</v>
      </c>
      <c r="BE100" s="92">
        <v>10450497</v>
      </c>
      <c r="BF100" s="92">
        <v>1233257</v>
      </c>
      <c r="BG100" s="114">
        <f>307896</f>
        <v>307896</v>
      </c>
      <c r="BH100" s="94">
        <f t="shared" si="83"/>
        <v>11683754</v>
      </c>
      <c r="BI100" s="77">
        <f t="shared" si="84"/>
        <v>2.6352489105813079</v>
      </c>
      <c r="BJ100" s="95" t="str">
        <f t="shared" si="85"/>
        <v>금속/비금속/화학업</v>
      </c>
      <c r="BK100" s="96">
        <f t="shared" si="86"/>
        <v>3.9534118626990469</v>
      </c>
      <c r="BL100" s="97">
        <f t="shared" si="87"/>
        <v>-1.3181629521177389</v>
      </c>
      <c r="BM100" s="98">
        <f t="shared" si="88"/>
        <v>80</v>
      </c>
      <c r="BN100" s="99">
        <f t="shared" si="89"/>
        <v>1.6</v>
      </c>
      <c r="BO100" s="114">
        <v>0</v>
      </c>
      <c r="BP100" s="101">
        <f t="shared" si="90"/>
        <v>0</v>
      </c>
      <c r="BQ100" s="78">
        <f t="shared" si="91"/>
        <v>25</v>
      </c>
      <c r="BR100" s="79">
        <f t="shared" si="111"/>
        <v>0.5</v>
      </c>
      <c r="BS100" s="102">
        <v>2593489.3569999998</v>
      </c>
      <c r="BT100" s="102">
        <v>20681.816999999999</v>
      </c>
      <c r="BU100" s="103">
        <f t="shared" si="92"/>
        <v>2572807.54</v>
      </c>
      <c r="BV100" s="77">
        <f t="shared" si="93"/>
        <v>0.85293355788060676</v>
      </c>
      <c r="BW100" s="96">
        <f t="shared" si="94"/>
        <v>5.1474158565187738</v>
      </c>
      <c r="BX100" s="96">
        <f t="shared" si="95"/>
        <v>18.442578213316555</v>
      </c>
      <c r="BY100" s="96">
        <f t="shared" si="96"/>
        <v>6.6930498535228535</v>
      </c>
      <c r="BZ100" s="96">
        <f t="shared" si="97"/>
        <v>73.944428060263533</v>
      </c>
      <c r="CA100" s="96">
        <f t="shared" si="98"/>
        <v>40</v>
      </c>
      <c r="CB100" s="104">
        <f t="shared" si="99"/>
        <v>0.8</v>
      </c>
      <c r="CC100" s="105">
        <f t="shared" si="112"/>
        <v>52.57342547986137</v>
      </c>
      <c r="CD100" s="106">
        <f t="shared" si="113"/>
        <v>80.562779341760788</v>
      </c>
      <c r="CE100" s="107">
        <f t="shared" si="114"/>
        <v>1.2084416901264117</v>
      </c>
      <c r="CF100" s="108" t="s">
        <v>2189</v>
      </c>
      <c r="CG100" s="108" t="s">
        <v>2189</v>
      </c>
      <c r="CH100" s="108" t="s">
        <v>2189</v>
      </c>
      <c r="CI100" s="108" t="s">
        <v>2189</v>
      </c>
      <c r="CJ100" s="109"/>
      <c r="CK100" s="116" t="s">
        <v>2212</v>
      </c>
      <c r="CL100" s="116" t="s">
        <v>2191</v>
      </c>
      <c r="CM100" s="111">
        <f t="shared" si="100"/>
        <v>85</v>
      </c>
      <c r="CN100" s="107">
        <f t="shared" si="115"/>
        <v>1.2749999999999999</v>
      </c>
      <c r="CO100" s="114">
        <v>0</v>
      </c>
      <c r="CP100" s="88">
        <f t="shared" si="101"/>
        <v>0</v>
      </c>
      <c r="CQ100" s="78">
        <f t="shared" si="102"/>
        <v>100</v>
      </c>
      <c r="CR100" s="79">
        <f t="shared" si="116"/>
        <v>3</v>
      </c>
      <c r="CS100" s="92">
        <f>_xlfn.XLOOKUP(C100, '[1]1-1. 관계사체무보증금액 (환율 등)'!$3:$3, '[1]1-1. 관계사체무보증금액 (환율 등)'!$33:$33)</f>
        <v>0</v>
      </c>
      <c r="CT100" s="77">
        <f t="shared" si="103"/>
        <v>0</v>
      </c>
      <c r="CU100" s="78">
        <f t="shared" si="104"/>
        <v>100</v>
      </c>
      <c r="CV100" s="79">
        <f t="shared" si="117"/>
        <v>2</v>
      </c>
      <c r="CW100" s="112">
        <f t="shared" si="105"/>
        <v>19.791855428286986</v>
      </c>
    </row>
    <row r="101" spans="1:101" x14ac:dyDescent="0.35">
      <c r="A101" s="7" t="s">
        <v>832</v>
      </c>
      <c r="B101" s="8" t="s">
        <v>833</v>
      </c>
      <c r="C101" s="21" t="s">
        <v>834</v>
      </c>
      <c r="D101" s="10" t="s">
        <v>75</v>
      </c>
      <c r="E101" s="11" t="s">
        <v>324</v>
      </c>
      <c r="F101" s="11" t="s">
        <v>835</v>
      </c>
      <c r="G101" s="12">
        <v>32778</v>
      </c>
      <c r="H101" s="11" t="s">
        <v>24</v>
      </c>
      <c r="I101" s="11" t="s">
        <v>836</v>
      </c>
      <c r="J101" s="11" t="s">
        <v>837</v>
      </c>
      <c r="K101" s="11" t="s">
        <v>110</v>
      </c>
      <c r="L101" s="23">
        <v>342398880</v>
      </c>
      <c r="M101" s="14">
        <v>36181307</v>
      </c>
      <c r="N101" s="14">
        <v>306217573</v>
      </c>
      <c r="O101" s="14">
        <v>418789690</v>
      </c>
      <c r="P101" s="14">
        <v>44057917</v>
      </c>
      <c r="Q101" s="14">
        <v>28817308</v>
      </c>
      <c r="R101" s="14">
        <v>20885280</v>
      </c>
      <c r="S101" s="15">
        <v>1739672</v>
      </c>
      <c r="T101" s="15">
        <v>226693</v>
      </c>
      <c r="U101" s="15">
        <v>449605</v>
      </c>
      <c r="V101" s="15">
        <f>182640+32000+35814</f>
        <v>250454</v>
      </c>
      <c r="W101" s="15">
        <v>0</v>
      </c>
      <c r="X101" s="15">
        <v>0</v>
      </c>
      <c r="Z101" s="15">
        <v>0</v>
      </c>
      <c r="AA101" s="15">
        <v>0</v>
      </c>
      <c r="AB101" s="74">
        <f t="shared" si="65"/>
        <v>700059</v>
      </c>
      <c r="AC101" s="75">
        <f t="shared" si="66"/>
        <v>40.240861495730229</v>
      </c>
      <c r="AD101" s="75">
        <f t="shared" si="67"/>
        <v>65.35598835236172</v>
      </c>
      <c r="AE101" s="76">
        <f t="shared" si="106"/>
        <v>1.9606796505708515</v>
      </c>
      <c r="AF101" s="77">
        <f t="shared" si="68"/>
        <v>46.270239044957002</v>
      </c>
      <c r="AG101" s="77">
        <f t="shared" si="69"/>
        <v>46.270239044957002</v>
      </c>
      <c r="AH101" s="77">
        <f t="shared" si="70"/>
        <v>0</v>
      </c>
      <c r="AI101" s="78">
        <f t="shared" si="71"/>
        <v>100</v>
      </c>
      <c r="AJ101" s="79">
        <f t="shared" si="107"/>
        <v>4</v>
      </c>
      <c r="AK101" s="113">
        <v>6</v>
      </c>
      <c r="AL101" s="113">
        <v>5</v>
      </c>
      <c r="AM101" s="113">
        <v>2</v>
      </c>
      <c r="AN101" s="81">
        <f t="shared" si="72"/>
        <v>11</v>
      </c>
      <c r="AO101" s="82">
        <f t="shared" si="73"/>
        <v>18.181818181818183</v>
      </c>
      <c r="AP101" s="83">
        <f t="shared" si="74"/>
        <v>80</v>
      </c>
      <c r="AQ101" s="84">
        <f t="shared" si="108"/>
        <v>1.6</v>
      </c>
      <c r="AR101" s="118">
        <v>2</v>
      </c>
      <c r="AS101" s="86">
        <f t="shared" si="75"/>
        <v>0.25</v>
      </c>
      <c r="AT101" s="87">
        <f t="shared" si="76"/>
        <v>1.5</v>
      </c>
      <c r="AU101" s="87">
        <f t="shared" si="77"/>
        <v>1</v>
      </c>
      <c r="AV101" s="88">
        <f t="shared" si="78"/>
        <v>16.666666666666664</v>
      </c>
      <c r="AW101" s="78">
        <f t="shared" si="79"/>
        <v>60</v>
      </c>
      <c r="AX101" s="89">
        <f t="shared" si="109"/>
        <v>0.6</v>
      </c>
      <c r="AY101" s="114">
        <v>18</v>
      </c>
      <c r="AZ101" s="114">
        <f>18*2</f>
        <v>36</v>
      </c>
      <c r="BA101" s="91">
        <f t="shared" si="80"/>
        <v>36</v>
      </c>
      <c r="BB101" s="77">
        <f t="shared" si="81"/>
        <v>100</v>
      </c>
      <c r="BC101" s="78">
        <f t="shared" si="82"/>
        <v>100</v>
      </c>
      <c r="BD101" s="79">
        <f t="shared" si="110"/>
        <v>1</v>
      </c>
      <c r="BE101" s="92">
        <v>3533431</v>
      </c>
      <c r="BF101" s="92">
        <v>524442</v>
      </c>
      <c r="BG101" s="114">
        <v>110493</v>
      </c>
      <c r="BH101" s="94">
        <f t="shared" si="83"/>
        <v>4057873</v>
      </c>
      <c r="BI101" s="77">
        <f t="shared" si="84"/>
        <v>2.722928982745394</v>
      </c>
      <c r="BJ101" s="95" t="str">
        <f t="shared" si="85"/>
        <v>금속/비금속/화학업</v>
      </c>
      <c r="BK101" s="96">
        <f t="shared" si="86"/>
        <v>3.9534118626990469</v>
      </c>
      <c r="BL101" s="97">
        <f t="shared" si="87"/>
        <v>-1.2304828799536529</v>
      </c>
      <c r="BM101" s="98">
        <f t="shared" si="88"/>
        <v>80</v>
      </c>
      <c r="BN101" s="99">
        <f t="shared" si="89"/>
        <v>1.6</v>
      </c>
      <c r="BO101" s="114">
        <v>0</v>
      </c>
      <c r="BP101" s="101">
        <f t="shared" si="90"/>
        <v>0</v>
      </c>
      <c r="BQ101" s="78">
        <f t="shared" si="91"/>
        <v>25</v>
      </c>
      <c r="BR101" s="79">
        <f t="shared" si="111"/>
        <v>0.5</v>
      </c>
      <c r="BS101" s="102">
        <v>1124047.9850000001</v>
      </c>
      <c r="BT101" s="102">
        <v>18350</v>
      </c>
      <c r="BU101" s="103">
        <f t="shared" si="92"/>
        <v>1105697.9850000001</v>
      </c>
      <c r="BV101" s="77">
        <f t="shared" si="93"/>
        <v>0.26402225541894309</v>
      </c>
      <c r="BW101" s="96">
        <f t="shared" si="94"/>
        <v>5.1474158565187738</v>
      </c>
      <c r="BX101" s="96">
        <f t="shared" si="95"/>
        <v>23.847533063262777</v>
      </c>
      <c r="BY101" s="96">
        <f t="shared" si="96"/>
        <v>6.6930498535228535</v>
      </c>
      <c r="BZ101" s="96">
        <f t="shared" si="97"/>
        <v>76.718923583364401</v>
      </c>
      <c r="CA101" s="96">
        <f t="shared" si="98"/>
        <v>40</v>
      </c>
      <c r="CB101" s="104">
        <f t="shared" si="99"/>
        <v>0.8</v>
      </c>
      <c r="CC101" s="105">
        <f t="shared" si="112"/>
        <v>11.81555540576373</v>
      </c>
      <c r="CD101" s="106">
        <f t="shared" si="113"/>
        <v>95.923785651094079</v>
      </c>
      <c r="CE101" s="107">
        <f t="shared" si="114"/>
        <v>1.4388567847664111</v>
      </c>
      <c r="CF101" s="108" t="s">
        <v>2189</v>
      </c>
      <c r="CG101" s="108" t="s">
        <v>2189</v>
      </c>
      <c r="CH101" s="108" t="s">
        <v>2189</v>
      </c>
      <c r="CI101" s="108" t="s">
        <v>2189</v>
      </c>
      <c r="CJ101" s="109"/>
      <c r="CK101" s="116" t="s">
        <v>2212</v>
      </c>
      <c r="CL101" s="116" t="s">
        <v>2191</v>
      </c>
      <c r="CM101" s="111">
        <f t="shared" si="100"/>
        <v>85</v>
      </c>
      <c r="CN101" s="107">
        <f t="shared" si="115"/>
        <v>1.2749999999999999</v>
      </c>
      <c r="CO101" s="114">
        <v>48000</v>
      </c>
      <c r="CP101" s="88">
        <f t="shared" si="101"/>
        <v>1.5675129134407974E-2</v>
      </c>
      <c r="CQ101" s="78">
        <f t="shared" si="102"/>
        <v>100</v>
      </c>
      <c r="CR101" s="79">
        <f t="shared" si="116"/>
        <v>3</v>
      </c>
      <c r="CS101" s="92">
        <f>_xlfn.XLOOKUP(C101, '[1]1-1. 관계사체무보증금액 (환율 등)'!$3:$3, '[1]1-1. 관계사체무보증금액 (환율 등)'!$33:$33)</f>
        <v>0</v>
      </c>
      <c r="CT101" s="77">
        <f t="shared" si="103"/>
        <v>0</v>
      </c>
      <c r="CU101" s="78">
        <f t="shared" si="104"/>
        <v>100</v>
      </c>
      <c r="CV101" s="79">
        <f t="shared" si="117"/>
        <v>2</v>
      </c>
      <c r="CW101" s="112">
        <f t="shared" si="105"/>
        <v>19.774536435337261</v>
      </c>
    </row>
    <row r="102" spans="1:101" x14ac:dyDescent="0.35">
      <c r="A102" s="7" t="s">
        <v>1071</v>
      </c>
      <c r="B102" s="188" t="s">
        <v>1072</v>
      </c>
      <c r="C102" s="21" t="s">
        <v>1073</v>
      </c>
      <c r="D102" s="10" t="s">
        <v>75</v>
      </c>
      <c r="E102" s="11" t="s">
        <v>114</v>
      </c>
      <c r="F102" s="11" t="s">
        <v>1074</v>
      </c>
      <c r="G102" s="12">
        <v>43378</v>
      </c>
      <c r="H102" s="11" t="s">
        <v>24</v>
      </c>
      <c r="I102" s="11" t="s">
        <v>1075</v>
      </c>
      <c r="J102" s="11" t="s">
        <v>1076</v>
      </c>
      <c r="K102" s="11" t="s">
        <v>27</v>
      </c>
      <c r="L102" s="23">
        <v>1465129429</v>
      </c>
      <c r="M102" s="14">
        <v>636127563</v>
      </c>
      <c r="N102" s="14">
        <v>829001866</v>
      </c>
      <c r="O102" s="14">
        <v>1801835090</v>
      </c>
      <c r="P102" s="14">
        <v>215165658</v>
      </c>
      <c r="Q102" s="14">
        <v>211145518</v>
      </c>
      <c r="R102" s="14">
        <v>159294293</v>
      </c>
      <c r="S102" s="15">
        <v>2836300</v>
      </c>
      <c r="T102" s="15">
        <v>36200</v>
      </c>
      <c r="U102" s="15">
        <f>1407584+221710</f>
        <v>1629294</v>
      </c>
      <c r="V102" s="15">
        <v>0</v>
      </c>
      <c r="W102" s="15">
        <f>2032*2+236+129+1+47+70+70+66</f>
        <v>4683</v>
      </c>
      <c r="X102" s="15">
        <f>76937+64877</f>
        <v>141814</v>
      </c>
      <c r="Y102" s="24" t="s">
        <v>2089</v>
      </c>
      <c r="Z102" s="15">
        <v>4538</v>
      </c>
      <c r="AA102" s="15">
        <v>0</v>
      </c>
      <c r="AB102" s="74">
        <f t="shared" si="65"/>
        <v>1780329</v>
      </c>
      <c r="AC102" s="75">
        <f t="shared" si="66"/>
        <v>62.769417903606815</v>
      </c>
      <c r="AD102" s="75">
        <f t="shared" si="67"/>
        <v>45.912470163745567</v>
      </c>
      <c r="AE102" s="76">
        <f t="shared" si="106"/>
        <v>1.3773741049123669</v>
      </c>
      <c r="AF102" s="77">
        <f t="shared" si="68"/>
        <v>58.186993321667082</v>
      </c>
      <c r="AG102" s="77">
        <f t="shared" si="69"/>
        <v>63.580907824720548</v>
      </c>
      <c r="AH102" s="77">
        <f t="shared" si="70"/>
        <v>5.3939145030534661</v>
      </c>
      <c r="AI102" s="78">
        <f t="shared" si="71"/>
        <v>100</v>
      </c>
      <c r="AJ102" s="79">
        <f t="shared" si="107"/>
        <v>4</v>
      </c>
      <c r="AK102" s="113">
        <v>6</v>
      </c>
      <c r="AL102" s="113">
        <v>13</v>
      </c>
      <c r="AM102" s="113">
        <v>1</v>
      </c>
      <c r="AN102" s="81">
        <f t="shared" si="72"/>
        <v>19</v>
      </c>
      <c r="AO102" s="82">
        <f t="shared" si="73"/>
        <v>5.2631578947368416</v>
      </c>
      <c r="AP102" s="83">
        <f t="shared" si="74"/>
        <v>100</v>
      </c>
      <c r="AQ102" s="84">
        <f t="shared" si="108"/>
        <v>2</v>
      </c>
      <c r="AR102" s="118">
        <v>2</v>
      </c>
      <c r="AS102" s="86">
        <f t="shared" si="75"/>
        <v>0.25</v>
      </c>
      <c r="AT102" s="87">
        <f t="shared" si="76"/>
        <v>1.5</v>
      </c>
      <c r="AU102" s="87">
        <f t="shared" si="77"/>
        <v>1</v>
      </c>
      <c r="AV102" s="88">
        <f t="shared" si="78"/>
        <v>16.666666666666664</v>
      </c>
      <c r="AW102" s="78">
        <f t="shared" si="79"/>
        <v>60</v>
      </c>
      <c r="AX102" s="89">
        <f t="shared" si="109"/>
        <v>0.6</v>
      </c>
      <c r="AY102" s="114">
        <v>10</v>
      </c>
      <c r="AZ102" s="114">
        <f>20-2</f>
        <v>18</v>
      </c>
      <c r="BA102" s="91">
        <f t="shared" si="80"/>
        <v>20</v>
      </c>
      <c r="BB102" s="77">
        <f t="shared" si="81"/>
        <v>90</v>
      </c>
      <c r="BC102" s="78">
        <f t="shared" si="82"/>
        <v>100</v>
      </c>
      <c r="BD102" s="79">
        <f t="shared" si="110"/>
        <v>1</v>
      </c>
      <c r="BE102" s="92">
        <v>24215000</v>
      </c>
      <c r="BF102" s="92">
        <v>1699000</v>
      </c>
      <c r="BG102" s="93">
        <v>0</v>
      </c>
      <c r="BH102" s="94">
        <f t="shared" si="83"/>
        <v>25914000</v>
      </c>
      <c r="BI102" s="77">
        <f t="shared" si="84"/>
        <v>0</v>
      </c>
      <c r="BJ102" s="95" t="str">
        <f t="shared" si="85"/>
        <v>금속/비금속/화학업</v>
      </c>
      <c r="BK102" s="96">
        <f t="shared" si="86"/>
        <v>3.9534118626990469</v>
      </c>
      <c r="BL102" s="97">
        <f t="shared" si="87"/>
        <v>-3.9534118626990469</v>
      </c>
      <c r="BM102" s="98">
        <f t="shared" si="88"/>
        <v>100</v>
      </c>
      <c r="BN102" s="99">
        <f t="shared" si="89"/>
        <v>2</v>
      </c>
      <c r="BO102" s="114">
        <v>1712000</v>
      </c>
      <c r="BP102" s="101">
        <f t="shared" si="90"/>
        <v>9.5014244616581423E-2</v>
      </c>
      <c r="BQ102" s="78">
        <f t="shared" si="91"/>
        <v>40</v>
      </c>
      <c r="BR102" s="79">
        <f t="shared" si="111"/>
        <v>0.8</v>
      </c>
      <c r="BS102" s="102">
        <v>672278.09</v>
      </c>
      <c r="BT102" s="102">
        <v>46093094.196999997</v>
      </c>
      <c r="BU102" s="103">
        <f t="shared" si="92"/>
        <v>-45420816.106999993</v>
      </c>
      <c r="BV102" s="77">
        <f t="shared" si="93"/>
        <v>-2.520808722123399</v>
      </c>
      <c r="BW102" s="96">
        <f t="shared" si="94"/>
        <v>5.1474158565187738</v>
      </c>
      <c r="BX102" s="96">
        <f t="shared" si="95"/>
        <v>58.801668188491931</v>
      </c>
      <c r="BY102" s="96">
        <f t="shared" si="96"/>
        <v>6.6930498535228535</v>
      </c>
      <c r="BZ102" s="96">
        <f t="shared" si="97"/>
        <v>87.404026648396723</v>
      </c>
      <c r="CA102" s="96">
        <f t="shared" si="98"/>
        <v>40</v>
      </c>
      <c r="CB102" s="104">
        <f t="shared" si="99"/>
        <v>0.8</v>
      </c>
      <c r="CC102" s="105">
        <f t="shared" si="112"/>
        <v>76.734153334221816</v>
      </c>
      <c r="CD102" s="106">
        <f t="shared" si="113"/>
        <v>71.456977386599817</v>
      </c>
      <c r="CE102" s="107">
        <f t="shared" si="114"/>
        <v>1.0718546607989972</v>
      </c>
      <c r="CF102" s="108" t="s">
        <v>2189</v>
      </c>
      <c r="CG102" s="108" t="s">
        <v>2189</v>
      </c>
      <c r="CH102" s="108" t="s">
        <v>2189</v>
      </c>
      <c r="CI102" s="108" t="s">
        <v>2189</v>
      </c>
      <c r="CJ102" s="109"/>
      <c r="CK102" s="116" t="s">
        <v>2207</v>
      </c>
      <c r="CL102" s="116" t="s">
        <v>2204</v>
      </c>
      <c r="CM102" s="111">
        <f t="shared" si="100"/>
        <v>70</v>
      </c>
      <c r="CN102" s="107">
        <f t="shared" si="115"/>
        <v>1.05</v>
      </c>
      <c r="CO102" s="114">
        <v>0</v>
      </c>
      <c r="CP102" s="88">
        <f t="shared" si="101"/>
        <v>0</v>
      </c>
      <c r="CQ102" s="78">
        <f t="shared" si="102"/>
        <v>100</v>
      </c>
      <c r="CR102" s="79">
        <f t="shared" si="116"/>
        <v>3</v>
      </c>
      <c r="CS102" s="92">
        <f>_xlfn.XLOOKUP(C102, '[1]1-1. 관계사체무보증금액 (환율 등)'!$3:$3, '[1]1-1. 관계사체무보증금액 (환율 등)'!$33:$33)</f>
        <v>0</v>
      </c>
      <c r="CT102" s="77">
        <f t="shared" si="103"/>
        <v>0</v>
      </c>
      <c r="CU102" s="78">
        <f t="shared" si="104"/>
        <v>100</v>
      </c>
      <c r="CV102" s="79">
        <f t="shared" si="117"/>
        <v>2</v>
      </c>
      <c r="CW102" s="112">
        <f t="shared" si="105"/>
        <v>19.699228765711368</v>
      </c>
    </row>
    <row r="103" spans="1:101" x14ac:dyDescent="0.35">
      <c r="A103" s="7" t="s">
        <v>1152</v>
      </c>
      <c r="B103" s="8" t="s">
        <v>1153</v>
      </c>
      <c r="C103" s="21" t="s">
        <v>1154</v>
      </c>
      <c r="D103" s="10" t="s">
        <v>21</v>
      </c>
      <c r="E103" s="11" t="s">
        <v>1155</v>
      </c>
      <c r="F103" s="11" t="s">
        <v>1156</v>
      </c>
      <c r="G103" s="12">
        <v>40738</v>
      </c>
      <c r="H103" s="11" t="s">
        <v>24</v>
      </c>
      <c r="I103" s="11" t="s">
        <v>1157</v>
      </c>
      <c r="J103" s="11" t="s">
        <v>1158</v>
      </c>
      <c r="K103" s="11" t="s">
        <v>27</v>
      </c>
      <c r="L103" s="23">
        <v>1134250211</v>
      </c>
      <c r="M103" s="14">
        <v>421706641</v>
      </c>
      <c r="N103" s="14">
        <v>712543570</v>
      </c>
      <c r="O103" s="14">
        <v>1430631262</v>
      </c>
      <c r="P103" s="14">
        <v>99554619</v>
      </c>
      <c r="Q103" s="14">
        <v>116211296</v>
      </c>
      <c r="R103" s="14">
        <v>89493182</v>
      </c>
      <c r="S103" s="15">
        <v>35700000</v>
      </c>
      <c r="T103" s="15">
        <v>0</v>
      </c>
      <c r="U103" s="15">
        <f>5404820+13892210</f>
        <v>19297030</v>
      </c>
      <c r="V103" s="15">
        <v>0</v>
      </c>
      <c r="W103" s="15">
        <f>990+4110+350+400</f>
        <v>5850</v>
      </c>
      <c r="X103" s="15">
        <v>0</v>
      </c>
      <c r="Z103" s="15">
        <v>0</v>
      </c>
      <c r="AA103" s="15">
        <v>0</v>
      </c>
      <c r="AB103" s="74">
        <f t="shared" si="65"/>
        <v>19302880</v>
      </c>
      <c r="AC103" s="75">
        <f t="shared" si="66"/>
        <v>54.069691876750703</v>
      </c>
      <c r="AD103" s="75">
        <f t="shared" si="67"/>
        <v>53.420864318109295</v>
      </c>
      <c r="AE103" s="76">
        <f t="shared" si="106"/>
        <v>1.6026259295432788</v>
      </c>
      <c r="AF103" s="77">
        <f t="shared" si="68"/>
        <v>54.05330532212885</v>
      </c>
      <c r="AG103" s="77">
        <f t="shared" si="69"/>
        <v>54.069691876750703</v>
      </c>
      <c r="AH103" s="77">
        <f t="shared" si="70"/>
        <v>1.6386554621853122E-2</v>
      </c>
      <c r="AI103" s="78">
        <f t="shared" si="71"/>
        <v>100</v>
      </c>
      <c r="AJ103" s="79">
        <f t="shared" si="107"/>
        <v>4</v>
      </c>
      <c r="AK103" s="113">
        <v>6</v>
      </c>
      <c r="AL103" s="113">
        <v>13</v>
      </c>
      <c r="AM103" s="113">
        <v>0</v>
      </c>
      <c r="AN103" s="81">
        <f t="shared" si="72"/>
        <v>19</v>
      </c>
      <c r="AO103" s="82">
        <f t="shared" si="73"/>
        <v>0</v>
      </c>
      <c r="AP103" s="83">
        <f t="shared" si="74"/>
        <v>100</v>
      </c>
      <c r="AQ103" s="84">
        <f t="shared" si="108"/>
        <v>2</v>
      </c>
      <c r="AR103" s="118">
        <v>3</v>
      </c>
      <c r="AS103" s="86">
        <f t="shared" si="75"/>
        <v>0.25</v>
      </c>
      <c r="AT103" s="87">
        <f t="shared" si="76"/>
        <v>1.5</v>
      </c>
      <c r="AU103" s="87">
        <f t="shared" si="77"/>
        <v>1</v>
      </c>
      <c r="AV103" s="88">
        <f t="shared" si="78"/>
        <v>33.333333333333329</v>
      </c>
      <c r="AW103" s="78">
        <f t="shared" si="79"/>
        <v>80</v>
      </c>
      <c r="AX103" s="89">
        <f t="shared" si="109"/>
        <v>0.8</v>
      </c>
      <c r="AY103" s="114">
        <v>11</v>
      </c>
      <c r="AZ103" s="114">
        <f>33-2</f>
        <v>31</v>
      </c>
      <c r="BA103" s="91">
        <f t="shared" si="80"/>
        <v>33</v>
      </c>
      <c r="BB103" s="77">
        <f t="shared" si="81"/>
        <v>93.939393939393938</v>
      </c>
      <c r="BC103" s="78">
        <f t="shared" si="82"/>
        <v>100</v>
      </c>
      <c r="BD103" s="79">
        <f t="shared" si="110"/>
        <v>1</v>
      </c>
      <c r="BE103" s="92">
        <v>98282013</v>
      </c>
      <c r="BF103" s="92">
        <v>11303545</v>
      </c>
      <c r="BG103" s="114">
        <v>360425</v>
      </c>
      <c r="BH103" s="94">
        <f t="shared" si="83"/>
        <v>109585558</v>
      </c>
      <c r="BI103" s="77">
        <f t="shared" si="84"/>
        <v>0.32889826595581145</v>
      </c>
      <c r="BJ103" s="95" t="str">
        <f t="shared" si="85"/>
        <v>비제조/서비스업</v>
      </c>
      <c r="BK103" s="96">
        <f t="shared" si="86"/>
        <v>1.7464434573900922</v>
      </c>
      <c r="BL103" s="97">
        <f t="shared" si="87"/>
        <v>-1.4175451914342807</v>
      </c>
      <c r="BM103" s="98">
        <f t="shared" si="88"/>
        <v>80</v>
      </c>
      <c r="BN103" s="99">
        <f t="shared" si="89"/>
        <v>1.6</v>
      </c>
      <c r="BO103" s="114">
        <v>3149000</v>
      </c>
      <c r="BP103" s="101">
        <f t="shared" si="90"/>
        <v>0.22011262326238748</v>
      </c>
      <c r="BQ103" s="78">
        <f t="shared" si="91"/>
        <v>55</v>
      </c>
      <c r="BR103" s="79">
        <f t="shared" si="111"/>
        <v>1.1000000000000001</v>
      </c>
      <c r="BS103" s="102">
        <v>35066457</v>
      </c>
      <c r="BT103" s="102">
        <v>8339437</v>
      </c>
      <c r="BU103" s="103">
        <f t="shared" si="92"/>
        <v>26727020</v>
      </c>
      <c r="BV103" s="77">
        <f t="shared" si="93"/>
        <v>1.8681976767819297</v>
      </c>
      <c r="BW103" s="96">
        <f t="shared" si="94"/>
        <v>2.8482825397737606</v>
      </c>
      <c r="BX103" s="96">
        <f t="shared" si="95"/>
        <v>0.96056633866571584</v>
      </c>
      <c r="BY103" s="96">
        <f t="shared" si="96"/>
        <v>5.5697595856656807</v>
      </c>
      <c r="BZ103" s="96">
        <f t="shared" si="97"/>
        <v>56.983942968608247</v>
      </c>
      <c r="CA103" s="96">
        <f t="shared" si="98"/>
        <v>55</v>
      </c>
      <c r="CB103" s="104">
        <f t="shared" si="99"/>
        <v>1.1000000000000001</v>
      </c>
      <c r="CC103" s="105">
        <f t="shared" si="112"/>
        <v>59.183277873099051</v>
      </c>
      <c r="CD103" s="106">
        <f t="shared" si="113"/>
        <v>78.071628942299355</v>
      </c>
      <c r="CE103" s="107">
        <f t="shared" si="114"/>
        <v>1.1710744341344903</v>
      </c>
      <c r="CF103" s="108" t="s">
        <v>2189</v>
      </c>
      <c r="CG103" s="108" t="s">
        <v>2189</v>
      </c>
      <c r="CH103" s="108" t="s">
        <v>2189</v>
      </c>
      <c r="CI103" s="108" t="s">
        <v>2189</v>
      </c>
      <c r="CJ103" s="109"/>
      <c r="CK103" s="116" t="s">
        <v>2206</v>
      </c>
      <c r="CL103" s="116" t="s">
        <v>2198</v>
      </c>
      <c r="CM103" s="111">
        <f t="shared" si="100"/>
        <v>100</v>
      </c>
      <c r="CN103" s="107">
        <f t="shared" si="115"/>
        <v>1.5</v>
      </c>
      <c r="CO103" s="114">
        <v>139376000</v>
      </c>
      <c r="CP103" s="88">
        <f t="shared" si="101"/>
        <v>19.560347727227402</v>
      </c>
      <c r="CQ103" s="78">
        <f t="shared" si="102"/>
        <v>60</v>
      </c>
      <c r="CR103" s="79">
        <f t="shared" si="116"/>
        <v>1.7999999999999998</v>
      </c>
      <c r="CS103" s="92">
        <f>_xlfn.XLOOKUP(C103, '[1]1-1. 관계사체무보증금액 (환율 등)'!$3:$3, '[1]1-1. 관계사체무보증금액 (환율 등)'!$33:$33)</f>
        <v>0</v>
      </c>
      <c r="CT103" s="77">
        <f t="shared" si="103"/>
        <v>0</v>
      </c>
      <c r="CU103" s="78">
        <f t="shared" si="104"/>
        <v>100</v>
      </c>
      <c r="CV103" s="79">
        <f t="shared" si="117"/>
        <v>2</v>
      </c>
      <c r="CW103" s="112">
        <f t="shared" si="105"/>
        <v>19.673700363677767</v>
      </c>
    </row>
    <row r="104" spans="1:101" x14ac:dyDescent="0.35">
      <c r="A104" s="7" t="s">
        <v>958</v>
      </c>
      <c r="B104" s="8" t="s">
        <v>959</v>
      </c>
      <c r="C104" s="21" t="s">
        <v>960</v>
      </c>
      <c r="D104" s="10" t="s">
        <v>31</v>
      </c>
      <c r="E104" s="11" t="s">
        <v>46</v>
      </c>
      <c r="F104" s="11" t="s">
        <v>961</v>
      </c>
      <c r="G104" s="12">
        <v>27575</v>
      </c>
      <c r="H104" s="11" t="s">
        <v>24</v>
      </c>
      <c r="I104" s="11" t="s">
        <v>962</v>
      </c>
      <c r="J104" s="11" t="s">
        <v>963</v>
      </c>
      <c r="K104" s="11" t="s">
        <v>27</v>
      </c>
      <c r="L104" s="23">
        <v>857127709</v>
      </c>
      <c r="M104" s="14">
        <v>439493133</v>
      </c>
      <c r="N104" s="14">
        <v>417634577</v>
      </c>
      <c r="O104" s="14">
        <v>833227370</v>
      </c>
      <c r="P104" s="14">
        <v>86234040</v>
      </c>
      <c r="Q104" s="14">
        <v>96322163</v>
      </c>
      <c r="R104" s="14">
        <v>75455528</v>
      </c>
      <c r="S104" s="15">
        <v>7533015</v>
      </c>
      <c r="T104" s="15">
        <v>74887</v>
      </c>
      <c r="U104" s="15">
        <f>2630587</f>
        <v>2630587</v>
      </c>
      <c r="V104" s="15">
        <f>325850+309+236000+20600+14500+44750+4000</f>
        <v>646009</v>
      </c>
      <c r="W104" s="15">
        <f>300+2530+28+254</f>
        <v>3112</v>
      </c>
      <c r="X104" s="15">
        <v>126630</v>
      </c>
      <c r="Y104" s="24" t="s">
        <v>2085</v>
      </c>
      <c r="Z104" s="15">
        <v>0</v>
      </c>
      <c r="AA104" s="15">
        <v>0</v>
      </c>
      <c r="AB104" s="74">
        <f t="shared" si="65"/>
        <v>3406338</v>
      </c>
      <c r="AC104" s="75">
        <f t="shared" si="66"/>
        <v>45.218786900065908</v>
      </c>
      <c r="AD104" s="75">
        <f t="shared" si="67"/>
        <v>61.059735126525403</v>
      </c>
      <c r="AE104" s="76">
        <f t="shared" si="106"/>
        <v>1.8317920537957619</v>
      </c>
      <c r="AF104" s="77">
        <f t="shared" si="68"/>
        <v>43.933222921355068</v>
      </c>
      <c r="AG104" s="77">
        <f t="shared" si="69"/>
        <v>45.672828355855515</v>
      </c>
      <c r="AH104" s="77">
        <f t="shared" si="70"/>
        <v>1.7396054345004472</v>
      </c>
      <c r="AI104" s="78">
        <f t="shared" si="71"/>
        <v>100</v>
      </c>
      <c r="AJ104" s="79">
        <f t="shared" si="107"/>
        <v>4</v>
      </c>
      <c r="AK104" s="113">
        <v>8</v>
      </c>
      <c r="AL104" s="113">
        <v>25</v>
      </c>
      <c r="AM104" s="113">
        <v>1</v>
      </c>
      <c r="AN104" s="81">
        <f t="shared" si="72"/>
        <v>33</v>
      </c>
      <c r="AO104" s="82">
        <f t="shared" si="73"/>
        <v>3.0303030303030303</v>
      </c>
      <c r="AP104" s="83">
        <f t="shared" si="74"/>
        <v>100</v>
      </c>
      <c r="AQ104" s="84">
        <f t="shared" si="108"/>
        <v>2</v>
      </c>
      <c r="AR104" s="118">
        <v>4</v>
      </c>
      <c r="AS104" s="86">
        <f t="shared" si="75"/>
        <v>0.25</v>
      </c>
      <c r="AT104" s="87">
        <f t="shared" si="76"/>
        <v>2</v>
      </c>
      <c r="AU104" s="87">
        <f t="shared" si="77"/>
        <v>2</v>
      </c>
      <c r="AV104" s="88">
        <f t="shared" si="78"/>
        <v>25</v>
      </c>
      <c r="AW104" s="78">
        <f t="shared" si="79"/>
        <v>80</v>
      </c>
      <c r="AX104" s="89">
        <f t="shared" si="109"/>
        <v>0.8</v>
      </c>
      <c r="AY104" s="114">
        <v>10</v>
      </c>
      <c r="AZ104" s="114">
        <f>40-2</f>
        <v>38</v>
      </c>
      <c r="BA104" s="91">
        <f t="shared" si="80"/>
        <v>40</v>
      </c>
      <c r="BB104" s="77">
        <f t="shared" si="81"/>
        <v>95</v>
      </c>
      <c r="BC104" s="78">
        <f t="shared" si="82"/>
        <v>100</v>
      </c>
      <c r="BD104" s="79">
        <f t="shared" si="110"/>
        <v>1</v>
      </c>
      <c r="BE104" s="92">
        <f>35556860+4380645</f>
        <v>39937505</v>
      </c>
      <c r="BF104" s="92">
        <v>3523130</v>
      </c>
      <c r="BG104" s="93">
        <v>0</v>
      </c>
      <c r="BH104" s="94">
        <f t="shared" si="83"/>
        <v>43460635</v>
      </c>
      <c r="BI104" s="77">
        <f t="shared" si="84"/>
        <v>0</v>
      </c>
      <c r="BJ104" s="95" t="str">
        <f t="shared" si="85"/>
        <v>식약/섬유/종이업</v>
      </c>
      <c r="BK104" s="96">
        <f t="shared" si="86"/>
        <v>2.1999360555264453</v>
      </c>
      <c r="BL104" s="97">
        <f t="shared" si="87"/>
        <v>-2.1999360555264453</v>
      </c>
      <c r="BM104" s="98">
        <f t="shared" si="88"/>
        <v>100</v>
      </c>
      <c r="BN104" s="99">
        <f t="shared" si="89"/>
        <v>2</v>
      </c>
      <c r="BO104" s="114">
        <v>2571000</v>
      </c>
      <c r="BP104" s="101">
        <f t="shared" si="90"/>
        <v>0.30855923515810574</v>
      </c>
      <c r="BQ104" s="78">
        <f t="shared" si="91"/>
        <v>55</v>
      </c>
      <c r="BR104" s="79">
        <f t="shared" si="111"/>
        <v>1.1000000000000001</v>
      </c>
      <c r="BS104" s="102">
        <v>84272278.888999999</v>
      </c>
      <c r="BT104" s="102">
        <f>1174848.185+2000000+1259000</f>
        <v>4433848.1850000005</v>
      </c>
      <c r="BU104" s="103">
        <f t="shared" si="92"/>
        <v>79838430.703999996</v>
      </c>
      <c r="BV104" s="77">
        <f t="shared" si="93"/>
        <v>9.5818300716645926</v>
      </c>
      <c r="BW104" s="96">
        <f t="shared" si="94"/>
        <v>5.0508176117342298</v>
      </c>
      <c r="BX104" s="96">
        <f t="shared" si="95"/>
        <v>20.530073912044198</v>
      </c>
      <c r="BY104" s="96">
        <f t="shared" si="96"/>
        <v>6.9871618081220923</v>
      </c>
      <c r="BZ104" s="96">
        <f t="shared" si="97"/>
        <v>25.833829973711751</v>
      </c>
      <c r="CA104" s="96">
        <f t="shared" si="98"/>
        <v>70</v>
      </c>
      <c r="CB104" s="104">
        <f t="shared" si="99"/>
        <v>1.4000000000000001</v>
      </c>
      <c r="CC104" s="105">
        <f t="shared" si="112"/>
        <v>105.23389518104962</v>
      </c>
      <c r="CD104" s="106">
        <f t="shared" si="113"/>
        <v>60.715868650358182</v>
      </c>
      <c r="CE104" s="107">
        <f t="shared" si="114"/>
        <v>0.91073802975537266</v>
      </c>
      <c r="CF104" s="108" t="s">
        <v>2189</v>
      </c>
      <c r="CG104" s="108" t="s">
        <v>2189</v>
      </c>
      <c r="CH104" s="108" t="s">
        <v>2189</v>
      </c>
      <c r="CI104" s="108" t="s">
        <v>2189</v>
      </c>
      <c r="CJ104" s="109"/>
      <c r="CK104" s="116" t="s">
        <v>2202</v>
      </c>
      <c r="CL104" s="116" t="s">
        <v>2196</v>
      </c>
      <c r="CM104" s="111">
        <f t="shared" si="100"/>
        <v>55</v>
      </c>
      <c r="CN104" s="107">
        <f t="shared" si="115"/>
        <v>0.82499999999999996</v>
      </c>
      <c r="CO104" s="114">
        <v>41967304</v>
      </c>
      <c r="CP104" s="88">
        <f t="shared" si="101"/>
        <v>10.048809727744358</v>
      </c>
      <c r="CQ104" s="78">
        <f t="shared" si="102"/>
        <v>60</v>
      </c>
      <c r="CR104" s="79">
        <f t="shared" si="116"/>
        <v>1.7999999999999998</v>
      </c>
      <c r="CS104" s="92">
        <f>_xlfn.XLOOKUP(C104, '[1]1-1. 관계사체무보증금액 (환율 등)'!$3:$3, '[1]1-1. 관계사체무보증금액 (환율 등)'!$33:$33)</f>
        <v>408000</v>
      </c>
      <c r="CT104" s="77">
        <f t="shared" si="103"/>
        <v>9.7693060505380527E-2</v>
      </c>
      <c r="CU104" s="78">
        <f t="shared" si="104"/>
        <v>100</v>
      </c>
      <c r="CV104" s="79">
        <f t="shared" si="117"/>
        <v>2</v>
      </c>
      <c r="CW104" s="112">
        <f t="shared" si="105"/>
        <v>19.667530083551135</v>
      </c>
    </row>
    <row r="105" spans="1:101" x14ac:dyDescent="0.35">
      <c r="A105" s="7" t="s">
        <v>636</v>
      </c>
      <c r="B105" s="8" t="s">
        <v>637</v>
      </c>
      <c r="C105" s="21" t="s">
        <v>638</v>
      </c>
      <c r="D105" s="10" t="s">
        <v>141</v>
      </c>
      <c r="E105" s="11" t="s">
        <v>639</v>
      </c>
      <c r="F105" s="11" t="s">
        <v>640</v>
      </c>
      <c r="G105" s="12">
        <v>42809</v>
      </c>
      <c r="H105" s="11" t="s">
        <v>24</v>
      </c>
      <c r="I105" s="11" t="s">
        <v>641</v>
      </c>
      <c r="J105" s="11" t="s">
        <v>642</v>
      </c>
      <c r="K105" s="11" t="s">
        <v>27</v>
      </c>
      <c r="L105" s="23">
        <v>605644843</v>
      </c>
      <c r="M105" s="14">
        <v>281549415</v>
      </c>
      <c r="N105" s="14">
        <v>324095428</v>
      </c>
      <c r="O105" s="14">
        <v>285310921</v>
      </c>
      <c r="P105" s="14">
        <v>109357470</v>
      </c>
      <c r="Q105" s="14">
        <v>87471331</v>
      </c>
      <c r="R105" s="14">
        <v>61496044</v>
      </c>
      <c r="S105" s="15">
        <v>11068830</v>
      </c>
      <c r="T105" s="15">
        <v>2444939</v>
      </c>
      <c r="U105" s="15">
        <v>1919820</v>
      </c>
      <c r="V105" s="15">
        <f>50000+40000*3</f>
        <v>170000</v>
      </c>
      <c r="W105" s="15">
        <v>4498</v>
      </c>
      <c r="X105" s="15">
        <v>0</v>
      </c>
      <c r="Z105" s="15">
        <v>0</v>
      </c>
      <c r="AA105" s="15">
        <v>0</v>
      </c>
      <c r="AB105" s="74">
        <f t="shared" si="65"/>
        <v>2094318</v>
      </c>
      <c r="AC105" s="75">
        <f t="shared" si="66"/>
        <v>18.920861554473237</v>
      </c>
      <c r="AD105" s="75">
        <f t="shared" si="67"/>
        <v>83.756448600857397</v>
      </c>
      <c r="AE105" s="76">
        <f t="shared" si="106"/>
        <v>2.5126934580257219</v>
      </c>
      <c r="AF105" s="77">
        <f t="shared" si="68"/>
        <v>24.232912962373945</v>
      </c>
      <c r="AG105" s="77">
        <f t="shared" si="69"/>
        <v>24.285070393398989</v>
      </c>
      <c r="AH105" s="77">
        <f t="shared" si="70"/>
        <v>5.2157431025044332E-2</v>
      </c>
      <c r="AI105" s="78">
        <f t="shared" si="71"/>
        <v>100</v>
      </c>
      <c r="AJ105" s="79">
        <f t="shared" si="107"/>
        <v>4</v>
      </c>
      <c r="AK105" s="113">
        <v>7</v>
      </c>
      <c r="AL105" s="113">
        <v>0</v>
      </c>
      <c r="AM105" s="113">
        <v>1</v>
      </c>
      <c r="AN105" s="81">
        <f t="shared" si="72"/>
        <v>7</v>
      </c>
      <c r="AO105" s="82">
        <f t="shared" si="73"/>
        <v>14.285714285714285</v>
      </c>
      <c r="AP105" s="83">
        <f t="shared" si="74"/>
        <v>80</v>
      </c>
      <c r="AQ105" s="84">
        <f t="shared" si="108"/>
        <v>1.6</v>
      </c>
      <c r="AR105" s="118">
        <v>4</v>
      </c>
      <c r="AS105" s="86">
        <f t="shared" si="75"/>
        <v>0.25</v>
      </c>
      <c r="AT105" s="87">
        <f t="shared" si="76"/>
        <v>1.75</v>
      </c>
      <c r="AU105" s="87">
        <f t="shared" si="77"/>
        <v>1</v>
      </c>
      <c r="AV105" s="88">
        <f t="shared" si="78"/>
        <v>42.857142857142854</v>
      </c>
      <c r="AW105" s="78">
        <f t="shared" si="79"/>
        <v>100</v>
      </c>
      <c r="AX105" s="89">
        <f t="shared" si="109"/>
        <v>1</v>
      </c>
      <c r="AY105" s="114">
        <v>25</v>
      </c>
      <c r="AZ105" s="114">
        <f>25*4-14</f>
        <v>86</v>
      </c>
      <c r="BA105" s="91">
        <f t="shared" si="80"/>
        <v>100</v>
      </c>
      <c r="BB105" s="77">
        <f t="shared" si="81"/>
        <v>86</v>
      </c>
      <c r="BC105" s="78">
        <f t="shared" si="82"/>
        <v>75</v>
      </c>
      <c r="BD105" s="79">
        <f t="shared" si="110"/>
        <v>0.75</v>
      </c>
      <c r="BE105" s="92">
        <v>24305019</v>
      </c>
      <c r="BF105" s="92">
        <v>1414829</v>
      </c>
      <c r="BG105" s="114">
        <v>987934</v>
      </c>
      <c r="BH105" s="94">
        <f t="shared" si="83"/>
        <v>25719848</v>
      </c>
      <c r="BI105" s="77">
        <f t="shared" si="84"/>
        <v>3.8411346754459825</v>
      </c>
      <c r="BJ105" s="95" t="str">
        <f t="shared" si="85"/>
        <v>전기전자/기계업</v>
      </c>
      <c r="BK105" s="96">
        <f t="shared" si="86"/>
        <v>2.4096449716116446</v>
      </c>
      <c r="BL105" s="97">
        <f t="shared" si="87"/>
        <v>1.4314897038343379</v>
      </c>
      <c r="BM105" s="98">
        <f t="shared" si="88"/>
        <v>60</v>
      </c>
      <c r="BN105" s="99">
        <f t="shared" si="89"/>
        <v>1.2</v>
      </c>
      <c r="BO105" s="114">
        <v>6005816</v>
      </c>
      <c r="BP105" s="101">
        <f t="shared" si="90"/>
        <v>2.1050073999796171</v>
      </c>
      <c r="BQ105" s="78">
        <f t="shared" si="91"/>
        <v>85</v>
      </c>
      <c r="BR105" s="79">
        <f t="shared" si="111"/>
        <v>1.7</v>
      </c>
      <c r="BS105" s="102">
        <v>39626256.405000001</v>
      </c>
      <c r="BT105" s="102">
        <v>0</v>
      </c>
      <c r="BU105" s="103">
        <f t="shared" si="92"/>
        <v>39626256.405000001</v>
      </c>
      <c r="BV105" s="77">
        <f t="shared" si="93"/>
        <v>13.888797619842952</v>
      </c>
      <c r="BW105" s="96">
        <f t="shared" si="94"/>
        <v>5.2309968128308295</v>
      </c>
      <c r="BX105" s="96">
        <f t="shared" si="95"/>
        <v>74.957514813899763</v>
      </c>
      <c r="BY105" s="96">
        <f t="shared" si="96"/>
        <v>7.0695458012309631</v>
      </c>
      <c r="BZ105" s="96">
        <f t="shared" si="97"/>
        <v>11.035138640482977</v>
      </c>
      <c r="CA105" s="96">
        <f t="shared" si="98"/>
        <v>85</v>
      </c>
      <c r="CB105" s="104">
        <f t="shared" si="99"/>
        <v>1.7</v>
      </c>
      <c r="CC105" s="105">
        <f t="shared" si="112"/>
        <v>86.872380995143189</v>
      </c>
      <c r="CD105" s="106">
        <f t="shared" si="113"/>
        <v>67.636037313388243</v>
      </c>
      <c r="CE105" s="107">
        <f t="shared" si="114"/>
        <v>1.0145405597008237</v>
      </c>
      <c r="CF105" s="108" t="s">
        <v>2189</v>
      </c>
      <c r="CG105" s="108" t="s">
        <v>2189</v>
      </c>
      <c r="CH105" s="108" t="s">
        <v>2189</v>
      </c>
      <c r="CI105" s="108" t="s">
        <v>2189</v>
      </c>
      <c r="CJ105" s="109"/>
      <c r="CK105" s="116" t="s">
        <v>2192</v>
      </c>
      <c r="CL105" s="116" t="s">
        <v>2193</v>
      </c>
      <c r="CM105" s="111">
        <f t="shared" si="100"/>
        <v>25</v>
      </c>
      <c r="CN105" s="107">
        <f t="shared" si="115"/>
        <v>0.375</v>
      </c>
      <c r="CO105" s="114">
        <v>82692484</v>
      </c>
      <c r="CP105" s="88">
        <f t="shared" si="101"/>
        <v>25.514856692146857</v>
      </c>
      <c r="CQ105" s="78">
        <f t="shared" si="102"/>
        <v>60</v>
      </c>
      <c r="CR105" s="79">
        <f t="shared" si="116"/>
        <v>1.7999999999999998</v>
      </c>
      <c r="CS105" s="92">
        <f>_xlfn.XLOOKUP(C105, '[1]1-1. 관계사체무보증금액 (환율 등)'!$3:$3, '[1]1-1. 관계사체무보증금액 (환율 등)'!$33:$33)</f>
        <v>688989.94074686512</v>
      </c>
      <c r="CT105" s="77">
        <f t="shared" si="103"/>
        <v>0.21258860237512053</v>
      </c>
      <c r="CU105" s="78">
        <f t="shared" si="104"/>
        <v>100</v>
      </c>
      <c r="CV105" s="79">
        <f t="shared" si="117"/>
        <v>2</v>
      </c>
      <c r="CW105" s="112">
        <f t="shared" si="105"/>
        <v>19.652234017726546</v>
      </c>
    </row>
    <row r="106" spans="1:101" x14ac:dyDescent="0.35">
      <c r="A106" s="7" t="s">
        <v>43</v>
      </c>
      <c r="B106" s="8" t="s">
        <v>44</v>
      </c>
      <c r="C106" s="21" t="s">
        <v>45</v>
      </c>
      <c r="D106" s="10" t="s">
        <v>31</v>
      </c>
      <c r="E106" s="11" t="s">
        <v>46</v>
      </c>
      <c r="F106" s="11" t="s">
        <v>47</v>
      </c>
      <c r="G106" s="12">
        <v>32473</v>
      </c>
      <c r="H106" s="11" t="s">
        <v>24</v>
      </c>
      <c r="I106" s="11" t="s">
        <v>48</v>
      </c>
      <c r="J106" s="11" t="s">
        <v>49</v>
      </c>
      <c r="K106" s="11" t="s">
        <v>50</v>
      </c>
      <c r="L106" s="23">
        <v>143409087</v>
      </c>
      <c r="M106" s="14">
        <v>67719807</v>
      </c>
      <c r="N106" s="14">
        <v>75689279</v>
      </c>
      <c r="O106" s="14">
        <v>152701472</v>
      </c>
      <c r="P106" s="14">
        <v>4135028</v>
      </c>
      <c r="Q106" s="14">
        <v>6675009</v>
      </c>
      <c r="R106" s="14">
        <v>7419861</v>
      </c>
      <c r="S106" s="15">
        <f>35931*1000</f>
        <v>35931000</v>
      </c>
      <c r="T106" s="15">
        <v>0</v>
      </c>
      <c r="U106" s="15">
        <f>16714*1000</f>
        <v>16714000</v>
      </c>
      <c r="V106" s="15">
        <v>0</v>
      </c>
      <c r="W106" s="15">
        <v>0</v>
      </c>
      <c r="X106" s="15">
        <v>0</v>
      </c>
      <c r="Z106" s="15">
        <v>0</v>
      </c>
      <c r="AA106" s="15">
        <v>0</v>
      </c>
      <c r="AB106" s="74">
        <f t="shared" si="65"/>
        <v>16714000</v>
      </c>
      <c r="AC106" s="75">
        <f t="shared" si="66"/>
        <v>46.516935236981993</v>
      </c>
      <c r="AD106" s="75">
        <f t="shared" si="67"/>
        <v>59.939353938162846</v>
      </c>
      <c r="AE106" s="76">
        <f t="shared" si="106"/>
        <v>1.7981806181448854</v>
      </c>
      <c r="AF106" s="77">
        <f t="shared" si="68"/>
        <v>46.516935236981993</v>
      </c>
      <c r="AG106" s="77">
        <f t="shared" si="69"/>
        <v>46.516935236981993</v>
      </c>
      <c r="AH106" s="77">
        <f t="shared" si="70"/>
        <v>0</v>
      </c>
      <c r="AI106" s="78">
        <f t="shared" si="71"/>
        <v>100</v>
      </c>
      <c r="AJ106" s="79">
        <f t="shared" si="107"/>
        <v>4</v>
      </c>
      <c r="AK106" s="113">
        <v>4</v>
      </c>
      <c r="AL106" s="113">
        <v>1</v>
      </c>
      <c r="AM106" s="113">
        <v>0</v>
      </c>
      <c r="AN106" s="81">
        <f t="shared" si="72"/>
        <v>5</v>
      </c>
      <c r="AO106" s="82">
        <f t="shared" si="73"/>
        <v>0</v>
      </c>
      <c r="AP106" s="83">
        <f t="shared" si="74"/>
        <v>100</v>
      </c>
      <c r="AQ106" s="84">
        <f t="shared" si="108"/>
        <v>2</v>
      </c>
      <c r="AR106" s="118">
        <v>1</v>
      </c>
      <c r="AS106" s="86">
        <f t="shared" si="75"/>
        <v>0.25</v>
      </c>
      <c r="AT106" s="87">
        <f t="shared" si="76"/>
        <v>1</v>
      </c>
      <c r="AU106" s="87">
        <f t="shared" si="77"/>
        <v>1</v>
      </c>
      <c r="AV106" s="88">
        <f t="shared" si="78"/>
        <v>0</v>
      </c>
      <c r="AW106" s="78">
        <f t="shared" si="79"/>
        <v>40</v>
      </c>
      <c r="AX106" s="89">
        <f t="shared" si="109"/>
        <v>0.4</v>
      </c>
      <c r="AY106" s="114">
        <v>13</v>
      </c>
      <c r="AZ106" s="114">
        <v>13</v>
      </c>
      <c r="BA106" s="91">
        <f t="shared" si="80"/>
        <v>13</v>
      </c>
      <c r="BB106" s="77">
        <f t="shared" si="81"/>
        <v>100</v>
      </c>
      <c r="BC106" s="78">
        <f t="shared" si="82"/>
        <v>100</v>
      </c>
      <c r="BD106" s="79">
        <f t="shared" si="110"/>
        <v>1</v>
      </c>
      <c r="BE106" s="92">
        <v>4489654</v>
      </c>
      <c r="BF106" s="92">
        <v>404120</v>
      </c>
      <c r="BG106" s="93">
        <v>0</v>
      </c>
      <c r="BH106" s="94">
        <f t="shared" si="83"/>
        <v>4893774</v>
      </c>
      <c r="BI106" s="77">
        <f t="shared" si="84"/>
        <v>0</v>
      </c>
      <c r="BJ106" s="95" t="str">
        <f t="shared" si="85"/>
        <v>식약/섬유/종이업</v>
      </c>
      <c r="BK106" s="96">
        <f t="shared" si="86"/>
        <v>2.1999360555264453</v>
      </c>
      <c r="BL106" s="97">
        <f t="shared" si="87"/>
        <v>-2.1999360555264453</v>
      </c>
      <c r="BM106" s="98">
        <f t="shared" si="88"/>
        <v>100</v>
      </c>
      <c r="BN106" s="99">
        <f t="shared" si="89"/>
        <v>2</v>
      </c>
      <c r="BO106" s="114">
        <v>141974</v>
      </c>
      <c r="BP106" s="101">
        <f t="shared" si="90"/>
        <v>9.297487322191629E-2</v>
      </c>
      <c r="BQ106" s="78">
        <f t="shared" si="91"/>
        <v>40</v>
      </c>
      <c r="BR106" s="79">
        <f t="shared" si="111"/>
        <v>0.8</v>
      </c>
      <c r="BS106" s="102">
        <v>2249706.98</v>
      </c>
      <c r="BT106" s="102">
        <v>262842</v>
      </c>
      <c r="BU106" s="103">
        <f t="shared" si="92"/>
        <v>1986864.98</v>
      </c>
      <c r="BV106" s="77">
        <f t="shared" si="93"/>
        <v>1.3011433052852299</v>
      </c>
      <c r="BW106" s="96">
        <f t="shared" si="94"/>
        <v>5.0508176117342298</v>
      </c>
      <c r="BX106" s="96">
        <f t="shared" si="95"/>
        <v>14.060057404443791</v>
      </c>
      <c r="BY106" s="96">
        <f t="shared" si="96"/>
        <v>6.9871618081220923</v>
      </c>
      <c r="BZ106" s="96">
        <f t="shared" si="97"/>
        <v>70.424598848782622</v>
      </c>
      <c r="CA106" s="96">
        <f t="shared" si="98"/>
        <v>40</v>
      </c>
      <c r="CB106" s="104">
        <f t="shared" si="99"/>
        <v>0.8</v>
      </c>
      <c r="CC106" s="105">
        <f t="shared" si="112"/>
        <v>89.470804709343312</v>
      </c>
      <c r="CD106" s="106">
        <f t="shared" si="113"/>
        <v>66.656731893463586</v>
      </c>
      <c r="CE106" s="107">
        <f t="shared" si="114"/>
        <v>0.9998509784019538</v>
      </c>
      <c r="CF106" s="108" t="s">
        <v>2189</v>
      </c>
      <c r="CG106" s="108" t="s">
        <v>2189</v>
      </c>
      <c r="CH106" s="108" t="s">
        <v>2189</v>
      </c>
      <c r="CI106" s="108" t="s">
        <v>2189</v>
      </c>
      <c r="CJ106" s="109"/>
      <c r="CK106" s="116" t="s">
        <v>2195</v>
      </c>
      <c r="CL106" s="116" t="s">
        <v>2196</v>
      </c>
      <c r="CM106" s="111">
        <f t="shared" si="100"/>
        <v>55</v>
      </c>
      <c r="CN106" s="107">
        <f t="shared" si="115"/>
        <v>0.82499999999999996</v>
      </c>
      <c r="CO106" s="114">
        <v>0</v>
      </c>
      <c r="CP106" s="88">
        <f t="shared" si="101"/>
        <v>0</v>
      </c>
      <c r="CQ106" s="78">
        <f t="shared" si="102"/>
        <v>100</v>
      </c>
      <c r="CR106" s="79">
        <f t="shared" si="116"/>
        <v>3</v>
      </c>
      <c r="CS106" s="92">
        <f>_xlfn.XLOOKUP(C106, '[1]1-1. 관계사체무보증금액 (환율 등)'!$3:$3, '[1]1-1. 관계사체무보증금액 (환율 등)'!$33:$33)</f>
        <v>0</v>
      </c>
      <c r="CT106" s="77">
        <f t="shared" si="103"/>
        <v>0</v>
      </c>
      <c r="CU106" s="78">
        <f t="shared" si="104"/>
        <v>100</v>
      </c>
      <c r="CV106" s="79">
        <f t="shared" si="117"/>
        <v>2</v>
      </c>
      <c r="CW106" s="112">
        <f t="shared" si="105"/>
        <v>19.623031596546838</v>
      </c>
    </row>
    <row r="107" spans="1:101" x14ac:dyDescent="0.35">
      <c r="A107" s="7" t="s">
        <v>1425</v>
      </c>
      <c r="B107" s="8" t="s">
        <v>1426</v>
      </c>
      <c r="C107" s="21" t="s">
        <v>1427</v>
      </c>
      <c r="D107" s="10" t="s">
        <v>141</v>
      </c>
      <c r="E107" s="11" t="s">
        <v>369</v>
      </c>
      <c r="F107" s="11">
        <v>0</v>
      </c>
      <c r="G107" s="12">
        <v>39661</v>
      </c>
      <c r="H107" s="11" t="s">
        <v>24</v>
      </c>
      <c r="I107" s="11" t="s">
        <v>1428</v>
      </c>
      <c r="J107" s="8" t="s">
        <v>1429</v>
      </c>
      <c r="K107" s="11" t="s">
        <v>50</v>
      </c>
      <c r="L107" s="23">
        <v>818333453</v>
      </c>
      <c r="M107" s="14">
        <v>480040681</v>
      </c>
      <c r="N107" s="14">
        <v>338292772</v>
      </c>
      <c r="O107" s="14">
        <v>1132474477</v>
      </c>
      <c r="P107" s="14">
        <v>29176389</v>
      </c>
      <c r="Q107" s="14">
        <v>25221767</v>
      </c>
      <c r="R107" s="14">
        <v>22259261</v>
      </c>
      <c r="S107" s="15">
        <v>37080390</v>
      </c>
      <c r="T107" s="15">
        <v>8121</v>
      </c>
      <c r="U107" s="15">
        <f>21123411</f>
        <v>21123411</v>
      </c>
      <c r="V107" s="15">
        <v>0</v>
      </c>
      <c r="W107" s="15">
        <f>287246+10000</f>
        <v>297246</v>
      </c>
      <c r="X107" s="15">
        <v>96981</v>
      </c>
      <c r="Y107" s="24" t="s">
        <v>2103</v>
      </c>
      <c r="Z107" s="15">
        <v>640839</v>
      </c>
      <c r="AA107" s="15">
        <v>0</v>
      </c>
      <c r="AB107" s="74">
        <f t="shared" si="65"/>
        <v>22158477</v>
      </c>
      <c r="AC107" s="75">
        <f t="shared" si="66"/>
        <v>59.757939439148288</v>
      </c>
      <c r="AD107" s="75">
        <f t="shared" si="67"/>
        <v>48.51155974757053</v>
      </c>
      <c r="AE107" s="76">
        <f t="shared" si="106"/>
        <v>1.455346792427116</v>
      </c>
      <c r="AF107" s="77">
        <f t="shared" si="68"/>
        <v>56.979007678218998</v>
      </c>
      <c r="AG107" s="77">
        <f t="shared" si="69"/>
        <v>59.771029930754985</v>
      </c>
      <c r="AH107" s="77">
        <f t="shared" si="70"/>
        <v>2.7920222525359861</v>
      </c>
      <c r="AI107" s="78">
        <f t="shared" si="71"/>
        <v>100</v>
      </c>
      <c r="AJ107" s="79">
        <f t="shared" si="107"/>
        <v>4</v>
      </c>
      <c r="AK107" s="113">
        <v>5</v>
      </c>
      <c r="AL107" s="113">
        <v>11</v>
      </c>
      <c r="AM107" s="113">
        <v>1</v>
      </c>
      <c r="AN107" s="81">
        <f t="shared" si="72"/>
        <v>16</v>
      </c>
      <c r="AO107" s="82">
        <f t="shared" si="73"/>
        <v>6.25</v>
      </c>
      <c r="AP107" s="83">
        <f t="shared" si="74"/>
        <v>100</v>
      </c>
      <c r="AQ107" s="84">
        <f t="shared" si="108"/>
        <v>2</v>
      </c>
      <c r="AR107" s="118">
        <v>1</v>
      </c>
      <c r="AS107" s="86">
        <f t="shared" si="75"/>
        <v>0.25</v>
      </c>
      <c r="AT107" s="87">
        <f t="shared" si="76"/>
        <v>1.25</v>
      </c>
      <c r="AU107" s="87">
        <f t="shared" si="77"/>
        <v>1</v>
      </c>
      <c r="AV107" s="88">
        <f t="shared" si="78"/>
        <v>0</v>
      </c>
      <c r="AW107" s="78">
        <f t="shared" si="79"/>
        <v>40</v>
      </c>
      <c r="AX107" s="89">
        <f t="shared" si="109"/>
        <v>0.4</v>
      </c>
      <c r="AY107" s="114">
        <v>25</v>
      </c>
      <c r="AZ107" s="114">
        <v>25</v>
      </c>
      <c r="BA107" s="91">
        <f t="shared" si="80"/>
        <v>25</v>
      </c>
      <c r="BB107" s="77">
        <f t="shared" si="81"/>
        <v>100</v>
      </c>
      <c r="BC107" s="78">
        <f t="shared" si="82"/>
        <v>100</v>
      </c>
      <c r="BD107" s="79">
        <f t="shared" si="110"/>
        <v>1</v>
      </c>
      <c r="BE107" s="92">
        <v>15399331</v>
      </c>
      <c r="BF107" s="92">
        <v>912985</v>
      </c>
      <c r="BG107" s="93">
        <v>0</v>
      </c>
      <c r="BH107" s="94">
        <f t="shared" si="83"/>
        <v>16312316</v>
      </c>
      <c r="BI107" s="77">
        <f t="shared" si="84"/>
        <v>0</v>
      </c>
      <c r="BJ107" s="95" t="str">
        <f t="shared" si="85"/>
        <v>전기전자/기계업</v>
      </c>
      <c r="BK107" s="96">
        <f t="shared" si="86"/>
        <v>2.4096449716116446</v>
      </c>
      <c r="BL107" s="97">
        <f t="shared" si="87"/>
        <v>-2.4096449716116446</v>
      </c>
      <c r="BM107" s="98">
        <f t="shared" si="88"/>
        <v>100</v>
      </c>
      <c r="BN107" s="99">
        <f t="shared" si="89"/>
        <v>2</v>
      </c>
      <c r="BO107" s="114">
        <v>8187000</v>
      </c>
      <c r="BP107" s="101">
        <f t="shared" si="90"/>
        <v>0.72293019986533436</v>
      </c>
      <c r="BQ107" s="78">
        <f t="shared" si="91"/>
        <v>70</v>
      </c>
      <c r="BR107" s="79">
        <f t="shared" si="111"/>
        <v>1.4000000000000001</v>
      </c>
      <c r="BS107" s="102">
        <v>24915592.521000002</v>
      </c>
      <c r="BT107" s="102">
        <v>2533288.8659999999</v>
      </c>
      <c r="BU107" s="103">
        <f t="shared" si="92"/>
        <v>22382303.655000001</v>
      </c>
      <c r="BV107" s="77">
        <f t="shared" si="93"/>
        <v>1.9764068956584531</v>
      </c>
      <c r="BW107" s="96">
        <f t="shared" si="94"/>
        <v>5.2309968128308295</v>
      </c>
      <c r="BX107" s="96">
        <f t="shared" si="95"/>
        <v>10.592355528960097</v>
      </c>
      <c r="BY107" s="96">
        <f t="shared" si="96"/>
        <v>7.0695458012309631</v>
      </c>
      <c r="BZ107" s="96">
        <f t="shared" si="97"/>
        <v>67.737381090578936</v>
      </c>
      <c r="CA107" s="96">
        <f t="shared" si="98"/>
        <v>40</v>
      </c>
      <c r="CB107" s="104">
        <f t="shared" si="99"/>
        <v>0.8</v>
      </c>
      <c r="CC107" s="105">
        <f t="shared" si="112"/>
        <v>141.90095702074296</v>
      </c>
      <c r="CD107" s="106">
        <f t="shared" si="113"/>
        <v>46.896624238413459</v>
      </c>
      <c r="CE107" s="107">
        <f t="shared" si="114"/>
        <v>0.7034493635762018</v>
      </c>
      <c r="CF107" s="108" t="s">
        <v>2189</v>
      </c>
      <c r="CG107" s="108" t="s">
        <v>2189</v>
      </c>
      <c r="CH107" s="108" t="s">
        <v>2189</v>
      </c>
      <c r="CI107" s="108" t="s">
        <v>2189</v>
      </c>
      <c r="CJ107" s="109"/>
      <c r="CK107" s="116" t="s">
        <v>2195</v>
      </c>
      <c r="CL107" s="116" t="s">
        <v>2196</v>
      </c>
      <c r="CM107" s="111">
        <f t="shared" si="100"/>
        <v>55</v>
      </c>
      <c r="CN107" s="107">
        <f t="shared" si="115"/>
        <v>0.82499999999999996</v>
      </c>
      <c r="CO107" s="114">
        <v>0</v>
      </c>
      <c r="CP107" s="88">
        <f t="shared" si="101"/>
        <v>0</v>
      </c>
      <c r="CQ107" s="78">
        <f t="shared" si="102"/>
        <v>100</v>
      </c>
      <c r="CR107" s="79">
        <f t="shared" si="116"/>
        <v>3</v>
      </c>
      <c r="CS107" s="92">
        <f>_xlfn.XLOOKUP(C107, '[1]1-1. 관계사체무보증금액 (환율 등)'!$3:$3, '[1]1-1. 관계사체무보증금액 (환율 등)'!$33:$33)</f>
        <v>0</v>
      </c>
      <c r="CT107" s="77">
        <f t="shared" si="103"/>
        <v>0</v>
      </c>
      <c r="CU107" s="78">
        <f t="shared" si="104"/>
        <v>100</v>
      </c>
      <c r="CV107" s="79">
        <f t="shared" si="117"/>
        <v>2</v>
      </c>
      <c r="CW107" s="112">
        <f t="shared" si="105"/>
        <v>19.583796156003316</v>
      </c>
    </row>
    <row r="108" spans="1:101" x14ac:dyDescent="0.35">
      <c r="A108" s="7" t="s">
        <v>656</v>
      </c>
      <c r="B108" s="8" t="s">
        <v>657</v>
      </c>
      <c r="C108" s="21" t="s">
        <v>658</v>
      </c>
      <c r="D108" s="10" t="s">
        <v>75</v>
      </c>
      <c r="E108" s="11" t="s">
        <v>383</v>
      </c>
      <c r="F108" s="11" t="s">
        <v>659</v>
      </c>
      <c r="G108" s="12">
        <v>28305</v>
      </c>
      <c r="H108" s="11" t="s">
        <v>24</v>
      </c>
      <c r="I108" s="11" t="s">
        <v>660</v>
      </c>
      <c r="J108" s="11" t="s">
        <v>661</v>
      </c>
      <c r="K108" s="11" t="s">
        <v>27</v>
      </c>
      <c r="L108" s="23">
        <v>215451170</v>
      </c>
      <c r="M108" s="14">
        <v>65681714</v>
      </c>
      <c r="N108" s="14">
        <v>149769456</v>
      </c>
      <c r="O108" s="14">
        <v>146246080</v>
      </c>
      <c r="P108" s="14">
        <v>9308222</v>
      </c>
      <c r="Q108" s="14">
        <v>8741705</v>
      </c>
      <c r="R108" s="14">
        <v>6752046</v>
      </c>
      <c r="S108" s="15">
        <v>13617577</v>
      </c>
      <c r="T108" s="15">
        <v>1211886</v>
      </c>
      <c r="U108" s="15">
        <v>2547250</v>
      </c>
      <c r="V108" s="15">
        <f>1531495+579430</f>
        <v>2110925</v>
      </c>
      <c r="W108" s="15">
        <f>7174+1531+4977+67+3809</f>
        <v>17558</v>
      </c>
      <c r="X108" s="15">
        <v>0</v>
      </c>
      <c r="Z108" s="15">
        <v>0</v>
      </c>
      <c r="AA108" s="15">
        <v>0</v>
      </c>
      <c r="AB108" s="74">
        <f t="shared" si="65"/>
        <v>4675733</v>
      </c>
      <c r="AC108" s="75">
        <f t="shared" si="66"/>
        <v>34.336012933872155</v>
      </c>
      <c r="AD108" s="75">
        <f t="shared" si="67"/>
        <v>70.452232795852581</v>
      </c>
      <c r="AE108" s="76">
        <f t="shared" si="106"/>
        <v>2.1135669838755775</v>
      </c>
      <c r="AF108" s="77">
        <f t="shared" si="68"/>
        <v>37.548694385504199</v>
      </c>
      <c r="AG108" s="77">
        <f t="shared" si="69"/>
        <v>37.690226203441632</v>
      </c>
      <c r="AH108" s="77">
        <f t="shared" si="70"/>
        <v>0.14153181793743386</v>
      </c>
      <c r="AI108" s="78">
        <f t="shared" si="71"/>
        <v>100</v>
      </c>
      <c r="AJ108" s="79">
        <f t="shared" si="107"/>
        <v>4</v>
      </c>
      <c r="AK108" s="113">
        <v>6</v>
      </c>
      <c r="AL108" s="113">
        <v>7</v>
      </c>
      <c r="AM108" s="113">
        <v>2</v>
      </c>
      <c r="AN108" s="81">
        <f t="shared" si="72"/>
        <v>13</v>
      </c>
      <c r="AO108" s="82">
        <f t="shared" si="73"/>
        <v>15.384615384615385</v>
      </c>
      <c r="AP108" s="83">
        <f t="shared" si="74"/>
        <v>80</v>
      </c>
      <c r="AQ108" s="84">
        <f t="shared" si="108"/>
        <v>1.6</v>
      </c>
      <c r="AR108" s="118">
        <v>2</v>
      </c>
      <c r="AS108" s="86">
        <f t="shared" si="75"/>
        <v>0.25</v>
      </c>
      <c r="AT108" s="87">
        <f t="shared" si="76"/>
        <v>1.5</v>
      </c>
      <c r="AU108" s="87">
        <f t="shared" si="77"/>
        <v>1</v>
      </c>
      <c r="AV108" s="88">
        <f t="shared" si="78"/>
        <v>16.666666666666664</v>
      </c>
      <c r="AW108" s="78">
        <f t="shared" si="79"/>
        <v>60</v>
      </c>
      <c r="AX108" s="89">
        <f t="shared" si="109"/>
        <v>0.6</v>
      </c>
      <c r="AY108" s="114">
        <v>8</v>
      </c>
      <c r="AZ108" s="114">
        <v>16</v>
      </c>
      <c r="BA108" s="91">
        <f t="shared" si="80"/>
        <v>16</v>
      </c>
      <c r="BB108" s="77">
        <f t="shared" si="81"/>
        <v>100</v>
      </c>
      <c r="BC108" s="78">
        <f t="shared" si="82"/>
        <v>100</v>
      </c>
      <c r="BD108" s="79">
        <f t="shared" si="110"/>
        <v>1</v>
      </c>
      <c r="BE108" s="92">
        <v>13620420</v>
      </c>
      <c r="BF108" s="92">
        <v>1124088</v>
      </c>
      <c r="BG108" s="114">
        <v>1296050</v>
      </c>
      <c r="BH108" s="94">
        <f t="shared" si="83"/>
        <v>14744508</v>
      </c>
      <c r="BI108" s="77">
        <f t="shared" si="84"/>
        <v>8.7900525402407457</v>
      </c>
      <c r="BJ108" s="95" t="str">
        <f t="shared" si="85"/>
        <v>금속/비금속/화학업</v>
      </c>
      <c r="BK108" s="96">
        <f t="shared" si="86"/>
        <v>3.9534118626990469</v>
      </c>
      <c r="BL108" s="97">
        <f t="shared" si="87"/>
        <v>4.8366406775416984</v>
      </c>
      <c r="BM108" s="98">
        <f t="shared" si="88"/>
        <v>40</v>
      </c>
      <c r="BN108" s="99">
        <f t="shared" si="89"/>
        <v>0.8</v>
      </c>
      <c r="BO108" s="114">
        <f>(4256245308-124169475)/1000</f>
        <v>4132075.8330000001</v>
      </c>
      <c r="BP108" s="101">
        <f t="shared" si="90"/>
        <v>2.8254267280189667</v>
      </c>
      <c r="BQ108" s="78">
        <f t="shared" si="91"/>
        <v>85</v>
      </c>
      <c r="BR108" s="79">
        <f t="shared" si="111"/>
        <v>1.7</v>
      </c>
      <c r="BS108" s="102">
        <v>7001114</v>
      </c>
      <c r="BT108" s="102">
        <v>1063941</v>
      </c>
      <c r="BU108" s="103">
        <f t="shared" si="92"/>
        <v>5937173</v>
      </c>
      <c r="BV108" s="77">
        <f t="shared" si="93"/>
        <v>4.0597142843076552</v>
      </c>
      <c r="BW108" s="96">
        <f t="shared" si="94"/>
        <v>5.1474158565187738</v>
      </c>
      <c r="BX108" s="96">
        <f t="shared" si="95"/>
        <v>1.1830947101905391</v>
      </c>
      <c r="BY108" s="96">
        <f t="shared" si="96"/>
        <v>6.6930498535228535</v>
      </c>
      <c r="BZ108" s="96">
        <f t="shared" si="97"/>
        <v>56.454869886784365</v>
      </c>
      <c r="CA108" s="96">
        <f t="shared" si="98"/>
        <v>55</v>
      </c>
      <c r="CB108" s="104">
        <f t="shared" si="99"/>
        <v>1.1000000000000001</v>
      </c>
      <c r="CC108" s="105">
        <f t="shared" si="112"/>
        <v>43.855213041569705</v>
      </c>
      <c r="CD108" s="106">
        <f t="shared" si="113"/>
        <v>83.848537798403385</v>
      </c>
      <c r="CE108" s="107">
        <f t="shared" si="114"/>
        <v>1.2577280669760507</v>
      </c>
      <c r="CF108" s="108" t="s">
        <v>2189</v>
      </c>
      <c r="CG108" s="108" t="s">
        <v>2189</v>
      </c>
      <c r="CH108" s="108" t="s">
        <v>2189</v>
      </c>
      <c r="CI108" s="108" t="s">
        <v>2189</v>
      </c>
      <c r="CJ108" s="109"/>
      <c r="CK108" s="116" t="s">
        <v>2192</v>
      </c>
      <c r="CL108" s="116" t="s">
        <v>2193</v>
      </c>
      <c r="CM108" s="111">
        <f t="shared" si="100"/>
        <v>25</v>
      </c>
      <c r="CN108" s="107">
        <f t="shared" si="115"/>
        <v>0.375</v>
      </c>
      <c r="CO108" s="114">
        <v>566000</v>
      </c>
      <c r="CP108" s="88">
        <f t="shared" si="101"/>
        <v>0.3779141722995909</v>
      </c>
      <c r="CQ108" s="78">
        <f t="shared" si="102"/>
        <v>100</v>
      </c>
      <c r="CR108" s="79">
        <f t="shared" si="116"/>
        <v>3</v>
      </c>
      <c r="CS108" s="92">
        <f>_xlfn.XLOOKUP(C108, '[1]1-1. 관계사체무보증금액 (환율 등)'!$3:$3, '[1]1-1. 관계사체무보증금액 (환율 등)'!$33:$33)</f>
        <v>0</v>
      </c>
      <c r="CT108" s="77">
        <f t="shared" si="103"/>
        <v>0</v>
      </c>
      <c r="CU108" s="78">
        <f t="shared" si="104"/>
        <v>100</v>
      </c>
      <c r="CV108" s="79">
        <f t="shared" si="117"/>
        <v>2</v>
      </c>
      <c r="CW108" s="112">
        <f t="shared" si="105"/>
        <v>19.546295050851626</v>
      </c>
    </row>
    <row r="109" spans="1:101" x14ac:dyDescent="0.35">
      <c r="A109" s="7" t="s">
        <v>88</v>
      </c>
      <c r="B109" s="8" t="s">
        <v>89</v>
      </c>
      <c r="C109" s="21" t="s">
        <v>90</v>
      </c>
      <c r="D109" s="22" t="s">
        <v>21</v>
      </c>
      <c r="E109" s="11" t="s">
        <v>91</v>
      </c>
      <c r="F109" s="11" t="s">
        <v>92</v>
      </c>
      <c r="G109" s="12">
        <v>44221</v>
      </c>
      <c r="H109" s="11" t="s">
        <v>24</v>
      </c>
      <c r="I109" s="11" t="s">
        <v>93</v>
      </c>
      <c r="J109" s="8" t="s">
        <v>94</v>
      </c>
      <c r="K109" s="11" t="s">
        <v>27</v>
      </c>
      <c r="L109" s="23">
        <v>6952036110</v>
      </c>
      <c r="M109" s="14">
        <v>3038424778</v>
      </c>
      <c r="N109" s="14">
        <v>3913611332</v>
      </c>
      <c r="O109" s="14">
        <v>5275660012</v>
      </c>
      <c r="P109" s="14">
        <v>402580787</v>
      </c>
      <c r="Q109" s="14">
        <v>469747452</v>
      </c>
      <c r="R109" s="14">
        <v>310207542</v>
      </c>
      <c r="S109" s="15">
        <v>38693623</v>
      </c>
      <c r="T109" s="15">
        <v>670930</v>
      </c>
      <c r="U109" s="15">
        <v>8957128</v>
      </c>
      <c r="V109" s="15">
        <f>13802+32264+24168+54</f>
        <v>70288</v>
      </c>
      <c r="W109" s="15">
        <v>0</v>
      </c>
      <c r="X109" s="15">
        <v>488884</v>
      </c>
      <c r="Y109" s="24" t="s">
        <v>2052</v>
      </c>
      <c r="Z109" s="15">
        <v>0</v>
      </c>
      <c r="AA109" s="15">
        <v>0</v>
      </c>
      <c r="AB109" s="74">
        <f t="shared" si="65"/>
        <v>9516300</v>
      </c>
      <c r="AC109" s="75">
        <f t="shared" si="66"/>
        <v>24.59397508473166</v>
      </c>
      <c r="AD109" s="75">
        <f t="shared" si="67"/>
        <v>78.860205623073938</v>
      </c>
      <c r="AE109" s="76">
        <f t="shared" si="106"/>
        <v>2.365806168692218</v>
      </c>
      <c r="AF109" s="77">
        <f t="shared" si="68"/>
        <v>23.742179440051761</v>
      </c>
      <c r="AG109" s="77">
        <f t="shared" si="69"/>
        <v>25.027948441211144</v>
      </c>
      <c r="AH109" s="77">
        <f t="shared" si="70"/>
        <v>1.2857690011593839</v>
      </c>
      <c r="AI109" s="78">
        <f t="shared" si="71"/>
        <v>100</v>
      </c>
      <c r="AJ109" s="79">
        <f t="shared" si="107"/>
        <v>4</v>
      </c>
      <c r="AK109" s="113">
        <v>6</v>
      </c>
      <c r="AL109" s="113">
        <v>63</v>
      </c>
      <c r="AM109" s="80">
        <v>1</v>
      </c>
      <c r="AN109" s="81">
        <f t="shared" si="72"/>
        <v>69</v>
      </c>
      <c r="AO109" s="82">
        <f t="shared" si="73"/>
        <v>1.4492753623188406</v>
      </c>
      <c r="AP109" s="83">
        <f t="shared" si="74"/>
        <v>100</v>
      </c>
      <c r="AQ109" s="84">
        <f t="shared" si="108"/>
        <v>2</v>
      </c>
      <c r="AR109" s="118">
        <v>4</v>
      </c>
      <c r="AS109" s="86">
        <f t="shared" si="75"/>
        <v>0.5</v>
      </c>
      <c r="AT109" s="87">
        <f t="shared" si="76"/>
        <v>3</v>
      </c>
      <c r="AU109" s="87">
        <f t="shared" si="77"/>
        <v>3</v>
      </c>
      <c r="AV109" s="88">
        <f t="shared" si="78"/>
        <v>16.666666666666664</v>
      </c>
      <c r="AW109" s="78">
        <f t="shared" si="79"/>
        <v>60</v>
      </c>
      <c r="AX109" s="89">
        <f t="shared" si="109"/>
        <v>0.6</v>
      </c>
      <c r="AY109" s="114">
        <v>9</v>
      </c>
      <c r="AZ109" s="114">
        <f>7*4+3*2</f>
        <v>34</v>
      </c>
      <c r="BA109" s="91">
        <f t="shared" si="80"/>
        <v>36</v>
      </c>
      <c r="BB109" s="77">
        <f t="shared" si="81"/>
        <v>94.444444444444443</v>
      </c>
      <c r="BC109" s="78">
        <f t="shared" si="82"/>
        <v>100</v>
      </c>
      <c r="BD109" s="79">
        <f t="shared" si="110"/>
        <v>1</v>
      </c>
      <c r="BE109" s="92">
        <v>452654000</v>
      </c>
      <c r="BF109" s="92">
        <v>35841000</v>
      </c>
      <c r="BG109" s="93">
        <v>0</v>
      </c>
      <c r="BH109" s="94">
        <f t="shared" si="83"/>
        <v>488495000</v>
      </c>
      <c r="BI109" s="77">
        <f t="shared" si="84"/>
        <v>0</v>
      </c>
      <c r="BJ109" s="95" t="str">
        <f t="shared" si="85"/>
        <v>비제조/서비스업</v>
      </c>
      <c r="BK109" s="96">
        <f t="shared" si="86"/>
        <v>1.7464434573900922</v>
      </c>
      <c r="BL109" s="97">
        <f t="shared" si="87"/>
        <v>-1.7464434573900922</v>
      </c>
      <c r="BM109" s="98">
        <f t="shared" si="88"/>
        <v>80</v>
      </c>
      <c r="BN109" s="99">
        <f t="shared" si="89"/>
        <v>1.6</v>
      </c>
      <c r="BO109" s="114">
        <f>54558000-44000</f>
        <v>54514000</v>
      </c>
      <c r="BP109" s="101">
        <f t="shared" si="90"/>
        <v>1.0333114695792114</v>
      </c>
      <c r="BQ109" s="78">
        <f t="shared" si="91"/>
        <v>70</v>
      </c>
      <c r="BR109" s="79">
        <f t="shared" si="111"/>
        <v>1.4000000000000001</v>
      </c>
      <c r="BS109" s="102">
        <v>2146909.04</v>
      </c>
      <c r="BT109" s="102">
        <v>173026.47399999999</v>
      </c>
      <c r="BU109" s="103">
        <f t="shared" si="92"/>
        <v>1973882.5660000001</v>
      </c>
      <c r="BV109" s="77">
        <f t="shared" si="93"/>
        <v>3.7414893331075408E-2</v>
      </c>
      <c r="BW109" s="96">
        <f t="shared" si="94"/>
        <v>2.8482825397737606</v>
      </c>
      <c r="BX109" s="96">
        <f t="shared" si="95"/>
        <v>7.9009769258182398</v>
      </c>
      <c r="BY109" s="96">
        <f t="shared" si="96"/>
        <v>5.5697595856656807</v>
      </c>
      <c r="BZ109" s="96">
        <f t="shared" si="97"/>
        <v>69.310323672421887</v>
      </c>
      <c r="CA109" s="96">
        <f t="shared" si="98"/>
        <v>40</v>
      </c>
      <c r="CB109" s="104">
        <f t="shared" si="99"/>
        <v>0.8</v>
      </c>
      <c r="CC109" s="105">
        <f t="shared" si="112"/>
        <v>77.637366622383851</v>
      </c>
      <c r="CD109" s="106">
        <f t="shared" si="113"/>
        <v>71.116570368448293</v>
      </c>
      <c r="CE109" s="107">
        <f t="shared" si="114"/>
        <v>1.0667485555267244</v>
      </c>
      <c r="CF109" s="108" t="s">
        <v>2189</v>
      </c>
      <c r="CG109" s="108" t="s">
        <v>2189</v>
      </c>
      <c r="CH109" s="108" t="s">
        <v>2189</v>
      </c>
      <c r="CI109" s="108" t="s">
        <v>2189</v>
      </c>
      <c r="CJ109" s="109"/>
      <c r="CK109" s="116" t="s">
        <v>2206</v>
      </c>
      <c r="CL109" s="116" t="s">
        <v>2198</v>
      </c>
      <c r="CM109" s="111">
        <f t="shared" si="100"/>
        <v>100</v>
      </c>
      <c r="CN109" s="107">
        <f t="shared" si="115"/>
        <v>1.5</v>
      </c>
      <c r="CO109" s="114">
        <f>244409000+5437000+38383000+4527000+20068000+20000000</f>
        <v>332824000</v>
      </c>
      <c r="CP109" s="88">
        <f t="shared" si="101"/>
        <v>8.5042680983324583</v>
      </c>
      <c r="CQ109" s="78">
        <f t="shared" si="102"/>
        <v>80</v>
      </c>
      <c r="CR109" s="79">
        <f t="shared" si="116"/>
        <v>2.4</v>
      </c>
      <c r="CS109" s="92">
        <f>_xlfn.XLOOKUP(C109, '[1]1-1. 관계사체무보증금액 (환율 등)'!$3:$3, '[1]1-1. 관계사체무보증금액 (환율 등)'!$33:$33)</f>
        <v>1846030379.7468352</v>
      </c>
      <c r="CT109" s="77">
        <f t="shared" si="103"/>
        <v>47.169486776895795</v>
      </c>
      <c r="CU109" s="78">
        <f t="shared" si="104"/>
        <v>40</v>
      </c>
      <c r="CV109" s="79">
        <f t="shared" si="117"/>
        <v>0.8</v>
      </c>
      <c r="CW109" s="112">
        <f t="shared" si="105"/>
        <v>19.532554724218944</v>
      </c>
    </row>
    <row r="110" spans="1:101" x14ac:dyDescent="0.35">
      <c r="A110" s="7" t="s">
        <v>1608</v>
      </c>
      <c r="B110" s="8" t="s">
        <v>1609</v>
      </c>
      <c r="C110" s="21" t="s">
        <v>1610</v>
      </c>
      <c r="D110" s="10" t="s">
        <v>31</v>
      </c>
      <c r="E110" s="11" t="s">
        <v>46</v>
      </c>
      <c r="F110" s="11" t="s">
        <v>1611</v>
      </c>
      <c r="G110" s="12">
        <v>42836</v>
      </c>
      <c r="H110" s="11" t="s">
        <v>24</v>
      </c>
      <c r="I110" s="11" t="s">
        <v>1612</v>
      </c>
      <c r="J110" s="11" t="s">
        <v>1613</v>
      </c>
      <c r="K110" s="11" t="s">
        <v>27</v>
      </c>
      <c r="L110" s="23">
        <v>330163311</v>
      </c>
      <c r="M110" s="14">
        <v>137897080</v>
      </c>
      <c r="N110" s="14">
        <v>192266231</v>
      </c>
      <c r="O110" s="14">
        <v>413638465</v>
      </c>
      <c r="P110" s="14">
        <v>17588318</v>
      </c>
      <c r="Q110" s="14">
        <v>36589302</v>
      </c>
      <c r="R110" s="14">
        <v>27057204</v>
      </c>
      <c r="S110" s="15">
        <v>12523850</v>
      </c>
      <c r="T110" s="15">
        <v>507681</v>
      </c>
      <c r="U110" s="15">
        <f>4947385+39446</f>
        <v>4986831</v>
      </c>
      <c r="V110" s="15">
        <f>2536915+4674+195890</f>
        <v>2737479</v>
      </c>
      <c r="W110" s="15">
        <v>5235</v>
      </c>
      <c r="X110" s="15">
        <v>0</v>
      </c>
      <c r="Z110" s="15">
        <v>8924</v>
      </c>
      <c r="AA110" s="15">
        <v>0</v>
      </c>
      <c r="AB110" s="74">
        <f t="shared" si="65"/>
        <v>7738469</v>
      </c>
      <c r="AC110" s="75">
        <f t="shared" si="66"/>
        <v>61.789856952933796</v>
      </c>
      <c r="AD110" s="75">
        <f t="shared" si="67"/>
        <v>46.75789100724932</v>
      </c>
      <c r="AE110" s="76">
        <f t="shared" si="106"/>
        <v>1.4027367302174796</v>
      </c>
      <c r="AF110" s="77">
        <f t="shared" si="68"/>
        <v>64.282634506888186</v>
      </c>
      <c r="AG110" s="77">
        <f t="shared" si="69"/>
        <v>64.400467403546003</v>
      </c>
      <c r="AH110" s="77">
        <f t="shared" si="70"/>
        <v>0.11783289665781638</v>
      </c>
      <c r="AI110" s="78">
        <f t="shared" si="71"/>
        <v>100</v>
      </c>
      <c r="AJ110" s="79">
        <f t="shared" si="107"/>
        <v>4</v>
      </c>
      <c r="AK110" s="113">
        <v>5</v>
      </c>
      <c r="AL110" s="113">
        <v>2</v>
      </c>
      <c r="AM110" s="113">
        <v>1</v>
      </c>
      <c r="AN110" s="81">
        <f t="shared" si="72"/>
        <v>7</v>
      </c>
      <c r="AO110" s="82">
        <f t="shared" si="73"/>
        <v>14.285714285714285</v>
      </c>
      <c r="AP110" s="83">
        <f t="shared" si="74"/>
        <v>80</v>
      </c>
      <c r="AQ110" s="84">
        <f t="shared" si="108"/>
        <v>1.6</v>
      </c>
      <c r="AR110" s="118">
        <v>1</v>
      </c>
      <c r="AS110" s="86">
        <f t="shared" si="75"/>
        <v>0.25</v>
      </c>
      <c r="AT110" s="87">
        <f t="shared" si="76"/>
        <v>1.25</v>
      </c>
      <c r="AU110" s="87">
        <f t="shared" si="77"/>
        <v>1</v>
      </c>
      <c r="AV110" s="88">
        <f t="shared" si="78"/>
        <v>0</v>
      </c>
      <c r="AW110" s="78">
        <f t="shared" si="79"/>
        <v>40</v>
      </c>
      <c r="AX110" s="89">
        <f t="shared" si="109"/>
        <v>0.4</v>
      </c>
      <c r="AY110" s="114">
        <v>8</v>
      </c>
      <c r="AZ110" s="114">
        <v>8</v>
      </c>
      <c r="BA110" s="91">
        <f t="shared" si="80"/>
        <v>8</v>
      </c>
      <c r="BB110" s="77">
        <f t="shared" si="81"/>
        <v>100</v>
      </c>
      <c r="BC110" s="78">
        <f t="shared" si="82"/>
        <v>100</v>
      </c>
      <c r="BD110" s="79">
        <f t="shared" si="110"/>
        <v>1</v>
      </c>
      <c r="BE110" s="92">
        <v>27536184</v>
      </c>
      <c r="BF110" s="92">
        <v>2967982</v>
      </c>
      <c r="BG110" s="93">
        <v>0</v>
      </c>
      <c r="BH110" s="94">
        <f t="shared" si="83"/>
        <v>30504166</v>
      </c>
      <c r="BI110" s="77">
        <f t="shared" si="84"/>
        <v>0</v>
      </c>
      <c r="BJ110" s="95" t="str">
        <f t="shared" si="85"/>
        <v>식약/섬유/종이업</v>
      </c>
      <c r="BK110" s="96">
        <f t="shared" si="86"/>
        <v>2.1999360555264453</v>
      </c>
      <c r="BL110" s="97">
        <f t="shared" si="87"/>
        <v>-2.1999360555264453</v>
      </c>
      <c r="BM110" s="98">
        <f t="shared" si="88"/>
        <v>100</v>
      </c>
      <c r="BN110" s="99">
        <f t="shared" si="89"/>
        <v>2</v>
      </c>
      <c r="BO110" s="114">
        <v>2433547</v>
      </c>
      <c r="BP110" s="101">
        <f t="shared" si="90"/>
        <v>0.58832705512530126</v>
      </c>
      <c r="BQ110" s="78">
        <f t="shared" si="91"/>
        <v>70</v>
      </c>
      <c r="BR110" s="79">
        <f t="shared" si="111"/>
        <v>1.4000000000000001</v>
      </c>
      <c r="BS110" s="102">
        <v>7069101.6919999998</v>
      </c>
      <c r="BT110" s="102">
        <v>76872.501000000004</v>
      </c>
      <c r="BU110" s="103">
        <f t="shared" si="92"/>
        <v>6992229.1909999996</v>
      </c>
      <c r="BV110" s="77">
        <f t="shared" si="93"/>
        <v>1.6904204474794189</v>
      </c>
      <c r="BW110" s="96">
        <f t="shared" si="94"/>
        <v>5.0508176117342298</v>
      </c>
      <c r="BX110" s="96">
        <f t="shared" si="95"/>
        <v>11.292269101531774</v>
      </c>
      <c r="BY110" s="96">
        <f t="shared" si="96"/>
        <v>6.9871618081220923</v>
      </c>
      <c r="BZ110" s="96">
        <f t="shared" si="97"/>
        <v>68.471999957905965</v>
      </c>
      <c r="CA110" s="96">
        <f t="shared" si="98"/>
        <v>40</v>
      </c>
      <c r="CB110" s="104">
        <f t="shared" si="99"/>
        <v>0.8</v>
      </c>
      <c r="CC110" s="105">
        <f t="shared" si="112"/>
        <v>71.721944765225061</v>
      </c>
      <c r="CD110" s="106">
        <f t="shared" si="113"/>
        <v>73.34600071662372</v>
      </c>
      <c r="CE110" s="107">
        <f t="shared" si="114"/>
        <v>1.1001900107493559</v>
      </c>
      <c r="CF110" s="108" t="s">
        <v>2189</v>
      </c>
      <c r="CG110" s="108" t="s">
        <v>2189</v>
      </c>
      <c r="CH110" s="108" t="s">
        <v>2189</v>
      </c>
      <c r="CI110" s="108" t="s">
        <v>2189</v>
      </c>
      <c r="CJ110" s="109"/>
      <c r="CK110" s="116" t="s">
        <v>2202</v>
      </c>
      <c r="CL110" s="116" t="s">
        <v>2196</v>
      </c>
      <c r="CM110" s="111">
        <f t="shared" si="100"/>
        <v>55</v>
      </c>
      <c r="CN110" s="107">
        <f t="shared" si="115"/>
        <v>0.82499999999999996</v>
      </c>
      <c r="CO110" s="114">
        <v>0</v>
      </c>
      <c r="CP110" s="88">
        <f t="shared" si="101"/>
        <v>0</v>
      </c>
      <c r="CQ110" s="78">
        <f t="shared" si="102"/>
        <v>100</v>
      </c>
      <c r="CR110" s="79">
        <f t="shared" si="116"/>
        <v>3</v>
      </c>
      <c r="CS110" s="92">
        <f>_xlfn.XLOOKUP(C110, '[1]1-1. 관계사체무보증금액 (환율 등)'!$3:$3, '[1]1-1. 관계사체무보증금액 (환율 등)'!$33:$33)</f>
        <v>0</v>
      </c>
      <c r="CT110" s="77">
        <f t="shared" si="103"/>
        <v>0</v>
      </c>
      <c r="CU110" s="78">
        <f t="shared" si="104"/>
        <v>100</v>
      </c>
      <c r="CV110" s="79">
        <f t="shared" si="117"/>
        <v>2</v>
      </c>
      <c r="CW110" s="112">
        <f t="shared" si="105"/>
        <v>19.527926740966837</v>
      </c>
    </row>
    <row r="111" spans="1:101" x14ac:dyDescent="0.35">
      <c r="A111" s="7" t="s">
        <v>1983</v>
      </c>
      <c r="B111" s="8" t="s">
        <v>1984</v>
      </c>
      <c r="C111" s="21" t="s">
        <v>1985</v>
      </c>
      <c r="D111" s="10" t="s">
        <v>21</v>
      </c>
      <c r="E111" s="11" t="s">
        <v>83</v>
      </c>
      <c r="F111" s="11" t="s">
        <v>1986</v>
      </c>
      <c r="G111" s="12">
        <v>32415</v>
      </c>
      <c r="H111" s="11" t="s">
        <v>24</v>
      </c>
      <c r="I111" s="11" t="s">
        <v>1987</v>
      </c>
      <c r="J111" s="11" t="s">
        <v>1988</v>
      </c>
      <c r="K111" s="11" t="s">
        <v>536</v>
      </c>
      <c r="L111" s="23">
        <v>564413385</v>
      </c>
      <c r="M111" s="14">
        <v>200073929</v>
      </c>
      <c r="N111" s="14">
        <v>364339456</v>
      </c>
      <c r="O111" s="14">
        <v>645826449</v>
      </c>
      <c r="P111" s="14">
        <v>23890019</v>
      </c>
      <c r="Q111" s="14">
        <v>40898213</v>
      </c>
      <c r="R111" s="14">
        <v>31433619</v>
      </c>
      <c r="S111" s="15">
        <v>10150000</v>
      </c>
      <c r="T111" s="15">
        <v>1001468</v>
      </c>
      <c r="U111" s="15">
        <v>1162418</v>
      </c>
      <c r="V111" s="15">
        <f>4303315-U111-X111-W111-Z111</f>
        <v>2300637</v>
      </c>
      <c r="W111" s="15">
        <v>15296</v>
      </c>
      <c r="X111" s="15">
        <v>393014</v>
      </c>
      <c r="Y111" s="24" t="s">
        <v>2123</v>
      </c>
      <c r="Z111" s="15">
        <f>33769+398181</f>
        <v>431950</v>
      </c>
      <c r="AA111" s="15">
        <v>130257</v>
      </c>
      <c r="AB111" s="74">
        <f t="shared" si="65"/>
        <v>4303315</v>
      </c>
      <c r="AC111" s="75">
        <f t="shared" si="66"/>
        <v>42.397192118226599</v>
      </c>
      <c r="AD111" s="75">
        <f t="shared" si="67"/>
        <v>63.494943511311909</v>
      </c>
      <c r="AE111" s="76">
        <f t="shared" si="106"/>
        <v>1.9048483053393572</v>
      </c>
      <c r="AF111" s="77">
        <f t="shared" si="68"/>
        <v>38.40041471345684</v>
      </c>
      <c r="AG111" s="77">
        <f t="shared" si="69"/>
        <v>46.27335050217475</v>
      </c>
      <c r="AH111" s="77">
        <f t="shared" si="70"/>
        <v>7.8729357887179106</v>
      </c>
      <c r="AI111" s="78">
        <f t="shared" si="71"/>
        <v>100</v>
      </c>
      <c r="AJ111" s="79">
        <f t="shared" si="107"/>
        <v>4</v>
      </c>
      <c r="AK111" s="113">
        <v>7</v>
      </c>
      <c r="AL111" s="113">
        <v>7</v>
      </c>
      <c r="AM111" s="113">
        <v>1</v>
      </c>
      <c r="AN111" s="81">
        <f t="shared" si="72"/>
        <v>14</v>
      </c>
      <c r="AO111" s="82">
        <f t="shared" si="73"/>
        <v>7.1428571428571423</v>
      </c>
      <c r="AP111" s="83">
        <f t="shared" si="74"/>
        <v>100</v>
      </c>
      <c r="AQ111" s="84">
        <f t="shared" si="108"/>
        <v>2</v>
      </c>
      <c r="AR111" s="118">
        <v>5</v>
      </c>
      <c r="AS111" s="86">
        <f t="shared" si="75"/>
        <v>0.25</v>
      </c>
      <c r="AT111" s="87">
        <f t="shared" si="76"/>
        <v>1.75</v>
      </c>
      <c r="AU111" s="87">
        <f t="shared" si="77"/>
        <v>1</v>
      </c>
      <c r="AV111" s="88">
        <f t="shared" si="78"/>
        <v>57.142857142857139</v>
      </c>
      <c r="AW111" s="78">
        <f t="shared" si="79"/>
        <v>100</v>
      </c>
      <c r="AX111" s="89">
        <f t="shared" si="109"/>
        <v>1</v>
      </c>
      <c r="AY111" s="114">
        <v>13</v>
      </c>
      <c r="AZ111" s="114">
        <f>(3*5-1)+5*8-8</f>
        <v>46</v>
      </c>
      <c r="BA111" s="91">
        <f t="shared" si="80"/>
        <v>65</v>
      </c>
      <c r="BB111" s="77">
        <f t="shared" si="81"/>
        <v>70.769230769230774</v>
      </c>
      <c r="BC111" s="78">
        <f t="shared" si="82"/>
        <v>50</v>
      </c>
      <c r="BD111" s="79">
        <f t="shared" si="110"/>
        <v>0.5</v>
      </c>
      <c r="BE111" s="92">
        <v>11729300</v>
      </c>
      <c r="BF111" s="92">
        <v>1036112</v>
      </c>
      <c r="BG111" s="114">
        <v>289788</v>
      </c>
      <c r="BH111" s="94">
        <f t="shared" si="83"/>
        <v>12765412</v>
      </c>
      <c r="BI111" s="77">
        <f t="shared" si="84"/>
        <v>2.270102993933921</v>
      </c>
      <c r="BJ111" s="95" t="str">
        <f t="shared" si="85"/>
        <v>비제조/서비스업</v>
      </c>
      <c r="BK111" s="96">
        <f t="shared" si="86"/>
        <v>1.7464434573900922</v>
      </c>
      <c r="BL111" s="97">
        <f t="shared" si="87"/>
        <v>0.5236595365438288</v>
      </c>
      <c r="BM111" s="98">
        <f t="shared" si="88"/>
        <v>60</v>
      </c>
      <c r="BN111" s="99">
        <f t="shared" si="89"/>
        <v>1.2</v>
      </c>
      <c r="BO111" s="114">
        <v>1489007</v>
      </c>
      <c r="BP111" s="101">
        <f t="shared" si="90"/>
        <v>0.23055838024373015</v>
      </c>
      <c r="BQ111" s="78">
        <f t="shared" si="91"/>
        <v>55</v>
      </c>
      <c r="BR111" s="79">
        <f t="shared" si="111"/>
        <v>1.1000000000000001</v>
      </c>
      <c r="BS111" s="102">
        <v>5522396.4689999996</v>
      </c>
      <c r="BT111" s="102">
        <v>485638.27299999999</v>
      </c>
      <c r="BU111" s="103">
        <f t="shared" si="92"/>
        <v>5036758.1959999995</v>
      </c>
      <c r="BV111" s="77">
        <f t="shared" si="93"/>
        <v>0.77989345338812532</v>
      </c>
      <c r="BW111" s="96">
        <f t="shared" si="94"/>
        <v>2.8482825397737606</v>
      </c>
      <c r="BX111" s="96">
        <f t="shared" si="95"/>
        <v>4.278233412679203</v>
      </c>
      <c r="BY111" s="96">
        <f t="shared" si="96"/>
        <v>5.5697595856656807</v>
      </c>
      <c r="BZ111" s="96">
        <f t="shared" si="97"/>
        <v>64.481550460631624</v>
      </c>
      <c r="CA111" s="96">
        <f t="shared" si="98"/>
        <v>40</v>
      </c>
      <c r="CB111" s="104">
        <f t="shared" si="99"/>
        <v>0.8</v>
      </c>
      <c r="CC111" s="105">
        <f t="shared" si="112"/>
        <v>54.914153739088853</v>
      </c>
      <c r="CD111" s="106">
        <f t="shared" si="113"/>
        <v>79.680595324464008</v>
      </c>
      <c r="CE111" s="107">
        <f t="shared" si="114"/>
        <v>1.1952089298669601</v>
      </c>
      <c r="CF111" s="108" t="s">
        <v>2189</v>
      </c>
      <c r="CG111" s="108" t="s">
        <v>2189</v>
      </c>
      <c r="CH111" s="108" t="s">
        <v>2189</v>
      </c>
      <c r="CI111" s="108" t="s">
        <v>2189</v>
      </c>
      <c r="CJ111" s="109"/>
      <c r="CK111" s="116" t="s">
        <v>2244</v>
      </c>
      <c r="CL111" s="116" t="s">
        <v>2196</v>
      </c>
      <c r="CM111" s="111">
        <f t="shared" si="100"/>
        <v>55</v>
      </c>
      <c r="CN111" s="107">
        <f t="shared" si="115"/>
        <v>0.82499999999999996</v>
      </c>
      <c r="CO111" s="114">
        <v>0</v>
      </c>
      <c r="CP111" s="88">
        <f t="shared" si="101"/>
        <v>0</v>
      </c>
      <c r="CQ111" s="78">
        <f t="shared" si="102"/>
        <v>100</v>
      </c>
      <c r="CR111" s="79">
        <f t="shared" si="116"/>
        <v>3</v>
      </c>
      <c r="CS111" s="92">
        <f>_xlfn.XLOOKUP(C111, '[1]1-1. 관계사체무보증금액 (환율 등)'!$3:$3, '[1]1-1. 관계사체무보증금액 (환율 등)'!$33:$33)</f>
        <v>0</v>
      </c>
      <c r="CT111" s="77">
        <f t="shared" si="103"/>
        <v>0</v>
      </c>
      <c r="CU111" s="78">
        <f t="shared" si="104"/>
        <v>100</v>
      </c>
      <c r="CV111" s="79">
        <f t="shared" si="117"/>
        <v>2</v>
      </c>
      <c r="CW111" s="112">
        <f t="shared" si="105"/>
        <v>19.525057235206315</v>
      </c>
    </row>
    <row r="112" spans="1:101" x14ac:dyDescent="0.35">
      <c r="A112" s="7" t="s">
        <v>1881</v>
      </c>
      <c r="B112" s="8" t="s">
        <v>1882</v>
      </c>
      <c r="C112" s="21" t="s">
        <v>1883</v>
      </c>
      <c r="D112" s="22" t="s">
        <v>21</v>
      </c>
      <c r="E112" s="11" t="s">
        <v>39</v>
      </c>
      <c r="F112" s="11" t="s">
        <v>1884</v>
      </c>
      <c r="G112" s="12">
        <v>27253</v>
      </c>
      <c r="H112" s="11" t="s">
        <v>24</v>
      </c>
      <c r="I112" s="11" t="s">
        <v>1885</v>
      </c>
      <c r="J112" s="11" t="s">
        <v>1886</v>
      </c>
      <c r="K112" s="11" t="s">
        <v>27</v>
      </c>
      <c r="L112" s="23">
        <v>3024613663</v>
      </c>
      <c r="M112" s="14">
        <v>1557554254</v>
      </c>
      <c r="N112" s="14">
        <v>1467059409</v>
      </c>
      <c r="O112" s="14">
        <v>2424482980</v>
      </c>
      <c r="P112" s="14">
        <v>27380412</v>
      </c>
      <c r="Q112" s="14">
        <v>6360460</v>
      </c>
      <c r="R112" s="14">
        <v>12168775</v>
      </c>
      <c r="S112" s="15">
        <v>14947628</v>
      </c>
      <c r="T112" s="15">
        <v>478401</v>
      </c>
      <c r="U112" s="15">
        <f>3611095+4794</f>
        <v>3615889</v>
      </c>
      <c r="V112" s="15">
        <f>4000+4809</f>
        <v>8809</v>
      </c>
      <c r="W112" s="15">
        <f>3000+510+100+1427+1000+939+239+300+100+1710</f>
        <v>9325</v>
      </c>
      <c r="X112" s="15">
        <v>475124</v>
      </c>
      <c r="Y112" s="24" t="s">
        <v>2120</v>
      </c>
      <c r="Z112" s="15">
        <v>0</v>
      </c>
      <c r="AA112" s="15">
        <v>0</v>
      </c>
      <c r="AB112" s="74">
        <f t="shared" si="65"/>
        <v>4109147</v>
      </c>
      <c r="AC112" s="75">
        <f t="shared" si="66"/>
        <v>27.4902947812188</v>
      </c>
      <c r="AD112" s="75">
        <f t="shared" si="67"/>
        <v>76.360505079500456</v>
      </c>
      <c r="AE112" s="76">
        <f t="shared" si="106"/>
        <v>2.2908151523850138</v>
      </c>
      <c r="AF112" s="77">
        <f t="shared" si="68"/>
        <v>25.051082549192159</v>
      </c>
      <c r="AG112" s="77">
        <f t="shared" si="69"/>
        <v>28.399215797775511</v>
      </c>
      <c r="AH112" s="77">
        <f t="shared" si="70"/>
        <v>3.3481332485833519</v>
      </c>
      <c r="AI112" s="78">
        <f t="shared" si="71"/>
        <v>100</v>
      </c>
      <c r="AJ112" s="79">
        <f t="shared" si="107"/>
        <v>4</v>
      </c>
      <c r="AK112" s="113">
        <v>8</v>
      </c>
      <c r="AL112" s="113">
        <v>20</v>
      </c>
      <c r="AM112" s="113">
        <v>1</v>
      </c>
      <c r="AN112" s="81">
        <f t="shared" si="72"/>
        <v>28</v>
      </c>
      <c r="AO112" s="82">
        <f t="shared" si="73"/>
        <v>3.5714285714285712</v>
      </c>
      <c r="AP112" s="83">
        <f t="shared" si="74"/>
        <v>100</v>
      </c>
      <c r="AQ112" s="84">
        <f t="shared" si="108"/>
        <v>2</v>
      </c>
      <c r="AR112" s="118">
        <v>5</v>
      </c>
      <c r="AS112" s="86">
        <f t="shared" si="75"/>
        <v>0.5</v>
      </c>
      <c r="AT112" s="87">
        <f t="shared" si="76"/>
        <v>4</v>
      </c>
      <c r="AU112" s="87">
        <f t="shared" si="77"/>
        <v>4</v>
      </c>
      <c r="AV112" s="88">
        <f t="shared" si="78"/>
        <v>12.5</v>
      </c>
      <c r="AW112" s="78">
        <f t="shared" si="79"/>
        <v>60</v>
      </c>
      <c r="AX112" s="89">
        <f t="shared" si="109"/>
        <v>0.6</v>
      </c>
      <c r="AY112" s="114">
        <v>10</v>
      </c>
      <c r="AZ112" s="114">
        <f>50-2</f>
        <v>48</v>
      </c>
      <c r="BA112" s="91">
        <f t="shared" si="80"/>
        <v>50</v>
      </c>
      <c r="BB112" s="77">
        <f t="shared" si="81"/>
        <v>96</v>
      </c>
      <c r="BC112" s="78">
        <f t="shared" si="82"/>
        <v>100</v>
      </c>
      <c r="BD112" s="79">
        <f t="shared" si="110"/>
        <v>1</v>
      </c>
      <c r="BE112" s="92">
        <v>20016000</v>
      </c>
      <c r="BF112" s="92">
        <v>1928000</v>
      </c>
      <c r="BG112" s="114">
        <v>294000</v>
      </c>
      <c r="BH112" s="94">
        <f t="shared" si="83"/>
        <v>21944000</v>
      </c>
      <c r="BI112" s="77">
        <f t="shared" si="84"/>
        <v>1.3397739701057236</v>
      </c>
      <c r="BJ112" s="95" t="str">
        <f t="shared" si="85"/>
        <v>비제조/서비스업</v>
      </c>
      <c r="BK112" s="96">
        <f t="shared" si="86"/>
        <v>1.7464434573900922</v>
      </c>
      <c r="BL112" s="97">
        <f t="shared" si="87"/>
        <v>-0.40666948728436858</v>
      </c>
      <c r="BM112" s="98">
        <f t="shared" si="88"/>
        <v>80</v>
      </c>
      <c r="BN112" s="99">
        <f t="shared" si="89"/>
        <v>1.6</v>
      </c>
      <c r="BO112" s="114">
        <v>0</v>
      </c>
      <c r="BP112" s="101">
        <f t="shared" si="90"/>
        <v>0</v>
      </c>
      <c r="BQ112" s="78">
        <f t="shared" si="91"/>
        <v>25</v>
      </c>
      <c r="BR112" s="79">
        <f t="shared" si="111"/>
        <v>0.5</v>
      </c>
      <c r="BS112" s="102">
        <v>203382117.579</v>
      </c>
      <c r="BT112" s="102">
        <v>473624.902</v>
      </c>
      <c r="BU112" s="103">
        <f t="shared" si="92"/>
        <v>202908492.67699999</v>
      </c>
      <c r="BV112" s="77">
        <f t="shared" si="93"/>
        <v>8.3691448589587534</v>
      </c>
      <c r="BW112" s="96">
        <f t="shared" si="94"/>
        <v>2.8482825397737606</v>
      </c>
      <c r="BX112" s="96">
        <f t="shared" si="95"/>
        <v>30.479920747396694</v>
      </c>
      <c r="BY112" s="96">
        <f t="shared" si="96"/>
        <v>5.5697595856656807</v>
      </c>
      <c r="BZ112" s="96">
        <f t="shared" si="97"/>
        <v>16.078885445635848</v>
      </c>
      <c r="CA112" s="96">
        <f t="shared" si="98"/>
        <v>70</v>
      </c>
      <c r="CB112" s="104">
        <f t="shared" si="99"/>
        <v>1.4000000000000001</v>
      </c>
      <c r="CC112" s="105">
        <f t="shared" si="112"/>
        <v>106.1684512873057</v>
      </c>
      <c r="CD112" s="106">
        <f t="shared" si="113"/>
        <v>60.363649012321972</v>
      </c>
      <c r="CE112" s="107">
        <f t="shared" si="114"/>
        <v>0.90545473518482955</v>
      </c>
      <c r="CF112" s="108" t="s">
        <v>2189</v>
      </c>
      <c r="CG112" s="108" t="s">
        <v>2189</v>
      </c>
      <c r="CH112" s="108" t="s">
        <v>2189</v>
      </c>
      <c r="CI112" s="108" t="s">
        <v>2189</v>
      </c>
      <c r="CJ112" s="109"/>
      <c r="CK112" s="116" t="s">
        <v>2208</v>
      </c>
      <c r="CL112" s="116" t="s">
        <v>2209</v>
      </c>
      <c r="CM112" s="111">
        <f t="shared" si="100"/>
        <v>40</v>
      </c>
      <c r="CN112" s="107">
        <f t="shared" si="115"/>
        <v>0.6</v>
      </c>
      <c r="CO112" s="114">
        <f>419269</f>
        <v>419269</v>
      </c>
      <c r="CP112" s="88">
        <f t="shared" si="101"/>
        <v>2.8578869909964225E-2</v>
      </c>
      <c r="CQ112" s="78">
        <f t="shared" si="102"/>
        <v>100</v>
      </c>
      <c r="CR112" s="79">
        <f t="shared" si="116"/>
        <v>3</v>
      </c>
      <c r="CS112" s="92">
        <f>_xlfn.XLOOKUP(C112, '[1]1-1. 관계사체무보증금액 (환율 등)'!$3:$3, '[1]1-1. 관계사체무보증금액 (환율 등)'!$33:$33)</f>
        <v>63410000</v>
      </c>
      <c r="CT112" s="77">
        <f t="shared" si="103"/>
        <v>4.3222516832649962</v>
      </c>
      <c r="CU112" s="78">
        <f t="shared" si="104"/>
        <v>80</v>
      </c>
      <c r="CV112" s="79">
        <f t="shared" si="117"/>
        <v>1.6</v>
      </c>
      <c r="CW112" s="112">
        <f t="shared" si="105"/>
        <v>19.496269887569845</v>
      </c>
    </row>
    <row r="113" spans="1:101" x14ac:dyDescent="0.35">
      <c r="A113" s="7" t="s">
        <v>1009</v>
      </c>
      <c r="B113" s="8" t="s">
        <v>1010</v>
      </c>
      <c r="C113" s="21" t="s">
        <v>1011</v>
      </c>
      <c r="D113" s="10" t="s">
        <v>31</v>
      </c>
      <c r="E113" s="11" t="s">
        <v>183</v>
      </c>
      <c r="F113" s="11" t="s">
        <v>1012</v>
      </c>
      <c r="G113" s="12">
        <v>32312</v>
      </c>
      <c r="H113" s="11" t="s">
        <v>24</v>
      </c>
      <c r="I113" s="11" t="s">
        <v>1013</v>
      </c>
      <c r="J113" s="11" t="s">
        <v>1014</v>
      </c>
      <c r="K113" s="11" t="s">
        <v>27</v>
      </c>
      <c r="L113" s="23">
        <v>404796609</v>
      </c>
      <c r="M113" s="14">
        <v>130234655</v>
      </c>
      <c r="N113" s="14">
        <v>274561954</v>
      </c>
      <c r="O113" s="14">
        <v>274031808</v>
      </c>
      <c r="P113" s="14">
        <v>23292333</v>
      </c>
      <c r="Q113" s="14">
        <v>24312301</v>
      </c>
      <c r="R113" s="14">
        <v>21111758</v>
      </c>
      <c r="S113" s="15">
        <v>13900000</v>
      </c>
      <c r="T113" s="15">
        <v>669087</v>
      </c>
      <c r="U113" s="15">
        <f>141000+932445</f>
        <v>1073445</v>
      </c>
      <c r="V113" s="15">
        <f>302248+443779</f>
        <v>746027</v>
      </c>
      <c r="W113" s="15">
        <f>427033+839322+6250+425000+338692+425000+2000+120000+205+67+5000+661</f>
        <v>2589230</v>
      </c>
      <c r="X113" s="15">
        <v>0</v>
      </c>
      <c r="Z113" s="15">
        <v>0</v>
      </c>
      <c r="AA113" s="15">
        <v>0</v>
      </c>
      <c r="AB113" s="74">
        <f t="shared" si="65"/>
        <v>4408702</v>
      </c>
      <c r="AC113" s="75">
        <f t="shared" si="66"/>
        <v>31.717280575539569</v>
      </c>
      <c r="AD113" s="75">
        <f t="shared" si="67"/>
        <v>72.712358536645951</v>
      </c>
      <c r="AE113" s="76">
        <f t="shared" si="106"/>
        <v>2.1813707560993785</v>
      </c>
      <c r="AF113" s="77">
        <f t="shared" si="68"/>
        <v>13.75167382628848</v>
      </c>
      <c r="AG113" s="77">
        <f t="shared" si="69"/>
        <v>33.321222806014973</v>
      </c>
      <c r="AH113" s="77">
        <f t="shared" si="70"/>
        <v>19.569548979726491</v>
      </c>
      <c r="AI113" s="78">
        <f t="shared" si="71"/>
        <v>80</v>
      </c>
      <c r="AJ113" s="79">
        <f t="shared" si="107"/>
        <v>3.2</v>
      </c>
      <c r="AK113" s="113">
        <v>6</v>
      </c>
      <c r="AL113" s="113">
        <v>28</v>
      </c>
      <c r="AM113" s="113">
        <v>5</v>
      </c>
      <c r="AN113" s="81">
        <f t="shared" si="72"/>
        <v>34</v>
      </c>
      <c r="AO113" s="82">
        <f t="shared" si="73"/>
        <v>14.705882352941178</v>
      </c>
      <c r="AP113" s="83">
        <f t="shared" si="74"/>
        <v>80</v>
      </c>
      <c r="AQ113" s="84">
        <f t="shared" si="108"/>
        <v>1.6</v>
      </c>
      <c r="AR113" s="118">
        <v>3</v>
      </c>
      <c r="AS113" s="86">
        <f t="shared" si="75"/>
        <v>0.25</v>
      </c>
      <c r="AT113" s="87">
        <f t="shared" si="76"/>
        <v>1.5</v>
      </c>
      <c r="AU113" s="87">
        <f t="shared" si="77"/>
        <v>1</v>
      </c>
      <c r="AV113" s="88">
        <f t="shared" si="78"/>
        <v>33.333333333333329</v>
      </c>
      <c r="AW113" s="78">
        <f t="shared" si="79"/>
        <v>80</v>
      </c>
      <c r="AX113" s="89">
        <f t="shared" si="109"/>
        <v>0.8</v>
      </c>
      <c r="AY113" s="114">
        <v>12</v>
      </c>
      <c r="AZ113" s="114">
        <v>36</v>
      </c>
      <c r="BA113" s="91">
        <f t="shared" si="80"/>
        <v>36</v>
      </c>
      <c r="BB113" s="77">
        <f t="shared" si="81"/>
        <v>100</v>
      </c>
      <c r="BC113" s="78">
        <f t="shared" si="82"/>
        <v>100</v>
      </c>
      <c r="BD113" s="79">
        <f t="shared" si="110"/>
        <v>1</v>
      </c>
      <c r="BE113" s="92">
        <v>35001849</v>
      </c>
      <c r="BF113" s="92">
        <v>3854232</v>
      </c>
      <c r="BG113" s="114">
        <v>384116</v>
      </c>
      <c r="BH113" s="94">
        <f t="shared" si="83"/>
        <v>38856081</v>
      </c>
      <c r="BI113" s="77">
        <f t="shared" si="84"/>
        <v>0.98856083813496276</v>
      </c>
      <c r="BJ113" s="95" t="str">
        <f t="shared" si="85"/>
        <v>식약/섬유/종이업</v>
      </c>
      <c r="BK113" s="96">
        <f t="shared" si="86"/>
        <v>2.1999360555264453</v>
      </c>
      <c r="BL113" s="97">
        <f t="shared" si="87"/>
        <v>-1.2113752173914825</v>
      </c>
      <c r="BM113" s="98">
        <f t="shared" si="88"/>
        <v>80</v>
      </c>
      <c r="BN113" s="99">
        <f t="shared" si="89"/>
        <v>1.6</v>
      </c>
      <c r="BO113" s="114">
        <f>(30674-76)*1000</f>
        <v>30598000</v>
      </c>
      <c r="BP113" s="101">
        <f t="shared" si="90"/>
        <v>11.165857067220459</v>
      </c>
      <c r="BQ113" s="78">
        <f t="shared" si="91"/>
        <v>100</v>
      </c>
      <c r="BR113" s="79">
        <f t="shared" si="111"/>
        <v>2</v>
      </c>
      <c r="BS113" s="102">
        <v>37117577</v>
      </c>
      <c r="BT113" s="102">
        <v>123102</v>
      </c>
      <c r="BU113" s="103">
        <f t="shared" si="92"/>
        <v>36994475</v>
      </c>
      <c r="BV113" s="77">
        <f t="shared" si="93"/>
        <v>13.500066021532801</v>
      </c>
      <c r="BW113" s="96">
        <f t="shared" si="94"/>
        <v>5.0508176117342298</v>
      </c>
      <c r="BX113" s="96">
        <f t="shared" si="95"/>
        <v>71.389798690483687</v>
      </c>
      <c r="BY113" s="96">
        <f t="shared" si="96"/>
        <v>6.9871618081220923</v>
      </c>
      <c r="BZ113" s="96">
        <f t="shared" si="97"/>
        <v>11.328277491417516</v>
      </c>
      <c r="CA113" s="96">
        <f t="shared" si="98"/>
        <v>85</v>
      </c>
      <c r="CB113" s="104">
        <f t="shared" si="99"/>
        <v>1.7</v>
      </c>
      <c r="CC113" s="105">
        <f t="shared" si="112"/>
        <v>47.433613107226066</v>
      </c>
      <c r="CD113" s="106">
        <f t="shared" si="113"/>
        <v>82.499894557578116</v>
      </c>
      <c r="CE113" s="107">
        <f t="shared" si="114"/>
        <v>1.2374984183636717</v>
      </c>
      <c r="CF113" s="108" t="s">
        <v>2189</v>
      </c>
      <c r="CG113" s="108" t="s">
        <v>2189</v>
      </c>
      <c r="CH113" s="108" t="s">
        <v>2189</v>
      </c>
      <c r="CI113" s="108" t="s">
        <v>2189</v>
      </c>
      <c r="CJ113" s="109"/>
      <c r="CK113" s="116" t="s">
        <v>2192</v>
      </c>
      <c r="CL113" s="116" t="s">
        <v>2193</v>
      </c>
      <c r="CM113" s="111">
        <f t="shared" si="100"/>
        <v>25</v>
      </c>
      <c r="CN113" s="107">
        <f t="shared" si="115"/>
        <v>0.375</v>
      </c>
      <c r="CO113" s="114">
        <f>30425000+1445000</f>
        <v>31870000</v>
      </c>
      <c r="CP113" s="88">
        <f t="shared" si="101"/>
        <v>11.607580560852215</v>
      </c>
      <c r="CQ113" s="78">
        <f t="shared" si="102"/>
        <v>60</v>
      </c>
      <c r="CR113" s="79">
        <f t="shared" si="116"/>
        <v>1.7999999999999998</v>
      </c>
      <c r="CS113" s="92">
        <f>_xlfn.XLOOKUP(C113, '[1]1-1. 관계사체무보증금액 (환율 등)'!$3:$3, '[1]1-1. 관계사체무보증금액 (환율 등)'!$33:$33)</f>
        <v>0</v>
      </c>
      <c r="CT113" s="77">
        <f t="shared" si="103"/>
        <v>0</v>
      </c>
      <c r="CU113" s="78">
        <f t="shared" si="104"/>
        <v>100</v>
      </c>
      <c r="CV113" s="79">
        <f t="shared" si="117"/>
        <v>2</v>
      </c>
      <c r="CW113" s="112">
        <f t="shared" si="105"/>
        <v>19.493869174463047</v>
      </c>
    </row>
    <row r="114" spans="1:101" x14ac:dyDescent="0.35">
      <c r="A114" s="7" t="s">
        <v>1296</v>
      </c>
      <c r="B114" s="8" t="s">
        <v>1297</v>
      </c>
      <c r="C114" s="21" t="s">
        <v>1298</v>
      </c>
      <c r="D114" s="10" t="s">
        <v>31</v>
      </c>
      <c r="E114" s="11" t="s">
        <v>46</v>
      </c>
      <c r="F114" s="11" t="s">
        <v>1299</v>
      </c>
      <c r="G114" s="12">
        <v>42923</v>
      </c>
      <c r="H114" s="11" t="s">
        <v>24</v>
      </c>
      <c r="I114" s="11" t="s">
        <v>1300</v>
      </c>
      <c r="J114" s="11" t="s">
        <v>1301</v>
      </c>
      <c r="K114" s="11" t="s">
        <v>27</v>
      </c>
      <c r="L114" s="23">
        <v>1228500766</v>
      </c>
      <c r="M114" s="14">
        <v>276810740</v>
      </c>
      <c r="N114" s="14">
        <v>951690026</v>
      </c>
      <c r="O114" s="14">
        <v>939112572</v>
      </c>
      <c r="P114" s="14">
        <v>140231959</v>
      </c>
      <c r="Q114" s="14">
        <v>140016468</v>
      </c>
      <c r="R114" s="14">
        <v>104657276</v>
      </c>
      <c r="S114" s="15">
        <v>39536132</v>
      </c>
      <c r="T114" s="15">
        <v>7344</v>
      </c>
      <c r="U114" s="15">
        <f>14775139+1613553</f>
        <v>16388692</v>
      </c>
      <c r="V114" s="15">
        <f>238997+486909+197670</f>
        <v>923576</v>
      </c>
      <c r="W114" s="15">
        <f>6400+65+861+548</f>
        <v>7874</v>
      </c>
      <c r="X114" s="15">
        <v>0</v>
      </c>
      <c r="Z114" s="15">
        <v>0</v>
      </c>
      <c r="AA114" s="15">
        <v>0</v>
      </c>
      <c r="AB114" s="74">
        <f t="shared" si="65"/>
        <v>17320142</v>
      </c>
      <c r="AC114" s="75">
        <f t="shared" si="66"/>
        <v>43.808387729988354</v>
      </c>
      <c r="AD114" s="75">
        <f t="shared" si="67"/>
        <v>62.276995630044574</v>
      </c>
      <c r="AE114" s="76">
        <f t="shared" si="106"/>
        <v>1.8683098689013371</v>
      </c>
      <c r="AF114" s="77">
        <f t="shared" si="68"/>
        <v>43.796607171461972</v>
      </c>
      <c r="AG114" s="77">
        <f t="shared" si="69"/>
        <v>43.816526831027552</v>
      </c>
      <c r="AH114" s="77">
        <f t="shared" si="70"/>
        <v>1.9919659565580616E-2</v>
      </c>
      <c r="AI114" s="78">
        <f t="shared" si="71"/>
        <v>100</v>
      </c>
      <c r="AJ114" s="79">
        <f t="shared" si="107"/>
        <v>4</v>
      </c>
      <c r="AK114" s="113">
        <v>5</v>
      </c>
      <c r="AL114" s="113">
        <v>15</v>
      </c>
      <c r="AM114" s="113">
        <v>2</v>
      </c>
      <c r="AN114" s="81">
        <f t="shared" si="72"/>
        <v>20</v>
      </c>
      <c r="AO114" s="82">
        <f t="shared" si="73"/>
        <v>10</v>
      </c>
      <c r="AP114" s="83">
        <f t="shared" si="74"/>
        <v>80</v>
      </c>
      <c r="AQ114" s="84">
        <f t="shared" si="108"/>
        <v>1.6</v>
      </c>
      <c r="AR114" s="118">
        <v>3</v>
      </c>
      <c r="AS114" s="86">
        <f t="shared" si="75"/>
        <v>0.25</v>
      </c>
      <c r="AT114" s="87">
        <f t="shared" si="76"/>
        <v>1.25</v>
      </c>
      <c r="AU114" s="87">
        <f t="shared" si="77"/>
        <v>1</v>
      </c>
      <c r="AV114" s="88">
        <f t="shared" si="78"/>
        <v>40</v>
      </c>
      <c r="AW114" s="78">
        <f t="shared" si="79"/>
        <v>100</v>
      </c>
      <c r="AX114" s="89">
        <f t="shared" si="109"/>
        <v>1</v>
      </c>
      <c r="AY114" s="114">
        <v>19</v>
      </c>
      <c r="AZ114" s="114">
        <f>19*3-2</f>
        <v>55</v>
      </c>
      <c r="BA114" s="91">
        <f t="shared" si="80"/>
        <v>57</v>
      </c>
      <c r="BB114" s="77">
        <f t="shared" si="81"/>
        <v>96.491228070175438</v>
      </c>
      <c r="BC114" s="78">
        <f t="shared" si="82"/>
        <v>100</v>
      </c>
      <c r="BD114" s="79">
        <f t="shared" si="110"/>
        <v>1</v>
      </c>
      <c r="BE114" s="92">
        <v>60272301</v>
      </c>
      <c r="BF114" s="92">
        <v>4558866</v>
      </c>
      <c r="BG114" s="93">
        <v>0</v>
      </c>
      <c r="BH114" s="94">
        <f t="shared" si="83"/>
        <v>64831167</v>
      </c>
      <c r="BI114" s="77">
        <f t="shared" si="84"/>
        <v>0</v>
      </c>
      <c r="BJ114" s="95" t="str">
        <f t="shared" si="85"/>
        <v>식약/섬유/종이업</v>
      </c>
      <c r="BK114" s="96">
        <f t="shared" si="86"/>
        <v>2.1999360555264453</v>
      </c>
      <c r="BL114" s="97">
        <f t="shared" si="87"/>
        <v>-2.1999360555264453</v>
      </c>
      <c r="BM114" s="98">
        <f t="shared" si="88"/>
        <v>100</v>
      </c>
      <c r="BN114" s="99">
        <f t="shared" si="89"/>
        <v>2</v>
      </c>
      <c r="BO114" s="114">
        <v>5268000</v>
      </c>
      <c r="BP114" s="101">
        <f t="shared" si="90"/>
        <v>0.56095511412235677</v>
      </c>
      <c r="BQ114" s="78">
        <f t="shared" si="91"/>
        <v>70</v>
      </c>
      <c r="BR114" s="79">
        <f t="shared" si="111"/>
        <v>1.4000000000000001</v>
      </c>
      <c r="BS114" s="102">
        <v>17752909.390000001</v>
      </c>
      <c r="BT114" s="102">
        <v>2646264.3739999998</v>
      </c>
      <c r="BU114" s="103">
        <f t="shared" si="92"/>
        <v>15106645.016000001</v>
      </c>
      <c r="BV114" s="77">
        <f t="shared" si="93"/>
        <v>1.6086085381465856</v>
      </c>
      <c r="BW114" s="96">
        <f t="shared" si="94"/>
        <v>5.0508176117342298</v>
      </c>
      <c r="BX114" s="96">
        <f t="shared" si="95"/>
        <v>11.84880330628911</v>
      </c>
      <c r="BY114" s="96">
        <f t="shared" si="96"/>
        <v>6.9871618081220923</v>
      </c>
      <c r="BZ114" s="96">
        <f t="shared" si="97"/>
        <v>68.886922497825253</v>
      </c>
      <c r="CA114" s="96">
        <f t="shared" si="98"/>
        <v>40</v>
      </c>
      <c r="CB114" s="104">
        <f t="shared" si="99"/>
        <v>0.8</v>
      </c>
      <c r="CC114" s="105">
        <f t="shared" si="112"/>
        <v>29.086228965060101</v>
      </c>
      <c r="CD114" s="106">
        <f t="shared" si="113"/>
        <v>89.414737827238653</v>
      </c>
      <c r="CE114" s="107">
        <f t="shared" si="114"/>
        <v>1.3412210674085798</v>
      </c>
      <c r="CF114" s="108" t="s">
        <v>2189</v>
      </c>
      <c r="CG114" s="108" t="s">
        <v>2189</v>
      </c>
      <c r="CH114" s="108" t="s">
        <v>2189</v>
      </c>
      <c r="CI114" s="108" t="s">
        <v>2189</v>
      </c>
      <c r="CJ114" s="109"/>
      <c r="CK114" s="116" t="s">
        <v>2227</v>
      </c>
      <c r="CL114" s="116" t="s">
        <v>2191</v>
      </c>
      <c r="CM114" s="111">
        <f t="shared" si="100"/>
        <v>85</v>
      </c>
      <c r="CN114" s="107">
        <f t="shared" si="115"/>
        <v>1.2749999999999999</v>
      </c>
      <c r="CO114" s="114">
        <v>356181000</v>
      </c>
      <c r="CP114" s="88">
        <f t="shared" si="101"/>
        <v>37.426156654919069</v>
      </c>
      <c r="CQ114" s="78">
        <f t="shared" si="102"/>
        <v>40</v>
      </c>
      <c r="CR114" s="79">
        <f t="shared" si="116"/>
        <v>1.2</v>
      </c>
      <c r="CS114" s="92">
        <f>_xlfn.XLOOKUP(C114, '[1]1-1. 관계사체무보증금액 (환율 등)'!$3:$3, '[1]1-1. 관계사체무보증금액 (환율 등)'!$33:$33)</f>
        <v>0</v>
      </c>
      <c r="CT114" s="77">
        <f t="shared" si="103"/>
        <v>0</v>
      </c>
      <c r="CU114" s="78">
        <f t="shared" si="104"/>
        <v>100</v>
      </c>
      <c r="CV114" s="79">
        <f t="shared" si="117"/>
        <v>2</v>
      </c>
      <c r="CW114" s="112">
        <f t="shared" si="105"/>
        <v>19.484530936309916</v>
      </c>
    </row>
    <row r="115" spans="1:101" x14ac:dyDescent="0.35">
      <c r="A115" s="7" t="s">
        <v>778</v>
      </c>
      <c r="B115" s="8" t="s">
        <v>779</v>
      </c>
      <c r="C115" s="21" t="s">
        <v>780</v>
      </c>
      <c r="D115" s="10" t="s">
        <v>75</v>
      </c>
      <c r="E115" s="11" t="s">
        <v>76</v>
      </c>
      <c r="F115" s="11" t="s">
        <v>781</v>
      </c>
      <c r="G115" s="12">
        <v>27865</v>
      </c>
      <c r="H115" s="11" t="s">
        <v>24</v>
      </c>
      <c r="I115" s="11" t="s">
        <v>782</v>
      </c>
      <c r="J115" s="11" t="s">
        <v>783</v>
      </c>
      <c r="K115" s="11" t="s">
        <v>394</v>
      </c>
      <c r="L115" s="23">
        <v>2511638063</v>
      </c>
      <c r="M115" s="14">
        <v>407361084</v>
      </c>
      <c r="N115" s="14">
        <v>2104276979</v>
      </c>
      <c r="O115" s="14">
        <v>2461065167</v>
      </c>
      <c r="P115" s="14">
        <v>406388582</v>
      </c>
      <c r="Q115" s="14">
        <v>513833216</v>
      </c>
      <c r="R115" s="14">
        <v>386538587</v>
      </c>
      <c r="S115" s="15">
        <v>25800000</v>
      </c>
      <c r="T115" s="15">
        <v>330000</v>
      </c>
      <c r="U115" s="15">
        <v>11223000</v>
      </c>
      <c r="V115" s="15">
        <v>0</v>
      </c>
      <c r="W115" s="15">
        <f>7+13+295+130+80+600+100</f>
        <v>1225</v>
      </c>
      <c r="X115" s="15">
        <v>0</v>
      </c>
      <c r="Z115" s="15">
        <v>0</v>
      </c>
      <c r="AA115" s="15">
        <v>0</v>
      </c>
      <c r="AB115" s="74">
        <f t="shared" si="65"/>
        <v>11224225</v>
      </c>
      <c r="AC115" s="75">
        <f t="shared" si="66"/>
        <v>43.504748062015501</v>
      </c>
      <c r="AD115" s="75">
        <f t="shared" si="67"/>
        <v>62.539055182380181</v>
      </c>
      <c r="AE115" s="76">
        <f t="shared" si="106"/>
        <v>1.8761716554714054</v>
      </c>
      <c r="AF115" s="77">
        <f t="shared" si="68"/>
        <v>44.063604240282686</v>
      </c>
      <c r="AG115" s="77">
        <f t="shared" si="69"/>
        <v>44.068413820180602</v>
      </c>
      <c r="AH115" s="77">
        <f t="shared" si="70"/>
        <v>4.8095798979161941E-3</v>
      </c>
      <c r="AI115" s="78">
        <f t="shared" si="71"/>
        <v>100</v>
      </c>
      <c r="AJ115" s="79">
        <f t="shared" si="107"/>
        <v>4</v>
      </c>
      <c r="AK115" s="113">
        <v>7</v>
      </c>
      <c r="AL115" s="113">
        <v>13</v>
      </c>
      <c r="AM115" s="113">
        <v>0</v>
      </c>
      <c r="AN115" s="81">
        <f t="shared" si="72"/>
        <v>20</v>
      </c>
      <c r="AO115" s="82">
        <f t="shared" si="73"/>
        <v>0</v>
      </c>
      <c r="AP115" s="83">
        <f t="shared" si="74"/>
        <v>100</v>
      </c>
      <c r="AQ115" s="84">
        <f t="shared" si="108"/>
        <v>2</v>
      </c>
      <c r="AR115" s="118">
        <v>4</v>
      </c>
      <c r="AS115" s="86">
        <f t="shared" si="75"/>
        <v>0.5</v>
      </c>
      <c r="AT115" s="87">
        <f t="shared" si="76"/>
        <v>3.5</v>
      </c>
      <c r="AU115" s="87">
        <f t="shared" si="77"/>
        <v>3</v>
      </c>
      <c r="AV115" s="88">
        <f t="shared" si="78"/>
        <v>14.285714285714285</v>
      </c>
      <c r="AW115" s="78">
        <f t="shared" si="79"/>
        <v>60</v>
      </c>
      <c r="AX115" s="89">
        <f t="shared" si="109"/>
        <v>0.6</v>
      </c>
      <c r="AY115" s="114">
        <v>11</v>
      </c>
      <c r="AZ115" s="114">
        <f>44-3</f>
        <v>41</v>
      </c>
      <c r="BA115" s="91">
        <f t="shared" si="80"/>
        <v>44</v>
      </c>
      <c r="BB115" s="77">
        <f t="shared" si="81"/>
        <v>93.181818181818173</v>
      </c>
      <c r="BC115" s="78">
        <f t="shared" si="82"/>
        <v>100</v>
      </c>
      <c r="BD115" s="79">
        <f t="shared" si="110"/>
        <v>1</v>
      </c>
      <c r="BE115" s="92">
        <v>23433689</v>
      </c>
      <c r="BF115" s="92">
        <v>1543250</v>
      </c>
      <c r="BG115" s="93">
        <v>0</v>
      </c>
      <c r="BH115" s="94">
        <f t="shared" si="83"/>
        <v>24976939</v>
      </c>
      <c r="BI115" s="77">
        <f t="shared" si="84"/>
        <v>0</v>
      </c>
      <c r="BJ115" s="95" t="str">
        <f t="shared" si="85"/>
        <v>금속/비금속/화학업</v>
      </c>
      <c r="BK115" s="96">
        <f t="shared" si="86"/>
        <v>3.9534118626990469</v>
      </c>
      <c r="BL115" s="97">
        <f t="shared" si="87"/>
        <v>-3.9534118626990469</v>
      </c>
      <c r="BM115" s="98">
        <f t="shared" si="88"/>
        <v>100</v>
      </c>
      <c r="BN115" s="99">
        <f t="shared" si="89"/>
        <v>2</v>
      </c>
      <c r="BO115" s="114">
        <v>14616470</v>
      </c>
      <c r="BP115" s="101">
        <f t="shared" si="90"/>
        <v>0.5939082880043054</v>
      </c>
      <c r="BQ115" s="78">
        <f t="shared" si="91"/>
        <v>70</v>
      </c>
      <c r="BR115" s="79">
        <f t="shared" si="111"/>
        <v>1.4000000000000001</v>
      </c>
      <c r="BS115" s="102">
        <v>144449296.23899999</v>
      </c>
      <c r="BT115" s="102">
        <v>15732.2</v>
      </c>
      <c r="BU115" s="103">
        <f t="shared" si="92"/>
        <v>144433564.039</v>
      </c>
      <c r="BV115" s="77">
        <f t="shared" si="93"/>
        <v>5.8687419567626593</v>
      </c>
      <c r="BW115" s="96">
        <f t="shared" si="94"/>
        <v>5.1474158565187738</v>
      </c>
      <c r="BX115" s="96">
        <f t="shared" si="95"/>
        <v>0.52031134289305203</v>
      </c>
      <c r="BY115" s="96">
        <f t="shared" si="96"/>
        <v>6.6930498535228535</v>
      </c>
      <c r="BZ115" s="96">
        <f t="shared" si="97"/>
        <v>45.708811526433976</v>
      </c>
      <c r="CA115" s="96">
        <f t="shared" si="98"/>
        <v>55</v>
      </c>
      <c r="CB115" s="104">
        <f t="shared" si="99"/>
        <v>1.1000000000000001</v>
      </c>
      <c r="CC115" s="105">
        <f t="shared" si="112"/>
        <v>19.358719791421528</v>
      </c>
      <c r="CD115" s="106">
        <f t="shared" si="113"/>
        <v>93.080884500720529</v>
      </c>
      <c r="CE115" s="107">
        <f t="shared" si="114"/>
        <v>1.3962132675108079</v>
      </c>
      <c r="CF115" s="108" t="s">
        <v>2189</v>
      </c>
      <c r="CG115" s="108" t="s">
        <v>2189</v>
      </c>
      <c r="CH115" s="108" t="s">
        <v>2189</v>
      </c>
      <c r="CI115" s="108" t="s">
        <v>2189</v>
      </c>
      <c r="CJ115" s="109"/>
      <c r="CK115" s="116" t="s">
        <v>2203</v>
      </c>
      <c r="CL115" s="116" t="s">
        <v>2204</v>
      </c>
      <c r="CM115" s="111">
        <f t="shared" si="100"/>
        <v>70</v>
      </c>
      <c r="CN115" s="107">
        <f t="shared" si="115"/>
        <v>1.05</v>
      </c>
      <c r="CO115" s="114">
        <v>278965000</v>
      </c>
      <c r="CP115" s="88">
        <f t="shared" si="101"/>
        <v>13.257047564744564</v>
      </c>
      <c r="CQ115" s="78">
        <f t="shared" si="102"/>
        <v>60</v>
      </c>
      <c r="CR115" s="79">
        <f t="shared" si="116"/>
        <v>1.7999999999999998</v>
      </c>
      <c r="CS115" s="92">
        <f>_xlfn.XLOOKUP(C115, '[1]1-1. 관계사체무보증금액 (환율 등)'!$3:$3, '[1]1-1. 관계사체무보증금액 (환율 등)'!$33:$33)</f>
        <v>301621621.62162161</v>
      </c>
      <c r="CT115" s="77">
        <f t="shared" si="103"/>
        <v>14.333741452846146</v>
      </c>
      <c r="CU115" s="78">
        <f t="shared" si="104"/>
        <v>60</v>
      </c>
      <c r="CV115" s="79">
        <f t="shared" si="117"/>
        <v>1.2</v>
      </c>
      <c r="CW115" s="112">
        <f t="shared" si="105"/>
        <v>19.422384922982214</v>
      </c>
    </row>
    <row r="116" spans="1:101" x14ac:dyDescent="0.35">
      <c r="A116" s="7" t="s">
        <v>1530</v>
      </c>
      <c r="B116" s="8" t="s">
        <v>1531</v>
      </c>
      <c r="C116" s="21" t="s">
        <v>1532</v>
      </c>
      <c r="D116" s="22" t="s">
        <v>75</v>
      </c>
      <c r="E116" s="11" t="s">
        <v>149</v>
      </c>
      <c r="F116" s="11" t="s">
        <v>1533</v>
      </c>
      <c r="G116" s="12">
        <v>26840</v>
      </c>
      <c r="H116" s="11" t="s">
        <v>24</v>
      </c>
      <c r="I116" s="11" t="s">
        <v>1534</v>
      </c>
      <c r="J116" s="11" t="s">
        <v>1535</v>
      </c>
      <c r="K116" s="11" t="s">
        <v>27</v>
      </c>
      <c r="L116" s="23">
        <v>8803079613</v>
      </c>
      <c r="M116" s="14">
        <v>3891106993</v>
      </c>
      <c r="N116" s="14">
        <v>4911972621</v>
      </c>
      <c r="O116" s="14">
        <v>2701705575</v>
      </c>
      <c r="P116" s="14">
        <v>177791342</v>
      </c>
      <c r="Q116" s="14">
        <v>7918913</v>
      </c>
      <c r="R116" s="14">
        <v>7342768</v>
      </c>
      <c r="S116" s="15">
        <v>8886471</v>
      </c>
      <c r="T116" s="15">
        <v>1532300</v>
      </c>
      <c r="U116" s="15">
        <v>1739841</v>
      </c>
      <c r="V116" s="15">
        <f>3281350-1739841-266600</f>
        <v>1274909</v>
      </c>
      <c r="W116" s="15">
        <v>0</v>
      </c>
      <c r="X116" s="15">
        <v>266600</v>
      </c>
      <c r="Y116" s="24" t="s">
        <v>2105</v>
      </c>
      <c r="Z116" s="15">
        <v>0</v>
      </c>
      <c r="AA116" s="15">
        <v>0</v>
      </c>
      <c r="AB116" s="74">
        <f t="shared" si="65"/>
        <v>3281350</v>
      </c>
      <c r="AC116" s="75">
        <f t="shared" si="66"/>
        <v>36.925231624567282</v>
      </c>
      <c r="AD116" s="75">
        <f t="shared" si="67"/>
        <v>68.217579150258388</v>
      </c>
      <c r="AE116" s="76">
        <f t="shared" si="106"/>
        <v>2.0465273745077517</v>
      </c>
      <c r="AF116" s="77">
        <f t="shared" si="68"/>
        <v>40.993743550428732</v>
      </c>
      <c r="AG116" s="77">
        <f t="shared" si="69"/>
        <v>44.618897221726286</v>
      </c>
      <c r="AH116" s="77">
        <f t="shared" si="70"/>
        <v>3.6251536712975536</v>
      </c>
      <c r="AI116" s="78">
        <f t="shared" si="71"/>
        <v>100</v>
      </c>
      <c r="AJ116" s="79">
        <f t="shared" si="107"/>
        <v>4</v>
      </c>
      <c r="AK116" s="113">
        <v>8</v>
      </c>
      <c r="AL116" s="113">
        <v>67</v>
      </c>
      <c r="AM116" s="113">
        <v>1</v>
      </c>
      <c r="AN116" s="81">
        <f t="shared" si="72"/>
        <v>75</v>
      </c>
      <c r="AO116" s="82">
        <f t="shared" si="73"/>
        <v>1.3333333333333335</v>
      </c>
      <c r="AP116" s="83">
        <f t="shared" si="74"/>
        <v>100</v>
      </c>
      <c r="AQ116" s="84">
        <f t="shared" si="108"/>
        <v>2</v>
      </c>
      <c r="AR116" s="118">
        <v>5</v>
      </c>
      <c r="AS116" s="86">
        <f t="shared" si="75"/>
        <v>0.5</v>
      </c>
      <c r="AT116" s="87">
        <f t="shared" si="76"/>
        <v>4</v>
      </c>
      <c r="AU116" s="87">
        <f t="shared" si="77"/>
        <v>4</v>
      </c>
      <c r="AV116" s="88">
        <f t="shared" si="78"/>
        <v>12.5</v>
      </c>
      <c r="AW116" s="78">
        <f t="shared" si="79"/>
        <v>60</v>
      </c>
      <c r="AX116" s="89">
        <f t="shared" si="109"/>
        <v>0.6</v>
      </c>
      <c r="AY116" s="114">
        <v>10</v>
      </c>
      <c r="AZ116" s="114">
        <f>50-1</f>
        <v>49</v>
      </c>
      <c r="BA116" s="91">
        <f t="shared" si="80"/>
        <v>50</v>
      </c>
      <c r="BB116" s="77">
        <f t="shared" si="81"/>
        <v>98</v>
      </c>
      <c r="BC116" s="78">
        <f t="shared" si="82"/>
        <v>100</v>
      </c>
      <c r="BD116" s="79">
        <f t="shared" si="110"/>
        <v>1</v>
      </c>
      <c r="BE116" s="92">
        <v>102571890</v>
      </c>
      <c r="BF116" s="92">
        <v>17821017</v>
      </c>
      <c r="BG116" s="93">
        <v>0</v>
      </c>
      <c r="BH116" s="94">
        <f t="shared" si="83"/>
        <v>120392907</v>
      </c>
      <c r="BI116" s="77">
        <f t="shared" si="84"/>
        <v>0</v>
      </c>
      <c r="BJ116" s="95" t="str">
        <f t="shared" si="85"/>
        <v>금속/비금속/화학업</v>
      </c>
      <c r="BK116" s="96">
        <f t="shared" si="86"/>
        <v>3.9534118626990469</v>
      </c>
      <c r="BL116" s="97">
        <f t="shared" si="87"/>
        <v>-3.9534118626990469</v>
      </c>
      <c r="BM116" s="98">
        <f t="shared" si="88"/>
        <v>100</v>
      </c>
      <c r="BN116" s="99">
        <f t="shared" si="89"/>
        <v>2</v>
      </c>
      <c r="BO116" s="114">
        <f>178767706-693607</f>
        <v>178074099</v>
      </c>
      <c r="BP116" s="101">
        <f t="shared" si="90"/>
        <v>6.5911733923856604</v>
      </c>
      <c r="BQ116" s="78">
        <f t="shared" si="91"/>
        <v>100</v>
      </c>
      <c r="BR116" s="79">
        <f t="shared" si="111"/>
        <v>2</v>
      </c>
      <c r="BS116" s="102">
        <v>145934244.33000001</v>
      </c>
      <c r="BT116" s="102">
        <v>5407128.9040000001</v>
      </c>
      <c r="BU116" s="103">
        <f t="shared" si="92"/>
        <v>140527115.426</v>
      </c>
      <c r="BV116" s="77">
        <f t="shared" si="93"/>
        <v>5.2014222691900835</v>
      </c>
      <c r="BW116" s="96">
        <f t="shared" si="94"/>
        <v>5.1474158565187738</v>
      </c>
      <c r="BX116" s="96">
        <f t="shared" si="95"/>
        <v>2.9166926096238104E-3</v>
      </c>
      <c r="BY116" s="96">
        <f t="shared" si="96"/>
        <v>6.6930498535228535</v>
      </c>
      <c r="BZ116" s="96">
        <f t="shared" si="97"/>
        <v>49.678095814314574</v>
      </c>
      <c r="CA116" s="96">
        <f t="shared" si="98"/>
        <v>55</v>
      </c>
      <c r="CB116" s="104">
        <f t="shared" si="99"/>
        <v>1.1000000000000001</v>
      </c>
      <c r="CC116" s="105">
        <f t="shared" si="112"/>
        <v>79.216789123874065</v>
      </c>
      <c r="CD116" s="106">
        <f t="shared" si="113"/>
        <v>70.521310631705759</v>
      </c>
      <c r="CE116" s="107">
        <f t="shared" si="114"/>
        <v>1.0578196594755864</v>
      </c>
      <c r="CF116" s="108" t="s">
        <v>2189</v>
      </c>
      <c r="CG116" s="108" t="s">
        <v>2189</v>
      </c>
      <c r="CH116" s="108" t="s">
        <v>2189</v>
      </c>
      <c r="CI116" s="108" t="s">
        <v>2189</v>
      </c>
      <c r="CJ116" s="109"/>
      <c r="CK116" s="116" t="s">
        <v>2231</v>
      </c>
      <c r="CL116" s="116" t="s">
        <v>2209</v>
      </c>
      <c r="CM116" s="111">
        <f t="shared" si="100"/>
        <v>40</v>
      </c>
      <c r="CN116" s="107">
        <f t="shared" si="115"/>
        <v>0.6</v>
      </c>
      <c r="CO116" s="114">
        <v>1588016000</v>
      </c>
      <c r="CP116" s="88">
        <f t="shared" si="101"/>
        <v>32.32949616231177</v>
      </c>
      <c r="CQ116" s="78">
        <f t="shared" si="102"/>
        <v>60</v>
      </c>
      <c r="CR116" s="79">
        <f t="shared" si="116"/>
        <v>1.7999999999999998</v>
      </c>
      <c r="CS116" s="92">
        <f>_xlfn.XLOOKUP(C116, '[1]1-1. 관계사체무보증금액 (환율 등)'!$3:$3, '[1]1-1. 관계사체무보증금액 (환율 등)'!$33:$33)</f>
        <v>1271402000</v>
      </c>
      <c r="CT116" s="77">
        <f t="shared" si="103"/>
        <v>25.883735478581769</v>
      </c>
      <c r="CU116" s="78">
        <f t="shared" si="104"/>
        <v>60</v>
      </c>
      <c r="CV116" s="79">
        <f t="shared" si="117"/>
        <v>1.2</v>
      </c>
      <c r="CW116" s="112">
        <f t="shared" si="105"/>
        <v>19.404347033983338</v>
      </c>
    </row>
    <row r="117" spans="1:101" x14ac:dyDescent="0.35">
      <c r="A117" s="7" t="s">
        <v>1095</v>
      </c>
      <c r="B117" s="8" t="s">
        <v>1096</v>
      </c>
      <c r="C117" s="21" t="s">
        <v>1097</v>
      </c>
      <c r="D117" s="10" t="s">
        <v>31</v>
      </c>
      <c r="E117" s="11" t="s">
        <v>317</v>
      </c>
      <c r="F117" s="11" t="s">
        <v>1098</v>
      </c>
      <c r="G117" s="12">
        <v>43140</v>
      </c>
      <c r="H117" s="11" t="s">
        <v>24</v>
      </c>
      <c r="I117" s="11" t="s">
        <v>1099</v>
      </c>
      <c r="J117" s="11" t="s">
        <v>1100</v>
      </c>
      <c r="K117" s="11" t="s">
        <v>87</v>
      </c>
      <c r="L117" s="23">
        <v>5571483130</v>
      </c>
      <c r="M117" s="14">
        <v>1401534327</v>
      </c>
      <c r="N117" s="14">
        <v>4169948803</v>
      </c>
      <c r="O117" s="14">
        <v>1937469297</v>
      </c>
      <c r="P117" s="14">
        <v>618890773</v>
      </c>
      <c r="Q117" s="14">
        <v>606389938</v>
      </c>
      <c r="R117" s="14">
        <v>511383102</v>
      </c>
      <c r="S117" s="15">
        <v>140805210</v>
      </c>
      <c r="T117" s="15">
        <v>3012503</v>
      </c>
      <c r="U117" s="15">
        <v>28223603</v>
      </c>
      <c r="V117" s="15">
        <f>6053+7330+12700+2801+19352+10412+52467+8163+6783+6579+1930+3836+106+4161+10404+510+436+3367+3761+6177+2550+2227+444+222+1092+3182+836+2578+2550+970</f>
        <v>183979</v>
      </c>
      <c r="W117" s="15">
        <f>10885+25845+129919+4383+142157+3488+21828+15568+53919+11460+2483+44824+13526+64802+2080+20241+23805+4826+569+2775+10834+25441+3741+4513+3162+14049+4161+754+3908+7551+2560+4393+233+361+5251+2924+969+3826+15606+4580+596+7876+25530</f>
        <v>752202</v>
      </c>
      <c r="X117" s="15">
        <v>0</v>
      </c>
      <c r="Z117" s="15">
        <v>2976330</v>
      </c>
      <c r="AA117" s="15">
        <v>0</v>
      </c>
      <c r="AB117" s="74">
        <f t="shared" si="65"/>
        <v>32136114</v>
      </c>
      <c r="AC117" s="75">
        <f t="shared" si="66"/>
        <v>22.823100082731312</v>
      </c>
      <c r="AD117" s="75">
        <f t="shared" si="67"/>
        <v>80.388578754834896</v>
      </c>
      <c r="AE117" s="76">
        <f t="shared" si="106"/>
        <v>2.4116573626450468</v>
      </c>
      <c r="AF117" s="77">
        <f t="shared" si="68"/>
        <v>20.616172378411871</v>
      </c>
      <c r="AG117" s="77">
        <f t="shared" si="69"/>
        <v>23.322071755219962</v>
      </c>
      <c r="AH117" s="77">
        <f t="shared" si="70"/>
        <v>2.705899376808091</v>
      </c>
      <c r="AI117" s="78">
        <f t="shared" si="71"/>
        <v>100</v>
      </c>
      <c r="AJ117" s="79">
        <f t="shared" si="107"/>
        <v>4</v>
      </c>
      <c r="AK117" s="113">
        <v>9</v>
      </c>
      <c r="AL117" s="113">
        <v>39</v>
      </c>
      <c r="AM117" s="80">
        <v>1</v>
      </c>
      <c r="AN117" s="81">
        <f t="shared" si="72"/>
        <v>48</v>
      </c>
      <c r="AO117" s="82">
        <f t="shared" si="73"/>
        <v>2.083333333333333</v>
      </c>
      <c r="AP117" s="83">
        <f t="shared" si="74"/>
        <v>100</v>
      </c>
      <c r="AQ117" s="84">
        <f t="shared" si="108"/>
        <v>2</v>
      </c>
      <c r="AR117" s="118">
        <v>5</v>
      </c>
      <c r="AS117" s="86">
        <f t="shared" si="75"/>
        <v>0.5</v>
      </c>
      <c r="AT117" s="87">
        <f t="shared" si="76"/>
        <v>4.5</v>
      </c>
      <c r="AU117" s="87">
        <f t="shared" si="77"/>
        <v>4</v>
      </c>
      <c r="AV117" s="88">
        <f t="shared" si="78"/>
        <v>11.111111111111111</v>
      </c>
      <c r="AW117" s="78">
        <f t="shared" si="79"/>
        <v>60</v>
      </c>
      <c r="AX117" s="89">
        <f t="shared" si="109"/>
        <v>0.6</v>
      </c>
      <c r="AY117" s="114">
        <f>12</f>
        <v>12</v>
      </c>
      <c r="AZ117" s="114">
        <f>12*5-6</f>
        <v>54</v>
      </c>
      <c r="BA117" s="91">
        <f t="shared" si="80"/>
        <v>60</v>
      </c>
      <c r="BB117" s="77">
        <f t="shared" si="81"/>
        <v>90</v>
      </c>
      <c r="BC117" s="78">
        <f t="shared" si="82"/>
        <v>100</v>
      </c>
      <c r="BD117" s="79">
        <f t="shared" si="110"/>
        <v>1</v>
      </c>
      <c r="BE117" s="92">
        <f>33695832-BF117</f>
        <v>31519709.769462839</v>
      </c>
      <c r="BF117" s="92">
        <f>33695832*11415154/176756207</f>
        <v>2176122.2305371603</v>
      </c>
      <c r="BG117" s="114">
        <v>1465416</v>
      </c>
      <c r="BH117" s="94">
        <f t="shared" si="83"/>
        <v>33695832</v>
      </c>
      <c r="BI117" s="77">
        <f t="shared" si="84"/>
        <v>4.3489533067472559</v>
      </c>
      <c r="BJ117" s="95" t="str">
        <f t="shared" si="85"/>
        <v>식약/섬유/종이업</v>
      </c>
      <c r="BK117" s="96">
        <f t="shared" si="86"/>
        <v>2.1999360555264453</v>
      </c>
      <c r="BL117" s="97">
        <f t="shared" si="87"/>
        <v>2.1490172512208106</v>
      </c>
      <c r="BM117" s="98">
        <f t="shared" si="88"/>
        <v>40</v>
      </c>
      <c r="BN117" s="99">
        <f t="shared" si="89"/>
        <v>0.8</v>
      </c>
      <c r="BO117" s="114">
        <v>412283365</v>
      </c>
      <c r="BP117" s="101">
        <f t="shared" si="90"/>
        <v>21.27947862907476</v>
      </c>
      <c r="BQ117" s="78">
        <f t="shared" si="91"/>
        <v>100</v>
      </c>
      <c r="BR117" s="79">
        <f t="shared" si="111"/>
        <v>2</v>
      </c>
      <c r="BS117" s="102">
        <v>107155737.359</v>
      </c>
      <c r="BT117" s="102">
        <v>2040</v>
      </c>
      <c r="BU117" s="103">
        <f t="shared" si="92"/>
        <v>107153697.359</v>
      </c>
      <c r="BV117" s="77">
        <f t="shared" si="93"/>
        <v>5.5306010539066621</v>
      </c>
      <c r="BW117" s="96">
        <f t="shared" si="94"/>
        <v>5.0508176117342298</v>
      </c>
      <c r="BX117" s="96">
        <f t="shared" si="95"/>
        <v>0.2301921513828277</v>
      </c>
      <c r="BY117" s="96">
        <f t="shared" si="96"/>
        <v>6.9871618081220923</v>
      </c>
      <c r="BZ117" s="96">
        <f t="shared" si="97"/>
        <v>47.262757089935604</v>
      </c>
      <c r="CA117" s="96">
        <f t="shared" si="98"/>
        <v>55</v>
      </c>
      <c r="CB117" s="104">
        <f t="shared" si="99"/>
        <v>1.1000000000000001</v>
      </c>
      <c r="CC117" s="105">
        <f t="shared" si="112"/>
        <v>33.610348548924378</v>
      </c>
      <c r="CD117" s="106">
        <f t="shared" si="113"/>
        <v>87.709667632314932</v>
      </c>
      <c r="CE117" s="107">
        <f t="shared" si="114"/>
        <v>1.315645014484724</v>
      </c>
      <c r="CF117" s="108" t="s">
        <v>2189</v>
      </c>
      <c r="CG117" s="108" t="s">
        <v>2189</v>
      </c>
      <c r="CH117" s="108" t="s">
        <v>2189</v>
      </c>
      <c r="CI117" s="108" t="s">
        <v>2189</v>
      </c>
      <c r="CJ117" s="109"/>
      <c r="CK117" s="116" t="s">
        <v>2199</v>
      </c>
      <c r="CL117" s="116" t="s">
        <v>2193</v>
      </c>
      <c r="CM117" s="111">
        <f t="shared" si="100"/>
        <v>25</v>
      </c>
      <c r="CN117" s="107">
        <f t="shared" si="115"/>
        <v>0.375</v>
      </c>
      <c r="CO117" s="114">
        <v>620724501</v>
      </c>
      <c r="CP117" s="88">
        <f t="shared" si="101"/>
        <v>14.885662398383168</v>
      </c>
      <c r="CQ117" s="78">
        <f t="shared" si="102"/>
        <v>60</v>
      </c>
      <c r="CR117" s="79">
        <f t="shared" si="116"/>
        <v>1.7999999999999998</v>
      </c>
      <c r="CS117" s="92">
        <f>_xlfn.XLOOKUP(C117, '[1]1-1. 관계사체무보증금액 (환율 등)'!$3:$3, '[1]1-1. 관계사체무보증금액 (환율 등)'!$33:$33)</f>
        <v>42687007.749682888</v>
      </c>
      <c r="CT117" s="77">
        <f t="shared" si="103"/>
        <v>1.0236818188024859</v>
      </c>
      <c r="CU117" s="78">
        <f t="shared" si="104"/>
        <v>100</v>
      </c>
      <c r="CV117" s="79">
        <f t="shared" si="117"/>
        <v>2</v>
      </c>
      <c r="CW117" s="112">
        <f t="shared" si="105"/>
        <v>19.402302377129772</v>
      </c>
    </row>
    <row r="118" spans="1:101" x14ac:dyDescent="0.35">
      <c r="A118" s="7" t="s">
        <v>1524</v>
      </c>
      <c r="B118" s="8" t="s">
        <v>1525</v>
      </c>
      <c r="C118" s="21" t="s">
        <v>1526</v>
      </c>
      <c r="D118" s="10" t="s">
        <v>141</v>
      </c>
      <c r="E118" s="11" t="s">
        <v>750</v>
      </c>
      <c r="F118" s="11" t="s">
        <v>1527</v>
      </c>
      <c r="G118" s="12">
        <v>35759</v>
      </c>
      <c r="H118" s="11" t="s">
        <v>24</v>
      </c>
      <c r="I118" s="11" t="s">
        <v>1528</v>
      </c>
      <c r="J118" s="11" t="s">
        <v>1529</v>
      </c>
      <c r="K118" s="11" t="s">
        <v>50</v>
      </c>
      <c r="L118" s="23">
        <v>620348530</v>
      </c>
      <c r="M118" s="14">
        <v>68839722</v>
      </c>
      <c r="N118" s="14">
        <v>551508808</v>
      </c>
      <c r="O118" s="14">
        <v>211778911</v>
      </c>
      <c r="P118" s="14">
        <v>46883729</v>
      </c>
      <c r="Q118" s="14">
        <v>54068760</v>
      </c>
      <c r="R118" s="14">
        <v>46885493</v>
      </c>
      <c r="S118" s="15">
        <v>13554044</v>
      </c>
      <c r="T118" s="15">
        <v>1384864</v>
      </c>
      <c r="U118" s="15">
        <v>2368848</v>
      </c>
      <c r="V118" s="15">
        <f>2219000+696918+250000</f>
        <v>3165918</v>
      </c>
      <c r="W118" s="15">
        <f>8361</f>
        <v>8361</v>
      </c>
      <c r="X118" s="15">
        <v>0</v>
      </c>
      <c r="Z118" s="15">
        <v>0</v>
      </c>
      <c r="AA118" s="15">
        <v>0</v>
      </c>
      <c r="AB118" s="74">
        <f t="shared" si="65"/>
        <v>5543127</v>
      </c>
      <c r="AC118" s="75">
        <f t="shared" si="66"/>
        <v>40.896480784627819</v>
      </c>
      <c r="AD118" s="75">
        <f t="shared" si="67"/>
        <v>64.790148920056538</v>
      </c>
      <c r="AE118" s="76">
        <f t="shared" si="106"/>
        <v>1.9437044676016961</v>
      </c>
      <c r="AF118" s="77">
        <f t="shared" si="68"/>
        <v>45.481831972244635</v>
      </c>
      <c r="AG118" s="77">
        <f t="shared" si="69"/>
        <v>45.550538327151045</v>
      </c>
      <c r="AH118" s="77">
        <f t="shared" si="70"/>
        <v>6.8706354906410638E-2</v>
      </c>
      <c r="AI118" s="78">
        <f t="shared" si="71"/>
        <v>100</v>
      </c>
      <c r="AJ118" s="79">
        <f t="shared" si="107"/>
        <v>4</v>
      </c>
      <c r="AK118" s="113">
        <v>7</v>
      </c>
      <c r="AL118" s="113">
        <v>12</v>
      </c>
      <c r="AM118" s="113">
        <v>2</v>
      </c>
      <c r="AN118" s="81">
        <f t="shared" si="72"/>
        <v>19</v>
      </c>
      <c r="AO118" s="82">
        <f t="shared" si="73"/>
        <v>10.526315789473683</v>
      </c>
      <c r="AP118" s="83">
        <f t="shared" si="74"/>
        <v>80</v>
      </c>
      <c r="AQ118" s="84">
        <f t="shared" si="108"/>
        <v>1.6</v>
      </c>
      <c r="AR118" s="118">
        <v>2</v>
      </c>
      <c r="AS118" s="86">
        <f t="shared" si="75"/>
        <v>0.25</v>
      </c>
      <c r="AT118" s="87">
        <f t="shared" si="76"/>
        <v>1.75</v>
      </c>
      <c r="AU118" s="87">
        <f t="shared" si="77"/>
        <v>1</v>
      </c>
      <c r="AV118" s="88">
        <f t="shared" si="78"/>
        <v>14.285714285714285</v>
      </c>
      <c r="AW118" s="78">
        <f t="shared" si="79"/>
        <v>60</v>
      </c>
      <c r="AX118" s="89">
        <f t="shared" si="109"/>
        <v>0.6</v>
      </c>
      <c r="AY118" s="114">
        <v>8</v>
      </c>
      <c r="AZ118" s="114">
        <v>16</v>
      </c>
      <c r="BA118" s="91">
        <f t="shared" si="80"/>
        <v>16</v>
      </c>
      <c r="BB118" s="77">
        <f t="shared" si="81"/>
        <v>100</v>
      </c>
      <c r="BC118" s="78">
        <f t="shared" si="82"/>
        <v>100</v>
      </c>
      <c r="BD118" s="79">
        <f t="shared" si="110"/>
        <v>1</v>
      </c>
      <c r="BE118" s="92">
        <v>10718757</v>
      </c>
      <c r="BF118" s="92">
        <v>700412</v>
      </c>
      <c r="BG118" s="114">
        <v>670665</v>
      </c>
      <c r="BH118" s="94">
        <f t="shared" si="83"/>
        <v>11419169</v>
      </c>
      <c r="BI118" s="77">
        <f t="shared" si="84"/>
        <v>5.8731506644660394</v>
      </c>
      <c r="BJ118" s="95" t="str">
        <f t="shared" si="85"/>
        <v>전기전자/기계업</v>
      </c>
      <c r="BK118" s="96">
        <f t="shared" si="86"/>
        <v>2.4096449716116446</v>
      </c>
      <c r="BL118" s="97">
        <f t="shared" si="87"/>
        <v>3.4635056928543948</v>
      </c>
      <c r="BM118" s="98">
        <f t="shared" si="88"/>
        <v>40</v>
      </c>
      <c r="BN118" s="99">
        <f t="shared" si="89"/>
        <v>0.8</v>
      </c>
      <c r="BO118" s="114">
        <v>9993726</v>
      </c>
      <c r="BP118" s="101">
        <f t="shared" si="90"/>
        <v>4.7189429546174217</v>
      </c>
      <c r="BQ118" s="78">
        <f t="shared" si="91"/>
        <v>100</v>
      </c>
      <c r="BR118" s="79">
        <f t="shared" si="111"/>
        <v>2</v>
      </c>
      <c r="BS118" s="102">
        <v>13401088.76</v>
      </c>
      <c r="BT118" s="102">
        <v>353320.42800000001</v>
      </c>
      <c r="BU118" s="103">
        <f t="shared" si="92"/>
        <v>13047768.332</v>
      </c>
      <c r="BV118" s="77">
        <f t="shared" si="93"/>
        <v>6.1610328764038265</v>
      </c>
      <c r="BW118" s="96">
        <f t="shared" si="94"/>
        <v>5.2309968128308295</v>
      </c>
      <c r="BX118" s="96">
        <f t="shared" si="95"/>
        <v>0.86496707954635565</v>
      </c>
      <c r="BY118" s="96">
        <f t="shared" si="96"/>
        <v>7.0695458012309631</v>
      </c>
      <c r="BZ118" s="96">
        <f t="shared" si="97"/>
        <v>44.766803046408498</v>
      </c>
      <c r="CA118" s="96">
        <f t="shared" si="98"/>
        <v>55</v>
      </c>
      <c r="CB118" s="104">
        <f t="shared" si="99"/>
        <v>1.1000000000000001</v>
      </c>
      <c r="CC118" s="105">
        <f t="shared" si="112"/>
        <v>12.482071183893041</v>
      </c>
      <c r="CD118" s="106">
        <f t="shared" si="113"/>
        <v>95.672586237226241</v>
      </c>
      <c r="CE118" s="107">
        <f t="shared" si="114"/>
        <v>1.4350887935583936</v>
      </c>
      <c r="CF118" s="108" t="s">
        <v>2189</v>
      </c>
      <c r="CG118" s="108" t="s">
        <v>2189</v>
      </c>
      <c r="CH118" s="108" t="s">
        <v>2189</v>
      </c>
      <c r="CI118" s="108" t="s">
        <v>2189</v>
      </c>
      <c r="CJ118" s="109"/>
      <c r="CK118" s="116" t="s">
        <v>2207</v>
      </c>
      <c r="CL118" s="116" t="s">
        <v>2204</v>
      </c>
      <c r="CM118" s="111">
        <f t="shared" si="100"/>
        <v>70</v>
      </c>
      <c r="CN118" s="107">
        <f t="shared" si="115"/>
        <v>1.05</v>
      </c>
      <c r="CO118" s="114">
        <v>70581000</v>
      </c>
      <c r="CP118" s="88">
        <f t="shared" si="101"/>
        <v>12.79780104618021</v>
      </c>
      <c r="CQ118" s="78">
        <f t="shared" si="102"/>
        <v>60</v>
      </c>
      <c r="CR118" s="79">
        <f t="shared" si="116"/>
        <v>1.7999999999999998</v>
      </c>
      <c r="CS118" s="92">
        <f>_xlfn.XLOOKUP(C118, '[1]1-1. 관계사체무보증금액 (환율 등)'!$3:$3, '[1]1-1. 관계사체무보증금액 (환율 등)'!$33:$33)</f>
        <v>0</v>
      </c>
      <c r="CT118" s="77">
        <f t="shared" si="103"/>
        <v>0</v>
      </c>
      <c r="CU118" s="78">
        <f t="shared" si="104"/>
        <v>100</v>
      </c>
      <c r="CV118" s="79">
        <f t="shared" si="117"/>
        <v>2</v>
      </c>
      <c r="CW118" s="112">
        <f t="shared" si="105"/>
        <v>19.32879326116009</v>
      </c>
    </row>
    <row r="119" spans="1:101" x14ac:dyDescent="0.35">
      <c r="A119" s="7" t="s">
        <v>193</v>
      </c>
      <c r="B119" s="8" t="s">
        <v>194</v>
      </c>
      <c r="C119" s="21" t="s">
        <v>195</v>
      </c>
      <c r="D119" s="10" t="s">
        <v>75</v>
      </c>
      <c r="E119" s="11" t="s">
        <v>76</v>
      </c>
      <c r="F119" s="11" t="s">
        <v>196</v>
      </c>
      <c r="G119" s="12">
        <v>34695</v>
      </c>
      <c r="H119" s="11" t="s">
        <v>24</v>
      </c>
      <c r="I119" s="11" t="s">
        <v>197</v>
      </c>
      <c r="J119" s="11" t="s">
        <v>198</v>
      </c>
      <c r="K119" s="11" t="s">
        <v>27</v>
      </c>
      <c r="L119" s="23">
        <v>700649653</v>
      </c>
      <c r="M119" s="14">
        <v>158687185</v>
      </c>
      <c r="N119" s="14">
        <v>541962468</v>
      </c>
      <c r="O119" s="14">
        <v>797448219</v>
      </c>
      <c r="P119" s="14">
        <v>35898934</v>
      </c>
      <c r="Q119" s="14">
        <v>35959716</v>
      </c>
      <c r="R119" s="14">
        <v>29458044</v>
      </c>
      <c r="S119" s="15">
        <v>4840000</v>
      </c>
      <c r="T119" s="15">
        <v>84779</v>
      </c>
      <c r="U119" s="15">
        <v>2401112</v>
      </c>
      <c r="V119" s="15">
        <f>56656+5254+933+7414+416</f>
        <v>70673</v>
      </c>
      <c r="W119" s="15">
        <v>5254</v>
      </c>
      <c r="X119" s="15">
        <v>0</v>
      </c>
      <c r="Z119" s="15">
        <v>0</v>
      </c>
      <c r="AA119" s="15">
        <v>0</v>
      </c>
      <c r="AB119" s="74">
        <f t="shared" si="65"/>
        <v>2477039</v>
      </c>
      <c r="AC119" s="75">
        <f t="shared" si="66"/>
        <v>51.178491735537193</v>
      </c>
      <c r="AD119" s="75">
        <f t="shared" si="67"/>
        <v>55.91614637324178</v>
      </c>
      <c r="AE119" s="76">
        <f t="shared" si="106"/>
        <v>1.6774843911972532</v>
      </c>
      <c r="AF119" s="77">
        <f t="shared" si="68"/>
        <v>51.980444231719204</v>
      </c>
      <c r="AG119" s="77">
        <f t="shared" si="69"/>
        <v>52.090933313088918</v>
      </c>
      <c r="AH119" s="77">
        <f t="shared" si="70"/>
        <v>0.11048908136971392</v>
      </c>
      <c r="AI119" s="78">
        <f t="shared" si="71"/>
        <v>100</v>
      </c>
      <c r="AJ119" s="79">
        <f t="shared" si="107"/>
        <v>4</v>
      </c>
      <c r="AK119" s="113">
        <v>7</v>
      </c>
      <c r="AL119" s="113">
        <v>16</v>
      </c>
      <c r="AM119" s="80">
        <v>1</v>
      </c>
      <c r="AN119" s="81">
        <f t="shared" si="72"/>
        <v>23</v>
      </c>
      <c r="AO119" s="82">
        <f t="shared" si="73"/>
        <v>4.3478260869565215</v>
      </c>
      <c r="AP119" s="83">
        <f t="shared" si="74"/>
        <v>100</v>
      </c>
      <c r="AQ119" s="84">
        <f t="shared" si="108"/>
        <v>2</v>
      </c>
      <c r="AR119" s="118">
        <v>2</v>
      </c>
      <c r="AS119" s="86">
        <f t="shared" si="75"/>
        <v>0.25</v>
      </c>
      <c r="AT119" s="87">
        <f t="shared" si="76"/>
        <v>1.75</v>
      </c>
      <c r="AU119" s="87">
        <f t="shared" si="77"/>
        <v>1</v>
      </c>
      <c r="AV119" s="88">
        <f t="shared" si="78"/>
        <v>14.285714285714285</v>
      </c>
      <c r="AW119" s="78">
        <f t="shared" si="79"/>
        <v>60</v>
      </c>
      <c r="AX119" s="89">
        <f t="shared" si="109"/>
        <v>0.6</v>
      </c>
      <c r="AY119" s="114">
        <v>13</v>
      </c>
      <c r="AZ119" s="114">
        <v>26</v>
      </c>
      <c r="BA119" s="91">
        <f t="shared" si="80"/>
        <v>26</v>
      </c>
      <c r="BB119" s="77">
        <f t="shared" si="81"/>
        <v>100</v>
      </c>
      <c r="BC119" s="78">
        <f t="shared" si="82"/>
        <v>100</v>
      </c>
      <c r="BD119" s="79">
        <f t="shared" si="110"/>
        <v>1</v>
      </c>
      <c r="BE119" s="92">
        <v>6785886.6339999996</v>
      </c>
      <c r="BF119" s="92">
        <v>501528.96100000001</v>
      </c>
      <c r="BG119" s="114">
        <v>674616.25600000005</v>
      </c>
      <c r="BH119" s="94">
        <f t="shared" si="83"/>
        <v>7287415.5949999997</v>
      </c>
      <c r="BI119" s="77">
        <f t="shared" si="84"/>
        <v>9.2572771129296356</v>
      </c>
      <c r="BJ119" s="95" t="str">
        <f t="shared" si="85"/>
        <v>금속/비금속/화학업</v>
      </c>
      <c r="BK119" s="96">
        <f t="shared" si="86"/>
        <v>3.9534118626990469</v>
      </c>
      <c r="BL119" s="97">
        <f t="shared" si="87"/>
        <v>5.3038652502305883</v>
      </c>
      <c r="BM119" s="98">
        <f t="shared" si="88"/>
        <v>40</v>
      </c>
      <c r="BN119" s="99">
        <f t="shared" si="89"/>
        <v>0.8</v>
      </c>
      <c r="BO119" s="114">
        <v>4614897</v>
      </c>
      <c r="BP119" s="101">
        <f t="shared" si="90"/>
        <v>0.57870804524299779</v>
      </c>
      <c r="BQ119" s="78">
        <f t="shared" si="91"/>
        <v>70</v>
      </c>
      <c r="BR119" s="79">
        <f t="shared" si="111"/>
        <v>1.4000000000000001</v>
      </c>
      <c r="BS119" s="102">
        <v>46082546.153999999</v>
      </c>
      <c r="BT119" s="102">
        <v>35727.364000000001</v>
      </c>
      <c r="BU119" s="103">
        <f t="shared" si="92"/>
        <v>46046818.789999999</v>
      </c>
      <c r="BV119" s="77">
        <f t="shared" si="93"/>
        <v>5.7742706915494404</v>
      </c>
      <c r="BW119" s="96">
        <f t="shared" si="94"/>
        <v>5.1474158565187738</v>
      </c>
      <c r="BX119" s="96">
        <f t="shared" si="95"/>
        <v>0.39294698420132429</v>
      </c>
      <c r="BY119" s="96">
        <f t="shared" si="96"/>
        <v>6.6930498535228535</v>
      </c>
      <c r="BZ119" s="96">
        <f t="shared" si="97"/>
        <v>46.269058519024561</v>
      </c>
      <c r="CA119" s="96">
        <f t="shared" si="98"/>
        <v>55</v>
      </c>
      <c r="CB119" s="104">
        <f t="shared" si="99"/>
        <v>1.1000000000000001</v>
      </c>
      <c r="CC119" s="105">
        <f t="shared" si="112"/>
        <v>29.280105979589717</v>
      </c>
      <c r="CD119" s="106">
        <f t="shared" si="113"/>
        <v>89.341668600657144</v>
      </c>
      <c r="CE119" s="107">
        <f t="shared" si="114"/>
        <v>1.3401250290098572</v>
      </c>
      <c r="CF119" s="108" t="s">
        <v>2189</v>
      </c>
      <c r="CG119" s="108" t="s">
        <v>2189</v>
      </c>
      <c r="CH119" s="108" t="s">
        <v>2189</v>
      </c>
      <c r="CI119" s="108" t="s">
        <v>2189</v>
      </c>
      <c r="CJ119" s="109"/>
      <c r="CK119" s="116" t="s">
        <v>2192</v>
      </c>
      <c r="CL119" s="116" t="s">
        <v>2193</v>
      </c>
      <c r="CM119" s="111">
        <f t="shared" si="100"/>
        <v>25</v>
      </c>
      <c r="CN119" s="107">
        <f t="shared" si="115"/>
        <v>0.375</v>
      </c>
      <c r="CO119" s="114">
        <f>8731434+420200+3208650</f>
        <v>12360284</v>
      </c>
      <c r="CP119" s="88">
        <f t="shared" si="101"/>
        <v>2.2806531318696406</v>
      </c>
      <c r="CQ119" s="78">
        <f t="shared" si="102"/>
        <v>100</v>
      </c>
      <c r="CR119" s="79">
        <f t="shared" si="116"/>
        <v>3</v>
      </c>
      <c r="CS119" s="92">
        <f>_xlfn.XLOOKUP(C119, '[1]1-1. 관계사체무보증금액 (환율 등)'!$3:$3, '[1]1-1. 관계사체무보증금액 (환율 등)'!$33:$33)</f>
        <v>10114525.214234229</v>
      </c>
      <c r="CT119" s="77">
        <f t="shared" si="103"/>
        <v>1.8662777980843921</v>
      </c>
      <c r="CU119" s="78">
        <f t="shared" si="104"/>
        <v>100</v>
      </c>
      <c r="CV119" s="79">
        <f t="shared" si="117"/>
        <v>2</v>
      </c>
      <c r="CW119" s="112">
        <f t="shared" si="105"/>
        <v>19.292609420207111</v>
      </c>
    </row>
    <row r="120" spans="1:101" x14ac:dyDescent="0.35">
      <c r="A120" s="7" t="s">
        <v>568</v>
      </c>
      <c r="B120" s="8" t="s">
        <v>569</v>
      </c>
      <c r="C120" s="21" t="s">
        <v>570</v>
      </c>
      <c r="D120" s="22" t="s">
        <v>31</v>
      </c>
      <c r="E120" s="11" t="s">
        <v>183</v>
      </c>
      <c r="F120" s="11" t="s">
        <v>571</v>
      </c>
      <c r="G120" s="12">
        <v>37561</v>
      </c>
      <c r="H120" s="11" t="s">
        <v>24</v>
      </c>
      <c r="I120" s="11" t="s">
        <v>572</v>
      </c>
      <c r="J120" s="11" t="s">
        <v>573</v>
      </c>
      <c r="K120" s="11" t="s">
        <v>50</v>
      </c>
      <c r="L120" s="23">
        <v>1374022214</v>
      </c>
      <c r="M120" s="14">
        <v>714171561</v>
      </c>
      <c r="N120" s="14">
        <v>659850653</v>
      </c>
      <c r="O120" s="14">
        <v>1161253630</v>
      </c>
      <c r="P120" s="14">
        <v>105963323</v>
      </c>
      <c r="Q120" s="14">
        <v>44624254</v>
      </c>
      <c r="R120" s="14">
        <v>48561673</v>
      </c>
      <c r="S120" s="15">
        <v>11586575</v>
      </c>
      <c r="T120" s="15">
        <v>517367</v>
      </c>
      <c r="U120" s="15">
        <v>5528060</v>
      </c>
      <c r="V120" s="15">
        <f>39185+179</f>
        <v>39364</v>
      </c>
      <c r="W120" s="15">
        <f>34632+1114+532</f>
        <v>36278</v>
      </c>
      <c r="X120" s="15">
        <v>998453</v>
      </c>
      <c r="Y120" s="24" t="s">
        <v>2070</v>
      </c>
      <c r="Z120" s="15">
        <v>0</v>
      </c>
      <c r="AA120" s="15">
        <v>0</v>
      </c>
      <c r="AB120" s="74">
        <f t="shared" si="65"/>
        <v>6602155</v>
      </c>
      <c r="AC120" s="75">
        <f t="shared" si="66"/>
        <v>56.981075080427132</v>
      </c>
      <c r="AD120" s="75">
        <f t="shared" si="67"/>
        <v>50.908163049113526</v>
      </c>
      <c r="AE120" s="76">
        <f t="shared" si="106"/>
        <v>1.5272448914734058</v>
      </c>
      <c r="AF120" s="77">
        <f t="shared" si="68"/>
        <v>50.2964981776474</v>
      </c>
      <c r="AG120" s="77">
        <f t="shared" si="69"/>
        <v>59.644330470617227</v>
      </c>
      <c r="AH120" s="77">
        <f t="shared" si="70"/>
        <v>9.3478322929698265</v>
      </c>
      <c r="AI120" s="78">
        <f t="shared" si="71"/>
        <v>100</v>
      </c>
      <c r="AJ120" s="79">
        <f t="shared" si="107"/>
        <v>4</v>
      </c>
      <c r="AK120" s="113">
        <v>7</v>
      </c>
      <c r="AL120" s="113">
        <v>4</v>
      </c>
      <c r="AM120" s="80">
        <v>1</v>
      </c>
      <c r="AN120" s="81">
        <f t="shared" si="72"/>
        <v>11</v>
      </c>
      <c r="AO120" s="82">
        <f t="shared" si="73"/>
        <v>9.0909090909090917</v>
      </c>
      <c r="AP120" s="83">
        <f t="shared" si="74"/>
        <v>100</v>
      </c>
      <c r="AQ120" s="84">
        <f t="shared" si="108"/>
        <v>2</v>
      </c>
      <c r="AR120" s="118">
        <v>3</v>
      </c>
      <c r="AS120" s="86">
        <f t="shared" si="75"/>
        <v>0.25</v>
      </c>
      <c r="AT120" s="87">
        <f t="shared" si="76"/>
        <v>1.75</v>
      </c>
      <c r="AU120" s="87">
        <f t="shared" si="77"/>
        <v>1</v>
      </c>
      <c r="AV120" s="88">
        <f t="shared" si="78"/>
        <v>28.571428571428569</v>
      </c>
      <c r="AW120" s="78">
        <f t="shared" si="79"/>
        <v>80</v>
      </c>
      <c r="AX120" s="89">
        <f t="shared" si="109"/>
        <v>0.8</v>
      </c>
      <c r="AY120" s="114">
        <v>6</v>
      </c>
      <c r="AZ120" s="114">
        <f>18-4</f>
        <v>14</v>
      </c>
      <c r="BA120" s="91">
        <f t="shared" si="80"/>
        <v>18</v>
      </c>
      <c r="BB120" s="77">
        <f t="shared" si="81"/>
        <v>77.777777777777786</v>
      </c>
      <c r="BC120" s="78">
        <f t="shared" si="82"/>
        <v>50</v>
      </c>
      <c r="BD120" s="79">
        <f t="shared" si="110"/>
        <v>0.5</v>
      </c>
      <c r="BE120" s="92">
        <v>71723804</v>
      </c>
      <c r="BF120" s="92">
        <v>4743521</v>
      </c>
      <c r="BG120" s="114">
        <v>255545</v>
      </c>
      <c r="BH120" s="94">
        <f t="shared" si="83"/>
        <v>76467325</v>
      </c>
      <c r="BI120" s="77">
        <f t="shared" si="84"/>
        <v>0.33418849162044051</v>
      </c>
      <c r="BJ120" s="95" t="str">
        <f t="shared" si="85"/>
        <v>식약/섬유/종이업</v>
      </c>
      <c r="BK120" s="96">
        <f t="shared" si="86"/>
        <v>2.1999360555264453</v>
      </c>
      <c r="BL120" s="97">
        <f t="shared" si="87"/>
        <v>-1.8657475639060048</v>
      </c>
      <c r="BM120" s="98">
        <f t="shared" si="88"/>
        <v>80</v>
      </c>
      <c r="BN120" s="99">
        <f t="shared" si="89"/>
        <v>1.6</v>
      </c>
      <c r="BO120" s="114">
        <v>200586832</v>
      </c>
      <c r="BP120" s="101">
        <f t="shared" si="90"/>
        <v>17.273300751705722</v>
      </c>
      <c r="BQ120" s="78">
        <f t="shared" si="91"/>
        <v>100</v>
      </c>
      <c r="BR120" s="79">
        <f t="shared" si="111"/>
        <v>2</v>
      </c>
      <c r="BS120" s="102">
        <v>45696832.747000001</v>
      </c>
      <c r="BT120" s="102">
        <v>457739.65700000001</v>
      </c>
      <c r="BU120" s="103">
        <f t="shared" si="92"/>
        <v>45239093.090000004</v>
      </c>
      <c r="BV120" s="77">
        <f t="shared" si="93"/>
        <v>3.8957116620595622</v>
      </c>
      <c r="BW120" s="96">
        <f t="shared" si="94"/>
        <v>5.0508176117342298</v>
      </c>
      <c r="BX120" s="96">
        <f t="shared" si="95"/>
        <v>1.3342697549738158</v>
      </c>
      <c r="BY120" s="96">
        <f t="shared" si="96"/>
        <v>6.9871618081220923</v>
      </c>
      <c r="BZ120" s="96">
        <f t="shared" si="97"/>
        <v>56.565328554890357</v>
      </c>
      <c r="CA120" s="96">
        <f t="shared" si="98"/>
        <v>55</v>
      </c>
      <c r="CB120" s="104">
        <f t="shared" si="99"/>
        <v>1.1000000000000001</v>
      </c>
      <c r="CC120" s="105">
        <f t="shared" si="112"/>
        <v>108.23230343912383</v>
      </c>
      <c r="CD120" s="106">
        <f t="shared" si="113"/>
        <v>59.585815286762376</v>
      </c>
      <c r="CE120" s="107">
        <f t="shared" si="114"/>
        <v>0.89378722930143562</v>
      </c>
      <c r="CF120" s="108" t="s">
        <v>2189</v>
      </c>
      <c r="CG120" s="108" t="s">
        <v>2189</v>
      </c>
      <c r="CH120" s="108" t="s">
        <v>2189</v>
      </c>
      <c r="CI120" s="108" t="s">
        <v>2189</v>
      </c>
      <c r="CJ120" s="109"/>
      <c r="CK120" s="116" t="s">
        <v>2207</v>
      </c>
      <c r="CL120" s="116" t="s">
        <v>2204</v>
      </c>
      <c r="CM120" s="111">
        <f t="shared" si="100"/>
        <v>70</v>
      </c>
      <c r="CN120" s="107">
        <f t="shared" si="115"/>
        <v>1.05</v>
      </c>
      <c r="CO120" s="114">
        <v>115845670</v>
      </c>
      <c r="CP120" s="88">
        <f t="shared" si="101"/>
        <v>17.556346951133499</v>
      </c>
      <c r="CQ120" s="78">
        <f t="shared" si="102"/>
        <v>60</v>
      </c>
      <c r="CR120" s="79">
        <f t="shared" si="116"/>
        <v>1.7999999999999998</v>
      </c>
      <c r="CS120" s="92">
        <f>_xlfn.XLOOKUP(C120, '[1]1-1. 관계사체무보증금액 (환율 등)'!$3:$3, '[1]1-1. 관계사체무보증금액 (환율 등)'!$33:$33)</f>
        <v>0</v>
      </c>
      <c r="CT120" s="77">
        <f t="shared" si="103"/>
        <v>0</v>
      </c>
      <c r="CU120" s="78">
        <f t="shared" si="104"/>
        <v>100</v>
      </c>
      <c r="CV120" s="79">
        <f t="shared" si="117"/>
        <v>2</v>
      </c>
      <c r="CW120" s="112">
        <f t="shared" si="105"/>
        <v>19.271032120774841</v>
      </c>
    </row>
    <row r="121" spans="1:101" x14ac:dyDescent="0.35">
      <c r="A121" s="7" t="s">
        <v>18</v>
      </c>
      <c r="B121" s="8" t="s">
        <v>19</v>
      </c>
      <c r="C121" s="9" t="s">
        <v>20</v>
      </c>
      <c r="D121" s="10" t="s">
        <v>21</v>
      </c>
      <c r="E121" s="11" t="s">
        <v>22</v>
      </c>
      <c r="F121" s="11" t="s">
        <v>23</v>
      </c>
      <c r="G121" s="12">
        <v>43077</v>
      </c>
      <c r="H121" s="11" t="s">
        <v>24</v>
      </c>
      <c r="I121" s="11" t="s">
        <v>25</v>
      </c>
      <c r="J121" s="11" t="s">
        <v>26</v>
      </c>
      <c r="K121" s="11" t="s">
        <v>27</v>
      </c>
      <c r="L121" s="195">
        <v>2857090834</v>
      </c>
      <c r="M121" s="197">
        <v>1925834121</v>
      </c>
      <c r="N121" s="197">
        <v>931256713</v>
      </c>
      <c r="O121" s="197">
        <v>7577772993</v>
      </c>
      <c r="P121" s="197">
        <v>249222456</v>
      </c>
      <c r="Q121" s="197">
        <v>250446471</v>
      </c>
      <c r="R121" s="14">
        <v>190700183</v>
      </c>
      <c r="S121" s="15">
        <v>17283906</v>
      </c>
      <c r="T121" s="15">
        <v>8891</v>
      </c>
      <c r="U121" s="16">
        <v>5185172</v>
      </c>
      <c r="V121" s="16">
        <f>1271876+547071+921322+709646+251893+242825+2329</f>
        <v>3946962</v>
      </c>
      <c r="W121" s="16">
        <f>179820+11162+4360+1050+174+3558+1000+100</f>
        <v>201224</v>
      </c>
      <c r="X121" s="16">
        <f>1799+1798</f>
        <v>3597</v>
      </c>
      <c r="Y121" s="17" t="s">
        <v>2048</v>
      </c>
      <c r="Z121" s="16">
        <v>0</v>
      </c>
      <c r="AA121" s="16">
        <v>0</v>
      </c>
      <c r="AB121" s="74">
        <f t="shared" si="65"/>
        <v>9336955</v>
      </c>
      <c r="AC121" s="75">
        <f t="shared" si="66"/>
        <v>54.02109338016534</v>
      </c>
      <c r="AD121" s="75">
        <f t="shared" si="67"/>
        <v>53.462807784667433</v>
      </c>
      <c r="AE121" s="76">
        <f t="shared" si="106"/>
        <v>1.603884233540023</v>
      </c>
      <c r="AF121" s="77">
        <f t="shared" si="68"/>
        <v>52.863247875616892</v>
      </c>
      <c r="AG121" s="77">
        <f t="shared" si="69"/>
        <v>54.048896629033315</v>
      </c>
      <c r="AH121" s="77">
        <f t="shared" si="70"/>
        <v>1.1856487534164231</v>
      </c>
      <c r="AI121" s="78">
        <f t="shared" si="71"/>
        <v>100</v>
      </c>
      <c r="AJ121" s="79">
        <f t="shared" si="107"/>
        <v>4</v>
      </c>
      <c r="AK121" s="80">
        <v>7</v>
      </c>
      <c r="AL121" s="80">
        <v>22</v>
      </c>
      <c r="AM121" s="80">
        <v>1</v>
      </c>
      <c r="AN121" s="81">
        <f t="shared" si="72"/>
        <v>29</v>
      </c>
      <c r="AO121" s="82">
        <f t="shared" si="73"/>
        <v>3.4482758620689653</v>
      </c>
      <c r="AP121" s="83">
        <f t="shared" si="74"/>
        <v>100</v>
      </c>
      <c r="AQ121" s="84">
        <f t="shared" si="108"/>
        <v>2</v>
      </c>
      <c r="AR121" s="85">
        <v>5</v>
      </c>
      <c r="AS121" s="86">
        <f t="shared" si="75"/>
        <v>0.5</v>
      </c>
      <c r="AT121" s="87">
        <f t="shared" si="76"/>
        <v>3.5</v>
      </c>
      <c r="AU121" s="87">
        <f t="shared" si="77"/>
        <v>3</v>
      </c>
      <c r="AV121" s="88">
        <f t="shared" si="78"/>
        <v>28.571428571428569</v>
      </c>
      <c r="AW121" s="78">
        <f t="shared" si="79"/>
        <v>80</v>
      </c>
      <c r="AX121" s="89">
        <f t="shared" si="109"/>
        <v>0.8</v>
      </c>
      <c r="AY121" s="90">
        <v>11</v>
      </c>
      <c r="AZ121" s="85">
        <f>4*3+5*6+4*2</f>
        <v>50</v>
      </c>
      <c r="BA121" s="91">
        <f t="shared" si="80"/>
        <v>55</v>
      </c>
      <c r="BB121" s="77">
        <f t="shared" si="81"/>
        <v>90.909090909090907</v>
      </c>
      <c r="BC121" s="78">
        <f t="shared" si="82"/>
        <v>100</v>
      </c>
      <c r="BD121" s="79">
        <f t="shared" si="110"/>
        <v>1</v>
      </c>
      <c r="BE121" s="92">
        <v>158631000</v>
      </c>
      <c r="BF121" s="92">
        <v>11401000</v>
      </c>
      <c r="BG121" s="93">
        <v>0</v>
      </c>
      <c r="BH121" s="94">
        <f t="shared" si="83"/>
        <v>170032000</v>
      </c>
      <c r="BI121" s="77">
        <f t="shared" si="84"/>
        <v>0</v>
      </c>
      <c r="BJ121" s="95" t="str">
        <f t="shared" si="85"/>
        <v>비제조/서비스업</v>
      </c>
      <c r="BK121" s="96">
        <f t="shared" si="86"/>
        <v>1.7464434573900922</v>
      </c>
      <c r="BL121" s="97">
        <f t="shared" si="87"/>
        <v>-1.7464434573900922</v>
      </c>
      <c r="BM121" s="98">
        <f t="shared" si="88"/>
        <v>80</v>
      </c>
      <c r="BN121" s="99">
        <f t="shared" si="89"/>
        <v>1.6</v>
      </c>
      <c r="BO121" s="100">
        <v>9843000</v>
      </c>
      <c r="BP121" s="101">
        <f t="shared" si="90"/>
        <v>0.12989304389419573</v>
      </c>
      <c r="BQ121" s="78">
        <f t="shared" si="91"/>
        <v>55</v>
      </c>
      <c r="BR121" s="79">
        <f t="shared" si="111"/>
        <v>1.1000000000000001</v>
      </c>
      <c r="BS121" s="102">
        <v>211263080.30199999</v>
      </c>
      <c r="BT121" s="102">
        <v>549918.28799999994</v>
      </c>
      <c r="BU121" s="103">
        <f t="shared" si="92"/>
        <v>210713162.014</v>
      </c>
      <c r="BV121" s="77">
        <f t="shared" si="93"/>
        <v>2.7806739817707284</v>
      </c>
      <c r="BW121" s="96">
        <f t="shared" si="94"/>
        <v>2.8482825397737606</v>
      </c>
      <c r="BX121" s="96">
        <f t="shared" si="95"/>
        <v>4.5709171152493577E-3</v>
      </c>
      <c r="BY121" s="96">
        <f t="shared" si="96"/>
        <v>5.5697595856656807</v>
      </c>
      <c r="BZ121" s="96">
        <f t="shared" si="97"/>
        <v>50.48424441933286</v>
      </c>
      <c r="CA121" s="96">
        <f t="shared" si="98"/>
        <v>55</v>
      </c>
      <c r="CB121" s="104">
        <f t="shared" si="99"/>
        <v>1.1000000000000001</v>
      </c>
      <c r="CC121" s="105">
        <f t="shared" si="112"/>
        <v>206.79948870339041</v>
      </c>
      <c r="CD121" s="106">
        <f t="shared" si="113"/>
        <v>25</v>
      </c>
      <c r="CE121" s="107">
        <f t="shared" si="114"/>
        <v>0.375</v>
      </c>
      <c r="CF121" s="108" t="s">
        <v>2189</v>
      </c>
      <c r="CG121" s="108" t="s">
        <v>2189</v>
      </c>
      <c r="CH121" s="108" t="s">
        <v>2189</v>
      </c>
      <c r="CI121" s="108" t="s">
        <v>2189</v>
      </c>
      <c r="CJ121" s="109"/>
      <c r="CK121" s="110" t="s">
        <v>2190</v>
      </c>
      <c r="CL121" s="110" t="s">
        <v>2191</v>
      </c>
      <c r="CM121" s="111">
        <f t="shared" si="100"/>
        <v>85</v>
      </c>
      <c r="CN121" s="107">
        <f t="shared" si="115"/>
        <v>1.2749999999999999</v>
      </c>
      <c r="CO121" s="92">
        <f>39104000+33584000+3302000</f>
        <v>75990000</v>
      </c>
      <c r="CP121" s="88">
        <f t="shared" si="101"/>
        <v>8.1599411783246918</v>
      </c>
      <c r="CQ121" s="78">
        <f t="shared" si="102"/>
        <v>80</v>
      </c>
      <c r="CR121" s="79">
        <f t="shared" si="116"/>
        <v>2.4</v>
      </c>
      <c r="CS121" s="92">
        <f>_xlfn.XLOOKUP(C121, '[1]1-1. 관계사체무보증금액 (환율 등)'!$3:$3, '[1]1-1. 관계사체무보증금액 (환율 등)'!$33:$33)</f>
        <v>11092000</v>
      </c>
      <c r="CT121" s="77">
        <f t="shared" si="103"/>
        <v>1.1910786623236937</v>
      </c>
      <c r="CU121" s="78">
        <f t="shared" si="104"/>
        <v>100</v>
      </c>
      <c r="CV121" s="79">
        <f t="shared" si="117"/>
        <v>2</v>
      </c>
      <c r="CW121" s="112">
        <f t="shared" si="105"/>
        <v>19.25388423354002</v>
      </c>
    </row>
    <row r="122" spans="1:101" x14ac:dyDescent="0.35">
      <c r="A122" s="7" t="s">
        <v>213</v>
      </c>
      <c r="B122" s="8" t="s">
        <v>214</v>
      </c>
      <c r="C122" s="21" t="s">
        <v>215</v>
      </c>
      <c r="D122" s="27" t="s">
        <v>21</v>
      </c>
      <c r="E122" s="11" t="s">
        <v>208</v>
      </c>
      <c r="F122" s="11" t="s">
        <v>216</v>
      </c>
      <c r="G122" s="12">
        <v>40529</v>
      </c>
      <c r="H122" s="11" t="s">
        <v>24</v>
      </c>
      <c r="I122" s="11" t="s">
        <v>217</v>
      </c>
      <c r="J122" s="11" t="s">
        <v>218</v>
      </c>
      <c r="K122" s="11" t="s">
        <v>27</v>
      </c>
      <c r="L122" s="23">
        <v>396208069</v>
      </c>
      <c r="M122" s="14">
        <v>199203706</v>
      </c>
      <c r="N122" s="14">
        <v>197004363</v>
      </c>
      <c r="O122" s="14">
        <v>535783306</v>
      </c>
      <c r="P122" s="14">
        <v>19544619</v>
      </c>
      <c r="Q122" s="14">
        <v>19862607</v>
      </c>
      <c r="R122" s="14">
        <v>15916624</v>
      </c>
      <c r="S122" s="15">
        <v>34802000</v>
      </c>
      <c r="T122" s="15">
        <v>4182218</v>
      </c>
      <c r="U122" s="15">
        <v>10196190</v>
      </c>
      <c r="V122" s="15">
        <v>0</v>
      </c>
      <c r="W122" s="15">
        <f>4000*3+620+2000+310+100+548</f>
        <v>15578</v>
      </c>
      <c r="X122" s="15">
        <v>0</v>
      </c>
      <c r="Z122" s="15">
        <v>0</v>
      </c>
      <c r="AA122" s="15">
        <v>0</v>
      </c>
      <c r="AB122" s="74">
        <f t="shared" si="65"/>
        <v>10211768</v>
      </c>
      <c r="AC122" s="75">
        <f t="shared" si="66"/>
        <v>29.342474570426987</v>
      </c>
      <c r="AD122" s="75">
        <f t="shared" si="67"/>
        <v>74.761960957629185</v>
      </c>
      <c r="AE122" s="76">
        <f t="shared" si="106"/>
        <v>2.2428588287288753</v>
      </c>
      <c r="AF122" s="77">
        <f t="shared" si="68"/>
        <v>33.29935529913309</v>
      </c>
      <c r="AG122" s="77">
        <f t="shared" si="69"/>
        <v>33.350230906281439</v>
      </c>
      <c r="AH122" s="77">
        <f t="shared" si="70"/>
        <v>5.0875607148348934E-2</v>
      </c>
      <c r="AI122" s="78">
        <f t="shared" si="71"/>
        <v>100</v>
      </c>
      <c r="AJ122" s="79">
        <f t="shared" si="107"/>
        <v>4</v>
      </c>
      <c r="AK122" s="113">
        <v>7</v>
      </c>
      <c r="AL122" s="113">
        <v>10</v>
      </c>
      <c r="AM122" s="113">
        <v>0</v>
      </c>
      <c r="AN122" s="81">
        <f t="shared" si="72"/>
        <v>17</v>
      </c>
      <c r="AO122" s="82">
        <f t="shared" si="73"/>
        <v>0</v>
      </c>
      <c r="AP122" s="83">
        <f t="shared" si="74"/>
        <v>100</v>
      </c>
      <c r="AQ122" s="84">
        <f t="shared" si="108"/>
        <v>2</v>
      </c>
      <c r="AR122" s="118">
        <v>3</v>
      </c>
      <c r="AS122" s="86">
        <f t="shared" si="75"/>
        <v>0.25</v>
      </c>
      <c r="AT122" s="87">
        <f t="shared" si="76"/>
        <v>1.75</v>
      </c>
      <c r="AU122" s="87">
        <f t="shared" si="77"/>
        <v>1</v>
      </c>
      <c r="AV122" s="88">
        <f t="shared" si="78"/>
        <v>28.571428571428569</v>
      </c>
      <c r="AW122" s="78">
        <f t="shared" si="79"/>
        <v>80</v>
      </c>
      <c r="AX122" s="89">
        <f t="shared" si="109"/>
        <v>0.8</v>
      </c>
      <c r="AY122" s="114">
        <v>11</v>
      </c>
      <c r="AZ122" s="114">
        <f>3*9+4</f>
        <v>31</v>
      </c>
      <c r="BA122" s="91">
        <f t="shared" si="80"/>
        <v>33</v>
      </c>
      <c r="BB122" s="77">
        <f t="shared" si="81"/>
        <v>93.939393939393938</v>
      </c>
      <c r="BC122" s="78">
        <f t="shared" si="82"/>
        <v>100</v>
      </c>
      <c r="BD122" s="79">
        <f t="shared" si="110"/>
        <v>1</v>
      </c>
      <c r="BE122" s="92">
        <v>255347461</v>
      </c>
      <c r="BF122" s="92">
        <f>16175248+4096262</f>
        <v>20271510</v>
      </c>
      <c r="BG122" s="93">
        <v>0</v>
      </c>
      <c r="BH122" s="94">
        <f t="shared" si="83"/>
        <v>275618971</v>
      </c>
      <c r="BI122" s="77">
        <f t="shared" si="84"/>
        <v>0</v>
      </c>
      <c r="BJ122" s="95" t="str">
        <f t="shared" si="85"/>
        <v>비제조/서비스업</v>
      </c>
      <c r="BK122" s="96">
        <f t="shared" si="86"/>
        <v>1.7464434573900922</v>
      </c>
      <c r="BL122" s="97">
        <f t="shared" si="87"/>
        <v>-1.7464434573900922</v>
      </c>
      <c r="BM122" s="98">
        <f t="shared" si="88"/>
        <v>80</v>
      </c>
      <c r="BN122" s="99">
        <f t="shared" si="89"/>
        <v>1.6</v>
      </c>
      <c r="BO122" s="114">
        <v>0</v>
      </c>
      <c r="BP122" s="101">
        <f t="shared" si="90"/>
        <v>0</v>
      </c>
      <c r="BQ122" s="78">
        <f t="shared" si="91"/>
        <v>25</v>
      </c>
      <c r="BR122" s="79">
        <f t="shared" si="111"/>
        <v>0.5</v>
      </c>
      <c r="BS122" s="102">
        <v>19768142.912999999</v>
      </c>
      <c r="BT122" s="102">
        <v>187058.07500000001</v>
      </c>
      <c r="BU122" s="103">
        <f t="shared" si="92"/>
        <v>19581084.838</v>
      </c>
      <c r="BV122" s="77">
        <f t="shared" si="93"/>
        <v>3.6546649771876245</v>
      </c>
      <c r="BW122" s="96">
        <f t="shared" si="94"/>
        <v>2.8482825397737606</v>
      </c>
      <c r="BX122" s="96">
        <f t="shared" si="95"/>
        <v>0.65025263536952416</v>
      </c>
      <c r="BY122" s="96">
        <f t="shared" si="96"/>
        <v>5.5697595856656807</v>
      </c>
      <c r="BZ122" s="96">
        <f t="shared" si="97"/>
        <v>44.244280810891134</v>
      </c>
      <c r="CA122" s="96">
        <f t="shared" si="98"/>
        <v>55</v>
      </c>
      <c r="CB122" s="104">
        <f t="shared" si="99"/>
        <v>1.1000000000000001</v>
      </c>
      <c r="CC122" s="105">
        <f t="shared" si="112"/>
        <v>101.11639304150843</v>
      </c>
      <c r="CD122" s="106">
        <f t="shared" si="113"/>
        <v>62.267691064758132</v>
      </c>
      <c r="CE122" s="107">
        <f t="shared" si="114"/>
        <v>0.93401536597137191</v>
      </c>
      <c r="CF122" s="108" t="s">
        <v>2189</v>
      </c>
      <c r="CG122" s="108" t="s">
        <v>2189</v>
      </c>
      <c r="CH122" s="108" t="s">
        <v>2189</v>
      </c>
      <c r="CI122" s="108" t="s">
        <v>2189</v>
      </c>
      <c r="CJ122" s="109"/>
      <c r="CK122" s="116" t="s">
        <v>2190</v>
      </c>
      <c r="CL122" s="116" t="s">
        <v>2191</v>
      </c>
      <c r="CM122" s="111">
        <f t="shared" si="100"/>
        <v>85</v>
      </c>
      <c r="CN122" s="107">
        <f t="shared" si="115"/>
        <v>1.2749999999999999</v>
      </c>
      <c r="CO122" s="114">
        <f>22961000+6598000+643000+3240000+569000</f>
        <v>34011000</v>
      </c>
      <c r="CP122" s="88">
        <f t="shared" si="101"/>
        <v>17.264084653800282</v>
      </c>
      <c r="CQ122" s="78">
        <f t="shared" si="102"/>
        <v>60</v>
      </c>
      <c r="CR122" s="79">
        <f t="shared" si="116"/>
        <v>1.7999999999999998</v>
      </c>
      <c r="CS122" s="92">
        <f>_xlfn.XLOOKUP(C122, '[1]1-1. 관계사체무보증금액 (환율 등)'!$3:$3, '[1]1-1. 관계사체무보증금액 (환율 등)'!$33:$33)</f>
        <v>0</v>
      </c>
      <c r="CT122" s="77">
        <f t="shared" si="103"/>
        <v>0</v>
      </c>
      <c r="CU122" s="78">
        <f t="shared" si="104"/>
        <v>100</v>
      </c>
      <c r="CV122" s="79">
        <f t="shared" si="117"/>
        <v>2</v>
      </c>
      <c r="CW122" s="112">
        <f t="shared" si="105"/>
        <v>19.251874194700246</v>
      </c>
    </row>
    <row r="123" spans="1:101" x14ac:dyDescent="0.35">
      <c r="A123" s="7" t="s">
        <v>499</v>
      </c>
      <c r="B123" s="8" t="s">
        <v>500</v>
      </c>
      <c r="C123" s="21" t="s">
        <v>501</v>
      </c>
      <c r="D123" s="10" t="s">
        <v>75</v>
      </c>
      <c r="E123" s="11" t="s">
        <v>383</v>
      </c>
      <c r="F123" s="11" t="s">
        <v>502</v>
      </c>
      <c r="G123" s="12">
        <v>35013</v>
      </c>
      <c r="H123" s="11" t="s">
        <v>24</v>
      </c>
      <c r="I123" s="11" t="s">
        <v>503</v>
      </c>
      <c r="J123" s="11" t="s">
        <v>504</v>
      </c>
      <c r="K123" s="11" t="s">
        <v>27</v>
      </c>
      <c r="L123" s="23">
        <v>883470621</v>
      </c>
      <c r="M123" s="14">
        <v>371844780</v>
      </c>
      <c r="N123" s="14">
        <v>511625841</v>
      </c>
      <c r="O123" s="14">
        <v>2169565871</v>
      </c>
      <c r="P123" s="14">
        <v>63633740</v>
      </c>
      <c r="Q123" s="14">
        <v>65632977</v>
      </c>
      <c r="R123" s="14">
        <v>47307536</v>
      </c>
      <c r="S123" s="15">
        <v>49678843</v>
      </c>
      <c r="T123" s="15">
        <v>1730148</v>
      </c>
      <c r="U123" s="15">
        <v>27820149</v>
      </c>
      <c r="V123" s="15">
        <v>0</v>
      </c>
      <c r="W123" s="15">
        <v>3608</v>
      </c>
      <c r="X123" s="15">
        <v>0</v>
      </c>
      <c r="Z123" s="15">
        <v>0</v>
      </c>
      <c r="AA123" s="15">
        <v>0</v>
      </c>
      <c r="AB123" s="74">
        <f t="shared" si="65"/>
        <v>27823757</v>
      </c>
      <c r="AC123" s="75">
        <f t="shared" si="66"/>
        <v>56.007256449189043</v>
      </c>
      <c r="AD123" s="75">
        <f t="shared" si="67"/>
        <v>51.748627920722925</v>
      </c>
      <c r="AE123" s="76">
        <f t="shared" si="106"/>
        <v>1.5524588376216877</v>
      </c>
      <c r="AF123" s="77">
        <f t="shared" si="68"/>
        <v>58.02065937352414</v>
      </c>
      <c r="AG123" s="77">
        <f t="shared" si="69"/>
        <v>58.028184083007893</v>
      </c>
      <c r="AH123" s="77">
        <f t="shared" si="70"/>
        <v>7.524709483753611E-3</v>
      </c>
      <c r="AI123" s="78">
        <f t="shared" si="71"/>
        <v>100</v>
      </c>
      <c r="AJ123" s="79">
        <f t="shared" si="107"/>
        <v>4</v>
      </c>
      <c r="AK123" s="113">
        <v>12</v>
      </c>
      <c r="AL123" s="113">
        <v>0</v>
      </c>
      <c r="AM123" s="113">
        <v>0</v>
      </c>
      <c r="AN123" s="81">
        <f t="shared" si="72"/>
        <v>12</v>
      </c>
      <c r="AO123" s="82">
        <f t="shared" si="73"/>
        <v>0</v>
      </c>
      <c r="AP123" s="83">
        <f t="shared" si="74"/>
        <v>100</v>
      </c>
      <c r="AQ123" s="84">
        <f t="shared" si="108"/>
        <v>2</v>
      </c>
      <c r="AR123" s="118">
        <v>8</v>
      </c>
      <c r="AS123" s="86">
        <f t="shared" si="75"/>
        <v>0.25</v>
      </c>
      <c r="AT123" s="87">
        <f t="shared" si="76"/>
        <v>3</v>
      </c>
      <c r="AU123" s="87">
        <f t="shared" si="77"/>
        <v>3</v>
      </c>
      <c r="AV123" s="88">
        <f t="shared" si="78"/>
        <v>41.666666666666671</v>
      </c>
      <c r="AW123" s="78">
        <f t="shared" si="79"/>
        <v>100</v>
      </c>
      <c r="AX123" s="89">
        <f t="shared" si="109"/>
        <v>1</v>
      </c>
      <c r="AY123" s="114">
        <v>11</v>
      </c>
      <c r="AZ123" s="114">
        <f>11*8-3-12</f>
        <v>73</v>
      </c>
      <c r="BA123" s="91">
        <f t="shared" si="80"/>
        <v>88</v>
      </c>
      <c r="BB123" s="77">
        <f t="shared" si="81"/>
        <v>82.954545454545453</v>
      </c>
      <c r="BC123" s="78">
        <f t="shared" si="82"/>
        <v>75</v>
      </c>
      <c r="BD123" s="79">
        <f t="shared" si="110"/>
        <v>0.75</v>
      </c>
      <c r="BE123" s="92">
        <v>13038735.244000001</v>
      </c>
      <c r="BF123" s="92">
        <v>1586982.145</v>
      </c>
      <c r="BG123" s="93">
        <v>0</v>
      </c>
      <c r="BH123" s="94">
        <f t="shared" si="83"/>
        <v>14625717.389</v>
      </c>
      <c r="BI123" s="77">
        <f t="shared" si="84"/>
        <v>0</v>
      </c>
      <c r="BJ123" s="95" t="str">
        <f t="shared" si="85"/>
        <v>금속/비금속/화학업</v>
      </c>
      <c r="BK123" s="96">
        <f t="shared" si="86"/>
        <v>3.9534118626990469</v>
      </c>
      <c r="BL123" s="97">
        <f t="shared" si="87"/>
        <v>-3.9534118626990469</v>
      </c>
      <c r="BM123" s="98">
        <f t="shared" si="88"/>
        <v>100</v>
      </c>
      <c r="BN123" s="99">
        <f t="shared" si="89"/>
        <v>2</v>
      </c>
      <c r="BO123" s="114">
        <v>1524786</v>
      </c>
      <c r="BP123" s="101">
        <f t="shared" si="90"/>
        <v>7.0280696261929732E-2</v>
      </c>
      <c r="BQ123" s="78">
        <f t="shared" si="91"/>
        <v>40</v>
      </c>
      <c r="BR123" s="79">
        <f t="shared" si="111"/>
        <v>0.8</v>
      </c>
      <c r="BS123" s="102">
        <v>24869780.289000001</v>
      </c>
      <c r="BT123" s="102">
        <v>1561913.68</v>
      </c>
      <c r="BU123" s="103">
        <f t="shared" si="92"/>
        <v>23307866.609000001</v>
      </c>
      <c r="BV123" s="77">
        <f t="shared" si="93"/>
        <v>1.074310161334576</v>
      </c>
      <c r="BW123" s="96">
        <f t="shared" si="94"/>
        <v>5.1474158565187738</v>
      </c>
      <c r="BX123" s="96">
        <f t="shared" si="95"/>
        <v>16.590190004141949</v>
      </c>
      <c r="BY123" s="96">
        <f t="shared" si="96"/>
        <v>6.6930498535228535</v>
      </c>
      <c r="BZ123" s="96">
        <f t="shared" si="97"/>
        <v>72.859110938415355</v>
      </c>
      <c r="CA123" s="96">
        <f t="shared" si="98"/>
        <v>40</v>
      </c>
      <c r="CB123" s="104">
        <f t="shared" si="99"/>
        <v>0.8</v>
      </c>
      <c r="CC123" s="105">
        <f t="shared" si="112"/>
        <v>72.679045935836541</v>
      </c>
      <c r="CD123" s="106">
        <f t="shared" si="113"/>
        <v>72.985284195036485</v>
      </c>
      <c r="CE123" s="107">
        <f t="shared" si="114"/>
        <v>1.0947792629255473</v>
      </c>
      <c r="CF123" s="108" t="s">
        <v>2189</v>
      </c>
      <c r="CG123" s="108" t="s">
        <v>2189</v>
      </c>
      <c r="CH123" s="108" t="s">
        <v>2189</v>
      </c>
      <c r="CI123" s="108" t="s">
        <v>2189</v>
      </c>
      <c r="CJ123" s="109"/>
      <c r="CK123" s="116" t="s">
        <v>2202</v>
      </c>
      <c r="CL123" s="116" t="s">
        <v>2196</v>
      </c>
      <c r="CM123" s="111">
        <f t="shared" si="100"/>
        <v>55</v>
      </c>
      <c r="CN123" s="107">
        <f t="shared" si="115"/>
        <v>0.82499999999999996</v>
      </c>
      <c r="CO123" s="114">
        <v>23178000</v>
      </c>
      <c r="CP123" s="88">
        <f t="shared" si="101"/>
        <v>4.5302637479563899</v>
      </c>
      <c r="CQ123" s="78">
        <f t="shared" si="102"/>
        <v>80</v>
      </c>
      <c r="CR123" s="79">
        <f t="shared" si="116"/>
        <v>2.4</v>
      </c>
      <c r="CS123" s="92">
        <f>_xlfn.XLOOKUP(C123, '[1]1-1. 관계사체무보증금액 (환율 등)'!$3:$3, '[1]1-1. 관계사체무보증금액 (환율 등)'!$33:$33)</f>
        <v>0</v>
      </c>
      <c r="CT123" s="77">
        <f t="shared" si="103"/>
        <v>0</v>
      </c>
      <c r="CU123" s="78">
        <f t="shared" si="104"/>
        <v>100</v>
      </c>
      <c r="CV123" s="79">
        <f t="shared" si="117"/>
        <v>2</v>
      </c>
      <c r="CW123" s="112">
        <f t="shared" si="105"/>
        <v>19.222238100547234</v>
      </c>
    </row>
    <row r="124" spans="1:101" x14ac:dyDescent="0.35">
      <c r="A124" s="7" t="s">
        <v>543</v>
      </c>
      <c r="B124" s="8" t="s">
        <v>544</v>
      </c>
      <c r="C124" s="21" t="s">
        <v>545</v>
      </c>
      <c r="D124" s="22" t="s">
        <v>75</v>
      </c>
      <c r="E124" s="11" t="s">
        <v>546</v>
      </c>
      <c r="F124" s="11" t="s">
        <v>547</v>
      </c>
      <c r="G124" s="12">
        <v>40389</v>
      </c>
      <c r="H124" s="11" t="s">
        <v>24</v>
      </c>
      <c r="I124" s="11" t="s">
        <v>548</v>
      </c>
      <c r="J124" s="8" t="s">
        <v>549</v>
      </c>
      <c r="K124" s="11" t="s">
        <v>27</v>
      </c>
      <c r="L124" s="23">
        <v>991695975</v>
      </c>
      <c r="M124" s="14">
        <v>405389777</v>
      </c>
      <c r="N124" s="14">
        <v>586306198</v>
      </c>
      <c r="O124" s="14">
        <v>881208064</v>
      </c>
      <c r="P124" s="14">
        <v>14182419</v>
      </c>
      <c r="Q124" s="14">
        <v>20162956</v>
      </c>
      <c r="R124" s="14">
        <v>20025770</v>
      </c>
      <c r="S124" s="15">
        <v>45235478</v>
      </c>
      <c r="T124" s="15">
        <v>7774864</v>
      </c>
      <c r="U124" s="15">
        <v>14434145</v>
      </c>
      <c r="V124" s="15">
        <f>338091+173779+173374+497455+25000+275929</f>
        <v>1483628</v>
      </c>
      <c r="W124" s="15">
        <f>4593+3354+215+15000+2587+83002+1000+25500+5553</f>
        <v>140804</v>
      </c>
      <c r="X124" s="15">
        <v>0</v>
      </c>
      <c r="Z124" s="15">
        <f>21759+29000</f>
        <v>50759</v>
      </c>
      <c r="AA124" s="15">
        <v>0</v>
      </c>
      <c r="AB124" s="74">
        <f t="shared" si="65"/>
        <v>16109336</v>
      </c>
      <c r="AC124" s="75">
        <f t="shared" si="66"/>
        <v>35.612171490704711</v>
      </c>
      <c r="AD124" s="75">
        <f t="shared" si="67"/>
        <v>69.350830128850944</v>
      </c>
      <c r="AE124" s="76">
        <f t="shared" si="106"/>
        <v>2.0805249038655282</v>
      </c>
      <c r="AF124" s="77">
        <f t="shared" si="68"/>
        <v>42.492023755937367</v>
      </c>
      <c r="AG124" s="77">
        <f t="shared" si="69"/>
        <v>43.003395512951279</v>
      </c>
      <c r="AH124" s="77">
        <f t="shared" si="70"/>
        <v>0.51137175701391158</v>
      </c>
      <c r="AI124" s="78">
        <f t="shared" si="71"/>
        <v>100</v>
      </c>
      <c r="AJ124" s="79">
        <f t="shared" si="107"/>
        <v>4</v>
      </c>
      <c r="AK124" s="113">
        <v>7</v>
      </c>
      <c r="AL124" s="113">
        <v>11</v>
      </c>
      <c r="AM124" s="113">
        <v>1</v>
      </c>
      <c r="AN124" s="81">
        <f t="shared" si="72"/>
        <v>18</v>
      </c>
      <c r="AO124" s="82">
        <f t="shared" si="73"/>
        <v>5.5555555555555554</v>
      </c>
      <c r="AP124" s="83">
        <f t="shared" si="74"/>
        <v>100</v>
      </c>
      <c r="AQ124" s="84">
        <f t="shared" si="108"/>
        <v>2</v>
      </c>
      <c r="AR124" s="118">
        <v>3</v>
      </c>
      <c r="AS124" s="86">
        <f t="shared" si="75"/>
        <v>0.25</v>
      </c>
      <c r="AT124" s="87">
        <f t="shared" si="76"/>
        <v>1.75</v>
      </c>
      <c r="AU124" s="87">
        <f t="shared" si="77"/>
        <v>1</v>
      </c>
      <c r="AV124" s="88">
        <f t="shared" si="78"/>
        <v>28.571428571428569</v>
      </c>
      <c r="AW124" s="78">
        <f t="shared" si="79"/>
        <v>80</v>
      </c>
      <c r="AX124" s="89">
        <f t="shared" si="109"/>
        <v>0.8</v>
      </c>
      <c r="AY124" s="114">
        <v>9</v>
      </c>
      <c r="AZ124" s="114">
        <v>27</v>
      </c>
      <c r="BA124" s="91">
        <f t="shared" si="80"/>
        <v>27</v>
      </c>
      <c r="BB124" s="77">
        <f t="shared" si="81"/>
        <v>100</v>
      </c>
      <c r="BC124" s="78">
        <f t="shared" si="82"/>
        <v>100</v>
      </c>
      <c r="BD124" s="79">
        <f t="shared" si="110"/>
        <v>1</v>
      </c>
      <c r="BE124" s="92">
        <v>18414825</v>
      </c>
      <c r="BF124" s="92">
        <v>1421015</v>
      </c>
      <c r="BG124" s="114">
        <v>563853</v>
      </c>
      <c r="BH124" s="94">
        <f t="shared" si="83"/>
        <v>19835840</v>
      </c>
      <c r="BI124" s="77">
        <f t="shared" si="84"/>
        <v>2.8425970364753899</v>
      </c>
      <c r="BJ124" s="95" t="str">
        <f t="shared" si="85"/>
        <v>금속/비금속/화학업</v>
      </c>
      <c r="BK124" s="96">
        <f t="shared" si="86"/>
        <v>3.9534118626990469</v>
      </c>
      <c r="BL124" s="97">
        <f t="shared" si="87"/>
        <v>-1.110814826223657</v>
      </c>
      <c r="BM124" s="98">
        <f t="shared" si="88"/>
        <v>80</v>
      </c>
      <c r="BN124" s="99">
        <f t="shared" si="89"/>
        <v>1.6</v>
      </c>
      <c r="BO124" s="114">
        <v>5892897</v>
      </c>
      <c r="BP124" s="101">
        <f t="shared" si="90"/>
        <v>0.66872935470549666</v>
      </c>
      <c r="BQ124" s="78">
        <f t="shared" si="91"/>
        <v>70</v>
      </c>
      <c r="BR124" s="79">
        <f t="shared" si="111"/>
        <v>1.4000000000000001</v>
      </c>
      <c r="BS124" s="102">
        <v>2987066.5410000002</v>
      </c>
      <c r="BT124" s="102">
        <v>14252.637000000001</v>
      </c>
      <c r="BU124" s="103">
        <f t="shared" si="92"/>
        <v>2972813.9040000001</v>
      </c>
      <c r="BV124" s="77">
        <f t="shared" si="93"/>
        <v>0.33735663862467785</v>
      </c>
      <c r="BW124" s="96">
        <f t="shared" si="94"/>
        <v>5.1474158565187738</v>
      </c>
      <c r="BX124" s="96">
        <f t="shared" si="95"/>
        <v>23.136669679647959</v>
      </c>
      <c r="BY124" s="96">
        <f t="shared" si="96"/>
        <v>6.6930498535228535</v>
      </c>
      <c r="BZ124" s="96">
        <f t="shared" si="97"/>
        <v>76.382625633717083</v>
      </c>
      <c r="CA124" s="96">
        <f t="shared" si="98"/>
        <v>40</v>
      </c>
      <c r="CB124" s="104">
        <f t="shared" si="99"/>
        <v>0.8</v>
      </c>
      <c r="CC124" s="105">
        <f t="shared" si="112"/>
        <v>69.143014074021437</v>
      </c>
      <c r="CD124" s="106">
        <f t="shared" si="113"/>
        <v>74.317959519841168</v>
      </c>
      <c r="CE124" s="107">
        <f t="shared" si="114"/>
        <v>1.1147693927976174</v>
      </c>
      <c r="CF124" s="108" t="s">
        <v>2189</v>
      </c>
      <c r="CG124" s="108" t="s">
        <v>2189</v>
      </c>
      <c r="CH124" s="108" t="s">
        <v>2189</v>
      </c>
      <c r="CI124" s="108" t="s">
        <v>2189</v>
      </c>
      <c r="CJ124" s="109"/>
      <c r="CK124" s="116" t="s">
        <v>2220</v>
      </c>
      <c r="CL124" s="116" t="s">
        <v>2209</v>
      </c>
      <c r="CM124" s="111">
        <f t="shared" si="100"/>
        <v>40</v>
      </c>
      <c r="CN124" s="107">
        <f t="shared" si="115"/>
        <v>0.6</v>
      </c>
      <c r="CO124" s="114">
        <v>199202000</v>
      </c>
      <c r="CP124" s="88">
        <f t="shared" si="101"/>
        <v>33.975762268847788</v>
      </c>
      <c r="CQ124" s="78">
        <f t="shared" si="102"/>
        <v>60</v>
      </c>
      <c r="CR124" s="79">
        <f t="shared" si="116"/>
        <v>1.7999999999999998</v>
      </c>
      <c r="CS124" s="92">
        <f>_xlfn.XLOOKUP(C124, '[1]1-1. 관계사체무보증금액 (환율 등)'!$3:$3, '[1]1-1. 관계사체무보증금액 (환율 등)'!$33:$33)</f>
        <v>3900000</v>
      </c>
      <c r="CT124" s="77">
        <f t="shared" si="103"/>
        <v>0.6651814381808735</v>
      </c>
      <c r="CU124" s="78">
        <f t="shared" si="104"/>
        <v>100</v>
      </c>
      <c r="CV124" s="79">
        <f t="shared" si="117"/>
        <v>2</v>
      </c>
      <c r="CW124" s="112">
        <f t="shared" si="105"/>
        <v>19.195294296663146</v>
      </c>
    </row>
    <row r="125" spans="1:101" x14ac:dyDescent="0.35">
      <c r="A125" s="7" t="s">
        <v>380</v>
      </c>
      <c r="B125" s="8" t="s">
        <v>381</v>
      </c>
      <c r="C125" s="21" t="s">
        <v>382</v>
      </c>
      <c r="D125" s="22" t="s">
        <v>75</v>
      </c>
      <c r="E125" s="11" t="s">
        <v>383</v>
      </c>
      <c r="F125" s="11" t="s">
        <v>384</v>
      </c>
      <c r="G125" s="12">
        <v>28306</v>
      </c>
      <c r="H125" s="11" t="s">
        <v>24</v>
      </c>
      <c r="I125" s="11" t="s">
        <v>385</v>
      </c>
      <c r="J125" s="11" t="s">
        <v>386</v>
      </c>
      <c r="K125" s="11" t="s">
        <v>27</v>
      </c>
      <c r="L125" s="23">
        <v>342108581</v>
      </c>
      <c r="M125" s="14">
        <v>116198537</v>
      </c>
      <c r="N125" s="14">
        <v>225910045</v>
      </c>
      <c r="O125" s="14">
        <v>202589425</v>
      </c>
      <c r="P125" s="14">
        <v>26820420</v>
      </c>
      <c r="Q125" s="14">
        <v>25169767</v>
      </c>
      <c r="R125" s="14">
        <v>18699263</v>
      </c>
      <c r="S125" s="15">
        <v>19522575</v>
      </c>
      <c r="T125" s="15">
        <v>1657925</v>
      </c>
      <c r="U125" s="15">
        <f>5981170+3346417</f>
        <v>9327587</v>
      </c>
      <c r="V125" s="15">
        <f>3032463+402780+279400</f>
        <v>3714643</v>
      </c>
      <c r="W125" s="15">
        <v>0</v>
      </c>
      <c r="X125" s="15">
        <v>0</v>
      </c>
      <c r="Z125" s="15">
        <v>0</v>
      </c>
      <c r="AA125" s="15">
        <v>0</v>
      </c>
      <c r="AB125" s="74">
        <f t="shared" si="65"/>
        <v>13042230</v>
      </c>
      <c r="AC125" s="75">
        <f t="shared" si="66"/>
        <v>66.805890104148659</v>
      </c>
      <c r="AD125" s="75">
        <f t="shared" si="67"/>
        <v>42.428748471678375</v>
      </c>
      <c r="AE125" s="76">
        <f t="shared" si="106"/>
        <v>1.2728624541503513</v>
      </c>
      <c r="AF125" s="77">
        <f t="shared" si="68"/>
        <v>73.005796363208901</v>
      </c>
      <c r="AG125" s="77">
        <f t="shared" si="69"/>
        <v>73.005796363208901</v>
      </c>
      <c r="AH125" s="77">
        <f t="shared" si="70"/>
        <v>0</v>
      </c>
      <c r="AI125" s="78">
        <f t="shared" si="71"/>
        <v>100</v>
      </c>
      <c r="AJ125" s="79">
        <f t="shared" si="107"/>
        <v>4</v>
      </c>
      <c r="AK125" s="113">
        <v>5</v>
      </c>
      <c r="AL125" s="113">
        <v>10</v>
      </c>
      <c r="AM125" s="113">
        <v>3</v>
      </c>
      <c r="AN125" s="81">
        <f t="shared" si="72"/>
        <v>15</v>
      </c>
      <c r="AO125" s="82">
        <f t="shared" si="73"/>
        <v>20</v>
      </c>
      <c r="AP125" s="83">
        <f t="shared" si="74"/>
        <v>60</v>
      </c>
      <c r="AQ125" s="84">
        <f t="shared" si="108"/>
        <v>1.2</v>
      </c>
      <c r="AR125" s="118">
        <v>1</v>
      </c>
      <c r="AS125" s="86">
        <f t="shared" si="75"/>
        <v>0.25</v>
      </c>
      <c r="AT125" s="87">
        <f t="shared" si="76"/>
        <v>1.25</v>
      </c>
      <c r="AU125" s="87">
        <f t="shared" si="77"/>
        <v>1</v>
      </c>
      <c r="AV125" s="88">
        <f t="shared" si="78"/>
        <v>0</v>
      </c>
      <c r="AW125" s="78">
        <f t="shared" si="79"/>
        <v>40</v>
      </c>
      <c r="AX125" s="89">
        <f t="shared" si="109"/>
        <v>0.4</v>
      </c>
      <c r="AY125" s="114">
        <v>13</v>
      </c>
      <c r="AZ125" s="114">
        <v>12</v>
      </c>
      <c r="BA125" s="91">
        <f t="shared" si="80"/>
        <v>13</v>
      </c>
      <c r="BB125" s="77">
        <f t="shared" si="81"/>
        <v>92.307692307692307</v>
      </c>
      <c r="BC125" s="78">
        <f t="shared" si="82"/>
        <v>100</v>
      </c>
      <c r="BD125" s="79">
        <f t="shared" si="110"/>
        <v>1</v>
      </c>
      <c r="BE125" s="92">
        <v>16693447</v>
      </c>
      <c r="BF125" s="92">
        <v>1288283</v>
      </c>
      <c r="BG125" s="93">
        <v>0</v>
      </c>
      <c r="BH125" s="94">
        <f t="shared" si="83"/>
        <v>17981730</v>
      </c>
      <c r="BI125" s="77">
        <f t="shared" si="84"/>
        <v>0</v>
      </c>
      <c r="BJ125" s="95" t="str">
        <f t="shared" si="85"/>
        <v>금속/비금속/화학업</v>
      </c>
      <c r="BK125" s="96">
        <f t="shared" si="86"/>
        <v>3.9534118626990469</v>
      </c>
      <c r="BL125" s="97">
        <f t="shared" si="87"/>
        <v>-3.9534118626990469</v>
      </c>
      <c r="BM125" s="98">
        <f t="shared" si="88"/>
        <v>100</v>
      </c>
      <c r="BN125" s="99">
        <f t="shared" si="89"/>
        <v>2</v>
      </c>
      <c r="BO125" s="114">
        <f>5702422-209643</f>
        <v>5492779</v>
      </c>
      <c r="BP125" s="101">
        <f t="shared" si="90"/>
        <v>2.7112861394418784</v>
      </c>
      <c r="BQ125" s="78">
        <f t="shared" si="91"/>
        <v>85</v>
      </c>
      <c r="BR125" s="79">
        <f t="shared" si="111"/>
        <v>1.7</v>
      </c>
      <c r="BS125" s="102">
        <v>8035484.0049999999</v>
      </c>
      <c r="BT125" s="102">
        <v>52409.09</v>
      </c>
      <c r="BU125" s="103">
        <f t="shared" si="92"/>
        <v>7983074.915</v>
      </c>
      <c r="BV125" s="77">
        <f t="shared" si="93"/>
        <v>3.9405190646056671</v>
      </c>
      <c r="BW125" s="96">
        <f t="shared" si="94"/>
        <v>5.1474158565187738</v>
      </c>
      <c r="BX125" s="96">
        <f t="shared" si="95"/>
        <v>1.4565998663301485</v>
      </c>
      <c r="BY125" s="96">
        <f t="shared" si="96"/>
        <v>6.6930498535228535</v>
      </c>
      <c r="BZ125" s="96">
        <f t="shared" si="97"/>
        <v>57.154967670346309</v>
      </c>
      <c r="CA125" s="96">
        <f t="shared" si="98"/>
        <v>55</v>
      </c>
      <c r="CB125" s="104">
        <f t="shared" si="99"/>
        <v>1.1000000000000001</v>
      </c>
      <c r="CC125" s="105">
        <f t="shared" si="112"/>
        <v>51.43575488199297</v>
      </c>
      <c r="CD125" s="106">
        <f t="shared" si="113"/>
        <v>80.99154966759059</v>
      </c>
      <c r="CE125" s="107">
        <f t="shared" si="114"/>
        <v>1.2148732450138588</v>
      </c>
      <c r="CF125" s="108" t="s">
        <v>2189</v>
      </c>
      <c r="CG125" s="108" t="s">
        <v>2189</v>
      </c>
      <c r="CH125" s="108" t="s">
        <v>2189</v>
      </c>
      <c r="CI125" s="108" t="s">
        <v>2189</v>
      </c>
      <c r="CJ125" s="109"/>
      <c r="CK125" s="116" t="s">
        <v>2206</v>
      </c>
      <c r="CL125" s="116" t="s">
        <v>2198</v>
      </c>
      <c r="CM125" s="111">
        <f t="shared" si="100"/>
        <v>100</v>
      </c>
      <c r="CN125" s="107">
        <f t="shared" si="115"/>
        <v>1.5</v>
      </c>
      <c r="CO125" s="114">
        <f>33210000+11987000+1592000</f>
        <v>46789000</v>
      </c>
      <c r="CP125" s="88">
        <f t="shared" si="101"/>
        <v>20.711341100392417</v>
      </c>
      <c r="CQ125" s="78">
        <f t="shared" si="102"/>
        <v>60</v>
      </c>
      <c r="CR125" s="79">
        <f t="shared" si="116"/>
        <v>1.7999999999999998</v>
      </c>
      <c r="CS125" s="92">
        <f>_xlfn.XLOOKUP(C125, '[1]1-1. 관계사체무보증금액 (환율 등)'!$3:$3, '[1]1-1. 관계사체무보증금액 (환율 등)'!$33:$33)</f>
        <v>0</v>
      </c>
      <c r="CT125" s="77">
        <f t="shared" si="103"/>
        <v>0</v>
      </c>
      <c r="CU125" s="78">
        <f t="shared" si="104"/>
        <v>100</v>
      </c>
      <c r="CV125" s="79">
        <f t="shared" si="117"/>
        <v>2</v>
      </c>
      <c r="CW125" s="112">
        <f t="shared" si="105"/>
        <v>19.187735699164207</v>
      </c>
    </row>
    <row r="126" spans="1:101" x14ac:dyDescent="0.35">
      <c r="A126" s="7" t="s">
        <v>1315</v>
      </c>
      <c r="B126" s="8" t="s">
        <v>1316</v>
      </c>
      <c r="C126" s="21" t="s">
        <v>1317</v>
      </c>
      <c r="D126" s="10" t="s">
        <v>31</v>
      </c>
      <c r="E126" s="11" t="s">
        <v>183</v>
      </c>
      <c r="F126" s="11" t="s">
        <v>1318</v>
      </c>
      <c r="G126" s="12">
        <v>39378</v>
      </c>
      <c r="H126" s="11" t="s">
        <v>24</v>
      </c>
      <c r="I126" s="11" t="s">
        <v>1319</v>
      </c>
      <c r="J126" s="11" t="s">
        <v>1320</v>
      </c>
      <c r="K126" s="11" t="s">
        <v>1321</v>
      </c>
      <c r="L126" s="23">
        <v>417890867</v>
      </c>
      <c r="M126" s="14">
        <v>80034380</v>
      </c>
      <c r="N126" s="14">
        <v>337856486</v>
      </c>
      <c r="O126" s="14">
        <v>262522023</v>
      </c>
      <c r="P126" s="14">
        <v>48213162</v>
      </c>
      <c r="Q126" s="14">
        <v>53424815</v>
      </c>
      <c r="R126" s="14">
        <v>45275094</v>
      </c>
      <c r="S126" s="15">
        <v>16244822</v>
      </c>
      <c r="T126" s="15">
        <v>1536774</v>
      </c>
      <c r="U126" s="15">
        <v>4184089</v>
      </c>
      <c r="V126" s="15">
        <f>10200+883400+10200+10577+42465</f>
        <v>956842</v>
      </c>
      <c r="W126" s="15">
        <f>2000+8971+500+6552+12003+7100+102</f>
        <v>37228</v>
      </c>
      <c r="X126" s="15">
        <v>810000</v>
      </c>
      <c r="Y126" s="24" t="s">
        <v>2098</v>
      </c>
      <c r="Z126" s="15">
        <f>16000+16000+16000+3000</f>
        <v>51000</v>
      </c>
      <c r="AA126" s="15">
        <v>2930</v>
      </c>
      <c r="AB126" s="74">
        <f t="shared" si="65"/>
        <v>6039159</v>
      </c>
      <c r="AC126" s="75">
        <f t="shared" si="66"/>
        <v>37.175901342593967</v>
      </c>
      <c r="AD126" s="75">
        <f t="shared" si="67"/>
        <v>68.001235895344678</v>
      </c>
      <c r="AE126" s="76">
        <f t="shared" si="106"/>
        <v>2.0400370768603402</v>
      </c>
      <c r="AF126" s="77">
        <f t="shared" si="68"/>
        <v>34.960147888646659</v>
      </c>
      <c r="AG126" s="77">
        <f t="shared" si="69"/>
        <v>41.048490736354516</v>
      </c>
      <c r="AH126" s="77">
        <f t="shared" si="70"/>
        <v>6.0883428477078567</v>
      </c>
      <c r="AI126" s="78">
        <f t="shared" si="71"/>
        <v>100</v>
      </c>
      <c r="AJ126" s="79">
        <f t="shared" si="107"/>
        <v>4</v>
      </c>
      <c r="AK126" s="113">
        <v>8</v>
      </c>
      <c r="AL126" s="113">
        <v>5</v>
      </c>
      <c r="AM126" s="113">
        <v>2</v>
      </c>
      <c r="AN126" s="81">
        <f t="shared" si="72"/>
        <v>13</v>
      </c>
      <c r="AO126" s="82">
        <f t="shared" si="73"/>
        <v>15.384615384615385</v>
      </c>
      <c r="AP126" s="83">
        <f t="shared" si="74"/>
        <v>80</v>
      </c>
      <c r="AQ126" s="84">
        <f t="shared" si="108"/>
        <v>1.6</v>
      </c>
      <c r="AR126" s="118">
        <v>3</v>
      </c>
      <c r="AS126" s="86">
        <f t="shared" si="75"/>
        <v>0.25</v>
      </c>
      <c r="AT126" s="87">
        <f t="shared" si="76"/>
        <v>2</v>
      </c>
      <c r="AU126" s="87">
        <f t="shared" si="77"/>
        <v>2</v>
      </c>
      <c r="AV126" s="88">
        <f t="shared" si="78"/>
        <v>12.5</v>
      </c>
      <c r="AW126" s="78">
        <f t="shared" si="79"/>
        <v>60</v>
      </c>
      <c r="AX126" s="89">
        <f t="shared" si="109"/>
        <v>0.6</v>
      </c>
      <c r="AY126" s="114">
        <v>11</v>
      </c>
      <c r="AZ126" s="114">
        <v>33</v>
      </c>
      <c r="BA126" s="91">
        <f t="shared" si="80"/>
        <v>33</v>
      </c>
      <c r="BB126" s="77">
        <f t="shared" si="81"/>
        <v>100</v>
      </c>
      <c r="BC126" s="78">
        <f t="shared" si="82"/>
        <v>100</v>
      </c>
      <c r="BD126" s="79">
        <f t="shared" si="110"/>
        <v>1</v>
      </c>
      <c r="BE126" s="92">
        <v>33646702</v>
      </c>
      <c r="BF126" s="92">
        <v>3056475</v>
      </c>
      <c r="BG126" s="114">
        <v>1028455</v>
      </c>
      <c r="BH126" s="94">
        <f t="shared" si="83"/>
        <v>36703177</v>
      </c>
      <c r="BI126" s="77">
        <f t="shared" si="84"/>
        <v>2.8020871326751906</v>
      </c>
      <c r="BJ126" s="95" t="str">
        <f t="shared" si="85"/>
        <v>식약/섬유/종이업</v>
      </c>
      <c r="BK126" s="96">
        <f t="shared" si="86"/>
        <v>2.1999360555264453</v>
      </c>
      <c r="BL126" s="97">
        <f t="shared" si="87"/>
        <v>0.60215107714874527</v>
      </c>
      <c r="BM126" s="98">
        <f t="shared" si="88"/>
        <v>60</v>
      </c>
      <c r="BN126" s="99">
        <f t="shared" si="89"/>
        <v>1.2</v>
      </c>
      <c r="BO126" s="114">
        <v>29664827</v>
      </c>
      <c r="BP126" s="101">
        <f t="shared" si="90"/>
        <v>11.299938443640594</v>
      </c>
      <c r="BQ126" s="78">
        <f t="shared" si="91"/>
        <v>100</v>
      </c>
      <c r="BR126" s="79">
        <f t="shared" si="111"/>
        <v>2</v>
      </c>
      <c r="BS126" s="102">
        <v>22388924.958999999</v>
      </c>
      <c r="BT126" s="102">
        <v>618928.13699999999</v>
      </c>
      <c r="BU126" s="103">
        <f t="shared" si="92"/>
        <v>21769996.822000001</v>
      </c>
      <c r="BV126" s="77">
        <f t="shared" si="93"/>
        <v>8.2926363941664434</v>
      </c>
      <c r="BW126" s="96">
        <f t="shared" si="94"/>
        <v>5.0508176117342298</v>
      </c>
      <c r="BX126" s="96">
        <f t="shared" si="95"/>
        <v>10.50938901813028</v>
      </c>
      <c r="BY126" s="96">
        <f t="shared" si="96"/>
        <v>6.9871618081220923</v>
      </c>
      <c r="BZ126" s="96">
        <f t="shared" si="97"/>
        <v>32.133537245276699</v>
      </c>
      <c r="CA126" s="96">
        <f t="shared" si="98"/>
        <v>70</v>
      </c>
      <c r="CB126" s="104">
        <f t="shared" si="99"/>
        <v>1.4000000000000001</v>
      </c>
      <c r="CC126" s="105">
        <f t="shared" si="112"/>
        <v>23.688868888549322</v>
      </c>
      <c r="CD126" s="106">
        <f t="shared" si="113"/>
        <v>91.448918760596996</v>
      </c>
      <c r="CE126" s="107">
        <f t="shared" si="114"/>
        <v>1.371733781408955</v>
      </c>
      <c r="CF126" s="108" t="s">
        <v>2189</v>
      </c>
      <c r="CG126" s="108" t="s">
        <v>2189</v>
      </c>
      <c r="CH126" s="108" t="s">
        <v>2189</v>
      </c>
      <c r="CI126" s="108" t="s">
        <v>2189</v>
      </c>
      <c r="CJ126" s="109"/>
      <c r="CK126" s="116" t="s">
        <v>2192</v>
      </c>
      <c r="CL126" s="116" t="s">
        <v>2193</v>
      </c>
      <c r="CM126" s="111">
        <f t="shared" si="100"/>
        <v>25</v>
      </c>
      <c r="CN126" s="107">
        <f t="shared" si="115"/>
        <v>0.375</v>
      </c>
      <c r="CO126" s="114">
        <f>12869000-74000</f>
        <v>12795000</v>
      </c>
      <c r="CP126" s="88">
        <f t="shared" si="101"/>
        <v>3.7871109569286174</v>
      </c>
      <c r="CQ126" s="78">
        <f t="shared" si="102"/>
        <v>80</v>
      </c>
      <c r="CR126" s="79">
        <f t="shared" si="116"/>
        <v>2.4</v>
      </c>
      <c r="CS126" s="92">
        <f>_xlfn.XLOOKUP(C126, '[1]1-1. 관계사체무보증금액 (환율 등)'!$3:$3, '[1]1-1. 관계사체무보증금액 (환율 등)'!$33:$33)</f>
        <v>34683880</v>
      </c>
      <c r="CT126" s="77">
        <f t="shared" si="103"/>
        <v>10.26586181921042</v>
      </c>
      <c r="CU126" s="78">
        <f t="shared" si="104"/>
        <v>60</v>
      </c>
      <c r="CV126" s="79">
        <f t="shared" si="117"/>
        <v>1.2</v>
      </c>
      <c r="CW126" s="112">
        <f t="shared" si="105"/>
        <v>19.186770858269291</v>
      </c>
    </row>
    <row r="127" spans="1:101" x14ac:dyDescent="0.35">
      <c r="A127" s="7" t="s">
        <v>420</v>
      </c>
      <c r="B127" s="8" t="s">
        <v>421</v>
      </c>
      <c r="C127" s="21" t="s">
        <v>422</v>
      </c>
      <c r="D127" s="10" t="s">
        <v>31</v>
      </c>
      <c r="E127" s="11" t="s">
        <v>183</v>
      </c>
      <c r="F127" s="11" t="s">
        <v>423</v>
      </c>
      <c r="G127" s="12">
        <v>32829</v>
      </c>
      <c r="H127" s="11" t="s">
        <v>24</v>
      </c>
      <c r="I127" s="11" t="s">
        <v>424</v>
      </c>
      <c r="J127" s="11" t="s">
        <v>425</v>
      </c>
      <c r="K127" s="11" t="s">
        <v>27</v>
      </c>
      <c r="L127" s="23">
        <v>767629606</v>
      </c>
      <c r="M127" s="14">
        <v>261642769</v>
      </c>
      <c r="N127" s="14">
        <v>505986838</v>
      </c>
      <c r="O127" s="14">
        <v>850526444</v>
      </c>
      <c r="P127" s="14">
        <v>33566313</v>
      </c>
      <c r="Q127" s="14">
        <v>31909767</v>
      </c>
      <c r="R127" s="14">
        <v>23739402</v>
      </c>
      <c r="S127" s="15">
        <v>52420851</v>
      </c>
      <c r="T127" s="15">
        <v>11340239</v>
      </c>
      <c r="U127" s="15">
        <v>3455604</v>
      </c>
      <c r="V127" s="15">
        <f>675937+250000*2+23000+58430+50000+198283</f>
        <v>1505650</v>
      </c>
      <c r="W127" s="15">
        <f>1400+640+58758+980+680+620+10+640+1080+980</f>
        <v>65788</v>
      </c>
      <c r="X127" s="15">
        <v>2621042</v>
      </c>
      <c r="Y127" s="24" t="s">
        <v>2065</v>
      </c>
      <c r="Z127" s="15">
        <v>1600000</v>
      </c>
      <c r="AA127" s="15">
        <f>9536000/5000</f>
        <v>1907.2</v>
      </c>
      <c r="AB127" s="74">
        <f t="shared" si="65"/>
        <v>9248084</v>
      </c>
      <c r="AC127" s="75">
        <f t="shared" si="66"/>
        <v>17.641995167152093</v>
      </c>
      <c r="AD127" s="75">
        <f t="shared" si="67"/>
        <v>84.860188290720288</v>
      </c>
      <c r="AE127" s="76">
        <f t="shared" si="106"/>
        <v>2.5458056487216085</v>
      </c>
      <c r="AF127" s="77">
        <f t="shared" si="68"/>
        <v>12.077435313880686</v>
      </c>
      <c r="AG127" s="77">
        <f t="shared" si="69"/>
        <v>22.508442865998056</v>
      </c>
      <c r="AH127" s="77">
        <f t="shared" si="70"/>
        <v>10.43100755211737</v>
      </c>
      <c r="AI127" s="78">
        <f t="shared" si="71"/>
        <v>80</v>
      </c>
      <c r="AJ127" s="79">
        <f t="shared" si="107"/>
        <v>3.2</v>
      </c>
      <c r="AK127" s="113">
        <v>6</v>
      </c>
      <c r="AL127" s="113">
        <v>21</v>
      </c>
      <c r="AM127" s="113">
        <v>2</v>
      </c>
      <c r="AN127" s="81">
        <f t="shared" si="72"/>
        <v>27</v>
      </c>
      <c r="AO127" s="82">
        <f t="shared" si="73"/>
        <v>7.4074074074074066</v>
      </c>
      <c r="AP127" s="83">
        <f t="shared" si="74"/>
        <v>100</v>
      </c>
      <c r="AQ127" s="84">
        <f t="shared" si="108"/>
        <v>2</v>
      </c>
      <c r="AR127" s="118">
        <v>3</v>
      </c>
      <c r="AS127" s="86">
        <f t="shared" si="75"/>
        <v>0.25</v>
      </c>
      <c r="AT127" s="87">
        <f t="shared" si="76"/>
        <v>1.5</v>
      </c>
      <c r="AU127" s="87">
        <f t="shared" si="77"/>
        <v>1</v>
      </c>
      <c r="AV127" s="88">
        <f t="shared" si="78"/>
        <v>33.333333333333329</v>
      </c>
      <c r="AW127" s="78">
        <f t="shared" si="79"/>
        <v>80</v>
      </c>
      <c r="AX127" s="89">
        <f t="shared" si="109"/>
        <v>0.8</v>
      </c>
      <c r="AY127" s="114">
        <v>6</v>
      </c>
      <c r="AZ127" s="114">
        <v>17</v>
      </c>
      <c r="BA127" s="91">
        <f t="shared" si="80"/>
        <v>18</v>
      </c>
      <c r="BB127" s="77">
        <f t="shared" si="81"/>
        <v>94.444444444444443</v>
      </c>
      <c r="BC127" s="78">
        <f t="shared" si="82"/>
        <v>100</v>
      </c>
      <c r="BD127" s="79">
        <f t="shared" si="110"/>
        <v>1</v>
      </c>
      <c r="BE127" s="92">
        <v>50827189</v>
      </c>
      <c r="BF127" s="92">
        <v>6590842</v>
      </c>
      <c r="BG127" s="114">
        <v>730964</v>
      </c>
      <c r="BH127" s="94">
        <f t="shared" si="83"/>
        <v>57418031</v>
      </c>
      <c r="BI127" s="77">
        <f t="shared" si="84"/>
        <v>1.2730565421165347</v>
      </c>
      <c r="BJ127" s="95" t="str">
        <f t="shared" si="85"/>
        <v>식약/섬유/종이업</v>
      </c>
      <c r="BK127" s="96">
        <f t="shared" si="86"/>
        <v>2.1999360555264453</v>
      </c>
      <c r="BL127" s="97">
        <f t="shared" si="87"/>
        <v>-0.92687951340991059</v>
      </c>
      <c r="BM127" s="98">
        <f t="shared" si="88"/>
        <v>80</v>
      </c>
      <c r="BN127" s="99">
        <f t="shared" si="89"/>
        <v>1.6</v>
      </c>
      <c r="BO127" s="114">
        <v>13805000</v>
      </c>
      <c r="BP127" s="101">
        <f t="shared" si="90"/>
        <v>1.6231123790902378</v>
      </c>
      <c r="BQ127" s="78">
        <f t="shared" si="91"/>
        <v>70</v>
      </c>
      <c r="BR127" s="79">
        <f t="shared" si="111"/>
        <v>1.4000000000000001</v>
      </c>
      <c r="BS127" s="102">
        <v>24984269.456</v>
      </c>
      <c r="BT127" s="102">
        <v>267210.54300000001</v>
      </c>
      <c r="BU127" s="103">
        <f t="shared" si="92"/>
        <v>24717058.912999999</v>
      </c>
      <c r="BV127" s="77">
        <f t="shared" si="93"/>
        <v>2.9060894093729082</v>
      </c>
      <c r="BW127" s="96">
        <f t="shared" si="94"/>
        <v>5.0508176117342298</v>
      </c>
      <c r="BX127" s="96">
        <f t="shared" si="95"/>
        <v>4.5998590620040263</v>
      </c>
      <c r="BY127" s="96">
        <f t="shared" si="96"/>
        <v>6.9871618081220923</v>
      </c>
      <c r="BZ127" s="96">
        <f t="shared" si="97"/>
        <v>62.056031349046357</v>
      </c>
      <c r="CA127" s="96">
        <f t="shared" si="98"/>
        <v>40</v>
      </c>
      <c r="CB127" s="104">
        <f t="shared" si="99"/>
        <v>0.8</v>
      </c>
      <c r="CC127" s="105">
        <f t="shared" si="112"/>
        <v>51.709402172235954</v>
      </c>
      <c r="CD127" s="106">
        <f t="shared" si="113"/>
        <v>80.888416266745239</v>
      </c>
      <c r="CE127" s="107">
        <f t="shared" si="114"/>
        <v>1.2133262440011785</v>
      </c>
      <c r="CF127" s="108" t="s">
        <v>2189</v>
      </c>
      <c r="CG127" s="108" t="s">
        <v>2189</v>
      </c>
      <c r="CH127" s="108" t="s">
        <v>2189</v>
      </c>
      <c r="CI127" s="108" t="s">
        <v>2189</v>
      </c>
      <c r="CJ127" s="109"/>
      <c r="CK127" s="116" t="s">
        <v>2202</v>
      </c>
      <c r="CL127" s="116" t="s">
        <v>2196</v>
      </c>
      <c r="CM127" s="111">
        <f t="shared" si="100"/>
        <v>55</v>
      </c>
      <c r="CN127" s="107">
        <f t="shared" si="115"/>
        <v>0.82499999999999996</v>
      </c>
      <c r="CO127" s="114">
        <v>96976000</v>
      </c>
      <c r="CP127" s="88">
        <f t="shared" si="101"/>
        <v>19.165715927179907</v>
      </c>
      <c r="CQ127" s="78">
        <f t="shared" si="102"/>
        <v>60</v>
      </c>
      <c r="CR127" s="79">
        <f t="shared" si="116"/>
        <v>1.7999999999999998</v>
      </c>
      <c r="CS127" s="92">
        <f>_xlfn.XLOOKUP(C127, '[1]1-1. 관계사체무보증금액 (환율 등)'!$3:$3, '[1]1-1. 관계사체무보증금액 (환율 등)'!$33:$33)</f>
        <v>0</v>
      </c>
      <c r="CT127" s="77">
        <f t="shared" si="103"/>
        <v>0</v>
      </c>
      <c r="CU127" s="78">
        <f t="shared" si="104"/>
        <v>100</v>
      </c>
      <c r="CV127" s="79">
        <f t="shared" si="117"/>
        <v>2</v>
      </c>
      <c r="CW127" s="112">
        <f t="shared" si="105"/>
        <v>19.184131892722789</v>
      </c>
    </row>
    <row r="128" spans="1:101" x14ac:dyDescent="0.35">
      <c r="A128" s="7" t="s">
        <v>1729</v>
      </c>
      <c r="B128" s="8" t="s">
        <v>1730</v>
      </c>
      <c r="C128" s="21" t="s">
        <v>1731</v>
      </c>
      <c r="D128" s="22" t="s">
        <v>31</v>
      </c>
      <c r="E128" s="11" t="s">
        <v>1732</v>
      </c>
      <c r="F128" s="11" t="s">
        <v>1733</v>
      </c>
      <c r="G128" s="12">
        <v>40105</v>
      </c>
      <c r="H128" s="11" t="s">
        <v>24</v>
      </c>
      <c r="I128" s="11" t="s">
        <v>1734</v>
      </c>
      <c r="J128" s="11" t="s">
        <v>1735</v>
      </c>
      <c r="K128" s="11" t="s">
        <v>27</v>
      </c>
      <c r="L128" s="23">
        <v>3107792300</v>
      </c>
      <c r="M128" s="14">
        <v>1945483554</v>
      </c>
      <c r="N128" s="14">
        <v>1162308746</v>
      </c>
      <c r="O128" s="14">
        <v>2222161984</v>
      </c>
      <c r="P128" s="14">
        <v>165474689</v>
      </c>
      <c r="Q128" s="14">
        <v>92802035</v>
      </c>
      <c r="R128" s="14">
        <v>66847561</v>
      </c>
      <c r="S128" s="15">
        <v>70133611</v>
      </c>
      <c r="T128" s="15">
        <v>1484184</v>
      </c>
      <c r="U128" s="15">
        <f>35672250+1814314</f>
        <v>37486564</v>
      </c>
      <c r="V128" s="15">
        <f>1814314+2392+2127+12+33</f>
        <v>1818878</v>
      </c>
      <c r="W128" s="15">
        <f>1001+351+50+151+200+7+250+264+1700+525+1850+150+453+500*2+10+1030+50+500+5633+65</f>
        <v>15240</v>
      </c>
      <c r="X128" s="15">
        <v>24106</v>
      </c>
      <c r="Y128" s="24" t="s">
        <v>2111</v>
      </c>
      <c r="Z128" s="15">
        <f>29345+248082</f>
        <v>277427</v>
      </c>
      <c r="AA128" s="15">
        <f>4000</f>
        <v>4000</v>
      </c>
      <c r="AB128" s="74">
        <f t="shared" si="65"/>
        <v>39622215</v>
      </c>
      <c r="AC128" s="75">
        <f t="shared" si="66"/>
        <v>56.495330035123956</v>
      </c>
      <c r="AD128" s="75">
        <f t="shared" si="67"/>
        <v>51.327390648627201</v>
      </c>
      <c r="AE128" s="76">
        <f t="shared" si="106"/>
        <v>1.539821719458816</v>
      </c>
      <c r="AF128" s="77">
        <f t="shared" si="68"/>
        <v>57.25864594010028</v>
      </c>
      <c r="AG128" s="77">
        <f t="shared" si="69"/>
        <v>57.714281535461929</v>
      </c>
      <c r="AH128" s="77">
        <f t="shared" si="70"/>
        <v>0.45563559536164888</v>
      </c>
      <c r="AI128" s="78">
        <f t="shared" si="71"/>
        <v>100</v>
      </c>
      <c r="AJ128" s="79">
        <f t="shared" si="107"/>
        <v>4</v>
      </c>
      <c r="AK128" s="113">
        <v>5</v>
      </c>
      <c r="AL128" s="113">
        <v>36</v>
      </c>
      <c r="AM128" s="113">
        <v>1</v>
      </c>
      <c r="AN128" s="81">
        <f t="shared" si="72"/>
        <v>41</v>
      </c>
      <c r="AO128" s="82">
        <f t="shared" si="73"/>
        <v>2.4390243902439024</v>
      </c>
      <c r="AP128" s="83">
        <f t="shared" si="74"/>
        <v>100</v>
      </c>
      <c r="AQ128" s="84">
        <f t="shared" si="108"/>
        <v>2</v>
      </c>
      <c r="AR128" s="118">
        <v>3</v>
      </c>
      <c r="AS128" s="86">
        <f t="shared" si="75"/>
        <v>0.5</v>
      </c>
      <c r="AT128" s="87">
        <f t="shared" si="76"/>
        <v>2.5</v>
      </c>
      <c r="AU128" s="87">
        <f t="shared" si="77"/>
        <v>2</v>
      </c>
      <c r="AV128" s="88">
        <f t="shared" si="78"/>
        <v>20</v>
      </c>
      <c r="AW128" s="78">
        <f t="shared" si="79"/>
        <v>80</v>
      </c>
      <c r="AX128" s="89">
        <f t="shared" si="109"/>
        <v>0.8</v>
      </c>
      <c r="AY128" s="114">
        <v>17</v>
      </c>
      <c r="AZ128" s="114">
        <f>17*3</f>
        <v>51</v>
      </c>
      <c r="BA128" s="91">
        <f t="shared" si="80"/>
        <v>51</v>
      </c>
      <c r="BB128" s="77">
        <f t="shared" si="81"/>
        <v>100</v>
      </c>
      <c r="BC128" s="78">
        <f t="shared" si="82"/>
        <v>100</v>
      </c>
      <c r="BD128" s="79">
        <f t="shared" si="110"/>
        <v>1</v>
      </c>
      <c r="BE128" s="92">
        <v>152104463.463</v>
      </c>
      <c r="BF128" s="92">
        <v>55640103.568000004</v>
      </c>
      <c r="BG128" s="93">
        <v>0</v>
      </c>
      <c r="BH128" s="94">
        <f t="shared" si="83"/>
        <v>207744567.03100002</v>
      </c>
      <c r="BI128" s="77">
        <f t="shared" si="84"/>
        <v>0</v>
      </c>
      <c r="BJ128" s="95" t="str">
        <f t="shared" si="85"/>
        <v>식약/섬유/종이업</v>
      </c>
      <c r="BK128" s="96">
        <f t="shared" si="86"/>
        <v>2.1999360555264453</v>
      </c>
      <c r="BL128" s="97">
        <f t="shared" si="87"/>
        <v>-2.1999360555264453</v>
      </c>
      <c r="BM128" s="98">
        <f t="shared" si="88"/>
        <v>100</v>
      </c>
      <c r="BN128" s="99">
        <f t="shared" si="89"/>
        <v>2</v>
      </c>
      <c r="BO128" s="114">
        <v>4589782</v>
      </c>
      <c r="BP128" s="101">
        <f t="shared" si="90"/>
        <v>0.20654578887800826</v>
      </c>
      <c r="BQ128" s="78">
        <f t="shared" si="91"/>
        <v>55</v>
      </c>
      <c r="BR128" s="79">
        <f t="shared" si="111"/>
        <v>1.1000000000000001</v>
      </c>
      <c r="BS128" s="102">
        <v>164008903.59</v>
      </c>
      <c r="BT128" s="102">
        <v>9548318.2970000003</v>
      </c>
      <c r="BU128" s="103">
        <f t="shared" si="92"/>
        <v>154460585.29300001</v>
      </c>
      <c r="BV128" s="77">
        <f t="shared" si="93"/>
        <v>6.9509147580215283</v>
      </c>
      <c r="BW128" s="96">
        <f t="shared" si="94"/>
        <v>5.0508176117342298</v>
      </c>
      <c r="BX128" s="96">
        <f t="shared" si="95"/>
        <v>3.6103691653291352</v>
      </c>
      <c r="BY128" s="96">
        <f t="shared" si="96"/>
        <v>6.9871618081220923</v>
      </c>
      <c r="BZ128" s="96">
        <f t="shared" si="97"/>
        <v>39.283361688491901</v>
      </c>
      <c r="CA128" s="96">
        <f t="shared" si="98"/>
        <v>55</v>
      </c>
      <c r="CB128" s="104">
        <f t="shared" si="99"/>
        <v>1.1000000000000001</v>
      </c>
      <c r="CC128" s="105">
        <f t="shared" si="112"/>
        <v>167.38096144378491</v>
      </c>
      <c r="CD128" s="106">
        <f t="shared" si="113"/>
        <v>37.293607496060964</v>
      </c>
      <c r="CE128" s="107">
        <f t="shared" si="114"/>
        <v>0.55940411244091448</v>
      </c>
      <c r="CF128" s="108" t="s">
        <v>2189</v>
      </c>
      <c r="CG128" s="108" t="s">
        <v>2189</v>
      </c>
      <c r="CH128" s="108" t="s">
        <v>2189</v>
      </c>
      <c r="CI128" s="108" t="s">
        <v>2189</v>
      </c>
      <c r="CJ128" s="109"/>
      <c r="CK128" s="116" t="s">
        <v>2224</v>
      </c>
      <c r="CL128" s="116" t="s">
        <v>2191</v>
      </c>
      <c r="CM128" s="111">
        <f t="shared" si="100"/>
        <v>85</v>
      </c>
      <c r="CN128" s="107">
        <f t="shared" si="115"/>
        <v>1.2749999999999999</v>
      </c>
      <c r="CO128" s="114">
        <v>272676000</v>
      </c>
      <c r="CP128" s="88">
        <f t="shared" si="101"/>
        <v>23.459859606012117</v>
      </c>
      <c r="CQ128" s="78">
        <f t="shared" si="102"/>
        <v>60</v>
      </c>
      <c r="CR128" s="79">
        <f t="shared" si="116"/>
        <v>1.7999999999999998</v>
      </c>
      <c r="CS128" s="92">
        <f>_xlfn.XLOOKUP(C128, '[1]1-1. 관계사체무보증금액 (환율 등)'!$3:$3, '[1]1-1. 관계사체무보증금액 (환율 등)'!$33:$33)</f>
        <v>3047945.2054794519</v>
      </c>
      <c r="CT128" s="77">
        <f t="shared" si="103"/>
        <v>0.26223197717204921</v>
      </c>
      <c r="CU128" s="78">
        <f t="shared" si="104"/>
        <v>100</v>
      </c>
      <c r="CV128" s="79">
        <f t="shared" si="117"/>
        <v>2</v>
      </c>
      <c r="CW128" s="112">
        <f t="shared" si="105"/>
        <v>19.174225831899729</v>
      </c>
    </row>
    <row r="129" spans="1:101" x14ac:dyDescent="0.35">
      <c r="A129" s="7" t="s">
        <v>1588</v>
      </c>
      <c r="B129" s="8" t="s">
        <v>1589</v>
      </c>
      <c r="C129" s="21" t="s">
        <v>1590</v>
      </c>
      <c r="D129" s="22" t="s">
        <v>75</v>
      </c>
      <c r="E129" s="11" t="s">
        <v>149</v>
      </c>
      <c r="F129" s="11" t="s">
        <v>1591</v>
      </c>
      <c r="G129" s="12">
        <v>32048</v>
      </c>
      <c r="H129" s="11" t="s">
        <v>24</v>
      </c>
      <c r="I129" s="11" t="s">
        <v>1592</v>
      </c>
      <c r="J129" s="11" t="s">
        <v>1593</v>
      </c>
      <c r="K129" s="11" t="s">
        <v>280</v>
      </c>
      <c r="L129" s="23">
        <v>451321117</v>
      </c>
      <c r="M129" s="14">
        <v>200117020</v>
      </c>
      <c r="N129" s="14">
        <v>251204097</v>
      </c>
      <c r="O129" s="14">
        <v>485605244</v>
      </c>
      <c r="P129" s="14">
        <v>32475176</v>
      </c>
      <c r="Q129" s="14">
        <v>35572342</v>
      </c>
      <c r="R129" s="14">
        <v>27697028</v>
      </c>
      <c r="S129" s="15">
        <v>30650756</v>
      </c>
      <c r="T129" s="15">
        <v>11760</v>
      </c>
      <c r="U129" s="15">
        <v>8317153</v>
      </c>
      <c r="V129" s="15">
        <v>0</v>
      </c>
      <c r="W129" s="15">
        <f>29621+196689+11105+10000</f>
        <v>247415</v>
      </c>
      <c r="X129" s="15">
        <v>0</v>
      </c>
      <c r="Z129" s="15">
        <v>338570</v>
      </c>
      <c r="AA129" s="15">
        <v>0</v>
      </c>
      <c r="AB129" s="74">
        <f t="shared" si="65"/>
        <v>8903138</v>
      </c>
      <c r="AC129" s="75">
        <f t="shared" si="66"/>
        <v>29.047042102322045</v>
      </c>
      <c r="AD129" s="75">
        <f t="shared" si="67"/>
        <v>75.016937195924584</v>
      </c>
      <c r="AE129" s="76">
        <f t="shared" si="106"/>
        <v>2.2505081158777376</v>
      </c>
      <c r="AF129" s="77">
        <f t="shared" si="68"/>
        <v>27.145644720212108</v>
      </c>
      <c r="AG129" s="77">
        <f t="shared" si="69"/>
        <v>29.05819107127401</v>
      </c>
      <c r="AH129" s="77">
        <f t="shared" si="70"/>
        <v>1.9125463510619021</v>
      </c>
      <c r="AI129" s="78">
        <f t="shared" si="71"/>
        <v>100</v>
      </c>
      <c r="AJ129" s="79">
        <f t="shared" si="107"/>
        <v>4</v>
      </c>
      <c r="AK129" s="113">
        <v>9</v>
      </c>
      <c r="AL129" s="113">
        <v>8</v>
      </c>
      <c r="AM129" s="113">
        <v>1</v>
      </c>
      <c r="AN129" s="81">
        <f t="shared" si="72"/>
        <v>17</v>
      </c>
      <c r="AO129" s="82">
        <f t="shared" si="73"/>
        <v>5.8823529411764701</v>
      </c>
      <c r="AP129" s="83">
        <f t="shared" si="74"/>
        <v>100</v>
      </c>
      <c r="AQ129" s="84">
        <f t="shared" si="108"/>
        <v>2</v>
      </c>
      <c r="AR129" s="118">
        <v>3</v>
      </c>
      <c r="AS129" s="86">
        <f t="shared" si="75"/>
        <v>0.25</v>
      </c>
      <c r="AT129" s="87">
        <f t="shared" si="76"/>
        <v>2.25</v>
      </c>
      <c r="AU129" s="87">
        <f t="shared" si="77"/>
        <v>2</v>
      </c>
      <c r="AV129" s="88">
        <f t="shared" si="78"/>
        <v>11.111111111111111</v>
      </c>
      <c r="AW129" s="78">
        <f t="shared" si="79"/>
        <v>60</v>
      </c>
      <c r="AX129" s="89">
        <f t="shared" si="109"/>
        <v>0.6</v>
      </c>
      <c r="AY129" s="114">
        <v>12</v>
      </c>
      <c r="AZ129" s="114">
        <f>36-9</f>
        <v>27</v>
      </c>
      <c r="BA129" s="91">
        <f t="shared" si="80"/>
        <v>36</v>
      </c>
      <c r="BB129" s="77">
        <f t="shared" si="81"/>
        <v>75</v>
      </c>
      <c r="BC129" s="78">
        <f t="shared" si="82"/>
        <v>50</v>
      </c>
      <c r="BD129" s="79">
        <f t="shared" si="110"/>
        <v>0.5</v>
      </c>
      <c r="BE129" s="92">
        <f>4594955.667+1633955.431</f>
        <v>6228911.0980000002</v>
      </c>
      <c r="BF129" s="92">
        <v>583164.41399999999</v>
      </c>
      <c r="BG129" s="114">
        <v>773462.55099999998</v>
      </c>
      <c r="BH129" s="94">
        <f t="shared" si="83"/>
        <v>6812075.5120000001</v>
      </c>
      <c r="BI129" s="77">
        <f t="shared" si="84"/>
        <v>11.354286217724475</v>
      </c>
      <c r="BJ129" s="95" t="str">
        <f t="shared" si="85"/>
        <v>금속/비금속/화학업</v>
      </c>
      <c r="BK129" s="96">
        <f t="shared" si="86"/>
        <v>3.9534118626990469</v>
      </c>
      <c r="BL129" s="97">
        <f t="shared" si="87"/>
        <v>7.4008743550254277</v>
      </c>
      <c r="BM129" s="98">
        <f t="shared" si="88"/>
        <v>40</v>
      </c>
      <c r="BN129" s="99">
        <f t="shared" si="89"/>
        <v>0.8</v>
      </c>
      <c r="BO129" s="114">
        <v>3038000</v>
      </c>
      <c r="BP129" s="101">
        <f t="shared" si="90"/>
        <v>0.62561103644094918</v>
      </c>
      <c r="BQ129" s="78">
        <f t="shared" si="91"/>
        <v>70</v>
      </c>
      <c r="BR129" s="79">
        <f t="shared" si="111"/>
        <v>1.4000000000000001</v>
      </c>
      <c r="BS129" s="102">
        <v>20217424.874000002</v>
      </c>
      <c r="BT129" s="102">
        <v>18616.29</v>
      </c>
      <c r="BU129" s="103">
        <f t="shared" si="92"/>
        <v>20198808.584000003</v>
      </c>
      <c r="BV129" s="77">
        <f t="shared" si="93"/>
        <v>4.1595120385479207</v>
      </c>
      <c r="BW129" s="96">
        <f t="shared" si="94"/>
        <v>5.1474158565187738</v>
      </c>
      <c r="BX129" s="96">
        <f t="shared" si="95"/>
        <v>0.97595395356138837</v>
      </c>
      <c r="BY129" s="96">
        <f t="shared" si="96"/>
        <v>6.6930498535228535</v>
      </c>
      <c r="BZ129" s="96">
        <f t="shared" si="97"/>
        <v>55.867134197621617</v>
      </c>
      <c r="CA129" s="96">
        <f t="shared" si="98"/>
        <v>55</v>
      </c>
      <c r="CB129" s="104">
        <f t="shared" si="99"/>
        <v>1.1000000000000001</v>
      </c>
      <c r="CC129" s="105">
        <f t="shared" si="112"/>
        <v>79.663119507163145</v>
      </c>
      <c r="CD129" s="106">
        <f t="shared" si="113"/>
        <v>70.353095663129466</v>
      </c>
      <c r="CE129" s="107">
        <f t="shared" si="114"/>
        <v>1.055296434946942</v>
      </c>
      <c r="CF129" s="108" t="s">
        <v>2189</v>
      </c>
      <c r="CG129" s="108" t="s">
        <v>2189</v>
      </c>
      <c r="CH129" s="108" t="s">
        <v>2189</v>
      </c>
      <c r="CI129" s="108" t="s">
        <v>2189</v>
      </c>
      <c r="CJ129" s="109"/>
      <c r="CK129" s="116" t="s">
        <v>2192</v>
      </c>
      <c r="CL129" s="116" t="s">
        <v>2193</v>
      </c>
      <c r="CM129" s="111">
        <f t="shared" si="100"/>
        <v>25</v>
      </c>
      <c r="CN129" s="107">
        <f t="shared" si="115"/>
        <v>0.375</v>
      </c>
      <c r="CO129" s="114">
        <v>0</v>
      </c>
      <c r="CP129" s="88">
        <f t="shared" si="101"/>
        <v>0</v>
      </c>
      <c r="CQ129" s="78">
        <f t="shared" si="102"/>
        <v>100</v>
      </c>
      <c r="CR129" s="79">
        <f t="shared" si="116"/>
        <v>3</v>
      </c>
      <c r="CS129" s="92">
        <f>_xlfn.XLOOKUP(C129, '[1]1-1. 관계사체무보증금액 (환율 등)'!$3:$3, '[1]1-1. 관계사체무보증금액 (환율 등)'!$33:$33)</f>
        <v>0</v>
      </c>
      <c r="CT129" s="77">
        <f t="shared" si="103"/>
        <v>0</v>
      </c>
      <c r="CU129" s="78">
        <f t="shared" si="104"/>
        <v>100</v>
      </c>
      <c r="CV129" s="79">
        <f t="shared" si="117"/>
        <v>2</v>
      </c>
      <c r="CW129" s="112">
        <f t="shared" si="105"/>
        <v>19.080804550824681</v>
      </c>
    </row>
    <row r="130" spans="1:101" x14ac:dyDescent="0.35">
      <c r="A130" s="7" t="s">
        <v>852</v>
      </c>
      <c r="B130" s="8" t="s">
        <v>853</v>
      </c>
      <c r="C130" s="21" t="s">
        <v>854</v>
      </c>
      <c r="D130" s="10" t="s">
        <v>75</v>
      </c>
      <c r="E130" s="11" t="s">
        <v>149</v>
      </c>
      <c r="F130" s="11" t="s">
        <v>855</v>
      </c>
      <c r="G130" s="12">
        <v>32842</v>
      </c>
      <c r="H130" s="11" t="s">
        <v>24</v>
      </c>
      <c r="I130" s="11" t="s">
        <v>856</v>
      </c>
      <c r="J130" s="11" t="s">
        <v>857</v>
      </c>
      <c r="K130" s="11" t="s">
        <v>50</v>
      </c>
      <c r="L130" s="23">
        <v>60912252</v>
      </c>
      <c r="M130" s="14">
        <v>12528504</v>
      </c>
      <c r="N130" s="14">
        <v>48383747</v>
      </c>
      <c r="O130" s="14">
        <v>48434716</v>
      </c>
      <c r="P130" s="14">
        <v>3282892</v>
      </c>
      <c r="Q130" s="14">
        <v>3389050</v>
      </c>
      <c r="R130" s="14">
        <v>3069106</v>
      </c>
      <c r="S130" s="15">
        <v>59900000</v>
      </c>
      <c r="T130" s="15">
        <v>0</v>
      </c>
      <c r="U130" s="15">
        <v>15669700</v>
      </c>
      <c r="V130" s="15">
        <f>4021025+60260</f>
        <v>4081285</v>
      </c>
      <c r="W130" s="15">
        <f>211975+70000</f>
        <v>281975</v>
      </c>
      <c r="X130" s="15">
        <v>0</v>
      </c>
      <c r="Z130" s="15">
        <v>0</v>
      </c>
      <c r="AA130" s="15">
        <v>0</v>
      </c>
      <c r="AB130" s="74">
        <f t="shared" ref="AB130:AB193" si="118">SUM(U130,V130,Z130,W130,X130)</f>
        <v>20032960</v>
      </c>
      <c r="AC130" s="75">
        <f t="shared" ref="AC130:AC193" si="119">(AB130/S130)*100</f>
        <v>33.444006677796331</v>
      </c>
      <c r="AD130" s="75">
        <f t="shared" ref="AD130:AD193" si="120">100-(75*(AC130-0.1))/(87-0.1)</f>
        <v>71.222088597989369</v>
      </c>
      <c r="AE130" s="76">
        <f t="shared" si="106"/>
        <v>2.1366626579396808</v>
      </c>
      <c r="AF130" s="77">
        <f t="shared" ref="AF130:AF193" si="121">(U130+V130)/(S130-T130-AA130)*100</f>
        <v>32.973263772954923</v>
      </c>
      <c r="AG130" s="77">
        <f t="shared" ref="AG130:AG193" si="122">(U130+V130+Z130+W130+X130-AA130)/(S130-T130-AA130)*100</f>
        <v>33.444006677796331</v>
      </c>
      <c r="AH130" s="77">
        <f t="shared" ref="AH130:AH193" si="123">AG130-AF130</f>
        <v>0.47074290484140846</v>
      </c>
      <c r="AI130" s="78">
        <f t="shared" ref="AI130:AI193" si="124">IF(AH130&lt;10, 100, IF(AH130&lt;30, 80, IF(AH130&lt;50, 60, IF(AH130&lt;80, 40, IF(AH130&lt;=100, 20)))))</f>
        <v>100</v>
      </c>
      <c r="AJ130" s="79">
        <f t="shared" si="107"/>
        <v>4</v>
      </c>
      <c r="AK130" s="113">
        <v>4</v>
      </c>
      <c r="AL130" s="113">
        <v>5</v>
      </c>
      <c r="AM130" s="113">
        <v>1</v>
      </c>
      <c r="AN130" s="81">
        <f t="shared" ref="AN130:AN193" si="125">SUM(AK130:AL130)</f>
        <v>9</v>
      </c>
      <c r="AO130" s="82">
        <f t="shared" ref="AO130:AO193" si="126">(AM130/AN130)*100</f>
        <v>11.111111111111111</v>
      </c>
      <c r="AP130" s="83">
        <f t="shared" ref="AP130:AP193" si="127">IF(AO130&lt;10, 100, IF(AO130&lt;20, 80, IF(AO130&lt;30, 60, IF(AO130&lt;50, 40, IF(AO130&gt;=50, 20)))))</f>
        <v>80</v>
      </c>
      <c r="AQ130" s="84">
        <f t="shared" si="108"/>
        <v>1.6</v>
      </c>
      <c r="AR130" s="118">
        <v>1</v>
      </c>
      <c r="AS130" s="86">
        <f t="shared" ref="AS130:AS193" si="128">IF(L130&gt;=2000000000, 0.5, IF(L130&lt;2000000000, 0.25))</f>
        <v>0.25</v>
      </c>
      <c r="AT130" s="87">
        <f t="shared" ref="AT130:AT193" si="129">AK130*AS130</f>
        <v>1</v>
      </c>
      <c r="AU130" s="87">
        <f t="shared" ref="AU130:AU193" si="130">ROUNDDOWN(AT130,0)</f>
        <v>1</v>
      </c>
      <c r="AV130" s="88">
        <f t="shared" ref="AV130:AV193" si="131">(AR130-AU130)/AK130*100</f>
        <v>0</v>
      </c>
      <c r="AW130" s="78">
        <f t="shared" ref="AW130:AW193" si="132">IF(AV130&lt;0, 20, IF(AV130=0, 40, IF(AV130&lt;20, 60, IF(AV130&lt;40, 80, IF(AV130&gt;=40, 100)))))</f>
        <v>40</v>
      </c>
      <c r="AX130" s="89">
        <f t="shared" si="109"/>
        <v>0.4</v>
      </c>
      <c r="AY130" s="114">
        <v>8</v>
      </c>
      <c r="AZ130" s="114">
        <v>6</v>
      </c>
      <c r="BA130" s="91">
        <f t="shared" ref="BA130:BA193" si="133">AR130*AY130</f>
        <v>8</v>
      </c>
      <c r="BB130" s="77">
        <f t="shared" ref="BB130:BB193" si="134">(AZ130/BA130)*100</f>
        <v>75</v>
      </c>
      <c r="BC130" s="78">
        <f t="shared" ref="BC130:BC193" si="135">IF(BB130&lt;70, 25, IF(BB130&lt;80, 50, IF(BB130&lt;90, 75, IF(BB130&gt;=90, 100))))</f>
        <v>50</v>
      </c>
      <c r="BD130" s="79">
        <f t="shared" si="110"/>
        <v>0.5</v>
      </c>
      <c r="BE130" s="92">
        <v>2476771</v>
      </c>
      <c r="BF130" s="92">
        <v>60383</v>
      </c>
      <c r="BG130" s="114">
        <v>113789</v>
      </c>
      <c r="BH130" s="94">
        <f t="shared" ref="BH130:BH193" si="136">SUM(BE130:BF130)</f>
        <v>2537154</v>
      </c>
      <c r="BI130" s="77">
        <f t="shared" ref="BI130:BI193" si="137">(BG130/BH130)*100</f>
        <v>4.4849071045746536</v>
      </c>
      <c r="BJ130" s="95" t="str">
        <f t="shared" ref="BJ130:BJ193" si="138">IF(D130="금융업(보험)", "금융업", IF(D130="금융업(증권)", "금융업", IF(D130="금융업(종금)", "금융업", D130)))</f>
        <v>금속/비금속/화학업</v>
      </c>
      <c r="BK130" s="96">
        <f t="shared" ref="BK130:BK193" si="139">AVERAGEIF(BJ:BJ, BJ130, BI:BI)</f>
        <v>3.9534118626990469</v>
      </c>
      <c r="BL130" s="97">
        <f t="shared" ref="BL130:BL193" si="140">BI130-BK130</f>
        <v>0.53149524187560671</v>
      </c>
      <c r="BM130" s="98">
        <f t="shared" ref="BM130:BM193" si="141">IF(BL130&lt;-2, 100, IF(BL130&lt;0, 80, IF(BL130&lt;2, 60, IF(BL130&lt;10, 40, 20))))</f>
        <v>60</v>
      </c>
      <c r="BN130" s="99">
        <f t="shared" ref="BN130:BN193" si="142">BM130*0.02</f>
        <v>1.2</v>
      </c>
      <c r="BO130" s="114">
        <v>1286197</v>
      </c>
      <c r="BP130" s="101">
        <f t="shared" ref="BP130:BP193" si="143">(BO130/O130)*100</f>
        <v>2.6555270810300611</v>
      </c>
      <c r="BQ130" s="78">
        <f t="shared" ref="BQ130:BQ193" si="144">IF(BP130=0, 25, IF(BP130&lt;0.1, 40, IF(BP130&lt;0.5, 55, IF(BP130&lt;2, 70, IF(BP130&lt;4, 85, IF(BP130&gt;=4, 100))))))</f>
        <v>85</v>
      </c>
      <c r="BR130" s="79">
        <f t="shared" si="111"/>
        <v>1.7</v>
      </c>
      <c r="BS130" s="102">
        <v>649749.29099999997</v>
      </c>
      <c r="BT130" s="102">
        <v>0</v>
      </c>
      <c r="BU130" s="103">
        <f t="shared" ref="BU130:BU193" si="145">BS130-BT130</f>
        <v>649749.29099999997</v>
      </c>
      <c r="BV130" s="77">
        <f t="shared" ref="BV130:BV193" si="146">BU130/O130*100</f>
        <v>1.341494995036205</v>
      </c>
      <c r="BW130" s="96">
        <f t="shared" ref="BW130:BW193" si="147">AVERAGEIF(BJ:BJ, BJ130, BV:BV)</f>
        <v>5.1474158565187738</v>
      </c>
      <c r="BX130" s="96">
        <f t="shared" ref="BX130:BX193" si="148">(BV130-BW130)^2</f>
        <v>14.485033603868219</v>
      </c>
      <c r="BY130" s="96">
        <f t="shared" ref="BY130:BY193" si="149">SQRT(SUMIF(BJ:BJ, BJ130, BX:BX)/COUNTIF(BJ:BJ, BJ130))</f>
        <v>6.6930498535228535</v>
      </c>
      <c r="BZ130" s="96">
        <f t="shared" ref="BZ130:BZ193" si="150">(1-_xlfn.NORM.DIST(BV130, BW130, BY130, TRUE))*100</f>
        <v>71.519900224168282</v>
      </c>
      <c r="CA130" s="96">
        <f t="shared" ref="CA130:CA193" si="151">IF(BZ130&lt;=5, 100, IF(BZ130&lt;=15, 85, IF(BZ130&lt;=35, 70, IF(BZ130&lt;=60, 55, IF(BZ130&lt;=90, 40, 25)))))</f>
        <v>40</v>
      </c>
      <c r="CB130" s="104">
        <f t="shared" ref="CB130:CB193" si="152">CA130*0.02</f>
        <v>0.8</v>
      </c>
      <c r="CC130" s="105">
        <f t="shared" si="112"/>
        <v>25.894034209462941</v>
      </c>
      <c r="CD130" s="106">
        <f t="shared" si="113"/>
        <v>90.617826302966222</v>
      </c>
      <c r="CE130" s="107">
        <f t="shared" si="114"/>
        <v>1.3592673945444933</v>
      </c>
      <c r="CF130" s="108" t="s">
        <v>2189</v>
      </c>
      <c r="CG130" s="108" t="s">
        <v>2189</v>
      </c>
      <c r="CH130" s="108" t="s">
        <v>2189</v>
      </c>
      <c r="CI130" s="108" t="s">
        <v>2189</v>
      </c>
      <c r="CJ130" s="109"/>
      <c r="CK130" s="116" t="s">
        <v>2199</v>
      </c>
      <c r="CL130" s="116" t="s">
        <v>2193</v>
      </c>
      <c r="CM130" s="111">
        <f t="shared" ref="CM130:CM193" si="153">IF(CL130="A", 100, IF(CL130="B", 85, IF(CL130="C", 70, IF(CL130="D", 55, IF(CL130="E", 40, 25)))))</f>
        <v>25</v>
      </c>
      <c r="CN130" s="107">
        <f t="shared" si="115"/>
        <v>0.375</v>
      </c>
      <c r="CO130" s="114">
        <v>0</v>
      </c>
      <c r="CP130" s="88">
        <f t="shared" ref="CP130:CP193" si="154">(CO130/N130)*100</f>
        <v>0</v>
      </c>
      <c r="CQ130" s="78">
        <f t="shared" ref="CQ130:CQ193" si="155">IF(CP130&lt;3, 100, IF(CP130&lt;10, 80, IF(CP130&lt;35, 60, IF(CP130&lt;100, 40, IF(CP130&gt;=100, 20)))))</f>
        <v>100</v>
      </c>
      <c r="CR130" s="79">
        <f t="shared" si="116"/>
        <v>3</v>
      </c>
      <c r="CS130" s="92">
        <f>_xlfn.XLOOKUP(C130, '[1]1-1. 관계사체무보증금액 (환율 등)'!$3:$3, '[1]1-1. 관계사체무보증금액 (환율 등)'!$33:$33)</f>
        <v>0</v>
      </c>
      <c r="CT130" s="77">
        <f t="shared" ref="CT130:CT193" si="156">(CS130/N130)*100</f>
        <v>0</v>
      </c>
      <c r="CU130" s="78">
        <f t="shared" ref="CU130:CU193" si="157">IF(CT130&lt;3, 100, IF(CT130&lt;10, 80, IF(CT130&lt;35, 60, IF(CT130&lt;100, 40, 20))))</f>
        <v>100</v>
      </c>
      <c r="CV130" s="79">
        <f t="shared" si="117"/>
        <v>2</v>
      </c>
      <c r="CW130" s="112">
        <f t="shared" ref="CW130:CW193" si="158">AE130+AJ130+AQ130+AX130+BD130+BN130+BR130+CB130+CE130+CJ130+CN130+CR130+CV130</f>
        <v>19.070930052484172</v>
      </c>
    </row>
    <row r="131" spans="1:101" x14ac:dyDescent="0.35">
      <c r="A131" s="7" t="s">
        <v>1228</v>
      </c>
      <c r="B131" s="8" t="s">
        <v>1229</v>
      </c>
      <c r="C131" s="21" t="s">
        <v>1230</v>
      </c>
      <c r="D131" s="10" t="s">
        <v>75</v>
      </c>
      <c r="E131" s="11" t="s">
        <v>149</v>
      </c>
      <c r="F131" s="11" t="s">
        <v>1231</v>
      </c>
      <c r="G131" s="12">
        <v>43181</v>
      </c>
      <c r="H131" s="11" t="s">
        <v>24</v>
      </c>
      <c r="I131" s="11" t="s">
        <v>1232</v>
      </c>
      <c r="J131" s="11" t="s">
        <v>1233</v>
      </c>
      <c r="K131" s="11" t="s">
        <v>27</v>
      </c>
      <c r="L131" s="23">
        <v>477316913</v>
      </c>
      <c r="M131" s="14">
        <v>117171080</v>
      </c>
      <c r="N131" s="14">
        <v>360145833</v>
      </c>
      <c r="O131" s="14">
        <v>589759237</v>
      </c>
      <c r="P131" s="14">
        <v>37545912</v>
      </c>
      <c r="Q131" s="14">
        <v>22571287</v>
      </c>
      <c r="R131" s="14">
        <v>16498602</v>
      </c>
      <c r="S131" s="15">
        <v>26409935</v>
      </c>
      <c r="T131" s="15">
        <v>200010</v>
      </c>
      <c r="U131" s="15">
        <v>11904812</v>
      </c>
      <c r="V131" s="15">
        <f>32000+8000+1100</f>
        <v>41100</v>
      </c>
      <c r="W131" s="15">
        <f>1800+2000+4387+2000</f>
        <v>10187</v>
      </c>
      <c r="X131" s="15">
        <v>0</v>
      </c>
      <c r="Z131" s="15">
        <v>4767766</v>
      </c>
      <c r="AA131" s="15">
        <v>0</v>
      </c>
      <c r="AB131" s="74">
        <f t="shared" si="118"/>
        <v>16723865</v>
      </c>
      <c r="AC131" s="75">
        <f t="shared" si="119"/>
        <v>63.32414297876916</v>
      </c>
      <c r="AD131" s="75">
        <f t="shared" si="120"/>
        <v>45.433708591396012</v>
      </c>
      <c r="AE131" s="76">
        <f t="shared" si="106"/>
        <v>1.3630112577418803</v>
      </c>
      <c r="AF131" s="77">
        <f t="shared" si="121"/>
        <v>45.577818326454576</v>
      </c>
      <c r="AG131" s="77">
        <f t="shared" si="122"/>
        <v>63.807374496493217</v>
      </c>
      <c r="AH131" s="77">
        <f t="shared" si="123"/>
        <v>18.229556170038641</v>
      </c>
      <c r="AI131" s="78">
        <f t="shared" si="124"/>
        <v>80</v>
      </c>
      <c r="AJ131" s="79">
        <f t="shared" si="107"/>
        <v>3.2</v>
      </c>
      <c r="AK131" s="113">
        <v>8</v>
      </c>
      <c r="AL131" s="113">
        <v>6</v>
      </c>
      <c r="AM131" s="113">
        <v>0</v>
      </c>
      <c r="AN131" s="81">
        <f t="shared" si="125"/>
        <v>14</v>
      </c>
      <c r="AO131" s="82">
        <f t="shared" si="126"/>
        <v>0</v>
      </c>
      <c r="AP131" s="83">
        <f t="shared" si="127"/>
        <v>100</v>
      </c>
      <c r="AQ131" s="84">
        <f t="shared" si="108"/>
        <v>2</v>
      </c>
      <c r="AR131" s="118">
        <v>3</v>
      </c>
      <c r="AS131" s="86">
        <f t="shared" si="128"/>
        <v>0.25</v>
      </c>
      <c r="AT131" s="87">
        <f t="shared" si="129"/>
        <v>2</v>
      </c>
      <c r="AU131" s="87">
        <f t="shared" si="130"/>
        <v>2</v>
      </c>
      <c r="AV131" s="88">
        <f t="shared" si="131"/>
        <v>12.5</v>
      </c>
      <c r="AW131" s="78">
        <f t="shared" si="132"/>
        <v>60</v>
      </c>
      <c r="AX131" s="89">
        <f t="shared" si="109"/>
        <v>0.6</v>
      </c>
      <c r="AY131" s="114">
        <v>7</v>
      </c>
      <c r="AZ131" s="114">
        <v>20</v>
      </c>
      <c r="BA131" s="91">
        <f t="shared" si="133"/>
        <v>21</v>
      </c>
      <c r="BB131" s="77">
        <f t="shared" si="134"/>
        <v>95.238095238095227</v>
      </c>
      <c r="BC131" s="78">
        <f t="shared" si="135"/>
        <v>100</v>
      </c>
      <c r="BD131" s="79">
        <f t="shared" si="110"/>
        <v>1</v>
      </c>
      <c r="BE131" s="92">
        <v>34781101</v>
      </c>
      <c r="BF131" s="92">
        <v>3020233</v>
      </c>
      <c r="BG131" s="114">
        <v>331019</v>
      </c>
      <c r="BH131" s="94">
        <f t="shared" si="136"/>
        <v>37801334</v>
      </c>
      <c r="BI131" s="77">
        <f t="shared" si="137"/>
        <v>0.87568073655813305</v>
      </c>
      <c r="BJ131" s="95" t="str">
        <f t="shared" si="138"/>
        <v>금속/비금속/화학업</v>
      </c>
      <c r="BK131" s="96">
        <f t="shared" si="139"/>
        <v>3.9534118626990469</v>
      </c>
      <c r="BL131" s="97">
        <f t="shared" si="140"/>
        <v>-3.0777311261409137</v>
      </c>
      <c r="BM131" s="98">
        <f t="shared" si="141"/>
        <v>100</v>
      </c>
      <c r="BN131" s="99">
        <f t="shared" si="142"/>
        <v>2</v>
      </c>
      <c r="BO131" s="114">
        <f>(15166-196)*1000</f>
        <v>14970000</v>
      </c>
      <c r="BP131" s="101">
        <f t="shared" si="143"/>
        <v>2.5383239567640716</v>
      </c>
      <c r="BQ131" s="78">
        <f t="shared" si="144"/>
        <v>85</v>
      </c>
      <c r="BR131" s="79">
        <f t="shared" si="111"/>
        <v>1.7</v>
      </c>
      <c r="BS131" s="102">
        <v>22191029.092999998</v>
      </c>
      <c r="BT131" s="102">
        <v>501061.30300000001</v>
      </c>
      <c r="BU131" s="103">
        <f t="shared" si="145"/>
        <v>21689967.789999999</v>
      </c>
      <c r="BV131" s="77">
        <f t="shared" si="146"/>
        <v>3.6777665239010062</v>
      </c>
      <c r="BW131" s="96">
        <f t="shared" si="147"/>
        <v>5.1474158565187738</v>
      </c>
      <c r="BX131" s="96">
        <f t="shared" si="148"/>
        <v>2.1598691608638494</v>
      </c>
      <c r="BY131" s="96">
        <f t="shared" si="149"/>
        <v>6.6930498535228535</v>
      </c>
      <c r="BZ131" s="96">
        <f t="shared" si="150"/>
        <v>58.690025141350802</v>
      </c>
      <c r="CA131" s="96">
        <f t="shared" si="151"/>
        <v>55</v>
      </c>
      <c r="CB131" s="104">
        <f t="shared" si="152"/>
        <v>1.1000000000000001</v>
      </c>
      <c r="CC131" s="105">
        <f t="shared" si="112"/>
        <v>32.534342831060883</v>
      </c>
      <c r="CD131" s="106">
        <f t="shared" si="113"/>
        <v>88.115197425479565</v>
      </c>
      <c r="CE131" s="107">
        <f t="shared" si="114"/>
        <v>1.3217279613821935</v>
      </c>
      <c r="CF131" s="108" t="s">
        <v>2189</v>
      </c>
      <c r="CG131" s="108" t="s">
        <v>2189</v>
      </c>
      <c r="CH131" s="108" t="s">
        <v>2189</v>
      </c>
      <c r="CI131" s="108" t="s">
        <v>2189</v>
      </c>
      <c r="CJ131" s="109"/>
      <c r="CK131" s="116" t="s">
        <v>2199</v>
      </c>
      <c r="CL131" s="116" t="s">
        <v>2193</v>
      </c>
      <c r="CM131" s="111">
        <f t="shared" si="153"/>
        <v>25</v>
      </c>
      <c r="CN131" s="107">
        <f t="shared" si="115"/>
        <v>0.375</v>
      </c>
      <c r="CO131" s="114">
        <v>17331000</v>
      </c>
      <c r="CP131" s="88">
        <f t="shared" si="154"/>
        <v>4.8122172775493421</v>
      </c>
      <c r="CQ131" s="78">
        <f t="shared" si="155"/>
        <v>80</v>
      </c>
      <c r="CR131" s="79">
        <f t="shared" si="116"/>
        <v>2.4</v>
      </c>
      <c r="CS131" s="92">
        <f>_xlfn.XLOOKUP(C131, '[1]1-1. 관계사체무보증금액 (환율 등)'!$3:$3, '[1]1-1. 관계사체무보증금액 (환율 등)'!$33:$33)</f>
        <v>0</v>
      </c>
      <c r="CT131" s="77">
        <f t="shared" si="156"/>
        <v>0</v>
      </c>
      <c r="CU131" s="78">
        <f t="shared" si="157"/>
        <v>100</v>
      </c>
      <c r="CV131" s="79">
        <f t="shared" si="117"/>
        <v>2</v>
      </c>
      <c r="CW131" s="112">
        <f t="shared" si="158"/>
        <v>19.059739219124072</v>
      </c>
    </row>
    <row r="132" spans="1:101" x14ac:dyDescent="0.35">
      <c r="A132" s="7" t="s">
        <v>1171</v>
      </c>
      <c r="B132" s="8" t="s">
        <v>1172</v>
      </c>
      <c r="C132" s="21" t="s">
        <v>1173</v>
      </c>
      <c r="D132" s="10" t="s">
        <v>21</v>
      </c>
      <c r="E132" s="11" t="s">
        <v>1174</v>
      </c>
      <c r="F132" s="11" t="s">
        <v>1175</v>
      </c>
      <c r="G132" s="12">
        <v>27667</v>
      </c>
      <c r="H132" s="11" t="s">
        <v>24</v>
      </c>
      <c r="I132" s="11" t="s">
        <v>1176</v>
      </c>
      <c r="J132" s="11" t="s">
        <v>1177</v>
      </c>
      <c r="K132" s="11" t="s">
        <v>153</v>
      </c>
      <c r="L132" s="23">
        <v>152880655</v>
      </c>
      <c r="M132" s="14">
        <v>70989813</v>
      </c>
      <c r="N132" s="14">
        <v>81890843</v>
      </c>
      <c r="O132" s="14">
        <v>202728990</v>
      </c>
      <c r="P132" s="14">
        <v>2828954</v>
      </c>
      <c r="Q132" s="14">
        <v>1737125</v>
      </c>
      <c r="R132" s="14">
        <v>1041713</v>
      </c>
      <c r="S132" s="15">
        <v>71047521</v>
      </c>
      <c r="T132" s="15">
        <v>755693</v>
      </c>
      <c r="U132" s="15">
        <v>7613702</v>
      </c>
      <c r="V132" s="15">
        <f>38912+49531+1838+1500+2297+2297+1875+1875</f>
        <v>100125</v>
      </c>
      <c r="W132" s="15">
        <f>154314+51981</f>
        <v>206295</v>
      </c>
      <c r="X132" s="15">
        <v>0</v>
      </c>
      <c r="Z132" s="15">
        <v>0</v>
      </c>
      <c r="AA132" s="15">
        <v>0</v>
      </c>
      <c r="AB132" s="74">
        <f t="shared" si="118"/>
        <v>7920122</v>
      </c>
      <c r="AC132" s="75">
        <f t="shared" si="119"/>
        <v>11.147640182969932</v>
      </c>
      <c r="AD132" s="75">
        <f t="shared" si="120"/>
        <v>90.465212730463236</v>
      </c>
      <c r="AE132" s="76">
        <f t="shared" si="106"/>
        <v>2.713956381913897</v>
      </c>
      <c r="AF132" s="77">
        <f t="shared" si="121"/>
        <v>10.974002554038002</v>
      </c>
      <c r="AG132" s="77">
        <f t="shared" si="122"/>
        <v>11.267486172076788</v>
      </c>
      <c r="AH132" s="77">
        <f t="shared" si="123"/>
        <v>0.29348361803878653</v>
      </c>
      <c r="AI132" s="78">
        <f t="shared" si="124"/>
        <v>100</v>
      </c>
      <c r="AJ132" s="79">
        <f t="shared" si="107"/>
        <v>4</v>
      </c>
      <c r="AK132" s="113">
        <v>6</v>
      </c>
      <c r="AL132" s="113">
        <v>1</v>
      </c>
      <c r="AM132" s="113">
        <v>1</v>
      </c>
      <c r="AN132" s="81">
        <f t="shared" si="125"/>
        <v>7</v>
      </c>
      <c r="AO132" s="82">
        <f t="shared" si="126"/>
        <v>14.285714285714285</v>
      </c>
      <c r="AP132" s="83">
        <f t="shared" si="127"/>
        <v>80</v>
      </c>
      <c r="AQ132" s="84">
        <f t="shared" si="108"/>
        <v>1.6</v>
      </c>
      <c r="AR132" s="118">
        <v>2</v>
      </c>
      <c r="AS132" s="86">
        <f t="shared" si="128"/>
        <v>0.25</v>
      </c>
      <c r="AT132" s="87">
        <f t="shared" si="129"/>
        <v>1.5</v>
      </c>
      <c r="AU132" s="87">
        <f t="shared" si="130"/>
        <v>1</v>
      </c>
      <c r="AV132" s="88">
        <f t="shared" si="131"/>
        <v>16.666666666666664</v>
      </c>
      <c r="AW132" s="78">
        <f t="shared" si="132"/>
        <v>60</v>
      </c>
      <c r="AX132" s="89">
        <f t="shared" si="109"/>
        <v>0.6</v>
      </c>
      <c r="AY132" s="114">
        <v>6</v>
      </c>
      <c r="AZ132" s="114">
        <v>6</v>
      </c>
      <c r="BA132" s="91">
        <f t="shared" si="133"/>
        <v>12</v>
      </c>
      <c r="BB132" s="77">
        <f t="shared" si="134"/>
        <v>50</v>
      </c>
      <c r="BC132" s="78">
        <f t="shared" si="135"/>
        <v>25</v>
      </c>
      <c r="BD132" s="79">
        <f t="shared" si="110"/>
        <v>0.25</v>
      </c>
      <c r="BE132" s="92">
        <v>9132625</v>
      </c>
      <c r="BF132" s="92">
        <v>1443091</v>
      </c>
      <c r="BG132" s="93">
        <v>0</v>
      </c>
      <c r="BH132" s="94">
        <f t="shared" si="136"/>
        <v>10575716</v>
      </c>
      <c r="BI132" s="77">
        <f t="shared" si="137"/>
        <v>0</v>
      </c>
      <c r="BJ132" s="95" t="str">
        <f t="shared" si="138"/>
        <v>비제조/서비스업</v>
      </c>
      <c r="BK132" s="96">
        <f t="shared" si="139"/>
        <v>1.7464434573900922</v>
      </c>
      <c r="BL132" s="97">
        <f t="shared" si="140"/>
        <v>-1.7464434573900922</v>
      </c>
      <c r="BM132" s="98">
        <f t="shared" si="141"/>
        <v>80</v>
      </c>
      <c r="BN132" s="99">
        <f t="shared" si="142"/>
        <v>1.6</v>
      </c>
      <c r="BO132" s="114">
        <v>349000</v>
      </c>
      <c r="BP132" s="101">
        <f t="shared" si="143"/>
        <v>0.17215100810199863</v>
      </c>
      <c r="BQ132" s="78">
        <f t="shared" si="144"/>
        <v>55</v>
      </c>
      <c r="BR132" s="79">
        <f t="shared" si="111"/>
        <v>1.1000000000000001</v>
      </c>
      <c r="BS132" s="102">
        <v>353448.9</v>
      </c>
      <c r="BT132" s="102">
        <v>0</v>
      </c>
      <c r="BU132" s="103">
        <f t="shared" si="145"/>
        <v>353448.9</v>
      </c>
      <c r="BV132" s="77">
        <f t="shared" si="146"/>
        <v>0.17434551417633956</v>
      </c>
      <c r="BW132" s="96">
        <f t="shared" si="147"/>
        <v>2.8482825397737606</v>
      </c>
      <c r="BX132" s="96">
        <f t="shared" si="148"/>
        <v>7.1499392168607834</v>
      </c>
      <c r="BY132" s="96">
        <f t="shared" si="149"/>
        <v>5.5697595856656807</v>
      </c>
      <c r="BZ132" s="96">
        <f t="shared" si="150"/>
        <v>68.441518237526068</v>
      </c>
      <c r="CA132" s="96">
        <f t="shared" si="151"/>
        <v>40</v>
      </c>
      <c r="CB132" s="104">
        <f t="shared" si="152"/>
        <v>0.8</v>
      </c>
      <c r="CC132" s="105">
        <f t="shared" si="112"/>
        <v>86.68834072205118</v>
      </c>
      <c r="CD132" s="106">
        <f t="shared" si="113"/>
        <v>67.705399225357596</v>
      </c>
      <c r="CE132" s="107">
        <f t="shared" si="114"/>
        <v>1.0155809883803639</v>
      </c>
      <c r="CF132" s="108" t="s">
        <v>2189</v>
      </c>
      <c r="CG132" s="108" t="s">
        <v>2189</v>
      </c>
      <c r="CH132" s="108" t="s">
        <v>2189</v>
      </c>
      <c r="CI132" s="108" t="s">
        <v>2189</v>
      </c>
      <c r="CJ132" s="109"/>
      <c r="CK132" s="116" t="s">
        <v>2192</v>
      </c>
      <c r="CL132" s="116" t="s">
        <v>2193</v>
      </c>
      <c r="CM132" s="111">
        <f t="shared" si="153"/>
        <v>25</v>
      </c>
      <c r="CN132" s="107">
        <f t="shared" si="115"/>
        <v>0.375</v>
      </c>
      <c r="CO132" s="114">
        <v>0</v>
      </c>
      <c r="CP132" s="88">
        <f t="shared" si="154"/>
        <v>0</v>
      </c>
      <c r="CQ132" s="78">
        <f t="shared" si="155"/>
        <v>100</v>
      </c>
      <c r="CR132" s="79">
        <f t="shared" si="116"/>
        <v>3</v>
      </c>
      <c r="CS132" s="92">
        <f>_xlfn.XLOOKUP(C132, '[1]1-1. 관계사체무보증금액 (환율 등)'!$3:$3, '[1]1-1. 관계사체무보증금액 (환율 등)'!$33:$33)</f>
        <v>0</v>
      </c>
      <c r="CT132" s="77">
        <f t="shared" si="156"/>
        <v>0</v>
      </c>
      <c r="CU132" s="78">
        <f t="shared" si="157"/>
        <v>100</v>
      </c>
      <c r="CV132" s="79">
        <f t="shared" si="117"/>
        <v>2</v>
      </c>
      <c r="CW132" s="112">
        <f t="shared" si="158"/>
        <v>19.054537370294263</v>
      </c>
    </row>
    <row r="133" spans="1:101" x14ac:dyDescent="0.35">
      <c r="A133" s="7" t="s">
        <v>1290</v>
      </c>
      <c r="B133" s="8" t="s">
        <v>1291</v>
      </c>
      <c r="C133" s="21" t="s">
        <v>1292</v>
      </c>
      <c r="D133" s="10" t="s">
        <v>31</v>
      </c>
      <c r="E133" s="11" t="s">
        <v>1129</v>
      </c>
      <c r="F133" s="11" t="s">
        <v>1293</v>
      </c>
      <c r="G133" s="12">
        <v>35249</v>
      </c>
      <c r="H133" s="11" t="s">
        <v>24</v>
      </c>
      <c r="I133" s="11" t="s">
        <v>1294</v>
      </c>
      <c r="J133" s="11" t="s">
        <v>1295</v>
      </c>
      <c r="K133" s="11" t="s">
        <v>50</v>
      </c>
      <c r="L133" s="23">
        <v>203654155</v>
      </c>
      <c r="M133" s="14">
        <v>67128963</v>
      </c>
      <c r="N133" s="14">
        <v>136525192</v>
      </c>
      <c r="O133" s="14">
        <v>105452639</v>
      </c>
      <c r="P133" s="14">
        <v>7856944</v>
      </c>
      <c r="Q133" s="14">
        <v>10061299</v>
      </c>
      <c r="R133" s="14">
        <v>7970141</v>
      </c>
      <c r="S133" s="15">
        <v>22295000</v>
      </c>
      <c r="T133" s="15">
        <v>4627676</v>
      </c>
      <c r="U133" s="15">
        <v>11316730</v>
      </c>
      <c r="V133" s="15">
        <v>0</v>
      </c>
      <c r="W133" s="15">
        <v>0</v>
      </c>
      <c r="X133" s="15">
        <v>0</v>
      </c>
      <c r="Z133" s="15">
        <v>0</v>
      </c>
      <c r="AA133" s="15">
        <v>0</v>
      </c>
      <c r="AB133" s="74">
        <f t="shared" si="118"/>
        <v>11316730</v>
      </c>
      <c r="AC133" s="75">
        <f t="shared" si="119"/>
        <v>50.759049114151154</v>
      </c>
      <c r="AD133" s="75">
        <f t="shared" si="120"/>
        <v>56.278150937153782</v>
      </c>
      <c r="AE133" s="76">
        <f t="shared" si="106"/>
        <v>1.6883445281146134</v>
      </c>
      <c r="AF133" s="77">
        <f t="shared" si="121"/>
        <v>64.054578950383203</v>
      </c>
      <c r="AG133" s="77">
        <f t="shared" si="122"/>
        <v>64.054578950383203</v>
      </c>
      <c r="AH133" s="77">
        <f t="shared" si="123"/>
        <v>0</v>
      </c>
      <c r="AI133" s="78">
        <f t="shared" si="124"/>
        <v>100</v>
      </c>
      <c r="AJ133" s="79">
        <f t="shared" si="107"/>
        <v>4</v>
      </c>
      <c r="AK133" s="113">
        <v>8</v>
      </c>
      <c r="AL133" s="113">
        <v>5</v>
      </c>
      <c r="AM133" s="113">
        <v>0</v>
      </c>
      <c r="AN133" s="81">
        <f t="shared" si="125"/>
        <v>13</v>
      </c>
      <c r="AO133" s="82">
        <f t="shared" si="126"/>
        <v>0</v>
      </c>
      <c r="AP133" s="83">
        <f t="shared" si="127"/>
        <v>100</v>
      </c>
      <c r="AQ133" s="84">
        <f t="shared" si="108"/>
        <v>2</v>
      </c>
      <c r="AR133" s="118">
        <v>3</v>
      </c>
      <c r="AS133" s="86">
        <f t="shared" si="128"/>
        <v>0.25</v>
      </c>
      <c r="AT133" s="87">
        <f t="shared" si="129"/>
        <v>2</v>
      </c>
      <c r="AU133" s="87">
        <f t="shared" si="130"/>
        <v>2</v>
      </c>
      <c r="AV133" s="88">
        <f t="shared" si="131"/>
        <v>12.5</v>
      </c>
      <c r="AW133" s="78">
        <f t="shared" si="132"/>
        <v>60</v>
      </c>
      <c r="AX133" s="89">
        <f t="shared" si="109"/>
        <v>0.6</v>
      </c>
      <c r="AY133" s="114">
        <v>11</v>
      </c>
      <c r="AZ133" s="114">
        <f>3*11-8-5</f>
        <v>20</v>
      </c>
      <c r="BA133" s="91">
        <f t="shared" si="133"/>
        <v>33</v>
      </c>
      <c r="BB133" s="77">
        <f t="shared" si="134"/>
        <v>60.606060606060609</v>
      </c>
      <c r="BC133" s="78">
        <f t="shared" si="135"/>
        <v>25</v>
      </c>
      <c r="BD133" s="79">
        <f t="shared" si="110"/>
        <v>0.25</v>
      </c>
      <c r="BE133" s="92">
        <v>2291135</v>
      </c>
      <c r="BF133" s="92">
        <v>214230</v>
      </c>
      <c r="BG133" s="93">
        <v>0</v>
      </c>
      <c r="BH133" s="94">
        <f t="shared" si="136"/>
        <v>2505365</v>
      </c>
      <c r="BI133" s="77">
        <f t="shared" si="137"/>
        <v>0</v>
      </c>
      <c r="BJ133" s="95" t="str">
        <f t="shared" si="138"/>
        <v>식약/섬유/종이업</v>
      </c>
      <c r="BK133" s="96">
        <f t="shared" si="139"/>
        <v>2.1999360555264453</v>
      </c>
      <c r="BL133" s="97">
        <f t="shared" si="140"/>
        <v>-2.1999360555264453</v>
      </c>
      <c r="BM133" s="98">
        <f t="shared" si="141"/>
        <v>100</v>
      </c>
      <c r="BN133" s="99">
        <f t="shared" si="142"/>
        <v>2</v>
      </c>
      <c r="BO133" s="114">
        <v>0</v>
      </c>
      <c r="BP133" s="101">
        <f t="shared" si="143"/>
        <v>0</v>
      </c>
      <c r="BQ133" s="78">
        <f t="shared" si="144"/>
        <v>25</v>
      </c>
      <c r="BR133" s="79">
        <f t="shared" si="111"/>
        <v>0.5</v>
      </c>
      <c r="BS133" s="102">
        <v>10802469.827</v>
      </c>
      <c r="BT133" s="102">
        <v>1338991.1610000001</v>
      </c>
      <c r="BU133" s="103">
        <f t="shared" si="145"/>
        <v>9463478.6659999993</v>
      </c>
      <c r="BV133" s="77">
        <f t="shared" si="146"/>
        <v>8.9741506288903778</v>
      </c>
      <c r="BW133" s="96">
        <f t="shared" si="147"/>
        <v>5.0508176117342298</v>
      </c>
      <c r="BX133" s="96">
        <f t="shared" si="148"/>
        <v>15.392541963507563</v>
      </c>
      <c r="BY133" s="96">
        <f t="shared" si="149"/>
        <v>6.9871618081220923</v>
      </c>
      <c r="BZ133" s="96">
        <f t="shared" si="150"/>
        <v>28.7226333338076</v>
      </c>
      <c r="CA133" s="96">
        <f t="shared" si="151"/>
        <v>70</v>
      </c>
      <c r="CB133" s="104">
        <f t="shared" si="152"/>
        <v>1.4000000000000001</v>
      </c>
      <c r="CC133" s="105">
        <f t="shared" si="112"/>
        <v>49.169652879887543</v>
      </c>
      <c r="CD133" s="106">
        <f t="shared" si="113"/>
        <v>81.845608211097655</v>
      </c>
      <c r="CE133" s="107">
        <f t="shared" si="114"/>
        <v>1.2276841231664648</v>
      </c>
      <c r="CF133" s="108" t="s">
        <v>2189</v>
      </c>
      <c r="CG133" s="108" t="s">
        <v>2189</v>
      </c>
      <c r="CH133" s="108" t="s">
        <v>2189</v>
      </c>
      <c r="CI133" s="108" t="s">
        <v>2189</v>
      </c>
      <c r="CJ133" s="109"/>
      <c r="CK133" s="116" t="s">
        <v>2192</v>
      </c>
      <c r="CL133" s="116" t="s">
        <v>2193</v>
      </c>
      <c r="CM133" s="111">
        <f t="shared" si="153"/>
        <v>25</v>
      </c>
      <c r="CN133" s="107">
        <f t="shared" si="115"/>
        <v>0.375</v>
      </c>
      <c r="CO133" s="114">
        <v>800000</v>
      </c>
      <c r="CP133" s="88">
        <f t="shared" si="154"/>
        <v>0.58597244089574319</v>
      </c>
      <c r="CQ133" s="78">
        <f t="shared" si="155"/>
        <v>100</v>
      </c>
      <c r="CR133" s="79">
        <f t="shared" si="116"/>
        <v>3</v>
      </c>
      <c r="CS133" s="92">
        <f>_xlfn.XLOOKUP(C133, '[1]1-1. 관계사체무보증금액 (환율 등)'!$3:$3, '[1]1-1. 관계사체무보증금액 (환율 등)'!$33:$33)</f>
        <v>0</v>
      </c>
      <c r="CT133" s="77">
        <f t="shared" si="156"/>
        <v>0</v>
      </c>
      <c r="CU133" s="78">
        <f t="shared" si="157"/>
        <v>100</v>
      </c>
      <c r="CV133" s="79">
        <f t="shared" si="117"/>
        <v>2</v>
      </c>
      <c r="CW133" s="112">
        <f t="shared" si="158"/>
        <v>19.041028651281081</v>
      </c>
    </row>
    <row r="134" spans="1:101" x14ac:dyDescent="0.35">
      <c r="A134" s="7" t="s">
        <v>512</v>
      </c>
      <c r="B134" s="8" t="s">
        <v>513</v>
      </c>
      <c r="C134" s="21" t="s">
        <v>514</v>
      </c>
      <c r="D134" s="10" t="s">
        <v>75</v>
      </c>
      <c r="E134" s="30" t="s">
        <v>149</v>
      </c>
      <c r="F134" s="30" t="s">
        <v>515</v>
      </c>
      <c r="G134" s="31">
        <v>38901</v>
      </c>
      <c r="H134" s="30" t="s">
        <v>24</v>
      </c>
      <c r="I134" s="30" t="s">
        <v>516</v>
      </c>
      <c r="J134" s="192" t="s">
        <v>517</v>
      </c>
      <c r="K134" s="30" t="s">
        <v>50</v>
      </c>
      <c r="L134" s="32">
        <v>593723438</v>
      </c>
      <c r="M134" s="33">
        <v>279635129</v>
      </c>
      <c r="N134" s="33">
        <v>314088309</v>
      </c>
      <c r="O134" s="33">
        <v>667825639</v>
      </c>
      <c r="P134" s="33">
        <v>18091323</v>
      </c>
      <c r="Q134" s="33">
        <v>10916465</v>
      </c>
      <c r="R134" s="33">
        <v>7428246</v>
      </c>
      <c r="S134" s="15">
        <v>20000000</v>
      </c>
      <c r="T134" s="15">
        <v>0</v>
      </c>
      <c r="U134" s="15">
        <f>10100138+1674</f>
        <v>10101812</v>
      </c>
      <c r="V134" s="15">
        <f>98071+151801</f>
        <v>249872</v>
      </c>
      <c r="W134" s="15">
        <v>0</v>
      </c>
      <c r="X134" s="15">
        <v>0</v>
      </c>
      <c r="Z134" s="15">
        <v>0</v>
      </c>
      <c r="AA134" s="15">
        <v>0</v>
      </c>
      <c r="AB134" s="74">
        <f t="shared" si="118"/>
        <v>10351684</v>
      </c>
      <c r="AC134" s="75">
        <f t="shared" si="119"/>
        <v>51.758420000000008</v>
      </c>
      <c r="AD134" s="75">
        <f t="shared" si="120"/>
        <v>55.4156329113924</v>
      </c>
      <c r="AE134" s="76">
        <f t="shared" si="106"/>
        <v>1.662468987341772</v>
      </c>
      <c r="AF134" s="77">
        <f t="shared" si="121"/>
        <v>51.758420000000008</v>
      </c>
      <c r="AG134" s="77">
        <f t="shared" si="122"/>
        <v>51.758420000000008</v>
      </c>
      <c r="AH134" s="77">
        <f t="shared" si="123"/>
        <v>0</v>
      </c>
      <c r="AI134" s="78">
        <f t="shared" si="124"/>
        <v>100</v>
      </c>
      <c r="AJ134" s="79">
        <f t="shared" si="107"/>
        <v>4</v>
      </c>
      <c r="AK134" s="113">
        <v>8</v>
      </c>
      <c r="AL134" s="113">
        <v>9</v>
      </c>
      <c r="AM134" s="80">
        <v>1</v>
      </c>
      <c r="AN134" s="81">
        <f t="shared" si="125"/>
        <v>17</v>
      </c>
      <c r="AO134" s="82">
        <f t="shared" si="126"/>
        <v>5.8823529411764701</v>
      </c>
      <c r="AP134" s="83">
        <f t="shared" si="127"/>
        <v>100</v>
      </c>
      <c r="AQ134" s="84">
        <f t="shared" si="108"/>
        <v>2</v>
      </c>
      <c r="AR134" s="118">
        <v>2</v>
      </c>
      <c r="AS134" s="86">
        <f t="shared" si="128"/>
        <v>0.25</v>
      </c>
      <c r="AT134" s="87">
        <f t="shared" si="129"/>
        <v>2</v>
      </c>
      <c r="AU134" s="87">
        <f t="shared" si="130"/>
        <v>2</v>
      </c>
      <c r="AV134" s="88">
        <f t="shared" si="131"/>
        <v>0</v>
      </c>
      <c r="AW134" s="78">
        <f t="shared" si="132"/>
        <v>40</v>
      </c>
      <c r="AX134" s="89">
        <f t="shared" si="109"/>
        <v>0.4</v>
      </c>
      <c r="AY134" s="114">
        <v>34</v>
      </c>
      <c r="AZ134" s="114">
        <f>34*2-1</f>
        <v>67</v>
      </c>
      <c r="BA134" s="91">
        <f t="shared" si="133"/>
        <v>68</v>
      </c>
      <c r="BB134" s="77">
        <f t="shared" si="134"/>
        <v>98.529411764705884</v>
      </c>
      <c r="BC134" s="78">
        <f t="shared" si="135"/>
        <v>100</v>
      </c>
      <c r="BD134" s="79">
        <f t="shared" si="110"/>
        <v>1</v>
      </c>
      <c r="BE134" s="92">
        <v>30641560</v>
      </c>
      <c r="BF134" s="92">
        <v>3859934</v>
      </c>
      <c r="BG134" s="114">
        <v>1114040</v>
      </c>
      <c r="BH134" s="94">
        <f t="shared" si="136"/>
        <v>34501494</v>
      </c>
      <c r="BI134" s="77">
        <f t="shared" si="137"/>
        <v>3.2289616211982008</v>
      </c>
      <c r="BJ134" s="95" t="str">
        <f t="shared" si="138"/>
        <v>금속/비금속/화학업</v>
      </c>
      <c r="BK134" s="96">
        <f t="shared" si="139"/>
        <v>3.9534118626990469</v>
      </c>
      <c r="BL134" s="97">
        <f t="shared" si="140"/>
        <v>-0.72445024150084603</v>
      </c>
      <c r="BM134" s="98">
        <f t="shared" si="141"/>
        <v>80</v>
      </c>
      <c r="BN134" s="99">
        <f t="shared" si="142"/>
        <v>1.6</v>
      </c>
      <c r="BO134" s="114">
        <f>(17583-310)*1000</f>
        <v>17273000</v>
      </c>
      <c r="BP134" s="101">
        <f t="shared" si="143"/>
        <v>2.5864535578275394</v>
      </c>
      <c r="BQ134" s="78">
        <f t="shared" si="144"/>
        <v>85</v>
      </c>
      <c r="BR134" s="79">
        <f t="shared" si="111"/>
        <v>1.7</v>
      </c>
      <c r="BS134" s="102">
        <v>10410973.970000001</v>
      </c>
      <c r="BT134" s="102">
        <v>202727.27299999999</v>
      </c>
      <c r="BU134" s="103">
        <f t="shared" si="145"/>
        <v>10208246.697000001</v>
      </c>
      <c r="BV134" s="77">
        <f t="shared" si="146"/>
        <v>1.5285796322953094</v>
      </c>
      <c r="BW134" s="96">
        <f t="shared" si="147"/>
        <v>5.1474158565187738</v>
      </c>
      <c r="BX134" s="96">
        <f t="shared" si="148"/>
        <v>13.095975617751941</v>
      </c>
      <c r="BY134" s="96">
        <f t="shared" si="149"/>
        <v>6.6930498535228535</v>
      </c>
      <c r="BZ134" s="96">
        <f t="shared" si="150"/>
        <v>70.563787547060301</v>
      </c>
      <c r="CA134" s="96">
        <f t="shared" si="151"/>
        <v>40</v>
      </c>
      <c r="CB134" s="104">
        <f t="shared" si="152"/>
        <v>0.8</v>
      </c>
      <c r="CC134" s="105">
        <f t="shared" si="112"/>
        <v>89.030734665135213</v>
      </c>
      <c r="CD134" s="106">
        <f t="shared" si="113"/>
        <v>66.822587437763104</v>
      </c>
      <c r="CE134" s="107">
        <f t="shared" si="114"/>
        <v>1.0023388115664464</v>
      </c>
      <c r="CF134" s="108" t="s">
        <v>2189</v>
      </c>
      <c r="CG134" s="108" t="s">
        <v>2189</v>
      </c>
      <c r="CH134" s="108" t="s">
        <v>2189</v>
      </c>
      <c r="CI134" s="108" t="s">
        <v>2189</v>
      </c>
      <c r="CJ134" s="109"/>
      <c r="CK134" s="116" t="s">
        <v>2195</v>
      </c>
      <c r="CL134" s="116" t="s">
        <v>2196</v>
      </c>
      <c r="CM134" s="111">
        <f t="shared" si="153"/>
        <v>55</v>
      </c>
      <c r="CN134" s="107">
        <f t="shared" si="115"/>
        <v>0.82499999999999996</v>
      </c>
      <c r="CO134" s="114">
        <v>25027000</v>
      </c>
      <c r="CP134" s="88">
        <f t="shared" si="154"/>
        <v>7.9681412147053212</v>
      </c>
      <c r="CQ134" s="78">
        <f t="shared" si="155"/>
        <v>80</v>
      </c>
      <c r="CR134" s="79">
        <f t="shared" si="116"/>
        <v>2.4</v>
      </c>
      <c r="CS134" s="92">
        <f>_xlfn.XLOOKUP(C134, '[1]1-1. 관계사체무보증금액 (환율 등)'!$3:$3, '[1]1-1. 관계사체무보증금액 (환율 등)'!$33:$33)</f>
        <v>13264416</v>
      </c>
      <c r="CT134" s="77">
        <f t="shared" si="156"/>
        <v>4.2231485922642218</v>
      </c>
      <c r="CU134" s="78">
        <f t="shared" si="157"/>
        <v>80</v>
      </c>
      <c r="CV134" s="79">
        <f t="shared" si="117"/>
        <v>1.6</v>
      </c>
      <c r="CW134" s="112">
        <f t="shared" si="158"/>
        <v>18.989807798908217</v>
      </c>
    </row>
    <row r="135" spans="1:101" x14ac:dyDescent="0.35">
      <c r="A135" s="7" t="s">
        <v>321</v>
      </c>
      <c r="B135" s="28" t="s">
        <v>322</v>
      </c>
      <c r="C135" s="190" t="s">
        <v>323</v>
      </c>
      <c r="D135" s="35" t="s">
        <v>75</v>
      </c>
      <c r="E135" s="11" t="s">
        <v>324</v>
      </c>
      <c r="F135" s="11" t="s">
        <v>325</v>
      </c>
      <c r="G135" s="12">
        <v>39288</v>
      </c>
      <c r="H135" s="11" t="s">
        <v>24</v>
      </c>
      <c r="I135" s="11" t="s">
        <v>326</v>
      </c>
      <c r="J135" s="11" t="s">
        <v>327</v>
      </c>
      <c r="K135" s="11" t="s">
        <v>27</v>
      </c>
      <c r="L135" s="194">
        <v>19550742827</v>
      </c>
      <c r="M135" s="194">
        <v>3581307796</v>
      </c>
      <c r="N135" s="194">
        <v>15969435031</v>
      </c>
      <c r="O135" s="194">
        <v>1983533544</v>
      </c>
      <c r="P135" s="194">
        <v>611371885</v>
      </c>
      <c r="Q135" s="194">
        <v>602096059</v>
      </c>
      <c r="R135" s="194">
        <v>453183233</v>
      </c>
      <c r="S135" s="15">
        <v>92465564</v>
      </c>
      <c r="T135" s="15">
        <v>8246029</v>
      </c>
      <c r="U135" s="15">
        <v>31223509</v>
      </c>
      <c r="V135" s="15">
        <f>8088</f>
        <v>8088</v>
      </c>
      <c r="W135" s="15">
        <f>2634+583+60+385+463+362+496+188+1515+102+145+102+95+140+135+60+140+60*17+70+943+161+145+167+211+145+140+470+67+262+150+2145+60*5+2694+60*4+1962+60*10+66+277+65+60+140+115+161</f>
        <v>20381</v>
      </c>
      <c r="X135" s="15">
        <v>0</v>
      </c>
      <c r="Z135" s="15">
        <v>0</v>
      </c>
      <c r="AA135" s="15">
        <v>0</v>
      </c>
      <c r="AB135" s="74">
        <f t="shared" si="118"/>
        <v>31251978</v>
      </c>
      <c r="AC135" s="75">
        <f t="shared" si="119"/>
        <v>33.79850470603305</v>
      </c>
      <c r="AD135" s="75">
        <f t="shared" si="120"/>
        <v>70.916135178912796</v>
      </c>
      <c r="AE135" s="76">
        <f t="shared" si="106"/>
        <v>2.1274840553673839</v>
      </c>
      <c r="AF135" s="77">
        <f t="shared" si="121"/>
        <v>37.083554308391754</v>
      </c>
      <c r="AG135" s="77">
        <f t="shared" si="122"/>
        <v>37.10775415703732</v>
      </c>
      <c r="AH135" s="77">
        <f t="shared" si="123"/>
        <v>2.419984864556568E-2</v>
      </c>
      <c r="AI135" s="78">
        <f t="shared" si="124"/>
        <v>100</v>
      </c>
      <c r="AJ135" s="79">
        <f t="shared" si="107"/>
        <v>4</v>
      </c>
      <c r="AK135" s="113">
        <v>7</v>
      </c>
      <c r="AL135" s="113">
        <v>57</v>
      </c>
      <c r="AM135" s="80">
        <v>1</v>
      </c>
      <c r="AN135" s="81">
        <f t="shared" si="125"/>
        <v>64</v>
      </c>
      <c r="AO135" s="82">
        <f t="shared" si="126"/>
        <v>1.5625</v>
      </c>
      <c r="AP135" s="83">
        <f t="shared" si="127"/>
        <v>100</v>
      </c>
      <c r="AQ135" s="84">
        <f t="shared" si="108"/>
        <v>2</v>
      </c>
      <c r="AR135" s="118">
        <v>5</v>
      </c>
      <c r="AS135" s="86">
        <f t="shared" si="128"/>
        <v>0.5</v>
      </c>
      <c r="AT135" s="87">
        <f t="shared" si="129"/>
        <v>3.5</v>
      </c>
      <c r="AU135" s="87">
        <f t="shared" si="130"/>
        <v>3</v>
      </c>
      <c r="AV135" s="88">
        <f t="shared" si="131"/>
        <v>28.571428571428569</v>
      </c>
      <c r="AW135" s="78">
        <f t="shared" si="132"/>
        <v>80</v>
      </c>
      <c r="AX135" s="89">
        <f t="shared" si="109"/>
        <v>0.8</v>
      </c>
      <c r="AY135" s="114">
        <v>14</v>
      </c>
      <c r="AZ135" s="114">
        <f>3*3+5*11-1</f>
        <v>63</v>
      </c>
      <c r="BA135" s="91">
        <f t="shared" si="133"/>
        <v>70</v>
      </c>
      <c r="BB135" s="77">
        <f t="shared" si="134"/>
        <v>90</v>
      </c>
      <c r="BC135" s="78">
        <f t="shared" si="135"/>
        <v>100</v>
      </c>
      <c r="BD135" s="79">
        <f t="shared" si="110"/>
        <v>1</v>
      </c>
      <c r="BE135" s="92">
        <v>58081000</v>
      </c>
      <c r="BF135" s="92">
        <v>10531000</v>
      </c>
      <c r="BG135" s="93">
        <v>0</v>
      </c>
      <c r="BH135" s="94">
        <f t="shared" si="136"/>
        <v>68612000</v>
      </c>
      <c r="BI135" s="77">
        <f t="shared" si="137"/>
        <v>0</v>
      </c>
      <c r="BJ135" s="95" t="str">
        <f t="shared" si="138"/>
        <v>금속/비금속/화학업</v>
      </c>
      <c r="BK135" s="96">
        <f t="shared" si="139"/>
        <v>3.9534118626990469</v>
      </c>
      <c r="BL135" s="97">
        <f t="shared" si="140"/>
        <v>-3.9534118626990469</v>
      </c>
      <c r="BM135" s="98">
        <f t="shared" si="141"/>
        <v>100</v>
      </c>
      <c r="BN135" s="99">
        <f t="shared" si="142"/>
        <v>2</v>
      </c>
      <c r="BO135" s="114">
        <v>417652000</v>
      </c>
      <c r="BP135" s="101">
        <f t="shared" si="143"/>
        <v>21.055958507147889</v>
      </c>
      <c r="BQ135" s="78">
        <f t="shared" si="144"/>
        <v>100</v>
      </c>
      <c r="BR135" s="79">
        <f t="shared" si="111"/>
        <v>2</v>
      </c>
      <c r="BS135" s="102">
        <v>73324482</v>
      </c>
      <c r="BT135" s="102">
        <v>5546272</v>
      </c>
      <c r="BU135" s="103">
        <f t="shared" si="145"/>
        <v>67778210</v>
      </c>
      <c r="BV135" s="77">
        <f t="shared" si="146"/>
        <v>3.417043800697126</v>
      </c>
      <c r="BW135" s="96">
        <f t="shared" si="147"/>
        <v>5.1474158565187738</v>
      </c>
      <c r="BX135" s="96">
        <f t="shared" si="148"/>
        <v>2.9941874515684357</v>
      </c>
      <c r="BY135" s="96">
        <f t="shared" si="149"/>
        <v>6.6930498535228535</v>
      </c>
      <c r="BZ135" s="96">
        <f t="shared" si="150"/>
        <v>60.200208105021446</v>
      </c>
      <c r="CA135" s="96">
        <f t="shared" si="151"/>
        <v>40</v>
      </c>
      <c r="CB135" s="104">
        <f t="shared" si="152"/>
        <v>0.8</v>
      </c>
      <c r="CC135" s="105">
        <f t="shared" si="112"/>
        <v>22.426014377139428</v>
      </c>
      <c r="CD135" s="106">
        <f t="shared" si="113"/>
        <v>91.924868953339413</v>
      </c>
      <c r="CE135" s="107">
        <f t="shared" si="114"/>
        <v>1.3788730343000912</v>
      </c>
      <c r="CF135" s="108" t="s">
        <v>2189</v>
      </c>
      <c r="CG135" s="108" t="s">
        <v>2189</v>
      </c>
      <c r="CH135" s="108" t="s">
        <v>2189</v>
      </c>
      <c r="CI135" s="108" t="s">
        <v>2189</v>
      </c>
      <c r="CJ135" s="109"/>
      <c r="CK135" s="116" t="s">
        <v>2190</v>
      </c>
      <c r="CL135" s="116" t="s">
        <v>2191</v>
      </c>
      <c r="CM135" s="111">
        <f t="shared" si="153"/>
        <v>85</v>
      </c>
      <c r="CN135" s="107">
        <f t="shared" si="115"/>
        <v>1.2749999999999999</v>
      </c>
      <c r="CO135" s="114">
        <v>9645044000</v>
      </c>
      <c r="CP135" s="88">
        <f t="shared" si="154"/>
        <v>60.396901839526315</v>
      </c>
      <c r="CQ135" s="78">
        <f t="shared" si="155"/>
        <v>40</v>
      </c>
      <c r="CR135" s="79">
        <f t="shared" si="116"/>
        <v>1.2</v>
      </c>
      <c r="CS135" s="92">
        <f>_xlfn.XLOOKUP(C135, '[1]1-1. 관계사체무보증금액 (환율 등)'!$3:$3, '[1]1-1. 관계사체무보증금액 (환율 등)'!$33:$33)</f>
        <v>17638812000</v>
      </c>
      <c r="CT135" s="77">
        <f t="shared" si="156"/>
        <v>110.45357563219606</v>
      </c>
      <c r="CU135" s="78">
        <f t="shared" si="157"/>
        <v>20</v>
      </c>
      <c r="CV135" s="79">
        <f t="shared" si="117"/>
        <v>0.4</v>
      </c>
      <c r="CW135" s="112">
        <f t="shared" si="158"/>
        <v>18.981357089667473</v>
      </c>
    </row>
    <row r="136" spans="1:101" x14ac:dyDescent="0.35">
      <c r="A136" s="7" t="s">
        <v>1334</v>
      </c>
      <c r="B136" s="28" t="s">
        <v>1335</v>
      </c>
      <c r="C136" s="21" t="s">
        <v>1336</v>
      </c>
      <c r="D136" s="10" t="s">
        <v>21</v>
      </c>
      <c r="E136" s="39" t="s">
        <v>1174</v>
      </c>
      <c r="F136" s="39" t="s">
        <v>1337</v>
      </c>
      <c r="G136" s="40">
        <v>38204</v>
      </c>
      <c r="H136" s="39" t="s">
        <v>24</v>
      </c>
      <c r="I136" s="39" t="s">
        <v>1338</v>
      </c>
      <c r="J136" s="39" t="s">
        <v>1339</v>
      </c>
      <c r="K136" s="39" t="s">
        <v>50</v>
      </c>
      <c r="L136" s="41">
        <v>475552210</v>
      </c>
      <c r="M136" s="42">
        <v>243500167</v>
      </c>
      <c r="N136" s="42">
        <v>232052043</v>
      </c>
      <c r="O136" s="42">
        <v>729811429</v>
      </c>
      <c r="P136" s="42">
        <v>47569618</v>
      </c>
      <c r="Q136" s="42">
        <v>37906414</v>
      </c>
      <c r="R136" s="42">
        <v>29707608</v>
      </c>
      <c r="S136" s="15">
        <v>27355975</v>
      </c>
      <c r="T136" s="15">
        <v>1129726</v>
      </c>
      <c r="U136" s="15">
        <v>11935240</v>
      </c>
      <c r="V136" s="15">
        <f>151844+1136</f>
        <v>152980</v>
      </c>
      <c r="W136" s="15">
        <f>105056+1136+1136+2386</f>
        <v>109714</v>
      </c>
      <c r="X136" s="15">
        <v>0</v>
      </c>
      <c r="Z136" s="15">
        <v>0</v>
      </c>
      <c r="AA136" s="15">
        <v>0</v>
      </c>
      <c r="AB136" s="74">
        <f t="shared" si="118"/>
        <v>12197934</v>
      </c>
      <c r="AC136" s="75">
        <f t="shared" si="119"/>
        <v>44.589651803673604</v>
      </c>
      <c r="AD136" s="75">
        <f t="shared" si="120"/>
        <v>61.60271708543705</v>
      </c>
      <c r="AE136" s="76">
        <f t="shared" si="106"/>
        <v>1.8480815125631114</v>
      </c>
      <c r="AF136" s="77">
        <f t="shared" si="121"/>
        <v>46.09206600608421</v>
      </c>
      <c r="AG136" s="77">
        <f t="shared" si="122"/>
        <v>46.510402612283599</v>
      </c>
      <c r="AH136" s="77">
        <f t="shared" si="123"/>
        <v>0.41833660619938939</v>
      </c>
      <c r="AI136" s="78">
        <f t="shared" si="124"/>
        <v>100</v>
      </c>
      <c r="AJ136" s="79">
        <f t="shared" si="107"/>
        <v>4</v>
      </c>
      <c r="AK136" s="113">
        <v>6</v>
      </c>
      <c r="AL136" s="113">
        <v>5</v>
      </c>
      <c r="AM136" s="113">
        <v>0</v>
      </c>
      <c r="AN136" s="81">
        <f t="shared" si="125"/>
        <v>11</v>
      </c>
      <c r="AO136" s="82">
        <f t="shared" si="126"/>
        <v>0</v>
      </c>
      <c r="AP136" s="83">
        <f t="shared" si="127"/>
        <v>100</v>
      </c>
      <c r="AQ136" s="84">
        <f t="shared" si="108"/>
        <v>2</v>
      </c>
      <c r="AR136" s="118">
        <v>3</v>
      </c>
      <c r="AS136" s="86">
        <f t="shared" si="128"/>
        <v>0.25</v>
      </c>
      <c r="AT136" s="87">
        <f t="shared" si="129"/>
        <v>1.5</v>
      </c>
      <c r="AU136" s="87">
        <f t="shared" si="130"/>
        <v>1</v>
      </c>
      <c r="AV136" s="88">
        <f t="shared" si="131"/>
        <v>33.333333333333329</v>
      </c>
      <c r="AW136" s="78">
        <f t="shared" si="132"/>
        <v>80</v>
      </c>
      <c r="AX136" s="89">
        <f t="shared" si="109"/>
        <v>0.8</v>
      </c>
      <c r="AY136" s="114">
        <v>35</v>
      </c>
      <c r="AZ136" s="114">
        <f>35*3-8</f>
        <v>97</v>
      </c>
      <c r="BA136" s="91">
        <f t="shared" si="133"/>
        <v>105</v>
      </c>
      <c r="BB136" s="77">
        <f t="shared" si="134"/>
        <v>92.38095238095238</v>
      </c>
      <c r="BC136" s="78">
        <f t="shared" si="135"/>
        <v>100</v>
      </c>
      <c r="BD136" s="79">
        <f t="shared" si="110"/>
        <v>1</v>
      </c>
      <c r="BE136" s="92">
        <v>16548928</v>
      </c>
      <c r="BF136" s="92">
        <v>847503</v>
      </c>
      <c r="BG136" s="114">
        <v>1012604</v>
      </c>
      <c r="BH136" s="94">
        <f t="shared" si="136"/>
        <v>17396431</v>
      </c>
      <c r="BI136" s="77">
        <f t="shared" si="137"/>
        <v>5.8207571426575946</v>
      </c>
      <c r="BJ136" s="95" t="str">
        <f t="shared" si="138"/>
        <v>비제조/서비스업</v>
      </c>
      <c r="BK136" s="96">
        <f t="shared" si="139"/>
        <v>1.7464434573900922</v>
      </c>
      <c r="BL136" s="97">
        <f t="shared" si="140"/>
        <v>4.0743136852675024</v>
      </c>
      <c r="BM136" s="98">
        <f t="shared" si="141"/>
        <v>40</v>
      </c>
      <c r="BN136" s="99">
        <f t="shared" si="142"/>
        <v>0.8</v>
      </c>
      <c r="BO136" s="114">
        <v>4910786</v>
      </c>
      <c r="BP136" s="101">
        <f t="shared" si="143"/>
        <v>0.67288422801611125</v>
      </c>
      <c r="BQ136" s="78">
        <f t="shared" si="144"/>
        <v>70</v>
      </c>
      <c r="BR136" s="79">
        <f t="shared" si="111"/>
        <v>1.4000000000000001</v>
      </c>
      <c r="BS136" s="102">
        <v>380039.3</v>
      </c>
      <c r="BT136" s="102">
        <v>8181.8180000000002</v>
      </c>
      <c r="BU136" s="103">
        <f t="shared" si="145"/>
        <v>371857.48199999996</v>
      </c>
      <c r="BV136" s="77">
        <f t="shared" si="146"/>
        <v>5.0952542975316983E-2</v>
      </c>
      <c r="BW136" s="96">
        <f t="shared" si="147"/>
        <v>2.8482825397737606</v>
      </c>
      <c r="BX136" s="96">
        <f t="shared" si="148"/>
        <v>7.825055110988381</v>
      </c>
      <c r="BY136" s="96">
        <f t="shared" si="149"/>
        <v>5.5697595856656807</v>
      </c>
      <c r="BZ136" s="96">
        <f t="shared" si="150"/>
        <v>69.224900022818915</v>
      </c>
      <c r="CA136" s="96">
        <f t="shared" si="151"/>
        <v>40</v>
      </c>
      <c r="CB136" s="104">
        <f t="shared" si="152"/>
        <v>0.8</v>
      </c>
      <c r="CC136" s="105">
        <f t="shared" si="112"/>
        <v>104.93342952382454</v>
      </c>
      <c r="CD136" s="106">
        <f t="shared" si="113"/>
        <v>60.829109475945522</v>
      </c>
      <c r="CE136" s="107">
        <f t="shared" si="114"/>
        <v>0.91243664213918274</v>
      </c>
      <c r="CF136" s="108" t="s">
        <v>2189</v>
      </c>
      <c r="CG136" s="108" t="s">
        <v>2189</v>
      </c>
      <c r="CH136" s="108" t="s">
        <v>2189</v>
      </c>
      <c r="CI136" s="108" t="s">
        <v>2189</v>
      </c>
      <c r="CJ136" s="109"/>
      <c r="CK136" s="116" t="s">
        <v>2199</v>
      </c>
      <c r="CL136" s="116" t="s">
        <v>2193</v>
      </c>
      <c r="CM136" s="111">
        <f t="shared" si="153"/>
        <v>25</v>
      </c>
      <c r="CN136" s="107">
        <f t="shared" si="115"/>
        <v>0.375</v>
      </c>
      <c r="CO136" s="114">
        <v>41000</v>
      </c>
      <c r="CP136" s="88">
        <f t="shared" si="154"/>
        <v>1.7668450348441878E-2</v>
      </c>
      <c r="CQ136" s="78">
        <f t="shared" si="155"/>
        <v>100</v>
      </c>
      <c r="CR136" s="79">
        <f t="shared" si="116"/>
        <v>3</v>
      </c>
      <c r="CS136" s="92">
        <f>_xlfn.XLOOKUP(C136, '[1]1-1. 관계사체무보증금액 (환율 등)'!$3:$3, '[1]1-1. 관계사체무보증금액 (환율 등)'!$33:$33)</f>
        <v>0</v>
      </c>
      <c r="CT136" s="77">
        <f t="shared" si="156"/>
        <v>0</v>
      </c>
      <c r="CU136" s="78">
        <f t="shared" si="157"/>
        <v>100</v>
      </c>
      <c r="CV136" s="79">
        <f t="shared" si="117"/>
        <v>2</v>
      </c>
      <c r="CW136" s="112">
        <f t="shared" si="158"/>
        <v>18.935518154702294</v>
      </c>
    </row>
    <row r="137" spans="1:101" x14ac:dyDescent="0.35">
      <c r="A137" s="7" t="s">
        <v>617</v>
      </c>
      <c r="B137" s="8" t="s">
        <v>618</v>
      </c>
      <c r="C137" s="21" t="s">
        <v>619</v>
      </c>
      <c r="D137" s="10" t="s">
        <v>31</v>
      </c>
      <c r="E137" s="11" t="s">
        <v>32</v>
      </c>
      <c r="F137" s="11" t="s">
        <v>620</v>
      </c>
      <c r="G137" s="12">
        <v>33136</v>
      </c>
      <c r="H137" s="11" t="s">
        <v>24</v>
      </c>
      <c r="I137" s="11" t="s">
        <v>621</v>
      </c>
      <c r="J137" s="11" t="s">
        <v>622</v>
      </c>
      <c r="K137" s="11" t="s">
        <v>27</v>
      </c>
      <c r="L137" s="23">
        <v>297649820</v>
      </c>
      <c r="M137" s="14">
        <v>54998742</v>
      </c>
      <c r="N137" s="14">
        <v>242651079</v>
      </c>
      <c r="O137" s="14">
        <v>319305280</v>
      </c>
      <c r="P137" s="14">
        <v>30195182</v>
      </c>
      <c r="Q137" s="14">
        <v>31995216</v>
      </c>
      <c r="R137" s="14">
        <v>25431135</v>
      </c>
      <c r="S137" s="15">
        <v>44282310</v>
      </c>
      <c r="T137" s="15">
        <v>0</v>
      </c>
      <c r="U137" s="15">
        <v>8895600</v>
      </c>
      <c r="V137" s="15">
        <f>2267250+7952600+182000</f>
        <v>10401850</v>
      </c>
      <c r="W137" s="15">
        <v>1500</v>
      </c>
      <c r="X137" s="15">
        <v>0</v>
      </c>
      <c r="Z137" s="15">
        <v>0</v>
      </c>
      <c r="AA137" s="15">
        <v>0</v>
      </c>
      <c r="AB137" s="74">
        <f t="shared" si="118"/>
        <v>19298950</v>
      </c>
      <c r="AC137" s="75">
        <f t="shared" si="119"/>
        <v>43.581624355188339</v>
      </c>
      <c r="AD137" s="75">
        <f t="shared" si="120"/>
        <v>62.472706252714325</v>
      </c>
      <c r="AE137" s="76">
        <f t="shared" si="106"/>
        <v>1.8741811875814296</v>
      </c>
      <c r="AF137" s="77">
        <f t="shared" si="121"/>
        <v>43.578236998024714</v>
      </c>
      <c r="AG137" s="77">
        <f t="shared" si="122"/>
        <v>43.581624355188339</v>
      </c>
      <c r="AH137" s="77">
        <f t="shared" si="123"/>
        <v>3.3873571636249267E-3</v>
      </c>
      <c r="AI137" s="78">
        <f t="shared" si="124"/>
        <v>100</v>
      </c>
      <c r="AJ137" s="79">
        <f t="shared" si="107"/>
        <v>4</v>
      </c>
      <c r="AK137" s="113">
        <v>7</v>
      </c>
      <c r="AL137" s="113">
        <v>3</v>
      </c>
      <c r="AM137" s="113">
        <v>2</v>
      </c>
      <c r="AN137" s="81">
        <f t="shared" si="125"/>
        <v>10</v>
      </c>
      <c r="AO137" s="82">
        <f t="shared" si="126"/>
        <v>20</v>
      </c>
      <c r="AP137" s="83">
        <f t="shared" si="127"/>
        <v>60</v>
      </c>
      <c r="AQ137" s="84">
        <f t="shared" si="108"/>
        <v>1.2</v>
      </c>
      <c r="AR137" s="118">
        <v>3</v>
      </c>
      <c r="AS137" s="86">
        <f t="shared" si="128"/>
        <v>0.25</v>
      </c>
      <c r="AT137" s="87">
        <f t="shared" si="129"/>
        <v>1.75</v>
      </c>
      <c r="AU137" s="87">
        <f t="shared" si="130"/>
        <v>1</v>
      </c>
      <c r="AV137" s="88">
        <f t="shared" si="131"/>
        <v>28.571428571428569</v>
      </c>
      <c r="AW137" s="78">
        <f t="shared" si="132"/>
        <v>80</v>
      </c>
      <c r="AX137" s="89">
        <f t="shared" si="109"/>
        <v>0.8</v>
      </c>
      <c r="AY137" s="114">
        <v>6</v>
      </c>
      <c r="AZ137" s="114">
        <v>18</v>
      </c>
      <c r="BA137" s="91">
        <f t="shared" si="133"/>
        <v>18</v>
      </c>
      <c r="BB137" s="77">
        <f t="shared" si="134"/>
        <v>100</v>
      </c>
      <c r="BC137" s="78">
        <f t="shared" si="135"/>
        <v>100</v>
      </c>
      <c r="BD137" s="79">
        <f t="shared" si="110"/>
        <v>1</v>
      </c>
      <c r="BE137" s="92">
        <f>9862482+3719784</f>
        <v>13582266</v>
      </c>
      <c r="BF137" s="92">
        <f>919700+308852</f>
        <v>1228552</v>
      </c>
      <c r="BG137" s="93">
        <v>0</v>
      </c>
      <c r="BH137" s="94">
        <f t="shared" si="136"/>
        <v>14810818</v>
      </c>
      <c r="BI137" s="77">
        <f t="shared" si="137"/>
        <v>0</v>
      </c>
      <c r="BJ137" s="95" t="str">
        <f t="shared" si="138"/>
        <v>식약/섬유/종이업</v>
      </c>
      <c r="BK137" s="96">
        <f t="shared" si="139"/>
        <v>2.1999360555264453</v>
      </c>
      <c r="BL137" s="97">
        <f t="shared" si="140"/>
        <v>-2.1999360555264453</v>
      </c>
      <c r="BM137" s="98">
        <f t="shared" si="141"/>
        <v>100</v>
      </c>
      <c r="BN137" s="99">
        <f t="shared" si="142"/>
        <v>2</v>
      </c>
      <c r="BO137" s="114">
        <v>0</v>
      </c>
      <c r="BP137" s="101">
        <f t="shared" si="143"/>
        <v>0</v>
      </c>
      <c r="BQ137" s="78">
        <f t="shared" si="144"/>
        <v>25</v>
      </c>
      <c r="BR137" s="79">
        <f t="shared" si="111"/>
        <v>0.5</v>
      </c>
      <c r="BS137" s="102">
        <v>3498119.3760000002</v>
      </c>
      <c r="BT137" s="102">
        <v>0</v>
      </c>
      <c r="BU137" s="103">
        <f t="shared" si="145"/>
        <v>3498119.3760000002</v>
      </c>
      <c r="BV137" s="77">
        <f t="shared" si="146"/>
        <v>1.0955407239116122</v>
      </c>
      <c r="BW137" s="96">
        <f t="shared" si="147"/>
        <v>5.0508176117342298</v>
      </c>
      <c r="BX137" s="96">
        <f t="shared" si="148"/>
        <v>15.644215259343772</v>
      </c>
      <c r="BY137" s="96">
        <f t="shared" si="149"/>
        <v>6.9871618081220923</v>
      </c>
      <c r="BZ137" s="96">
        <f t="shared" si="150"/>
        <v>71.432953860755916</v>
      </c>
      <c r="CA137" s="96">
        <f t="shared" si="151"/>
        <v>40</v>
      </c>
      <c r="CB137" s="104">
        <f t="shared" si="152"/>
        <v>0.8</v>
      </c>
      <c r="CC137" s="105">
        <f t="shared" si="112"/>
        <v>22.665772691659864</v>
      </c>
      <c r="CD137" s="106">
        <f t="shared" si="113"/>
        <v>91.834507779525183</v>
      </c>
      <c r="CE137" s="107">
        <f t="shared" si="114"/>
        <v>1.3775176166928778</v>
      </c>
      <c r="CF137" s="108" t="s">
        <v>2189</v>
      </c>
      <c r="CG137" s="108" t="s">
        <v>2189</v>
      </c>
      <c r="CH137" s="108" t="s">
        <v>2189</v>
      </c>
      <c r="CI137" s="108" t="s">
        <v>2189</v>
      </c>
      <c r="CJ137" s="109"/>
      <c r="CK137" s="116" t="s">
        <v>2192</v>
      </c>
      <c r="CL137" s="116" t="s">
        <v>2193</v>
      </c>
      <c r="CM137" s="111">
        <f t="shared" si="153"/>
        <v>25</v>
      </c>
      <c r="CN137" s="107">
        <f t="shared" si="115"/>
        <v>0.375</v>
      </c>
      <c r="CO137" s="114">
        <v>0</v>
      </c>
      <c r="CP137" s="88">
        <f t="shared" si="154"/>
        <v>0</v>
      </c>
      <c r="CQ137" s="78">
        <f t="shared" si="155"/>
        <v>100</v>
      </c>
      <c r="CR137" s="79">
        <f t="shared" si="116"/>
        <v>3</v>
      </c>
      <c r="CS137" s="92">
        <f>_xlfn.XLOOKUP(C137, '[1]1-1. 관계사체무보증금액 (환율 등)'!$3:$3, '[1]1-1. 관계사체무보증금액 (환율 등)'!$33:$33)</f>
        <v>0</v>
      </c>
      <c r="CT137" s="77">
        <f t="shared" si="156"/>
        <v>0</v>
      </c>
      <c r="CU137" s="78">
        <f t="shared" si="157"/>
        <v>100</v>
      </c>
      <c r="CV137" s="79">
        <f t="shared" si="117"/>
        <v>2</v>
      </c>
      <c r="CW137" s="112">
        <f t="shared" si="158"/>
        <v>18.926698804274309</v>
      </c>
    </row>
    <row r="138" spans="1:101" x14ac:dyDescent="0.35">
      <c r="A138" s="7" t="s">
        <v>1940</v>
      </c>
      <c r="B138" s="8" t="s">
        <v>1941</v>
      </c>
      <c r="C138" s="21" t="s">
        <v>1942</v>
      </c>
      <c r="D138" s="10" t="s">
        <v>141</v>
      </c>
      <c r="E138" s="11" t="s">
        <v>998</v>
      </c>
      <c r="F138" s="11" t="s">
        <v>1943</v>
      </c>
      <c r="G138" s="12">
        <v>35249</v>
      </c>
      <c r="H138" s="11" t="s">
        <v>24</v>
      </c>
      <c r="I138" s="11" t="s">
        <v>1944</v>
      </c>
      <c r="J138" s="11" t="s">
        <v>1945</v>
      </c>
      <c r="K138" s="11" t="s">
        <v>280</v>
      </c>
      <c r="L138" s="23">
        <v>2341218033</v>
      </c>
      <c r="M138" s="14">
        <v>1123345096</v>
      </c>
      <c r="N138" s="14">
        <v>1217872936</v>
      </c>
      <c r="O138" s="14">
        <v>1657192106</v>
      </c>
      <c r="P138" s="14">
        <v>70857294</v>
      </c>
      <c r="Q138" s="14">
        <v>155414095</v>
      </c>
      <c r="R138" s="14">
        <v>119214196</v>
      </c>
      <c r="S138" s="15">
        <v>40815191</v>
      </c>
      <c r="T138" s="15">
        <v>1032347</v>
      </c>
      <c r="U138" s="15">
        <f>4331171+3196209</f>
        <v>7527380</v>
      </c>
      <c r="V138" s="15">
        <f>2245540+128313+39120+138421+6114+12730</f>
        <v>2570238</v>
      </c>
      <c r="W138" s="15">
        <f>122791+15471+7009+1750+1200+4587+2529+4260+1437+8557+2529+3868+7009+556+4587+4552+787+4260+300+1452+1411+2058</f>
        <v>202960</v>
      </c>
      <c r="X138" s="15">
        <v>560352</v>
      </c>
      <c r="Y138" s="24" t="s">
        <v>2122</v>
      </c>
      <c r="Z138" s="15">
        <v>6525</v>
      </c>
      <c r="AA138" s="15">
        <v>0</v>
      </c>
      <c r="AB138" s="74">
        <f t="shared" si="118"/>
        <v>10867455</v>
      </c>
      <c r="AC138" s="75">
        <f t="shared" si="119"/>
        <v>26.626005498785975</v>
      </c>
      <c r="AD138" s="75">
        <f t="shared" si="120"/>
        <v>77.106439442934999</v>
      </c>
      <c r="AE138" s="76">
        <f t="shared" si="106"/>
        <v>2.3131931832880497</v>
      </c>
      <c r="AF138" s="77">
        <f t="shared" si="121"/>
        <v>25.381840473747928</v>
      </c>
      <c r="AG138" s="77">
        <f t="shared" si="122"/>
        <v>27.316938427026482</v>
      </c>
      <c r="AH138" s="77">
        <f t="shared" si="123"/>
        <v>1.9350979532785537</v>
      </c>
      <c r="AI138" s="78">
        <f t="shared" si="124"/>
        <v>100</v>
      </c>
      <c r="AJ138" s="79">
        <f t="shared" si="107"/>
        <v>4</v>
      </c>
      <c r="AK138" s="113">
        <v>7</v>
      </c>
      <c r="AL138" s="113">
        <v>30</v>
      </c>
      <c r="AM138" s="113">
        <v>1</v>
      </c>
      <c r="AN138" s="81">
        <f t="shared" si="125"/>
        <v>37</v>
      </c>
      <c r="AO138" s="82">
        <f t="shared" si="126"/>
        <v>2.7027027027027026</v>
      </c>
      <c r="AP138" s="83">
        <f t="shared" si="127"/>
        <v>100</v>
      </c>
      <c r="AQ138" s="84">
        <f t="shared" si="108"/>
        <v>2</v>
      </c>
      <c r="AR138" s="118">
        <v>4</v>
      </c>
      <c r="AS138" s="86">
        <f t="shared" si="128"/>
        <v>0.5</v>
      </c>
      <c r="AT138" s="87">
        <f t="shared" si="129"/>
        <v>3.5</v>
      </c>
      <c r="AU138" s="87">
        <f t="shared" si="130"/>
        <v>3</v>
      </c>
      <c r="AV138" s="88">
        <f t="shared" si="131"/>
        <v>14.285714285714285</v>
      </c>
      <c r="AW138" s="78">
        <f t="shared" si="132"/>
        <v>60</v>
      </c>
      <c r="AX138" s="89">
        <f t="shared" si="109"/>
        <v>0.6</v>
      </c>
      <c r="AY138" s="114">
        <v>12</v>
      </c>
      <c r="AZ138" s="114">
        <f>12*4-1</f>
        <v>47</v>
      </c>
      <c r="BA138" s="91">
        <f t="shared" si="133"/>
        <v>48</v>
      </c>
      <c r="BB138" s="77">
        <f t="shared" si="134"/>
        <v>97.916666666666657</v>
      </c>
      <c r="BC138" s="78">
        <f t="shared" si="135"/>
        <v>100</v>
      </c>
      <c r="BD138" s="79">
        <f t="shared" si="110"/>
        <v>1</v>
      </c>
      <c r="BE138" s="92">
        <v>59801747</v>
      </c>
      <c r="BF138" s="92">
        <v>5020806</v>
      </c>
      <c r="BG138" s="93">
        <v>0</v>
      </c>
      <c r="BH138" s="94">
        <f t="shared" si="136"/>
        <v>64822553</v>
      </c>
      <c r="BI138" s="77">
        <f t="shared" si="137"/>
        <v>0</v>
      </c>
      <c r="BJ138" s="95" t="str">
        <f t="shared" si="138"/>
        <v>전기전자/기계업</v>
      </c>
      <c r="BK138" s="96">
        <f t="shared" si="139"/>
        <v>2.4096449716116446</v>
      </c>
      <c r="BL138" s="97">
        <f t="shared" si="140"/>
        <v>-2.4096449716116446</v>
      </c>
      <c r="BM138" s="98">
        <f t="shared" si="141"/>
        <v>100</v>
      </c>
      <c r="BN138" s="99">
        <f t="shared" si="142"/>
        <v>2</v>
      </c>
      <c r="BO138" s="114">
        <f>(24153-1030)*1000</f>
        <v>23123000</v>
      </c>
      <c r="BP138" s="101">
        <f t="shared" si="143"/>
        <v>1.3953119808066476</v>
      </c>
      <c r="BQ138" s="78">
        <f t="shared" si="144"/>
        <v>70</v>
      </c>
      <c r="BR138" s="79">
        <f t="shared" si="111"/>
        <v>1.4000000000000001</v>
      </c>
      <c r="BS138" s="102">
        <v>91802003.091000006</v>
      </c>
      <c r="BT138" s="102">
        <v>94021579.384000003</v>
      </c>
      <c r="BU138" s="103">
        <f t="shared" si="145"/>
        <v>-2219576.2929999977</v>
      </c>
      <c r="BV138" s="77">
        <f t="shared" si="146"/>
        <v>-0.13393596825400261</v>
      </c>
      <c r="BW138" s="96">
        <f t="shared" si="147"/>
        <v>5.2309968128308295</v>
      </c>
      <c r="BX138" s="96">
        <f t="shared" si="148"/>
        <v>28.782503745558628</v>
      </c>
      <c r="BY138" s="96">
        <f t="shared" si="149"/>
        <v>7.0695458012309631</v>
      </c>
      <c r="BZ138" s="96">
        <f t="shared" si="150"/>
        <v>77.603765300747654</v>
      </c>
      <c r="CA138" s="96">
        <f t="shared" si="151"/>
        <v>40</v>
      </c>
      <c r="CB138" s="104">
        <f t="shared" si="152"/>
        <v>0.8</v>
      </c>
      <c r="CC138" s="105">
        <f t="shared" si="112"/>
        <v>92.23828387955902</v>
      </c>
      <c r="CD138" s="106">
        <f t="shared" si="113"/>
        <v>65.613712105693835</v>
      </c>
      <c r="CE138" s="107">
        <f t="shared" si="114"/>
        <v>0.98420568158540744</v>
      </c>
      <c r="CF138" s="108" t="s">
        <v>2189</v>
      </c>
      <c r="CG138" s="108" t="s">
        <v>2189</v>
      </c>
      <c r="CH138" s="108" t="s">
        <v>2189</v>
      </c>
      <c r="CI138" s="108" t="s">
        <v>2189</v>
      </c>
      <c r="CJ138" s="109"/>
      <c r="CK138" s="116" t="s">
        <v>2238</v>
      </c>
      <c r="CL138" s="116" t="s">
        <v>2196</v>
      </c>
      <c r="CM138" s="111">
        <f t="shared" si="153"/>
        <v>55</v>
      </c>
      <c r="CN138" s="107">
        <f t="shared" si="115"/>
        <v>0.82499999999999996</v>
      </c>
      <c r="CO138" s="114">
        <v>360772000</v>
      </c>
      <c r="CP138" s="88">
        <f t="shared" si="154"/>
        <v>29.623123179411881</v>
      </c>
      <c r="CQ138" s="78">
        <f t="shared" si="155"/>
        <v>60</v>
      </c>
      <c r="CR138" s="79">
        <f t="shared" si="116"/>
        <v>1.7999999999999998</v>
      </c>
      <c r="CS138" s="92">
        <f>_xlfn.XLOOKUP(C138, '[1]1-1. 관계사체무보증금액 (환율 등)'!$3:$3, '[1]1-1. 관계사체무보증금액 (환율 등)'!$33:$33)</f>
        <v>170386087.45684695</v>
      </c>
      <c r="CT138" s="77">
        <f t="shared" si="156"/>
        <v>13.990465049372519</v>
      </c>
      <c r="CU138" s="78">
        <f t="shared" si="157"/>
        <v>60</v>
      </c>
      <c r="CV138" s="79">
        <f t="shared" si="117"/>
        <v>1.2</v>
      </c>
      <c r="CW138" s="112">
        <f t="shared" si="158"/>
        <v>18.922398864873458</v>
      </c>
    </row>
    <row r="139" spans="1:101" x14ac:dyDescent="0.35">
      <c r="A139" s="7" t="s">
        <v>1246</v>
      </c>
      <c r="B139" s="8" t="s">
        <v>1247</v>
      </c>
      <c r="C139" s="21" t="s">
        <v>1248</v>
      </c>
      <c r="D139" s="22" t="s">
        <v>141</v>
      </c>
      <c r="E139" s="11" t="s">
        <v>356</v>
      </c>
      <c r="F139" s="11" t="s">
        <v>1249</v>
      </c>
      <c r="G139" s="12">
        <v>32455</v>
      </c>
      <c r="H139" s="11" t="s">
        <v>24</v>
      </c>
      <c r="I139" s="11" t="s">
        <v>1250</v>
      </c>
      <c r="J139" s="11" t="s">
        <v>1251</v>
      </c>
      <c r="K139" s="11" t="s">
        <v>536</v>
      </c>
      <c r="L139" s="23">
        <v>1914532174</v>
      </c>
      <c r="M139" s="14">
        <v>433489874</v>
      </c>
      <c r="N139" s="14">
        <v>1481042299</v>
      </c>
      <c r="O139" s="14">
        <v>2351608869</v>
      </c>
      <c r="P139" s="14">
        <v>172143218</v>
      </c>
      <c r="Q139" s="14">
        <v>206431272</v>
      </c>
      <c r="R139" s="14">
        <v>163552128</v>
      </c>
      <c r="S139" s="15">
        <v>46448520</v>
      </c>
      <c r="T139" s="15">
        <v>393058</v>
      </c>
      <c r="U139" s="15">
        <v>12291248</v>
      </c>
      <c r="V139" s="15">
        <f>6817884+5451011+193515+150000+2321579+511000+364996+145991</f>
        <v>15955976</v>
      </c>
      <c r="W139" s="15">
        <v>20721</v>
      </c>
      <c r="X139" s="15">
        <v>1787132</v>
      </c>
      <c r="Y139" s="24" t="s">
        <v>2097</v>
      </c>
      <c r="Z139" s="15">
        <v>0</v>
      </c>
      <c r="AA139" s="15">
        <v>0</v>
      </c>
      <c r="AB139" s="74">
        <f t="shared" si="118"/>
        <v>30055077</v>
      </c>
      <c r="AC139" s="75">
        <f t="shared" si="119"/>
        <v>64.706210230164501</v>
      </c>
      <c r="AD139" s="75">
        <f t="shared" si="120"/>
        <v>44.240900261653195</v>
      </c>
      <c r="AE139" s="76">
        <f t="shared" si="106"/>
        <v>1.3272270078495958</v>
      </c>
      <c r="AF139" s="77">
        <f t="shared" si="121"/>
        <v>61.333059692246707</v>
      </c>
      <c r="AG139" s="77">
        <f t="shared" si="122"/>
        <v>65.258442093144126</v>
      </c>
      <c r="AH139" s="77">
        <f t="shared" si="123"/>
        <v>3.9253824008974192</v>
      </c>
      <c r="AI139" s="78">
        <f t="shared" si="124"/>
        <v>100</v>
      </c>
      <c r="AJ139" s="79">
        <f t="shared" si="107"/>
        <v>4</v>
      </c>
      <c r="AK139" s="113">
        <v>6</v>
      </c>
      <c r="AL139" s="113">
        <v>38</v>
      </c>
      <c r="AM139" s="113">
        <v>1</v>
      </c>
      <c r="AN139" s="81">
        <f t="shared" si="125"/>
        <v>44</v>
      </c>
      <c r="AO139" s="82">
        <f t="shared" si="126"/>
        <v>2.2727272727272729</v>
      </c>
      <c r="AP139" s="83">
        <f t="shared" si="127"/>
        <v>100</v>
      </c>
      <c r="AQ139" s="84">
        <f t="shared" si="108"/>
        <v>2</v>
      </c>
      <c r="AR139" s="118">
        <v>3</v>
      </c>
      <c r="AS139" s="86">
        <f t="shared" si="128"/>
        <v>0.25</v>
      </c>
      <c r="AT139" s="87">
        <f t="shared" si="129"/>
        <v>1.5</v>
      </c>
      <c r="AU139" s="87">
        <f t="shared" si="130"/>
        <v>1</v>
      </c>
      <c r="AV139" s="88">
        <f t="shared" si="131"/>
        <v>33.333333333333329</v>
      </c>
      <c r="AW139" s="78">
        <f t="shared" si="132"/>
        <v>80</v>
      </c>
      <c r="AX139" s="89">
        <f t="shared" si="109"/>
        <v>0.8</v>
      </c>
      <c r="AY139" s="114">
        <v>14</v>
      </c>
      <c r="AZ139" s="114">
        <f>14*3-1</f>
        <v>41</v>
      </c>
      <c r="BA139" s="91">
        <f t="shared" si="133"/>
        <v>42</v>
      </c>
      <c r="BB139" s="77">
        <f t="shared" si="134"/>
        <v>97.61904761904762</v>
      </c>
      <c r="BC139" s="78">
        <f t="shared" si="135"/>
        <v>100</v>
      </c>
      <c r="BD139" s="79">
        <f t="shared" si="110"/>
        <v>1</v>
      </c>
      <c r="BE139" s="92">
        <v>56772331</v>
      </c>
      <c r="BF139" s="92">
        <v>4327394</v>
      </c>
      <c r="BG139" s="114">
        <v>141990</v>
      </c>
      <c r="BH139" s="94">
        <f t="shared" si="136"/>
        <v>61099725</v>
      </c>
      <c r="BI139" s="77">
        <f t="shared" si="137"/>
        <v>0.23239057131599203</v>
      </c>
      <c r="BJ139" s="95" t="str">
        <f t="shared" si="138"/>
        <v>전기전자/기계업</v>
      </c>
      <c r="BK139" s="96">
        <f t="shared" si="139"/>
        <v>2.4096449716116446</v>
      </c>
      <c r="BL139" s="97">
        <f t="shared" si="140"/>
        <v>-2.1772544002956526</v>
      </c>
      <c r="BM139" s="98">
        <f t="shared" si="141"/>
        <v>100</v>
      </c>
      <c r="BN139" s="99">
        <f t="shared" si="142"/>
        <v>2</v>
      </c>
      <c r="BO139" s="114">
        <v>148926629</v>
      </c>
      <c r="BP139" s="101">
        <f t="shared" si="143"/>
        <v>6.3329676530489394</v>
      </c>
      <c r="BQ139" s="78">
        <f t="shared" si="144"/>
        <v>100</v>
      </c>
      <c r="BR139" s="79">
        <f t="shared" si="111"/>
        <v>2</v>
      </c>
      <c r="BS139" s="102">
        <v>82434935.871000007</v>
      </c>
      <c r="BT139" s="102">
        <v>3235907.2620000001</v>
      </c>
      <c r="BU139" s="103">
        <f t="shared" si="145"/>
        <v>79199028.609000012</v>
      </c>
      <c r="BV139" s="77">
        <f t="shared" si="146"/>
        <v>3.3678657047538128</v>
      </c>
      <c r="BW139" s="96">
        <f t="shared" si="147"/>
        <v>5.2309968128308295</v>
      </c>
      <c r="BX139" s="96">
        <f t="shared" si="148"/>
        <v>3.4712575258842921</v>
      </c>
      <c r="BY139" s="96">
        <f t="shared" si="149"/>
        <v>7.0695458012309631</v>
      </c>
      <c r="BZ139" s="96">
        <f t="shared" si="150"/>
        <v>60.393405538351409</v>
      </c>
      <c r="CA139" s="96">
        <f t="shared" si="151"/>
        <v>40</v>
      </c>
      <c r="CB139" s="104">
        <f t="shared" si="152"/>
        <v>0.8</v>
      </c>
      <c r="CC139" s="105">
        <f t="shared" si="112"/>
        <v>29.269243308762515</v>
      </c>
      <c r="CD139" s="106">
        <f t="shared" si="113"/>
        <v>89.345762572074435</v>
      </c>
      <c r="CE139" s="107">
        <f t="shared" si="114"/>
        <v>1.3401864385811164</v>
      </c>
      <c r="CF139" s="108" t="s">
        <v>2189</v>
      </c>
      <c r="CG139" s="108" t="s">
        <v>2189</v>
      </c>
      <c r="CH139" s="108" t="s">
        <v>2189</v>
      </c>
      <c r="CI139" s="108" t="s">
        <v>2189</v>
      </c>
      <c r="CJ139" s="109"/>
      <c r="CK139" s="116" t="s">
        <v>2207</v>
      </c>
      <c r="CL139" s="116" t="s">
        <v>2204</v>
      </c>
      <c r="CM139" s="111">
        <f t="shared" si="153"/>
        <v>70</v>
      </c>
      <c r="CN139" s="107">
        <f t="shared" si="115"/>
        <v>1.05</v>
      </c>
      <c r="CO139" s="114">
        <v>357007000</v>
      </c>
      <c r="CP139" s="88">
        <f t="shared" si="154"/>
        <v>24.105118418363283</v>
      </c>
      <c r="CQ139" s="78">
        <f t="shared" si="155"/>
        <v>60</v>
      </c>
      <c r="CR139" s="79">
        <f t="shared" si="116"/>
        <v>1.7999999999999998</v>
      </c>
      <c r="CS139" s="92">
        <f>_xlfn.XLOOKUP(C139, '[1]1-1. 관계사체무보증금액 (환율 등)'!$3:$3, '[1]1-1. 관계사체무보증금액 (환율 등)'!$33:$33)</f>
        <v>538009379.72773921</v>
      </c>
      <c r="CT139" s="77">
        <f t="shared" si="156"/>
        <v>36.326402027207678</v>
      </c>
      <c r="CU139" s="78">
        <f t="shared" si="157"/>
        <v>40</v>
      </c>
      <c r="CV139" s="79">
        <f t="shared" si="117"/>
        <v>0.8</v>
      </c>
      <c r="CW139" s="112">
        <f t="shared" si="158"/>
        <v>18.917413446430714</v>
      </c>
    </row>
    <row r="140" spans="1:101" s="187" customFormat="1" x14ac:dyDescent="0.35">
      <c r="A140" s="7" t="s">
        <v>1887</v>
      </c>
      <c r="B140" s="8" t="s">
        <v>1888</v>
      </c>
      <c r="C140" s="21" t="s">
        <v>1889</v>
      </c>
      <c r="D140" s="22" t="s">
        <v>141</v>
      </c>
      <c r="E140" s="11" t="s">
        <v>639</v>
      </c>
      <c r="F140" s="11" t="s">
        <v>1890</v>
      </c>
      <c r="G140" s="12">
        <v>44425</v>
      </c>
      <c r="H140" s="11" t="s">
        <v>24</v>
      </c>
      <c r="I140" s="11" t="s">
        <v>1891</v>
      </c>
      <c r="J140" s="11" t="s">
        <v>1892</v>
      </c>
      <c r="K140" s="11" t="s">
        <v>50</v>
      </c>
      <c r="L140" s="23">
        <v>201249262</v>
      </c>
      <c r="M140" s="14">
        <v>74147423</v>
      </c>
      <c r="N140" s="14">
        <v>127101839</v>
      </c>
      <c r="O140" s="14">
        <v>92809851</v>
      </c>
      <c r="P140" s="14">
        <v>557375</v>
      </c>
      <c r="Q140" s="14">
        <v>21284021</v>
      </c>
      <c r="R140" s="14">
        <v>16494864</v>
      </c>
      <c r="S140" s="15">
        <v>27674406</v>
      </c>
      <c r="T140" s="15">
        <v>0</v>
      </c>
      <c r="U140" s="15">
        <v>10000000</v>
      </c>
      <c r="V140" s="15">
        <v>0</v>
      </c>
      <c r="W140" s="15">
        <v>0</v>
      </c>
      <c r="X140" s="15">
        <v>0</v>
      </c>
      <c r="Y140" s="24"/>
      <c r="Z140" s="15">
        <v>38924</v>
      </c>
      <c r="AA140" s="15">
        <v>0</v>
      </c>
      <c r="AB140" s="74">
        <f t="shared" si="118"/>
        <v>10038924</v>
      </c>
      <c r="AC140" s="75">
        <f t="shared" si="119"/>
        <v>36.275120051357199</v>
      </c>
      <c r="AD140" s="75">
        <f t="shared" si="120"/>
        <v>68.778665088011621</v>
      </c>
      <c r="AE140" s="76">
        <f t="shared" si="106"/>
        <v>2.0633599526403485</v>
      </c>
      <c r="AF140" s="77">
        <f t="shared" si="121"/>
        <v>36.134470239397373</v>
      </c>
      <c r="AG140" s="77">
        <f t="shared" si="122"/>
        <v>36.275120051357199</v>
      </c>
      <c r="AH140" s="77">
        <f t="shared" si="123"/>
        <v>0.1406498119598254</v>
      </c>
      <c r="AI140" s="78">
        <f t="shared" si="124"/>
        <v>100</v>
      </c>
      <c r="AJ140" s="79">
        <f t="shared" si="107"/>
        <v>4</v>
      </c>
      <c r="AK140" s="113">
        <v>8</v>
      </c>
      <c r="AL140" s="113">
        <v>9</v>
      </c>
      <c r="AM140" s="113">
        <v>1</v>
      </c>
      <c r="AN140" s="81">
        <f t="shared" si="125"/>
        <v>17</v>
      </c>
      <c r="AO140" s="82">
        <f t="shared" si="126"/>
        <v>5.8823529411764701</v>
      </c>
      <c r="AP140" s="83">
        <f t="shared" si="127"/>
        <v>100</v>
      </c>
      <c r="AQ140" s="84">
        <f t="shared" si="108"/>
        <v>2</v>
      </c>
      <c r="AR140" s="118">
        <v>2</v>
      </c>
      <c r="AS140" s="86">
        <f t="shared" si="128"/>
        <v>0.25</v>
      </c>
      <c r="AT140" s="87">
        <f t="shared" si="129"/>
        <v>2</v>
      </c>
      <c r="AU140" s="87">
        <f t="shared" si="130"/>
        <v>2</v>
      </c>
      <c r="AV140" s="88">
        <f t="shared" si="131"/>
        <v>0</v>
      </c>
      <c r="AW140" s="78">
        <f t="shared" si="132"/>
        <v>40</v>
      </c>
      <c r="AX140" s="89">
        <f t="shared" si="109"/>
        <v>0.4</v>
      </c>
      <c r="AY140" s="114">
        <v>9</v>
      </c>
      <c r="AZ140" s="114">
        <f>18-2</f>
        <v>16</v>
      </c>
      <c r="BA140" s="91">
        <f t="shared" si="133"/>
        <v>18</v>
      </c>
      <c r="BB140" s="77">
        <f t="shared" si="134"/>
        <v>88.888888888888886</v>
      </c>
      <c r="BC140" s="78">
        <f t="shared" si="135"/>
        <v>75</v>
      </c>
      <c r="BD140" s="79">
        <f t="shared" si="110"/>
        <v>0.75</v>
      </c>
      <c r="BE140" s="92">
        <f>4649292+320873</f>
        <v>4970165</v>
      </c>
      <c r="BF140" s="92">
        <v>382938</v>
      </c>
      <c r="BG140" s="114">
        <v>651088</v>
      </c>
      <c r="BH140" s="94">
        <f t="shared" si="136"/>
        <v>5353103</v>
      </c>
      <c r="BI140" s="77">
        <f t="shared" si="137"/>
        <v>12.162814726337229</v>
      </c>
      <c r="BJ140" s="95" t="str">
        <f t="shared" si="138"/>
        <v>전기전자/기계업</v>
      </c>
      <c r="BK140" s="96">
        <f t="shared" si="139"/>
        <v>2.4096449716116446</v>
      </c>
      <c r="BL140" s="97">
        <f t="shared" si="140"/>
        <v>9.7531697547255849</v>
      </c>
      <c r="BM140" s="98">
        <f t="shared" si="141"/>
        <v>40</v>
      </c>
      <c r="BN140" s="99">
        <f t="shared" si="142"/>
        <v>0.8</v>
      </c>
      <c r="BO140" s="114">
        <v>1466112</v>
      </c>
      <c r="BP140" s="101">
        <f t="shared" si="143"/>
        <v>1.5796943796407992</v>
      </c>
      <c r="BQ140" s="78">
        <f t="shared" si="144"/>
        <v>70</v>
      </c>
      <c r="BR140" s="79">
        <f t="shared" si="111"/>
        <v>1.4000000000000001</v>
      </c>
      <c r="BS140" s="102">
        <v>5025931.4210000001</v>
      </c>
      <c r="BT140" s="102">
        <v>48320.478000000003</v>
      </c>
      <c r="BU140" s="103">
        <f t="shared" si="145"/>
        <v>4977610.943</v>
      </c>
      <c r="BV140" s="77">
        <f t="shared" si="146"/>
        <v>5.363235571836011</v>
      </c>
      <c r="BW140" s="96">
        <f t="shared" si="147"/>
        <v>5.2309968128308295</v>
      </c>
      <c r="BX140" s="96">
        <f t="shared" si="148"/>
        <v>1.7487089383230459E-2</v>
      </c>
      <c r="BY140" s="96">
        <f t="shared" si="149"/>
        <v>7.0695458012309631</v>
      </c>
      <c r="BZ140" s="96">
        <f t="shared" si="150"/>
        <v>49.253805587319356</v>
      </c>
      <c r="CA140" s="96">
        <f t="shared" si="151"/>
        <v>55</v>
      </c>
      <c r="CB140" s="104">
        <f t="shared" si="152"/>
        <v>1.1000000000000001</v>
      </c>
      <c r="CC140" s="105">
        <f t="shared" si="112"/>
        <v>58.337018239366309</v>
      </c>
      <c r="CD140" s="106">
        <f t="shared" si="113"/>
        <v>78.390571015314208</v>
      </c>
      <c r="CE140" s="107">
        <f t="shared" si="114"/>
        <v>1.1758585652297131</v>
      </c>
      <c r="CF140" s="108" t="s">
        <v>2189</v>
      </c>
      <c r="CG140" s="108" t="s">
        <v>2189</v>
      </c>
      <c r="CH140" s="108" t="s">
        <v>2189</v>
      </c>
      <c r="CI140" s="108" t="s">
        <v>2189</v>
      </c>
      <c r="CJ140" s="109"/>
      <c r="CK140" s="116" t="s">
        <v>2202</v>
      </c>
      <c r="CL140" s="116" t="s">
        <v>2196</v>
      </c>
      <c r="CM140" s="111">
        <f t="shared" si="153"/>
        <v>55</v>
      </c>
      <c r="CN140" s="107">
        <f t="shared" si="115"/>
        <v>0.82499999999999996</v>
      </c>
      <c r="CO140" s="114">
        <v>7549000</v>
      </c>
      <c r="CP140" s="88">
        <f t="shared" si="154"/>
        <v>5.9393318455447366</v>
      </c>
      <c r="CQ140" s="78">
        <f t="shared" si="155"/>
        <v>80</v>
      </c>
      <c r="CR140" s="79">
        <f t="shared" si="116"/>
        <v>2.4</v>
      </c>
      <c r="CS140" s="92">
        <f>_xlfn.XLOOKUP(C140, '[1]1-1. 관계사체무보증금액 (환율 등)'!$3:$3, '[1]1-1. 관계사체무보증금액 (환율 등)'!$33:$33)</f>
        <v>3633987</v>
      </c>
      <c r="CT140" s="77">
        <f t="shared" si="156"/>
        <v>2.8591144145443876</v>
      </c>
      <c r="CU140" s="78">
        <f t="shared" si="157"/>
        <v>100</v>
      </c>
      <c r="CV140" s="79">
        <f t="shared" si="117"/>
        <v>2</v>
      </c>
      <c r="CW140" s="112">
        <f t="shared" si="158"/>
        <v>18.914218517870061</v>
      </c>
    </row>
    <row r="141" spans="1:101" x14ac:dyDescent="0.35">
      <c r="A141" s="7" t="s">
        <v>1575</v>
      </c>
      <c r="B141" s="8" t="s">
        <v>1576</v>
      </c>
      <c r="C141" s="21" t="s">
        <v>1577</v>
      </c>
      <c r="D141" s="10" t="s">
        <v>141</v>
      </c>
      <c r="E141" s="11" t="s">
        <v>241</v>
      </c>
      <c r="F141" s="11" t="s">
        <v>1578</v>
      </c>
      <c r="G141" s="12">
        <v>31299</v>
      </c>
      <c r="H141" s="11" t="s">
        <v>24</v>
      </c>
      <c r="I141" s="11" t="s">
        <v>1579</v>
      </c>
      <c r="J141" s="11" t="s">
        <v>1580</v>
      </c>
      <c r="K141" s="11" t="s">
        <v>50</v>
      </c>
      <c r="L141" s="23">
        <v>862006786</v>
      </c>
      <c r="M141" s="14">
        <v>408796042</v>
      </c>
      <c r="N141" s="14">
        <v>453210744</v>
      </c>
      <c r="O141" s="14">
        <v>804572920</v>
      </c>
      <c r="P141" s="14">
        <v>60293639</v>
      </c>
      <c r="Q141" s="14">
        <v>64653383</v>
      </c>
      <c r="R141" s="14">
        <v>54734419</v>
      </c>
      <c r="S141" s="15">
        <v>23620751</v>
      </c>
      <c r="T141" s="15">
        <v>0</v>
      </c>
      <c r="U141" s="15">
        <f>9388614+1602272</f>
        <v>10990886</v>
      </c>
      <c r="V141" s="15">
        <f>28240+752462+387266</f>
        <v>1167968</v>
      </c>
      <c r="W141" s="15">
        <f>1859</f>
        <v>1859</v>
      </c>
      <c r="X141" s="15">
        <v>0</v>
      </c>
      <c r="Z141" s="15">
        <v>310187</v>
      </c>
      <c r="AA141" s="15">
        <v>0</v>
      </c>
      <c r="AB141" s="74">
        <f t="shared" si="118"/>
        <v>12470900</v>
      </c>
      <c r="AC141" s="75">
        <f t="shared" si="119"/>
        <v>52.796373832483148</v>
      </c>
      <c r="AD141" s="75">
        <f t="shared" si="120"/>
        <v>54.519815449525481</v>
      </c>
      <c r="AE141" s="76">
        <f t="shared" si="106"/>
        <v>1.6355944634857644</v>
      </c>
      <c r="AF141" s="77">
        <f t="shared" si="121"/>
        <v>51.475306606466489</v>
      </c>
      <c r="AG141" s="77">
        <f t="shared" si="122"/>
        <v>52.796373832483148</v>
      </c>
      <c r="AH141" s="77">
        <f t="shared" si="123"/>
        <v>1.3210672260166589</v>
      </c>
      <c r="AI141" s="78">
        <f t="shared" si="124"/>
        <v>100</v>
      </c>
      <c r="AJ141" s="79">
        <f t="shared" si="107"/>
        <v>4</v>
      </c>
      <c r="AK141" s="113">
        <v>5</v>
      </c>
      <c r="AL141" s="113">
        <v>29</v>
      </c>
      <c r="AM141" s="113">
        <v>1</v>
      </c>
      <c r="AN141" s="81">
        <f t="shared" si="125"/>
        <v>34</v>
      </c>
      <c r="AO141" s="82">
        <f t="shared" si="126"/>
        <v>2.9411764705882351</v>
      </c>
      <c r="AP141" s="83">
        <f t="shared" si="127"/>
        <v>100</v>
      </c>
      <c r="AQ141" s="84">
        <f t="shared" si="108"/>
        <v>2</v>
      </c>
      <c r="AR141" s="118">
        <v>1</v>
      </c>
      <c r="AS141" s="86">
        <f t="shared" si="128"/>
        <v>0.25</v>
      </c>
      <c r="AT141" s="87">
        <f t="shared" si="129"/>
        <v>1.25</v>
      </c>
      <c r="AU141" s="87">
        <f t="shared" si="130"/>
        <v>1</v>
      </c>
      <c r="AV141" s="88">
        <f t="shared" si="131"/>
        <v>0</v>
      </c>
      <c r="AW141" s="78">
        <f t="shared" si="132"/>
        <v>40</v>
      </c>
      <c r="AX141" s="89">
        <f t="shared" si="109"/>
        <v>0.4</v>
      </c>
      <c r="AY141" s="114">
        <v>11</v>
      </c>
      <c r="AZ141" s="114">
        <v>11</v>
      </c>
      <c r="BA141" s="91">
        <f t="shared" si="133"/>
        <v>11</v>
      </c>
      <c r="BB141" s="77">
        <f t="shared" si="134"/>
        <v>100</v>
      </c>
      <c r="BC141" s="78">
        <f t="shared" si="135"/>
        <v>100</v>
      </c>
      <c r="BD141" s="79">
        <f t="shared" si="110"/>
        <v>1</v>
      </c>
      <c r="BE141" s="92">
        <v>8942257</v>
      </c>
      <c r="BF141" s="92">
        <v>861046</v>
      </c>
      <c r="BG141" s="114">
        <v>325716</v>
      </c>
      <c r="BH141" s="94">
        <f t="shared" si="136"/>
        <v>9803303</v>
      </c>
      <c r="BI141" s="77">
        <f t="shared" si="137"/>
        <v>3.3225128306245355</v>
      </c>
      <c r="BJ141" s="95" t="str">
        <f t="shared" si="138"/>
        <v>전기전자/기계업</v>
      </c>
      <c r="BK141" s="96">
        <f t="shared" si="139"/>
        <v>2.4096449716116446</v>
      </c>
      <c r="BL141" s="97">
        <f t="shared" si="140"/>
        <v>0.91286785901289091</v>
      </c>
      <c r="BM141" s="98">
        <f t="shared" si="141"/>
        <v>60</v>
      </c>
      <c r="BN141" s="99">
        <f t="shared" si="142"/>
        <v>1.2</v>
      </c>
      <c r="BO141" s="114">
        <v>9077359</v>
      </c>
      <c r="BP141" s="101">
        <f t="shared" si="143"/>
        <v>1.1282207956986672</v>
      </c>
      <c r="BQ141" s="78">
        <f t="shared" si="144"/>
        <v>70</v>
      </c>
      <c r="BR141" s="79">
        <f t="shared" si="111"/>
        <v>1.4000000000000001</v>
      </c>
      <c r="BS141" s="102">
        <v>215863376.882</v>
      </c>
      <c r="BT141" s="102">
        <v>242059.16</v>
      </c>
      <c r="BU141" s="103">
        <f t="shared" si="145"/>
        <v>215621317.722</v>
      </c>
      <c r="BV141" s="77">
        <f t="shared" si="146"/>
        <v>26.799474896818552</v>
      </c>
      <c r="BW141" s="96">
        <f t="shared" si="147"/>
        <v>5.2309968128308295</v>
      </c>
      <c r="BX141" s="96">
        <f t="shared" si="148"/>
        <v>465.19924685945864</v>
      </c>
      <c r="BY141" s="96">
        <f t="shared" si="149"/>
        <v>7.0695458012309631</v>
      </c>
      <c r="BZ141" s="96">
        <f t="shared" si="150"/>
        <v>0.11407823178966048</v>
      </c>
      <c r="CA141" s="96">
        <f t="shared" si="151"/>
        <v>100</v>
      </c>
      <c r="CB141" s="104">
        <f t="shared" si="152"/>
        <v>2</v>
      </c>
      <c r="CC141" s="105">
        <f t="shared" si="112"/>
        <v>90.199989168835771</v>
      </c>
      <c r="CD141" s="106">
        <f t="shared" si="113"/>
        <v>66.381913629835765</v>
      </c>
      <c r="CE141" s="107">
        <f t="shared" si="114"/>
        <v>0.99572870444753647</v>
      </c>
      <c r="CF141" s="108" t="s">
        <v>2189</v>
      </c>
      <c r="CG141" s="108" t="s">
        <v>2189</v>
      </c>
      <c r="CH141" s="108" t="s">
        <v>2189</v>
      </c>
      <c r="CI141" s="108" t="s">
        <v>2189</v>
      </c>
      <c r="CJ141" s="109"/>
      <c r="CK141" s="116" t="s">
        <v>2207</v>
      </c>
      <c r="CL141" s="116" t="s">
        <v>2204</v>
      </c>
      <c r="CM141" s="111">
        <f t="shared" si="153"/>
        <v>70</v>
      </c>
      <c r="CN141" s="107">
        <f t="shared" si="115"/>
        <v>1.05</v>
      </c>
      <c r="CO141" s="114">
        <v>162396000</v>
      </c>
      <c r="CP141" s="88">
        <f t="shared" si="154"/>
        <v>35.832336755017444</v>
      </c>
      <c r="CQ141" s="78">
        <f t="shared" si="155"/>
        <v>40</v>
      </c>
      <c r="CR141" s="79">
        <f t="shared" si="116"/>
        <v>1.2</v>
      </c>
      <c r="CS141" s="92">
        <f>_xlfn.XLOOKUP(C141, '[1]1-1. 관계사체무보증금액 (환율 등)'!$3:$3, '[1]1-1. 관계사체무보증금액 (환율 등)'!$33:$33)</f>
        <v>0</v>
      </c>
      <c r="CT141" s="77">
        <f t="shared" si="156"/>
        <v>0</v>
      </c>
      <c r="CU141" s="78">
        <f t="shared" si="157"/>
        <v>100</v>
      </c>
      <c r="CV141" s="79">
        <f t="shared" si="117"/>
        <v>2</v>
      </c>
      <c r="CW141" s="112">
        <f t="shared" si="158"/>
        <v>18.881323167933303</v>
      </c>
    </row>
    <row r="142" spans="1:101" x14ac:dyDescent="0.35">
      <c r="A142" s="7" t="s">
        <v>1601</v>
      </c>
      <c r="B142" s="8" t="s">
        <v>1602</v>
      </c>
      <c r="C142" s="21" t="s">
        <v>1603</v>
      </c>
      <c r="D142" s="10" t="s">
        <v>21</v>
      </c>
      <c r="E142" s="11" t="s">
        <v>1604</v>
      </c>
      <c r="F142" s="11" t="s">
        <v>1605</v>
      </c>
      <c r="G142" s="12">
        <v>43111</v>
      </c>
      <c r="H142" s="11" t="s">
        <v>24</v>
      </c>
      <c r="I142" s="11" t="s">
        <v>1606</v>
      </c>
      <c r="J142" s="11" t="s">
        <v>1607</v>
      </c>
      <c r="K142" s="11" t="s">
        <v>50</v>
      </c>
      <c r="L142" s="23">
        <v>761133055</v>
      </c>
      <c r="M142" s="14">
        <v>116041955</v>
      </c>
      <c r="N142" s="14">
        <v>645091100</v>
      </c>
      <c r="O142" s="14">
        <v>691580207</v>
      </c>
      <c r="P142" s="14">
        <v>99955621</v>
      </c>
      <c r="Q142" s="14">
        <v>124537136</v>
      </c>
      <c r="R142" s="14">
        <v>116344338</v>
      </c>
      <c r="S142" s="15">
        <v>22437330</v>
      </c>
      <c r="T142" s="15">
        <v>14950</v>
      </c>
      <c r="U142" s="15">
        <f>9097905+4606180</f>
        <v>13704085</v>
      </c>
      <c r="V142" s="15">
        <f>665760+944910</f>
        <v>1610670</v>
      </c>
      <c r="W142" s="15">
        <v>85</v>
      </c>
      <c r="X142" s="15">
        <v>411970</v>
      </c>
      <c r="Y142" s="24" t="s">
        <v>2106</v>
      </c>
      <c r="Z142" s="15">
        <v>0</v>
      </c>
      <c r="AA142" s="15">
        <v>0</v>
      </c>
      <c r="AB142" s="74">
        <f t="shared" si="118"/>
        <v>15726810</v>
      </c>
      <c r="AC142" s="75">
        <f t="shared" si="119"/>
        <v>70.092163372379872</v>
      </c>
      <c r="AD142" s="75">
        <f t="shared" si="120"/>
        <v>39.592494212560524</v>
      </c>
      <c r="AE142" s="76">
        <f t="shared" si="106"/>
        <v>1.1877748263768158</v>
      </c>
      <c r="AF142" s="77">
        <f t="shared" si="121"/>
        <v>68.301201745755804</v>
      </c>
      <c r="AG142" s="77">
        <f t="shared" si="122"/>
        <v>70.138896941359491</v>
      </c>
      <c r="AH142" s="77">
        <f t="shared" si="123"/>
        <v>1.8376951956036862</v>
      </c>
      <c r="AI142" s="78">
        <f t="shared" si="124"/>
        <v>100</v>
      </c>
      <c r="AJ142" s="79">
        <f t="shared" si="107"/>
        <v>4</v>
      </c>
      <c r="AK142" s="113">
        <v>5</v>
      </c>
      <c r="AL142" s="113">
        <v>3</v>
      </c>
      <c r="AM142" s="113">
        <v>1</v>
      </c>
      <c r="AN142" s="81">
        <f t="shared" si="125"/>
        <v>8</v>
      </c>
      <c r="AO142" s="82">
        <f t="shared" si="126"/>
        <v>12.5</v>
      </c>
      <c r="AP142" s="83">
        <f t="shared" si="127"/>
        <v>80</v>
      </c>
      <c r="AQ142" s="84">
        <f t="shared" si="108"/>
        <v>1.6</v>
      </c>
      <c r="AR142" s="118">
        <v>3</v>
      </c>
      <c r="AS142" s="86">
        <f t="shared" si="128"/>
        <v>0.25</v>
      </c>
      <c r="AT142" s="87">
        <f t="shared" si="129"/>
        <v>1.25</v>
      </c>
      <c r="AU142" s="87">
        <f t="shared" si="130"/>
        <v>1</v>
      </c>
      <c r="AV142" s="88">
        <f t="shared" si="131"/>
        <v>40</v>
      </c>
      <c r="AW142" s="78">
        <f t="shared" si="132"/>
        <v>100</v>
      </c>
      <c r="AX142" s="89">
        <f t="shared" si="109"/>
        <v>1</v>
      </c>
      <c r="AY142" s="114">
        <v>22</v>
      </c>
      <c r="AZ142" s="114">
        <f>22*3-16</f>
        <v>50</v>
      </c>
      <c r="BA142" s="91">
        <f t="shared" si="133"/>
        <v>66</v>
      </c>
      <c r="BB142" s="77">
        <f t="shared" si="134"/>
        <v>75.757575757575751</v>
      </c>
      <c r="BC142" s="78">
        <f t="shared" si="135"/>
        <v>50</v>
      </c>
      <c r="BD142" s="79">
        <f t="shared" si="110"/>
        <v>0.5</v>
      </c>
      <c r="BE142" s="92">
        <v>6792403</v>
      </c>
      <c r="BF142" s="92">
        <v>2946025</v>
      </c>
      <c r="BG142" s="93">
        <v>0</v>
      </c>
      <c r="BH142" s="94">
        <f t="shared" si="136"/>
        <v>9738428</v>
      </c>
      <c r="BI142" s="77">
        <f t="shared" si="137"/>
        <v>0</v>
      </c>
      <c r="BJ142" s="95" t="str">
        <f t="shared" si="138"/>
        <v>비제조/서비스업</v>
      </c>
      <c r="BK142" s="96">
        <f t="shared" si="139"/>
        <v>1.7464434573900922</v>
      </c>
      <c r="BL142" s="97">
        <f t="shared" si="140"/>
        <v>-1.7464434573900922</v>
      </c>
      <c r="BM142" s="98">
        <f t="shared" si="141"/>
        <v>80</v>
      </c>
      <c r="BN142" s="99">
        <f t="shared" si="142"/>
        <v>1.6</v>
      </c>
      <c r="BO142" s="114">
        <v>5619000</v>
      </c>
      <c r="BP142" s="101">
        <f t="shared" si="143"/>
        <v>0.8124871046229929</v>
      </c>
      <c r="BQ142" s="78">
        <f t="shared" si="144"/>
        <v>70</v>
      </c>
      <c r="BR142" s="79">
        <f t="shared" si="111"/>
        <v>1.4000000000000001</v>
      </c>
      <c r="BS142" s="102">
        <v>313587.098</v>
      </c>
      <c r="BT142" s="102">
        <v>26157.644</v>
      </c>
      <c r="BU142" s="103">
        <f t="shared" si="145"/>
        <v>287429.45400000003</v>
      </c>
      <c r="BV142" s="77">
        <f t="shared" si="146"/>
        <v>4.1561260876281848E-2</v>
      </c>
      <c r="BW142" s="96">
        <f t="shared" si="147"/>
        <v>2.8482825397737606</v>
      </c>
      <c r="BX142" s="96">
        <f t="shared" si="148"/>
        <v>7.8776843374159</v>
      </c>
      <c r="BY142" s="96">
        <f t="shared" si="149"/>
        <v>5.5697595856656807</v>
      </c>
      <c r="BZ142" s="96">
        <f t="shared" si="150"/>
        <v>69.284170869884804</v>
      </c>
      <c r="CA142" s="96">
        <f t="shared" si="151"/>
        <v>40</v>
      </c>
      <c r="CB142" s="104">
        <f t="shared" si="152"/>
        <v>0.8</v>
      </c>
      <c r="CC142" s="105">
        <f t="shared" si="112"/>
        <v>17.988460079514351</v>
      </c>
      <c r="CD142" s="106">
        <f t="shared" si="113"/>
        <v>93.597314040384035</v>
      </c>
      <c r="CE142" s="107">
        <f t="shared" si="114"/>
        <v>1.4039597106057604</v>
      </c>
      <c r="CF142" s="108" t="s">
        <v>2189</v>
      </c>
      <c r="CG142" s="108" t="s">
        <v>2189</v>
      </c>
      <c r="CH142" s="108" t="s">
        <v>2189</v>
      </c>
      <c r="CI142" s="108" t="s">
        <v>2189</v>
      </c>
      <c r="CJ142" s="109"/>
      <c r="CK142" s="116" t="s">
        <v>2199</v>
      </c>
      <c r="CL142" s="116" t="s">
        <v>2193</v>
      </c>
      <c r="CM142" s="111">
        <f t="shared" si="153"/>
        <v>25</v>
      </c>
      <c r="CN142" s="107">
        <f t="shared" si="115"/>
        <v>0.375</v>
      </c>
      <c r="CO142" s="114">
        <v>10681000</v>
      </c>
      <c r="CP142" s="88">
        <f t="shared" si="154"/>
        <v>1.6557351357040888</v>
      </c>
      <c r="CQ142" s="78">
        <f t="shared" si="155"/>
        <v>100</v>
      </c>
      <c r="CR142" s="79">
        <f t="shared" si="116"/>
        <v>3</v>
      </c>
      <c r="CS142" s="92">
        <f>_xlfn.XLOOKUP(C142, '[1]1-1. 관계사체무보증금액 (환율 등)'!$3:$3, '[1]1-1. 관계사체무보증금액 (환율 등)'!$33:$33)</f>
        <v>0</v>
      </c>
      <c r="CT142" s="77">
        <f t="shared" si="156"/>
        <v>0</v>
      </c>
      <c r="CU142" s="78">
        <f t="shared" si="157"/>
        <v>100</v>
      </c>
      <c r="CV142" s="79">
        <f t="shared" si="117"/>
        <v>2</v>
      </c>
      <c r="CW142" s="112">
        <f t="shared" si="158"/>
        <v>18.866734536982577</v>
      </c>
    </row>
    <row r="143" spans="1:101" x14ac:dyDescent="0.35">
      <c r="A143" s="7" t="s">
        <v>1501</v>
      </c>
      <c r="B143" s="8" t="s">
        <v>1502</v>
      </c>
      <c r="C143" s="21" t="s">
        <v>1503</v>
      </c>
      <c r="D143" s="22" t="s">
        <v>75</v>
      </c>
      <c r="E143" s="11" t="s">
        <v>276</v>
      </c>
      <c r="F143" s="11" t="s">
        <v>1504</v>
      </c>
      <c r="G143" s="12">
        <v>26841</v>
      </c>
      <c r="H143" s="11" t="s">
        <v>24</v>
      </c>
      <c r="I143" s="11" t="s">
        <v>1505</v>
      </c>
      <c r="J143" s="11" t="s">
        <v>1506</v>
      </c>
      <c r="K143" s="11" t="s">
        <v>102</v>
      </c>
      <c r="L143" s="23">
        <v>59360094</v>
      </c>
      <c r="M143" s="14">
        <v>18306208</v>
      </c>
      <c r="N143" s="14">
        <v>41053886</v>
      </c>
      <c r="O143" s="14">
        <v>58845136</v>
      </c>
      <c r="P143" s="14">
        <v>3368252</v>
      </c>
      <c r="Q143" s="14">
        <v>5181465</v>
      </c>
      <c r="R143" s="14">
        <v>4397506</v>
      </c>
      <c r="S143" s="15">
        <v>13000000</v>
      </c>
      <c r="T143" s="15">
        <v>0</v>
      </c>
      <c r="U143" s="15">
        <v>5873790</v>
      </c>
      <c r="V143" s="15">
        <v>0</v>
      </c>
      <c r="W143" s="15">
        <v>0</v>
      </c>
      <c r="X143" s="15">
        <v>0</v>
      </c>
      <c r="Z143" s="15">
        <v>0</v>
      </c>
      <c r="AA143" s="15">
        <v>0</v>
      </c>
      <c r="AB143" s="74">
        <f t="shared" si="118"/>
        <v>5873790</v>
      </c>
      <c r="AC143" s="75">
        <f t="shared" si="119"/>
        <v>45.183</v>
      </c>
      <c r="AD143" s="75">
        <f t="shared" si="120"/>
        <v>61.09062140391255</v>
      </c>
      <c r="AE143" s="76">
        <f t="shared" si="106"/>
        <v>1.8327186421173765</v>
      </c>
      <c r="AF143" s="77">
        <f t="shared" si="121"/>
        <v>45.183</v>
      </c>
      <c r="AG143" s="77">
        <f t="shared" si="122"/>
        <v>45.183</v>
      </c>
      <c r="AH143" s="77">
        <f t="shared" si="123"/>
        <v>0</v>
      </c>
      <c r="AI143" s="78">
        <f t="shared" si="124"/>
        <v>100</v>
      </c>
      <c r="AJ143" s="79">
        <f t="shared" si="107"/>
        <v>4</v>
      </c>
      <c r="AK143" s="113">
        <v>5</v>
      </c>
      <c r="AL143" s="113">
        <v>2</v>
      </c>
      <c r="AM143" s="113">
        <v>0</v>
      </c>
      <c r="AN143" s="81">
        <f t="shared" si="125"/>
        <v>7</v>
      </c>
      <c r="AO143" s="82">
        <f t="shared" si="126"/>
        <v>0</v>
      </c>
      <c r="AP143" s="83">
        <f t="shared" si="127"/>
        <v>100</v>
      </c>
      <c r="AQ143" s="84">
        <f t="shared" si="108"/>
        <v>2</v>
      </c>
      <c r="AR143" s="118">
        <v>1</v>
      </c>
      <c r="AS143" s="86">
        <f t="shared" si="128"/>
        <v>0.25</v>
      </c>
      <c r="AT143" s="87">
        <f t="shared" si="129"/>
        <v>1.25</v>
      </c>
      <c r="AU143" s="87">
        <f t="shared" si="130"/>
        <v>1</v>
      </c>
      <c r="AV143" s="88">
        <f t="shared" si="131"/>
        <v>0</v>
      </c>
      <c r="AW143" s="78">
        <f t="shared" si="132"/>
        <v>40</v>
      </c>
      <c r="AX143" s="89">
        <f t="shared" si="109"/>
        <v>0.4</v>
      </c>
      <c r="AY143" s="114">
        <v>6</v>
      </c>
      <c r="AZ143" s="114">
        <v>6</v>
      </c>
      <c r="BA143" s="91">
        <f t="shared" si="133"/>
        <v>6</v>
      </c>
      <c r="BB143" s="77">
        <f t="shared" si="134"/>
        <v>100</v>
      </c>
      <c r="BC143" s="78">
        <f t="shared" si="135"/>
        <v>100</v>
      </c>
      <c r="BD143" s="79">
        <f t="shared" si="110"/>
        <v>1</v>
      </c>
      <c r="BE143" s="92">
        <v>1562399.0959999999</v>
      </c>
      <c r="BF143" s="92">
        <v>216666.785</v>
      </c>
      <c r="BG143" s="114">
        <v>175688.334</v>
      </c>
      <c r="BH143" s="94">
        <f t="shared" si="136"/>
        <v>1779065.8809999998</v>
      </c>
      <c r="BI143" s="77">
        <f t="shared" si="137"/>
        <v>9.875313549448034</v>
      </c>
      <c r="BJ143" s="95" t="str">
        <f t="shared" si="138"/>
        <v>금속/비금속/화학업</v>
      </c>
      <c r="BK143" s="96">
        <f t="shared" si="139"/>
        <v>3.9534118626990469</v>
      </c>
      <c r="BL143" s="97">
        <f t="shared" si="140"/>
        <v>5.9219016867489866</v>
      </c>
      <c r="BM143" s="98">
        <f t="shared" si="141"/>
        <v>40</v>
      </c>
      <c r="BN143" s="99">
        <f t="shared" si="142"/>
        <v>0.8</v>
      </c>
      <c r="BO143" s="114">
        <v>337000</v>
      </c>
      <c r="BP143" s="101">
        <f t="shared" si="143"/>
        <v>0.57268964422140178</v>
      </c>
      <c r="BQ143" s="78">
        <f t="shared" si="144"/>
        <v>70</v>
      </c>
      <c r="BR143" s="79">
        <f t="shared" si="111"/>
        <v>1.4000000000000001</v>
      </c>
      <c r="BS143" s="102">
        <v>201527.48499999999</v>
      </c>
      <c r="BT143" s="102">
        <v>0</v>
      </c>
      <c r="BU143" s="103">
        <f t="shared" si="145"/>
        <v>201527.48499999999</v>
      </c>
      <c r="BV143" s="77">
        <f t="shared" si="146"/>
        <v>0.34247093081745955</v>
      </c>
      <c r="BW143" s="96">
        <f t="shared" si="147"/>
        <v>5.1474158565187738</v>
      </c>
      <c r="BX143" s="96">
        <f t="shared" si="148"/>
        <v>23.087495739022813</v>
      </c>
      <c r="BY143" s="96">
        <f t="shared" si="149"/>
        <v>6.6930498535228535</v>
      </c>
      <c r="BZ143" s="96">
        <f t="shared" si="150"/>
        <v>76.359073039680794</v>
      </c>
      <c r="CA143" s="96">
        <f t="shared" si="151"/>
        <v>40</v>
      </c>
      <c r="CB143" s="104">
        <f t="shared" si="152"/>
        <v>0.8</v>
      </c>
      <c r="CC143" s="105">
        <f t="shared" si="112"/>
        <v>44.59068259701408</v>
      </c>
      <c r="CD143" s="106">
        <f t="shared" si="113"/>
        <v>83.571350780019827</v>
      </c>
      <c r="CE143" s="107">
        <f t="shared" si="114"/>
        <v>1.2535702617002973</v>
      </c>
      <c r="CF143" s="108" t="s">
        <v>2189</v>
      </c>
      <c r="CG143" s="108" t="s">
        <v>2189</v>
      </c>
      <c r="CH143" s="108" t="s">
        <v>2189</v>
      </c>
      <c r="CI143" s="108" t="s">
        <v>2189</v>
      </c>
      <c r="CJ143" s="109"/>
      <c r="CK143" s="116" t="s">
        <v>2199</v>
      </c>
      <c r="CL143" s="116" t="s">
        <v>2193</v>
      </c>
      <c r="CM143" s="111">
        <f t="shared" si="153"/>
        <v>25</v>
      </c>
      <c r="CN143" s="107">
        <f t="shared" si="115"/>
        <v>0.375</v>
      </c>
      <c r="CO143" s="114">
        <v>0</v>
      </c>
      <c r="CP143" s="88">
        <f t="shared" si="154"/>
        <v>0</v>
      </c>
      <c r="CQ143" s="78">
        <f t="shared" si="155"/>
        <v>100</v>
      </c>
      <c r="CR143" s="79">
        <f t="shared" si="116"/>
        <v>3</v>
      </c>
      <c r="CS143" s="92">
        <f>_xlfn.XLOOKUP(C143, '[1]1-1. 관계사체무보증금액 (환율 등)'!$3:$3, '[1]1-1. 관계사체무보증금액 (환율 등)'!$33:$33)</f>
        <v>0</v>
      </c>
      <c r="CT143" s="77">
        <f t="shared" si="156"/>
        <v>0</v>
      </c>
      <c r="CU143" s="78">
        <f t="shared" si="157"/>
        <v>100</v>
      </c>
      <c r="CV143" s="79">
        <f t="shared" si="117"/>
        <v>2</v>
      </c>
      <c r="CW143" s="112">
        <f t="shared" si="158"/>
        <v>18.861288903817673</v>
      </c>
    </row>
    <row r="144" spans="1:101" x14ac:dyDescent="0.35">
      <c r="A144" s="7" t="s">
        <v>1663</v>
      </c>
      <c r="B144" s="8" t="s">
        <v>1664</v>
      </c>
      <c r="C144" s="21" t="s">
        <v>1665</v>
      </c>
      <c r="D144" s="10" t="s">
        <v>21</v>
      </c>
      <c r="E144" s="11" t="s">
        <v>1666</v>
      </c>
      <c r="F144" s="11" t="s">
        <v>1667</v>
      </c>
      <c r="G144" s="12">
        <v>38188</v>
      </c>
      <c r="H144" s="11" t="s">
        <v>24</v>
      </c>
      <c r="I144" s="11" t="s">
        <v>1668</v>
      </c>
      <c r="J144" s="11" t="s">
        <v>1669</v>
      </c>
      <c r="K144" s="11" t="s">
        <v>27</v>
      </c>
      <c r="L144" s="23">
        <v>132073637</v>
      </c>
      <c r="M144" s="14">
        <v>20552807</v>
      </c>
      <c r="N144" s="14">
        <v>111520830</v>
      </c>
      <c r="O144" s="14">
        <v>42568935</v>
      </c>
      <c r="P144" s="14">
        <v>2855339</v>
      </c>
      <c r="Q144" s="14">
        <v>4551046</v>
      </c>
      <c r="R144" s="14">
        <v>3850592</v>
      </c>
      <c r="S144" s="15">
        <v>9702706</v>
      </c>
      <c r="T144" s="15">
        <v>4076074</v>
      </c>
      <c r="U144" s="15">
        <v>2072161</v>
      </c>
      <c r="V144" s="15">
        <v>0</v>
      </c>
      <c r="W144" s="15">
        <v>163680</v>
      </c>
      <c r="X144" s="15">
        <v>0</v>
      </c>
      <c r="Z144" s="15">
        <v>595724</v>
      </c>
      <c r="AA144" s="15">
        <v>19845</v>
      </c>
      <c r="AB144" s="74">
        <f t="shared" si="118"/>
        <v>2831565</v>
      </c>
      <c r="AC144" s="75">
        <f t="shared" si="119"/>
        <v>29.183250528254696</v>
      </c>
      <c r="AD144" s="75">
        <f t="shared" si="120"/>
        <v>74.899381017041406</v>
      </c>
      <c r="AE144" s="76">
        <f t="shared" si="106"/>
        <v>2.2469814305112421</v>
      </c>
      <c r="AF144" s="77">
        <f t="shared" si="121"/>
        <v>36.958083123186235</v>
      </c>
      <c r="AG144" s="77">
        <f t="shared" si="122"/>
        <v>50.148507514196638</v>
      </c>
      <c r="AH144" s="77">
        <f t="shared" si="123"/>
        <v>13.190424391010403</v>
      </c>
      <c r="AI144" s="78">
        <f t="shared" si="124"/>
        <v>80</v>
      </c>
      <c r="AJ144" s="79">
        <f t="shared" si="107"/>
        <v>3.2</v>
      </c>
      <c r="AK144" s="113">
        <v>4</v>
      </c>
      <c r="AL144" s="113">
        <v>15</v>
      </c>
      <c r="AM144" s="113">
        <v>2</v>
      </c>
      <c r="AN144" s="81">
        <f t="shared" si="125"/>
        <v>19</v>
      </c>
      <c r="AO144" s="82">
        <f t="shared" si="126"/>
        <v>10.526315789473683</v>
      </c>
      <c r="AP144" s="83">
        <f t="shared" si="127"/>
        <v>80</v>
      </c>
      <c r="AQ144" s="84">
        <f t="shared" si="108"/>
        <v>1.6</v>
      </c>
      <c r="AR144" s="118">
        <v>1</v>
      </c>
      <c r="AS144" s="86">
        <f t="shared" si="128"/>
        <v>0.25</v>
      </c>
      <c r="AT144" s="87">
        <f t="shared" si="129"/>
        <v>1</v>
      </c>
      <c r="AU144" s="87">
        <f t="shared" si="130"/>
        <v>1</v>
      </c>
      <c r="AV144" s="88">
        <f t="shared" si="131"/>
        <v>0</v>
      </c>
      <c r="AW144" s="78">
        <f t="shared" si="132"/>
        <v>40</v>
      </c>
      <c r="AX144" s="89">
        <f t="shared" si="109"/>
        <v>0.4</v>
      </c>
      <c r="AY144" s="114">
        <v>7</v>
      </c>
      <c r="AZ144" s="114">
        <v>7</v>
      </c>
      <c r="BA144" s="91">
        <f t="shared" si="133"/>
        <v>7</v>
      </c>
      <c r="BB144" s="77">
        <f t="shared" si="134"/>
        <v>100</v>
      </c>
      <c r="BC144" s="78">
        <f t="shared" si="135"/>
        <v>100</v>
      </c>
      <c r="BD144" s="79">
        <f t="shared" si="110"/>
        <v>1</v>
      </c>
      <c r="BE144" s="92">
        <v>4344825</v>
      </c>
      <c r="BF144" s="92">
        <v>345333</v>
      </c>
      <c r="BG144" s="114">
        <v>488785</v>
      </c>
      <c r="BH144" s="94">
        <f t="shared" si="136"/>
        <v>4690158</v>
      </c>
      <c r="BI144" s="77">
        <f t="shared" si="137"/>
        <v>10.421503923748411</v>
      </c>
      <c r="BJ144" s="95" t="str">
        <f t="shared" si="138"/>
        <v>비제조/서비스업</v>
      </c>
      <c r="BK144" s="96">
        <f t="shared" si="139"/>
        <v>1.7464434573900922</v>
      </c>
      <c r="BL144" s="97">
        <f t="shared" si="140"/>
        <v>8.6750604663583175</v>
      </c>
      <c r="BM144" s="98">
        <f t="shared" si="141"/>
        <v>40</v>
      </c>
      <c r="BN144" s="99">
        <f t="shared" si="142"/>
        <v>0.8</v>
      </c>
      <c r="BO144" s="114">
        <v>6753785</v>
      </c>
      <c r="BP144" s="101">
        <f t="shared" si="143"/>
        <v>15.865524942073369</v>
      </c>
      <c r="BQ144" s="78">
        <f t="shared" si="144"/>
        <v>100</v>
      </c>
      <c r="BR144" s="79">
        <f t="shared" si="111"/>
        <v>2</v>
      </c>
      <c r="BS144" s="102">
        <v>555980.71900000004</v>
      </c>
      <c r="BT144" s="102">
        <v>74454.369000000006</v>
      </c>
      <c r="BU144" s="103">
        <f t="shared" si="145"/>
        <v>481526.35000000003</v>
      </c>
      <c r="BV144" s="77">
        <f t="shared" si="146"/>
        <v>1.1311684212912538</v>
      </c>
      <c r="BW144" s="96">
        <f t="shared" si="147"/>
        <v>2.8482825397737606</v>
      </c>
      <c r="BX144" s="96">
        <f t="shared" si="148"/>
        <v>2.9484808958919562</v>
      </c>
      <c r="BY144" s="96">
        <f t="shared" si="149"/>
        <v>5.5697595856656807</v>
      </c>
      <c r="BZ144" s="96">
        <f t="shared" si="150"/>
        <v>62.107004625567839</v>
      </c>
      <c r="CA144" s="96">
        <f t="shared" si="151"/>
        <v>40</v>
      </c>
      <c r="CB144" s="104">
        <f t="shared" si="152"/>
        <v>0.8</v>
      </c>
      <c r="CC144" s="105">
        <f t="shared" si="112"/>
        <v>18.429567821545088</v>
      </c>
      <c r="CD144" s="106">
        <f t="shared" si="113"/>
        <v>93.43106740394029</v>
      </c>
      <c r="CE144" s="107">
        <f t="shared" si="114"/>
        <v>1.4014660110591044</v>
      </c>
      <c r="CF144" s="108" t="s">
        <v>2189</v>
      </c>
      <c r="CG144" s="108" t="s">
        <v>2189</v>
      </c>
      <c r="CH144" s="108" t="s">
        <v>2189</v>
      </c>
      <c r="CI144" s="108" t="s">
        <v>2189</v>
      </c>
      <c r="CJ144" s="109"/>
      <c r="CK144" s="116" t="s">
        <v>2199</v>
      </c>
      <c r="CL144" s="116" t="s">
        <v>2193</v>
      </c>
      <c r="CM144" s="111">
        <f t="shared" si="153"/>
        <v>25</v>
      </c>
      <c r="CN144" s="107">
        <f t="shared" si="115"/>
        <v>0.375</v>
      </c>
      <c r="CO144" s="114">
        <f>817026-112738</f>
        <v>704288</v>
      </c>
      <c r="CP144" s="88">
        <f t="shared" si="154"/>
        <v>0.63153045041002653</v>
      </c>
      <c r="CQ144" s="78">
        <f t="shared" si="155"/>
        <v>100</v>
      </c>
      <c r="CR144" s="79">
        <f t="shared" si="116"/>
        <v>3</v>
      </c>
      <c r="CS144" s="92">
        <f>_xlfn.XLOOKUP(C144, '[1]1-1. 관계사체무보증금액 (환율 등)'!$3:$3, '[1]1-1. 관계사체무보증금액 (환율 등)'!$33:$33)</f>
        <v>0</v>
      </c>
      <c r="CT144" s="77">
        <f t="shared" si="156"/>
        <v>0</v>
      </c>
      <c r="CU144" s="78">
        <f t="shared" si="157"/>
        <v>100</v>
      </c>
      <c r="CV144" s="79">
        <f t="shared" si="117"/>
        <v>2</v>
      </c>
      <c r="CW144" s="112">
        <f t="shared" si="158"/>
        <v>18.823447441570348</v>
      </c>
    </row>
    <row r="145" spans="1:101" x14ac:dyDescent="0.35">
      <c r="A145" s="7" t="s">
        <v>1370</v>
      </c>
      <c r="B145" s="8" t="s">
        <v>1371</v>
      </c>
      <c r="C145" s="21" t="s">
        <v>1372</v>
      </c>
      <c r="D145" s="10" t="s">
        <v>21</v>
      </c>
      <c r="E145" s="11" t="s">
        <v>22</v>
      </c>
      <c r="F145" s="11" t="s">
        <v>1373</v>
      </c>
      <c r="G145" s="12">
        <v>40704</v>
      </c>
      <c r="H145" s="11" t="s">
        <v>24</v>
      </c>
      <c r="I145" s="11" t="s">
        <v>1374</v>
      </c>
      <c r="J145" s="11" t="s">
        <v>1375</v>
      </c>
      <c r="K145" s="11" t="s">
        <v>27</v>
      </c>
      <c r="L145" s="23">
        <v>20129787392</v>
      </c>
      <c r="M145" s="14">
        <v>9708728742</v>
      </c>
      <c r="N145" s="14">
        <v>10421058650</v>
      </c>
      <c r="O145" s="14">
        <v>15486823899</v>
      </c>
      <c r="P145" s="14">
        <v>258855639</v>
      </c>
      <c r="Q145" s="14">
        <v>1381769677</v>
      </c>
      <c r="R145" s="14">
        <v>1050709937</v>
      </c>
      <c r="S145" s="15">
        <v>27875819</v>
      </c>
      <c r="T145" s="15">
        <v>1087464</v>
      </c>
      <c r="U145" s="15">
        <v>5172911</v>
      </c>
      <c r="V145" s="15">
        <v>2787582</v>
      </c>
      <c r="W145" s="15">
        <v>0</v>
      </c>
      <c r="X145" s="15">
        <v>0</v>
      </c>
      <c r="Z145" s="15">
        <v>0</v>
      </c>
      <c r="AA145" s="15">
        <v>0</v>
      </c>
      <c r="AB145" s="74">
        <f t="shared" si="118"/>
        <v>7960493</v>
      </c>
      <c r="AC145" s="75">
        <f t="shared" si="119"/>
        <v>28.556983384057705</v>
      </c>
      <c r="AD145" s="75">
        <f t="shared" si="120"/>
        <v>75.439887758293125</v>
      </c>
      <c r="AE145" s="76">
        <f t="shared" si="106"/>
        <v>2.2631966327487936</v>
      </c>
      <c r="AF145" s="77">
        <f t="shared" si="121"/>
        <v>29.716244241201075</v>
      </c>
      <c r="AG145" s="77">
        <f t="shared" si="122"/>
        <v>29.716244241201075</v>
      </c>
      <c r="AH145" s="77">
        <f t="shared" si="123"/>
        <v>0</v>
      </c>
      <c r="AI145" s="78">
        <f t="shared" si="124"/>
        <v>100</v>
      </c>
      <c r="AJ145" s="79">
        <f t="shared" si="107"/>
        <v>4</v>
      </c>
      <c r="AK145" s="113">
        <v>7</v>
      </c>
      <c r="AL145" s="113">
        <v>43</v>
      </c>
      <c r="AM145" s="113">
        <v>2</v>
      </c>
      <c r="AN145" s="81">
        <f t="shared" si="125"/>
        <v>50</v>
      </c>
      <c r="AO145" s="82">
        <f t="shared" si="126"/>
        <v>4</v>
      </c>
      <c r="AP145" s="83">
        <f t="shared" si="127"/>
        <v>100</v>
      </c>
      <c r="AQ145" s="84">
        <f t="shared" si="108"/>
        <v>2</v>
      </c>
      <c r="AR145" s="118">
        <v>4</v>
      </c>
      <c r="AS145" s="86">
        <f t="shared" si="128"/>
        <v>0.5</v>
      </c>
      <c r="AT145" s="87">
        <f t="shared" si="129"/>
        <v>3.5</v>
      </c>
      <c r="AU145" s="87">
        <f t="shared" si="130"/>
        <v>3</v>
      </c>
      <c r="AV145" s="88">
        <f t="shared" si="131"/>
        <v>14.285714285714285</v>
      </c>
      <c r="AW145" s="78">
        <f t="shared" si="132"/>
        <v>60</v>
      </c>
      <c r="AX145" s="89">
        <f t="shared" si="109"/>
        <v>0.6</v>
      </c>
      <c r="AY145" s="114">
        <v>15</v>
      </c>
      <c r="AZ145" s="114">
        <f>4*15</f>
        <v>60</v>
      </c>
      <c r="BA145" s="91">
        <f t="shared" si="133"/>
        <v>60</v>
      </c>
      <c r="BB145" s="77">
        <f t="shared" si="134"/>
        <v>100</v>
      </c>
      <c r="BC145" s="78">
        <f t="shared" si="135"/>
        <v>100</v>
      </c>
      <c r="BD145" s="79">
        <f t="shared" si="110"/>
        <v>1</v>
      </c>
      <c r="BE145" s="92">
        <v>1085137000</v>
      </c>
      <c r="BF145" s="92">
        <v>85861000</v>
      </c>
      <c r="BG145" s="93">
        <v>0</v>
      </c>
      <c r="BH145" s="94">
        <f t="shared" si="136"/>
        <v>1170998000</v>
      </c>
      <c r="BI145" s="77">
        <f t="shared" si="137"/>
        <v>0</v>
      </c>
      <c r="BJ145" s="95" t="str">
        <f t="shared" si="138"/>
        <v>비제조/서비스업</v>
      </c>
      <c r="BK145" s="96">
        <f t="shared" si="139"/>
        <v>1.7464434573900922</v>
      </c>
      <c r="BL145" s="97">
        <f t="shared" si="140"/>
        <v>-1.7464434573900922</v>
      </c>
      <c r="BM145" s="98">
        <f t="shared" si="141"/>
        <v>80</v>
      </c>
      <c r="BN145" s="99">
        <f t="shared" si="142"/>
        <v>1.6</v>
      </c>
      <c r="BO145" s="114">
        <v>8408000</v>
      </c>
      <c r="BP145" s="101">
        <f t="shared" si="143"/>
        <v>5.4291312762605327E-2</v>
      </c>
      <c r="BQ145" s="78">
        <f t="shared" si="144"/>
        <v>40</v>
      </c>
      <c r="BR145" s="79">
        <f t="shared" si="111"/>
        <v>0.8</v>
      </c>
      <c r="BS145" s="102">
        <v>330002834.45300001</v>
      </c>
      <c r="BT145" s="102">
        <v>71492800.583000004</v>
      </c>
      <c r="BU145" s="103">
        <f t="shared" si="145"/>
        <v>258510033.87</v>
      </c>
      <c r="BV145" s="77">
        <f t="shared" si="146"/>
        <v>1.6692256304838091</v>
      </c>
      <c r="BW145" s="96">
        <f t="shared" si="147"/>
        <v>2.8482825397737606</v>
      </c>
      <c r="BX145" s="96">
        <f t="shared" si="148"/>
        <v>1.3901751953443728</v>
      </c>
      <c r="BY145" s="96">
        <f t="shared" si="149"/>
        <v>5.5697595856656807</v>
      </c>
      <c r="BZ145" s="96">
        <f t="shared" si="150"/>
        <v>58.382516989085723</v>
      </c>
      <c r="CA145" s="96">
        <f t="shared" si="151"/>
        <v>55</v>
      </c>
      <c r="CB145" s="104">
        <f t="shared" si="152"/>
        <v>1.1000000000000001</v>
      </c>
      <c r="CC145" s="105">
        <f t="shared" si="112"/>
        <v>93.164514931503632</v>
      </c>
      <c r="CD145" s="106">
        <f t="shared" si="113"/>
        <v>65.264630050940838</v>
      </c>
      <c r="CE145" s="107">
        <f t="shared" si="114"/>
        <v>0.97896945076411257</v>
      </c>
      <c r="CF145" s="108" t="s">
        <v>2189</v>
      </c>
      <c r="CG145" s="108" t="s">
        <v>2189</v>
      </c>
      <c r="CH145" s="108" t="s">
        <v>2189</v>
      </c>
      <c r="CI145" s="108" t="s">
        <v>2189</v>
      </c>
      <c r="CJ145" s="109"/>
      <c r="CK145" s="116" t="s">
        <v>2190</v>
      </c>
      <c r="CL145" s="116" t="s">
        <v>2191</v>
      </c>
      <c r="CM145" s="111">
        <f t="shared" si="153"/>
        <v>85</v>
      </c>
      <c r="CN145" s="107">
        <f t="shared" si="115"/>
        <v>1.2749999999999999</v>
      </c>
      <c r="CO145" s="114">
        <v>7707347000</v>
      </c>
      <c r="CP145" s="88">
        <f t="shared" si="154"/>
        <v>73.959347690649452</v>
      </c>
      <c r="CQ145" s="78">
        <f t="shared" si="155"/>
        <v>40</v>
      </c>
      <c r="CR145" s="79">
        <f t="shared" si="116"/>
        <v>1.2</v>
      </c>
      <c r="CS145" s="92">
        <f>_xlfn.XLOOKUP(C145, '[1]1-1. 관계사체무보증금액 (환율 등)'!$3:$3, '[1]1-1. 관계사체무보증금액 (환율 등)'!$33:$33)</f>
        <v>287974683.54430377</v>
      </c>
      <c r="CT145" s="77">
        <f t="shared" si="156"/>
        <v>2.7633918320218243</v>
      </c>
      <c r="CU145" s="78">
        <f t="shared" si="157"/>
        <v>100</v>
      </c>
      <c r="CV145" s="79">
        <f t="shared" si="117"/>
        <v>2</v>
      </c>
      <c r="CW145" s="112">
        <f t="shared" si="158"/>
        <v>18.817166083512909</v>
      </c>
    </row>
    <row r="146" spans="1:101" x14ac:dyDescent="0.35">
      <c r="A146" s="7" t="s">
        <v>766</v>
      </c>
      <c r="B146" s="8" t="s">
        <v>767</v>
      </c>
      <c r="C146" s="21" t="s">
        <v>768</v>
      </c>
      <c r="D146" s="10" t="s">
        <v>141</v>
      </c>
      <c r="E146" s="11" t="s">
        <v>241</v>
      </c>
      <c r="F146" s="11" t="s">
        <v>769</v>
      </c>
      <c r="G146" s="12">
        <v>40606</v>
      </c>
      <c r="H146" s="11" t="s">
        <v>24</v>
      </c>
      <c r="I146" s="11" t="s">
        <v>770</v>
      </c>
      <c r="J146" s="11" t="s">
        <v>771</v>
      </c>
      <c r="K146" s="11" t="s">
        <v>734</v>
      </c>
      <c r="L146" s="23">
        <v>835420294</v>
      </c>
      <c r="M146" s="14">
        <v>225524201</v>
      </c>
      <c r="N146" s="14">
        <v>609896093</v>
      </c>
      <c r="O146" s="14">
        <v>312422244</v>
      </c>
      <c r="P146" s="14">
        <v>22539859</v>
      </c>
      <c r="Q146" s="14">
        <v>7001542</v>
      </c>
      <c r="R146" s="14">
        <v>4884512</v>
      </c>
      <c r="S146" s="15">
        <v>46110835</v>
      </c>
      <c r="T146" s="15">
        <v>0</v>
      </c>
      <c r="U146" s="15">
        <v>24578512</v>
      </c>
      <c r="V146" s="15">
        <f>14600+8922+105203+6960+6950</f>
        <v>142635</v>
      </c>
      <c r="W146" s="15">
        <f>2910+435</f>
        <v>3345</v>
      </c>
      <c r="X146" s="15">
        <v>0</v>
      </c>
      <c r="Z146" s="15">
        <v>0</v>
      </c>
      <c r="AA146" s="15">
        <v>0</v>
      </c>
      <c r="AB146" s="74">
        <f t="shared" si="118"/>
        <v>24724492</v>
      </c>
      <c r="AC146" s="75">
        <f t="shared" si="119"/>
        <v>53.619701313151239</v>
      </c>
      <c r="AD146" s="75">
        <f t="shared" si="120"/>
        <v>53.809233619259579</v>
      </c>
      <c r="AE146" s="76">
        <f t="shared" si="106"/>
        <v>1.6142770085777873</v>
      </c>
      <c r="AF146" s="77">
        <f t="shared" si="121"/>
        <v>53.612447052845603</v>
      </c>
      <c r="AG146" s="77">
        <f t="shared" si="122"/>
        <v>53.619701313151239</v>
      </c>
      <c r="AH146" s="77">
        <f t="shared" si="123"/>
        <v>7.2542603056362509E-3</v>
      </c>
      <c r="AI146" s="78">
        <f t="shared" si="124"/>
        <v>100</v>
      </c>
      <c r="AJ146" s="79">
        <f t="shared" si="107"/>
        <v>4</v>
      </c>
      <c r="AK146" s="113">
        <v>5</v>
      </c>
      <c r="AL146" s="113">
        <v>6</v>
      </c>
      <c r="AM146" s="113">
        <v>1</v>
      </c>
      <c r="AN146" s="81">
        <f t="shared" si="125"/>
        <v>11</v>
      </c>
      <c r="AO146" s="82">
        <f t="shared" si="126"/>
        <v>9.0909090909090917</v>
      </c>
      <c r="AP146" s="83">
        <f t="shared" si="127"/>
        <v>100</v>
      </c>
      <c r="AQ146" s="84">
        <f t="shared" si="108"/>
        <v>2</v>
      </c>
      <c r="AR146" s="118">
        <v>1</v>
      </c>
      <c r="AS146" s="86">
        <f t="shared" si="128"/>
        <v>0.25</v>
      </c>
      <c r="AT146" s="87">
        <f t="shared" si="129"/>
        <v>1.25</v>
      </c>
      <c r="AU146" s="87">
        <f t="shared" si="130"/>
        <v>1</v>
      </c>
      <c r="AV146" s="88">
        <f t="shared" si="131"/>
        <v>0</v>
      </c>
      <c r="AW146" s="78">
        <f t="shared" si="132"/>
        <v>40</v>
      </c>
      <c r="AX146" s="89">
        <f t="shared" si="109"/>
        <v>0.4</v>
      </c>
      <c r="AY146" s="114">
        <v>16</v>
      </c>
      <c r="AZ146" s="114">
        <f>16-4</f>
        <v>12</v>
      </c>
      <c r="BA146" s="91">
        <f t="shared" si="133"/>
        <v>16</v>
      </c>
      <c r="BB146" s="77">
        <f t="shared" si="134"/>
        <v>75</v>
      </c>
      <c r="BC146" s="78">
        <f t="shared" si="135"/>
        <v>50</v>
      </c>
      <c r="BD146" s="79">
        <f t="shared" si="110"/>
        <v>0.5</v>
      </c>
      <c r="BE146" s="92">
        <v>7486468</v>
      </c>
      <c r="BF146" s="92">
        <v>1305491</v>
      </c>
      <c r="BG146" s="93">
        <v>0</v>
      </c>
      <c r="BH146" s="94">
        <f t="shared" si="136"/>
        <v>8791959</v>
      </c>
      <c r="BI146" s="77">
        <f t="shared" si="137"/>
        <v>0</v>
      </c>
      <c r="BJ146" s="95" t="str">
        <f t="shared" si="138"/>
        <v>전기전자/기계업</v>
      </c>
      <c r="BK146" s="96">
        <f t="shared" si="139"/>
        <v>2.4096449716116446</v>
      </c>
      <c r="BL146" s="97">
        <f t="shared" si="140"/>
        <v>-2.4096449716116446</v>
      </c>
      <c r="BM146" s="98">
        <f t="shared" si="141"/>
        <v>100</v>
      </c>
      <c r="BN146" s="99">
        <f t="shared" si="142"/>
        <v>2</v>
      </c>
      <c r="BO146" s="114">
        <v>5056860</v>
      </c>
      <c r="BP146" s="101">
        <f t="shared" si="143"/>
        <v>1.6185979382441156</v>
      </c>
      <c r="BQ146" s="78">
        <f t="shared" si="144"/>
        <v>70</v>
      </c>
      <c r="BR146" s="79">
        <f t="shared" si="111"/>
        <v>1.4000000000000001</v>
      </c>
      <c r="BS146" s="102">
        <v>38681702.376000002</v>
      </c>
      <c r="BT146" s="102">
        <v>0</v>
      </c>
      <c r="BU146" s="103">
        <f t="shared" si="145"/>
        <v>38681702.376000002</v>
      </c>
      <c r="BV146" s="77">
        <f t="shared" si="146"/>
        <v>12.381225446930726</v>
      </c>
      <c r="BW146" s="96">
        <f t="shared" si="147"/>
        <v>5.2309968128308295</v>
      </c>
      <c r="BX146" s="96">
        <f t="shared" si="148"/>
        <v>51.125769519902072</v>
      </c>
      <c r="BY146" s="96">
        <f t="shared" si="149"/>
        <v>7.0695458012309631</v>
      </c>
      <c r="BZ146" s="96">
        <f t="shared" si="150"/>
        <v>15.590946491421853</v>
      </c>
      <c r="CA146" s="96">
        <f t="shared" si="151"/>
        <v>70</v>
      </c>
      <c r="CB146" s="104">
        <f t="shared" si="152"/>
        <v>1.4000000000000001</v>
      </c>
      <c r="CC146" s="105">
        <f t="shared" si="112"/>
        <v>36.977479211364617</v>
      </c>
      <c r="CD146" s="106">
        <f t="shared" si="113"/>
        <v>86.440648538430423</v>
      </c>
      <c r="CE146" s="107">
        <f t="shared" si="114"/>
        <v>1.2966097280764564</v>
      </c>
      <c r="CF146" s="108" t="s">
        <v>2189</v>
      </c>
      <c r="CG146" s="108" t="s">
        <v>2189</v>
      </c>
      <c r="CH146" s="108" t="s">
        <v>2189</v>
      </c>
      <c r="CI146" s="108" t="s">
        <v>2189</v>
      </c>
      <c r="CJ146" s="109"/>
      <c r="CK146" s="116" t="s">
        <v>2192</v>
      </c>
      <c r="CL146" s="116" t="s">
        <v>2193</v>
      </c>
      <c r="CM146" s="111">
        <f t="shared" si="153"/>
        <v>25</v>
      </c>
      <c r="CN146" s="107">
        <f t="shared" si="115"/>
        <v>0.375</v>
      </c>
      <c r="CO146" s="114">
        <v>141617000</v>
      </c>
      <c r="CP146" s="88">
        <f t="shared" si="154"/>
        <v>23.219856894541543</v>
      </c>
      <c r="CQ146" s="78">
        <f t="shared" si="155"/>
        <v>60</v>
      </c>
      <c r="CR146" s="79">
        <f t="shared" si="116"/>
        <v>1.7999999999999998</v>
      </c>
      <c r="CS146" s="92">
        <f>_xlfn.XLOOKUP(C146, '[1]1-1. 관계사체무보증금액 (환율 등)'!$3:$3, '[1]1-1. 관계사체무보증금액 (환율 등)'!$33:$33)</f>
        <v>0</v>
      </c>
      <c r="CT146" s="77">
        <f t="shared" si="156"/>
        <v>0</v>
      </c>
      <c r="CU146" s="78">
        <f t="shared" si="157"/>
        <v>100</v>
      </c>
      <c r="CV146" s="79">
        <f t="shared" si="117"/>
        <v>2</v>
      </c>
      <c r="CW146" s="112">
        <f t="shared" si="158"/>
        <v>18.785886736654245</v>
      </c>
    </row>
    <row r="147" spans="1:101" x14ac:dyDescent="0.35">
      <c r="A147" s="7" t="s">
        <v>1700</v>
      </c>
      <c r="B147" s="8" t="s">
        <v>1701</v>
      </c>
      <c r="C147" s="21" t="s">
        <v>1702</v>
      </c>
      <c r="D147" s="10" t="s">
        <v>75</v>
      </c>
      <c r="E147" s="11" t="s">
        <v>114</v>
      </c>
      <c r="F147" s="11" t="s">
        <v>1703</v>
      </c>
      <c r="G147" s="12">
        <v>37484</v>
      </c>
      <c r="H147" s="11" t="s">
        <v>24</v>
      </c>
      <c r="I147" s="11" t="s">
        <v>1704</v>
      </c>
      <c r="J147" s="11" t="s">
        <v>1705</v>
      </c>
      <c r="K147" s="11" t="s">
        <v>453</v>
      </c>
      <c r="L147" s="23">
        <v>531890343</v>
      </c>
      <c r="M147" s="14">
        <v>201052570</v>
      </c>
      <c r="N147" s="14">
        <v>330837773</v>
      </c>
      <c r="O147" s="14">
        <v>1181624867</v>
      </c>
      <c r="P147" s="14">
        <v>33106219</v>
      </c>
      <c r="Q147" s="14">
        <v>25624309</v>
      </c>
      <c r="R147" s="14">
        <v>17479918</v>
      </c>
      <c r="S147" s="15">
        <v>6000000</v>
      </c>
      <c r="T147" s="15">
        <v>0</v>
      </c>
      <c r="U147" s="15">
        <v>3412000</v>
      </c>
      <c r="V147" s="15">
        <v>0</v>
      </c>
      <c r="W147" s="15">
        <f>21000+2100+5000+300</f>
        <v>28400</v>
      </c>
      <c r="X147" s="15">
        <v>0</v>
      </c>
      <c r="Z147" s="15">
        <v>0</v>
      </c>
      <c r="AA147" s="15">
        <v>0</v>
      </c>
      <c r="AB147" s="74">
        <f t="shared" si="118"/>
        <v>3440400</v>
      </c>
      <c r="AC147" s="75">
        <f t="shared" si="119"/>
        <v>57.34</v>
      </c>
      <c r="AD147" s="75">
        <f t="shared" si="120"/>
        <v>50.598388952819334</v>
      </c>
      <c r="AE147" s="76">
        <f t="shared" si="106"/>
        <v>1.51795166858458</v>
      </c>
      <c r="AF147" s="77">
        <f t="shared" si="121"/>
        <v>56.866666666666667</v>
      </c>
      <c r="AG147" s="77">
        <f t="shared" si="122"/>
        <v>57.34</v>
      </c>
      <c r="AH147" s="77">
        <f t="shared" si="123"/>
        <v>0.47333333333333627</v>
      </c>
      <c r="AI147" s="78">
        <f t="shared" si="124"/>
        <v>100</v>
      </c>
      <c r="AJ147" s="79">
        <f t="shared" si="107"/>
        <v>4</v>
      </c>
      <c r="AK147" s="113">
        <v>5</v>
      </c>
      <c r="AL147" s="113">
        <v>5</v>
      </c>
      <c r="AM147" s="113">
        <v>0</v>
      </c>
      <c r="AN147" s="81">
        <f t="shared" si="125"/>
        <v>10</v>
      </c>
      <c r="AO147" s="82">
        <f t="shared" si="126"/>
        <v>0</v>
      </c>
      <c r="AP147" s="83">
        <f t="shared" si="127"/>
        <v>100</v>
      </c>
      <c r="AQ147" s="84">
        <f t="shared" si="108"/>
        <v>2</v>
      </c>
      <c r="AR147" s="118">
        <v>1</v>
      </c>
      <c r="AS147" s="86">
        <f t="shared" si="128"/>
        <v>0.25</v>
      </c>
      <c r="AT147" s="87">
        <f t="shared" si="129"/>
        <v>1.25</v>
      </c>
      <c r="AU147" s="87">
        <f t="shared" si="130"/>
        <v>1</v>
      </c>
      <c r="AV147" s="88">
        <f t="shared" si="131"/>
        <v>0</v>
      </c>
      <c r="AW147" s="78">
        <f t="shared" si="132"/>
        <v>40</v>
      </c>
      <c r="AX147" s="89">
        <f t="shared" si="109"/>
        <v>0.4</v>
      </c>
      <c r="AY147" s="114">
        <v>5</v>
      </c>
      <c r="AZ147" s="114">
        <v>5</v>
      </c>
      <c r="BA147" s="91">
        <f t="shared" si="133"/>
        <v>5</v>
      </c>
      <c r="BB147" s="77">
        <f t="shared" si="134"/>
        <v>100</v>
      </c>
      <c r="BC147" s="78">
        <f t="shared" si="135"/>
        <v>100</v>
      </c>
      <c r="BD147" s="79">
        <f t="shared" si="110"/>
        <v>1</v>
      </c>
      <c r="BE147" s="92">
        <v>15409374</v>
      </c>
      <c r="BF147" s="92">
        <v>1296182</v>
      </c>
      <c r="BG147" s="114">
        <v>158983</v>
      </c>
      <c r="BH147" s="94">
        <f t="shared" si="136"/>
        <v>16705556</v>
      </c>
      <c r="BI147" s="77">
        <f t="shared" si="137"/>
        <v>0.9516773940358525</v>
      </c>
      <c r="BJ147" s="95" t="str">
        <f t="shared" si="138"/>
        <v>금속/비금속/화학업</v>
      </c>
      <c r="BK147" s="96">
        <f t="shared" si="139"/>
        <v>3.9534118626990469</v>
      </c>
      <c r="BL147" s="97">
        <f t="shared" si="140"/>
        <v>-3.0017344686631944</v>
      </c>
      <c r="BM147" s="98">
        <f t="shared" si="141"/>
        <v>100</v>
      </c>
      <c r="BN147" s="99">
        <f t="shared" si="142"/>
        <v>2</v>
      </c>
      <c r="BO147" s="114">
        <v>2267000</v>
      </c>
      <c r="BP147" s="101">
        <f t="shared" si="143"/>
        <v>0.19185445933916689</v>
      </c>
      <c r="BQ147" s="78">
        <f t="shared" si="144"/>
        <v>55</v>
      </c>
      <c r="BR147" s="79">
        <f t="shared" si="111"/>
        <v>1.1000000000000001</v>
      </c>
      <c r="BS147" s="102">
        <v>8244100.3650000002</v>
      </c>
      <c r="BT147" s="102">
        <v>11681.817999999999</v>
      </c>
      <c r="BU147" s="103">
        <f t="shared" si="145"/>
        <v>8232418.5470000003</v>
      </c>
      <c r="BV147" s="77">
        <f t="shared" si="146"/>
        <v>0.69670322425602782</v>
      </c>
      <c r="BW147" s="96">
        <f t="shared" si="147"/>
        <v>5.1474158565187738</v>
      </c>
      <c r="BX147" s="96">
        <f t="shared" si="148"/>
        <v>19.808842934983186</v>
      </c>
      <c r="BY147" s="96">
        <f t="shared" si="149"/>
        <v>6.6930498535228535</v>
      </c>
      <c r="BZ147" s="96">
        <f t="shared" si="150"/>
        <v>74.696684461896297</v>
      </c>
      <c r="CA147" s="96">
        <f t="shared" si="151"/>
        <v>40</v>
      </c>
      <c r="CB147" s="104">
        <f t="shared" si="152"/>
        <v>0.8</v>
      </c>
      <c r="CC147" s="105">
        <f t="shared" si="112"/>
        <v>60.77074216069034</v>
      </c>
      <c r="CD147" s="106">
        <f t="shared" si="113"/>
        <v>77.47333838164937</v>
      </c>
      <c r="CE147" s="107">
        <f t="shared" si="114"/>
        <v>1.1621000757247406</v>
      </c>
      <c r="CF147" s="108" t="s">
        <v>2189</v>
      </c>
      <c r="CG147" s="108" t="s">
        <v>2189</v>
      </c>
      <c r="CH147" s="108" t="s">
        <v>2189</v>
      </c>
      <c r="CI147" s="108" t="s">
        <v>2189</v>
      </c>
      <c r="CJ147" s="109"/>
      <c r="CK147" s="116" t="s">
        <v>2192</v>
      </c>
      <c r="CL147" s="116" t="s">
        <v>2193</v>
      </c>
      <c r="CM147" s="111">
        <f t="shared" si="153"/>
        <v>25</v>
      </c>
      <c r="CN147" s="107">
        <f t="shared" si="115"/>
        <v>0.375</v>
      </c>
      <c r="CO147" s="114">
        <v>13387319</v>
      </c>
      <c r="CP147" s="88">
        <f t="shared" si="154"/>
        <v>4.0464904834188928</v>
      </c>
      <c r="CQ147" s="78">
        <f t="shared" si="155"/>
        <v>80</v>
      </c>
      <c r="CR147" s="79">
        <f t="shared" si="116"/>
        <v>2.4</v>
      </c>
      <c r="CS147" s="92">
        <f>_xlfn.XLOOKUP(C147, '[1]1-1. 관계사체무보증금액 (환율 등)'!$3:$3, '[1]1-1. 관계사체무보증금액 (환율 등)'!$33:$33)</f>
        <v>0</v>
      </c>
      <c r="CT147" s="77">
        <f t="shared" si="156"/>
        <v>0</v>
      </c>
      <c r="CU147" s="78">
        <f t="shared" si="157"/>
        <v>100</v>
      </c>
      <c r="CV147" s="79">
        <f t="shared" si="117"/>
        <v>2</v>
      </c>
      <c r="CW147" s="112">
        <f t="shared" si="158"/>
        <v>18.75505174430932</v>
      </c>
    </row>
    <row r="148" spans="1:101" x14ac:dyDescent="0.35">
      <c r="A148" s="7" t="s">
        <v>1495</v>
      </c>
      <c r="B148" s="8" t="s">
        <v>1496</v>
      </c>
      <c r="C148" s="21" t="s">
        <v>1497</v>
      </c>
      <c r="D148" s="10" t="s">
        <v>31</v>
      </c>
      <c r="E148" s="11" t="s">
        <v>1122</v>
      </c>
      <c r="F148" s="11" t="s">
        <v>1498</v>
      </c>
      <c r="G148" s="12">
        <v>43768</v>
      </c>
      <c r="H148" s="11" t="s">
        <v>24</v>
      </c>
      <c r="I148" s="11" t="s">
        <v>1499</v>
      </c>
      <c r="J148" s="11" t="s">
        <v>1500</v>
      </c>
      <c r="K148" s="11" t="s">
        <v>50</v>
      </c>
      <c r="L148" s="23">
        <v>740602270</v>
      </c>
      <c r="M148" s="14">
        <v>262924064</v>
      </c>
      <c r="N148" s="14">
        <v>477678206</v>
      </c>
      <c r="O148" s="14">
        <v>269751716</v>
      </c>
      <c r="P148" s="14">
        <v>21819621</v>
      </c>
      <c r="Q148" s="14">
        <v>9990377</v>
      </c>
      <c r="R148" s="14">
        <v>2417491</v>
      </c>
      <c r="S148" s="15">
        <v>18900676</v>
      </c>
      <c r="T148" s="15">
        <v>555393</v>
      </c>
      <c r="U148" s="15">
        <v>6989944</v>
      </c>
      <c r="V148" s="15">
        <v>0</v>
      </c>
      <c r="W148" s="15">
        <f>1258892+2833+1659+1056+9552</f>
        <v>1273992</v>
      </c>
      <c r="X148" s="15">
        <v>0</v>
      </c>
      <c r="Z148" s="15">
        <v>0</v>
      </c>
      <c r="AA148" s="15">
        <v>0</v>
      </c>
      <c r="AB148" s="74">
        <f t="shared" si="118"/>
        <v>8263936</v>
      </c>
      <c r="AC148" s="75">
        <f t="shared" si="119"/>
        <v>43.722965252671386</v>
      </c>
      <c r="AD148" s="75">
        <f t="shared" si="120"/>
        <v>62.350720437855543</v>
      </c>
      <c r="AE148" s="76">
        <f t="shared" si="106"/>
        <v>1.8705216131356661</v>
      </c>
      <c r="AF148" s="77">
        <f t="shared" si="121"/>
        <v>38.102132302892251</v>
      </c>
      <c r="AG148" s="77">
        <f t="shared" si="122"/>
        <v>45.046653136939888</v>
      </c>
      <c r="AH148" s="77">
        <f t="shared" si="123"/>
        <v>6.944520834047637</v>
      </c>
      <c r="AI148" s="78">
        <f t="shared" si="124"/>
        <v>100</v>
      </c>
      <c r="AJ148" s="79">
        <f t="shared" si="107"/>
        <v>4</v>
      </c>
      <c r="AK148" s="113">
        <v>10</v>
      </c>
      <c r="AL148" s="113">
        <v>7</v>
      </c>
      <c r="AM148" s="113">
        <v>1</v>
      </c>
      <c r="AN148" s="81">
        <f t="shared" si="125"/>
        <v>17</v>
      </c>
      <c r="AO148" s="82">
        <f t="shared" si="126"/>
        <v>5.8823529411764701</v>
      </c>
      <c r="AP148" s="83">
        <f t="shared" si="127"/>
        <v>100</v>
      </c>
      <c r="AQ148" s="84">
        <f t="shared" si="108"/>
        <v>2</v>
      </c>
      <c r="AR148" s="118">
        <v>3</v>
      </c>
      <c r="AS148" s="86">
        <f t="shared" si="128"/>
        <v>0.25</v>
      </c>
      <c r="AT148" s="87">
        <f t="shared" si="129"/>
        <v>2.5</v>
      </c>
      <c r="AU148" s="87">
        <f t="shared" si="130"/>
        <v>2</v>
      </c>
      <c r="AV148" s="88">
        <f t="shared" si="131"/>
        <v>10</v>
      </c>
      <c r="AW148" s="78">
        <f t="shared" si="132"/>
        <v>60</v>
      </c>
      <c r="AX148" s="89">
        <f t="shared" si="109"/>
        <v>0.6</v>
      </c>
      <c r="AY148" s="114">
        <v>15</v>
      </c>
      <c r="AZ148" s="114">
        <f>15*3</f>
        <v>45</v>
      </c>
      <c r="BA148" s="91">
        <f t="shared" si="133"/>
        <v>45</v>
      </c>
      <c r="BB148" s="77">
        <f t="shared" si="134"/>
        <v>100</v>
      </c>
      <c r="BC148" s="78">
        <f t="shared" si="135"/>
        <v>100</v>
      </c>
      <c r="BD148" s="79">
        <f t="shared" si="110"/>
        <v>1</v>
      </c>
      <c r="BE148" s="92">
        <v>11206277</v>
      </c>
      <c r="BF148" s="92">
        <v>2842439</v>
      </c>
      <c r="BG148" s="93">
        <v>0</v>
      </c>
      <c r="BH148" s="94">
        <f t="shared" si="136"/>
        <v>14048716</v>
      </c>
      <c r="BI148" s="77">
        <f t="shared" si="137"/>
        <v>0</v>
      </c>
      <c r="BJ148" s="95" t="str">
        <f t="shared" si="138"/>
        <v>식약/섬유/종이업</v>
      </c>
      <c r="BK148" s="96">
        <f t="shared" si="139"/>
        <v>2.1999360555264453</v>
      </c>
      <c r="BL148" s="97">
        <f t="shared" si="140"/>
        <v>-2.1999360555264453</v>
      </c>
      <c r="BM148" s="98">
        <f t="shared" si="141"/>
        <v>100</v>
      </c>
      <c r="BN148" s="99">
        <f t="shared" si="142"/>
        <v>2</v>
      </c>
      <c r="BO148" s="114">
        <v>6108000</v>
      </c>
      <c r="BP148" s="101">
        <f t="shared" si="143"/>
        <v>2.2643044094666669</v>
      </c>
      <c r="BQ148" s="78">
        <f t="shared" si="144"/>
        <v>85</v>
      </c>
      <c r="BR148" s="79">
        <f t="shared" si="111"/>
        <v>1.7</v>
      </c>
      <c r="BS148" s="102">
        <v>668454.09</v>
      </c>
      <c r="BT148" s="102">
        <v>0</v>
      </c>
      <c r="BU148" s="103">
        <f t="shared" si="145"/>
        <v>668454.09</v>
      </c>
      <c r="BV148" s="77">
        <f t="shared" si="146"/>
        <v>0.24780346160986053</v>
      </c>
      <c r="BW148" s="96">
        <f t="shared" si="147"/>
        <v>5.0508176117342298</v>
      </c>
      <c r="BX148" s="96">
        <f t="shared" si="148"/>
        <v>23.068944926294915</v>
      </c>
      <c r="BY148" s="96">
        <f t="shared" si="149"/>
        <v>6.9871618081220923</v>
      </c>
      <c r="BZ148" s="96">
        <f t="shared" si="150"/>
        <v>75.40864149329461</v>
      </c>
      <c r="CA148" s="96">
        <f t="shared" si="151"/>
        <v>40</v>
      </c>
      <c r="CB148" s="104">
        <f t="shared" si="152"/>
        <v>0.8</v>
      </c>
      <c r="CC148" s="105">
        <f t="shared" si="112"/>
        <v>55.042089150703269</v>
      </c>
      <c r="CD148" s="106">
        <f t="shared" si="113"/>
        <v>79.632378460790221</v>
      </c>
      <c r="CE148" s="107">
        <f t="shared" si="114"/>
        <v>1.1944856769118533</v>
      </c>
      <c r="CF148" s="108" t="s">
        <v>2189</v>
      </c>
      <c r="CG148" s="108" t="s">
        <v>2189</v>
      </c>
      <c r="CH148" s="108" t="s">
        <v>2189</v>
      </c>
      <c r="CI148" s="108" t="s">
        <v>2189</v>
      </c>
      <c r="CJ148" s="109"/>
      <c r="CK148" s="116" t="s">
        <v>2192</v>
      </c>
      <c r="CL148" s="116" t="s">
        <v>2193</v>
      </c>
      <c r="CM148" s="111">
        <f t="shared" si="153"/>
        <v>25</v>
      </c>
      <c r="CN148" s="107">
        <f t="shared" si="115"/>
        <v>0.375</v>
      </c>
      <c r="CO148" s="114">
        <v>324258000</v>
      </c>
      <c r="CP148" s="88">
        <f t="shared" si="154"/>
        <v>67.882100528572153</v>
      </c>
      <c r="CQ148" s="78">
        <f t="shared" si="155"/>
        <v>40</v>
      </c>
      <c r="CR148" s="79">
        <f t="shared" si="116"/>
        <v>1.2</v>
      </c>
      <c r="CS148" s="92">
        <f>_xlfn.XLOOKUP(C148, '[1]1-1. 관계사체무보증금액 (환율 등)'!$3:$3, '[1]1-1. 관계사체무보증금액 (환율 등)'!$33:$33)</f>
        <v>0</v>
      </c>
      <c r="CT148" s="77">
        <f t="shared" si="156"/>
        <v>0</v>
      </c>
      <c r="CU148" s="78">
        <f t="shared" si="157"/>
        <v>100</v>
      </c>
      <c r="CV148" s="79">
        <f t="shared" si="117"/>
        <v>2</v>
      </c>
      <c r="CW148" s="112">
        <f t="shared" si="158"/>
        <v>18.740007290047519</v>
      </c>
    </row>
    <row r="149" spans="1:101" x14ac:dyDescent="0.35">
      <c r="A149" s="7" t="s">
        <v>784</v>
      </c>
      <c r="B149" s="8" t="s">
        <v>785</v>
      </c>
      <c r="C149" s="21" t="s">
        <v>786</v>
      </c>
      <c r="D149" s="10" t="s">
        <v>75</v>
      </c>
      <c r="E149" s="11" t="s">
        <v>114</v>
      </c>
      <c r="F149" s="11" t="s">
        <v>787</v>
      </c>
      <c r="G149" s="12">
        <v>28294</v>
      </c>
      <c r="H149" s="11" t="s">
        <v>788</v>
      </c>
      <c r="I149" s="11" t="s">
        <v>789</v>
      </c>
      <c r="J149" s="11" t="s">
        <v>790</v>
      </c>
      <c r="K149" s="11" t="s">
        <v>110</v>
      </c>
      <c r="L149" s="23">
        <v>257003015</v>
      </c>
      <c r="M149" s="14">
        <v>25657000</v>
      </c>
      <c r="N149" s="14">
        <v>231346015</v>
      </c>
      <c r="O149" s="14">
        <v>253705017</v>
      </c>
      <c r="P149" s="14">
        <v>209474</v>
      </c>
      <c r="Q149" s="14">
        <v>8220332</v>
      </c>
      <c r="R149" s="14">
        <v>6363937</v>
      </c>
      <c r="S149" s="15">
        <v>4150000</v>
      </c>
      <c r="T149" s="15">
        <v>1257143</v>
      </c>
      <c r="U149" s="15">
        <v>299270</v>
      </c>
      <c r="V149" s="15">
        <f>152660+62145+138830+101585+10240+86700+37900+37900</f>
        <v>627960</v>
      </c>
      <c r="W149" s="15">
        <v>13300</v>
      </c>
      <c r="X149" s="15">
        <v>0</v>
      </c>
      <c r="Z149" s="15">
        <v>0</v>
      </c>
      <c r="AA149" s="15">
        <v>0</v>
      </c>
      <c r="AB149" s="74">
        <f t="shared" si="118"/>
        <v>940530</v>
      </c>
      <c r="AC149" s="75">
        <f t="shared" si="119"/>
        <v>22.663373493975904</v>
      </c>
      <c r="AD149" s="75">
        <f t="shared" si="120"/>
        <v>80.526432542598471</v>
      </c>
      <c r="AE149" s="76">
        <f t="shared" si="106"/>
        <v>2.4157929762779542</v>
      </c>
      <c r="AF149" s="77">
        <f t="shared" si="121"/>
        <v>32.052396644562798</v>
      </c>
      <c r="AG149" s="77">
        <f t="shared" si="122"/>
        <v>32.512149753686408</v>
      </c>
      <c r="AH149" s="77">
        <f t="shared" si="123"/>
        <v>0.45975310912361067</v>
      </c>
      <c r="AI149" s="78">
        <f t="shared" si="124"/>
        <v>100</v>
      </c>
      <c r="AJ149" s="79">
        <f t="shared" si="107"/>
        <v>4</v>
      </c>
      <c r="AK149" s="113">
        <v>6</v>
      </c>
      <c r="AL149" s="113">
        <v>6</v>
      </c>
      <c r="AM149" s="113">
        <v>2</v>
      </c>
      <c r="AN149" s="81">
        <f t="shared" si="125"/>
        <v>12</v>
      </c>
      <c r="AO149" s="82">
        <f t="shared" si="126"/>
        <v>16.666666666666664</v>
      </c>
      <c r="AP149" s="83">
        <f t="shared" si="127"/>
        <v>80</v>
      </c>
      <c r="AQ149" s="84">
        <f t="shared" si="108"/>
        <v>1.6</v>
      </c>
      <c r="AR149" s="118">
        <v>1</v>
      </c>
      <c r="AS149" s="86">
        <f t="shared" si="128"/>
        <v>0.25</v>
      </c>
      <c r="AT149" s="87">
        <f t="shared" si="129"/>
        <v>1.5</v>
      </c>
      <c r="AU149" s="87">
        <f t="shared" si="130"/>
        <v>1</v>
      </c>
      <c r="AV149" s="88">
        <f t="shared" si="131"/>
        <v>0</v>
      </c>
      <c r="AW149" s="78">
        <f t="shared" si="132"/>
        <v>40</v>
      </c>
      <c r="AX149" s="89">
        <f t="shared" si="109"/>
        <v>0.4</v>
      </c>
      <c r="AY149" s="114">
        <v>7</v>
      </c>
      <c r="AZ149" s="114">
        <v>7</v>
      </c>
      <c r="BA149" s="91">
        <f t="shared" si="133"/>
        <v>7</v>
      </c>
      <c r="BB149" s="77">
        <f t="shared" si="134"/>
        <v>100</v>
      </c>
      <c r="BC149" s="78">
        <f t="shared" si="135"/>
        <v>100</v>
      </c>
      <c r="BD149" s="79">
        <f t="shared" si="110"/>
        <v>1</v>
      </c>
      <c r="BE149" s="92">
        <v>4875359</v>
      </c>
      <c r="BF149" s="92">
        <v>381091</v>
      </c>
      <c r="BG149" s="114">
        <v>219208</v>
      </c>
      <c r="BH149" s="94">
        <f t="shared" si="136"/>
        <v>5256450</v>
      </c>
      <c r="BI149" s="77">
        <f t="shared" si="137"/>
        <v>4.1702670052982524</v>
      </c>
      <c r="BJ149" s="95" t="str">
        <f t="shared" si="138"/>
        <v>금속/비금속/화학업</v>
      </c>
      <c r="BK149" s="96">
        <f t="shared" si="139"/>
        <v>3.9534118626990469</v>
      </c>
      <c r="BL149" s="97">
        <f t="shared" si="140"/>
        <v>0.21685514259920557</v>
      </c>
      <c r="BM149" s="98">
        <f t="shared" si="141"/>
        <v>60</v>
      </c>
      <c r="BN149" s="99">
        <f t="shared" si="142"/>
        <v>1.2</v>
      </c>
      <c r="BO149" s="114">
        <v>0</v>
      </c>
      <c r="BP149" s="101">
        <f t="shared" si="143"/>
        <v>0</v>
      </c>
      <c r="BQ149" s="78">
        <f t="shared" si="144"/>
        <v>25</v>
      </c>
      <c r="BR149" s="79">
        <f t="shared" si="111"/>
        <v>0.5</v>
      </c>
      <c r="BS149" s="102">
        <v>541331.51399999997</v>
      </c>
      <c r="BT149" s="102">
        <v>1623474.9450000001</v>
      </c>
      <c r="BU149" s="103">
        <f t="shared" si="145"/>
        <v>-1082143.4310000001</v>
      </c>
      <c r="BV149" s="77">
        <f t="shared" si="146"/>
        <v>-0.42653607870907817</v>
      </c>
      <c r="BW149" s="96">
        <f t="shared" si="147"/>
        <v>5.1474158565187738</v>
      </c>
      <c r="BX149" s="96">
        <f t="shared" si="148"/>
        <v>31.068940176230313</v>
      </c>
      <c r="BY149" s="96">
        <f t="shared" si="149"/>
        <v>6.6930498535228535</v>
      </c>
      <c r="BZ149" s="96">
        <f t="shared" si="150"/>
        <v>79.752039057466789</v>
      </c>
      <c r="CA149" s="96">
        <f t="shared" si="151"/>
        <v>40</v>
      </c>
      <c r="CB149" s="104">
        <f t="shared" si="152"/>
        <v>0.8</v>
      </c>
      <c r="CC149" s="105">
        <f t="shared" si="112"/>
        <v>11.090314220454585</v>
      </c>
      <c r="CD149" s="106">
        <f t="shared" si="113"/>
        <v>96.197117756110075</v>
      </c>
      <c r="CE149" s="107">
        <f t="shared" si="114"/>
        <v>1.4429567663416512</v>
      </c>
      <c r="CF149" s="108" t="s">
        <v>2189</v>
      </c>
      <c r="CG149" s="108" t="s">
        <v>2189</v>
      </c>
      <c r="CH149" s="108" t="s">
        <v>2189</v>
      </c>
      <c r="CI149" s="108" t="s">
        <v>2189</v>
      </c>
      <c r="CJ149" s="109"/>
      <c r="CK149" s="116" t="s">
        <v>2192</v>
      </c>
      <c r="CL149" s="116" t="s">
        <v>2193</v>
      </c>
      <c r="CM149" s="111">
        <f t="shared" si="153"/>
        <v>25</v>
      </c>
      <c r="CN149" s="107">
        <f t="shared" si="115"/>
        <v>0.375</v>
      </c>
      <c r="CO149" s="114">
        <v>0</v>
      </c>
      <c r="CP149" s="88">
        <f t="shared" si="154"/>
        <v>0</v>
      </c>
      <c r="CQ149" s="78">
        <f t="shared" si="155"/>
        <v>100</v>
      </c>
      <c r="CR149" s="79">
        <f t="shared" si="116"/>
        <v>3</v>
      </c>
      <c r="CS149" s="92">
        <f>_xlfn.XLOOKUP(C149, '[1]1-1. 관계사체무보증금액 (환율 등)'!$3:$3, '[1]1-1. 관계사체무보증금액 (환율 등)'!$33:$33)</f>
        <v>0</v>
      </c>
      <c r="CT149" s="77">
        <f t="shared" si="156"/>
        <v>0</v>
      </c>
      <c r="CU149" s="78">
        <f t="shared" si="157"/>
        <v>100</v>
      </c>
      <c r="CV149" s="79">
        <f t="shared" si="117"/>
        <v>2</v>
      </c>
      <c r="CW149" s="112">
        <f t="shared" si="158"/>
        <v>18.733749742619604</v>
      </c>
    </row>
    <row r="150" spans="1:101" x14ac:dyDescent="0.35">
      <c r="A150" s="7" t="s">
        <v>1935</v>
      </c>
      <c r="B150" s="8" t="s">
        <v>1936</v>
      </c>
      <c r="C150" s="21" t="s">
        <v>1937</v>
      </c>
      <c r="D150" s="10" t="s">
        <v>21</v>
      </c>
      <c r="E150" s="11" t="s">
        <v>22</v>
      </c>
      <c r="F150" s="11" t="s">
        <v>436</v>
      </c>
      <c r="G150" s="12">
        <v>37585</v>
      </c>
      <c r="H150" s="11" t="s">
        <v>24</v>
      </c>
      <c r="I150" s="11" t="s">
        <v>1938</v>
      </c>
      <c r="J150" s="11" t="s">
        <v>1939</v>
      </c>
      <c r="K150" s="11" t="s">
        <v>27</v>
      </c>
      <c r="L150" s="23">
        <v>7747981793</v>
      </c>
      <c r="M150" s="14">
        <v>3561063599</v>
      </c>
      <c r="N150" s="14">
        <v>4186918194</v>
      </c>
      <c r="O150" s="14">
        <v>1655713149</v>
      </c>
      <c r="P150" s="14">
        <v>252210667</v>
      </c>
      <c r="Q150" s="14">
        <v>205090876</v>
      </c>
      <c r="R150" s="14">
        <v>160877945</v>
      </c>
      <c r="S150" s="15">
        <v>23402441</v>
      </c>
      <c r="T150" s="15">
        <v>1547255</v>
      </c>
      <c r="U150" s="15">
        <v>3998419</v>
      </c>
      <c r="V150" s="15">
        <v>616644</v>
      </c>
      <c r="W150" s="15">
        <v>0</v>
      </c>
      <c r="X150" s="15">
        <v>0</v>
      </c>
      <c r="Z150" s="15">
        <f>2819226+1008900</f>
        <v>3828126</v>
      </c>
      <c r="AA150" s="15">
        <v>0</v>
      </c>
      <c r="AB150" s="74">
        <f t="shared" si="118"/>
        <v>8443189</v>
      </c>
      <c r="AC150" s="75">
        <f t="shared" si="119"/>
        <v>36.078240727110476</v>
      </c>
      <c r="AD150" s="75">
        <f t="shared" si="120"/>
        <v>68.948583952436309</v>
      </c>
      <c r="AE150" s="76">
        <f t="shared" si="106"/>
        <v>2.0684575185730893</v>
      </c>
      <c r="AF150" s="77">
        <f t="shared" si="121"/>
        <v>21.116557873266327</v>
      </c>
      <c r="AG150" s="77">
        <f t="shared" si="122"/>
        <v>38.632428019601392</v>
      </c>
      <c r="AH150" s="77">
        <f t="shared" si="123"/>
        <v>17.515870146335065</v>
      </c>
      <c r="AI150" s="78">
        <f t="shared" si="124"/>
        <v>80</v>
      </c>
      <c r="AJ150" s="79">
        <f t="shared" si="107"/>
        <v>3.2</v>
      </c>
      <c r="AK150" s="113">
        <v>9</v>
      </c>
      <c r="AL150" s="113">
        <v>42</v>
      </c>
      <c r="AM150" s="113">
        <v>1</v>
      </c>
      <c r="AN150" s="81">
        <f t="shared" si="125"/>
        <v>51</v>
      </c>
      <c r="AO150" s="82">
        <f t="shared" si="126"/>
        <v>1.9607843137254901</v>
      </c>
      <c r="AP150" s="83">
        <f t="shared" si="127"/>
        <v>100</v>
      </c>
      <c r="AQ150" s="84">
        <f t="shared" si="108"/>
        <v>2</v>
      </c>
      <c r="AR150" s="118">
        <v>5</v>
      </c>
      <c r="AS150" s="86">
        <f t="shared" si="128"/>
        <v>0.5</v>
      </c>
      <c r="AT150" s="87">
        <f t="shared" si="129"/>
        <v>4.5</v>
      </c>
      <c r="AU150" s="87">
        <f t="shared" si="130"/>
        <v>4</v>
      </c>
      <c r="AV150" s="88">
        <f t="shared" si="131"/>
        <v>11.111111111111111</v>
      </c>
      <c r="AW150" s="78">
        <f t="shared" si="132"/>
        <v>60</v>
      </c>
      <c r="AX150" s="89">
        <f t="shared" si="109"/>
        <v>0.6</v>
      </c>
      <c r="AY150" s="114">
        <f>10</f>
        <v>10</v>
      </c>
      <c r="AZ150" s="114">
        <f>50-3</f>
        <v>47</v>
      </c>
      <c r="BA150" s="91">
        <f t="shared" si="133"/>
        <v>50</v>
      </c>
      <c r="BB150" s="77">
        <f t="shared" si="134"/>
        <v>94</v>
      </c>
      <c r="BC150" s="78">
        <f t="shared" si="135"/>
        <v>100</v>
      </c>
      <c r="BD150" s="79">
        <f t="shared" si="110"/>
        <v>1</v>
      </c>
      <c r="BE150" s="92">
        <f>113871820+60102883</f>
        <v>173974703</v>
      </c>
      <c r="BF150" s="92">
        <v>20749438</v>
      </c>
      <c r="BG150" s="114">
        <v>2470884</v>
      </c>
      <c r="BH150" s="94">
        <f t="shared" si="136"/>
        <v>194724141</v>
      </c>
      <c r="BI150" s="77">
        <f t="shared" si="137"/>
        <v>1.2689150853668421</v>
      </c>
      <c r="BJ150" s="95" t="str">
        <f t="shared" si="138"/>
        <v>비제조/서비스업</v>
      </c>
      <c r="BK150" s="96">
        <f t="shared" si="139"/>
        <v>1.7464434573900922</v>
      </c>
      <c r="BL150" s="97">
        <f t="shared" si="140"/>
        <v>-0.47752837202325016</v>
      </c>
      <c r="BM150" s="98">
        <f t="shared" si="141"/>
        <v>80</v>
      </c>
      <c r="BN150" s="99">
        <f t="shared" si="142"/>
        <v>1.6</v>
      </c>
      <c r="BO150" s="114">
        <v>3918000</v>
      </c>
      <c r="BP150" s="101">
        <f t="shared" si="143"/>
        <v>0.23663519265800068</v>
      </c>
      <c r="BQ150" s="78">
        <f t="shared" si="144"/>
        <v>55</v>
      </c>
      <c r="BR150" s="79">
        <f t="shared" si="111"/>
        <v>1.1000000000000001</v>
      </c>
      <c r="BS150" s="102">
        <v>139827076</v>
      </c>
      <c r="BT150" s="102">
        <v>510119</v>
      </c>
      <c r="BU150" s="103">
        <f t="shared" si="145"/>
        <v>139316957</v>
      </c>
      <c r="BV150" s="77">
        <f t="shared" si="146"/>
        <v>8.4143172435480853</v>
      </c>
      <c r="BW150" s="96">
        <f t="shared" si="147"/>
        <v>2.8482825397737606</v>
      </c>
      <c r="BX150" s="96">
        <f t="shared" si="148"/>
        <v>30.980742323620131</v>
      </c>
      <c r="BY150" s="96">
        <f t="shared" si="149"/>
        <v>5.5697595856656807</v>
      </c>
      <c r="BZ150" s="96">
        <f t="shared" si="150"/>
        <v>15.881713053330005</v>
      </c>
      <c r="CA150" s="96">
        <f t="shared" si="151"/>
        <v>70</v>
      </c>
      <c r="CB150" s="104">
        <f t="shared" si="152"/>
        <v>1.4000000000000001</v>
      </c>
      <c r="CC150" s="105">
        <f t="shared" si="112"/>
        <v>85.052141790186596</v>
      </c>
      <c r="CD150" s="106">
        <f t="shared" si="113"/>
        <v>68.32205711425128</v>
      </c>
      <c r="CE150" s="107">
        <f t="shared" si="114"/>
        <v>1.0248308567137692</v>
      </c>
      <c r="CF150" s="108" t="s">
        <v>2189</v>
      </c>
      <c r="CG150" s="108" t="s">
        <v>2189</v>
      </c>
      <c r="CH150" s="108" t="s">
        <v>2189</v>
      </c>
      <c r="CI150" s="108" t="s">
        <v>2189</v>
      </c>
      <c r="CJ150" s="109"/>
      <c r="CK150" s="116" t="s">
        <v>2206</v>
      </c>
      <c r="CL150" s="116" t="s">
        <v>2198</v>
      </c>
      <c r="CM150" s="111">
        <f t="shared" si="153"/>
        <v>100</v>
      </c>
      <c r="CN150" s="107">
        <f t="shared" si="115"/>
        <v>1.5</v>
      </c>
      <c r="CO150" s="114">
        <v>1990464000</v>
      </c>
      <c r="CP150" s="88">
        <f t="shared" si="154"/>
        <v>47.540073814969794</v>
      </c>
      <c r="CQ150" s="78">
        <f t="shared" si="155"/>
        <v>40</v>
      </c>
      <c r="CR150" s="79">
        <f t="shared" si="116"/>
        <v>1.2</v>
      </c>
      <c r="CS150" s="92">
        <f>_xlfn.XLOOKUP(C150, '[1]1-1. 관계사체무보증금액 (환율 등)'!$3:$3, '[1]1-1. 관계사체무보증금액 (환율 등)'!$33:$33)</f>
        <v>0</v>
      </c>
      <c r="CT150" s="77">
        <f t="shared" si="156"/>
        <v>0</v>
      </c>
      <c r="CU150" s="78">
        <f t="shared" si="157"/>
        <v>100</v>
      </c>
      <c r="CV150" s="79">
        <f t="shared" si="117"/>
        <v>2</v>
      </c>
      <c r="CW150" s="112">
        <f t="shared" si="158"/>
        <v>18.693288375286858</v>
      </c>
    </row>
    <row r="151" spans="1:101" x14ac:dyDescent="0.35">
      <c r="A151" s="7" t="s">
        <v>1272</v>
      </c>
      <c r="B151" s="8" t="s">
        <v>1273</v>
      </c>
      <c r="C151" s="21" t="s">
        <v>1274</v>
      </c>
      <c r="D151" s="22" t="s">
        <v>141</v>
      </c>
      <c r="E151" s="11" t="s">
        <v>1200</v>
      </c>
      <c r="F151" s="11" t="s">
        <v>1275</v>
      </c>
      <c r="G151" s="12">
        <v>44383</v>
      </c>
      <c r="H151" s="11" t="s">
        <v>24</v>
      </c>
      <c r="I151" s="11" t="s">
        <v>1276</v>
      </c>
      <c r="J151" s="11" t="s">
        <v>1277</v>
      </c>
      <c r="K151" s="11" t="s">
        <v>87</v>
      </c>
      <c r="L151" s="23">
        <v>490185292</v>
      </c>
      <c r="M151" s="14">
        <v>160877015</v>
      </c>
      <c r="N151" s="14">
        <v>329308277</v>
      </c>
      <c r="O151" s="14">
        <v>853045926</v>
      </c>
      <c r="P151" s="14">
        <v>11254172</v>
      </c>
      <c r="Q151" s="14">
        <v>25536401</v>
      </c>
      <c r="R151" s="14">
        <v>19988516</v>
      </c>
      <c r="S151" s="15">
        <v>17977732</v>
      </c>
      <c r="T151" s="15">
        <v>293277</v>
      </c>
      <c r="U151" s="15">
        <v>4530000</v>
      </c>
      <c r="V151" s="15">
        <f>440200+47260+45100</f>
        <v>532560</v>
      </c>
      <c r="W151" s="15">
        <f>23750+1500+498+7900+5700+624</f>
        <v>39972</v>
      </c>
      <c r="X151" s="15">
        <v>0</v>
      </c>
      <c r="Z151" s="15">
        <v>0</v>
      </c>
      <c r="AA151" s="15">
        <v>0</v>
      </c>
      <c r="AB151" s="74">
        <f t="shared" si="118"/>
        <v>5102532</v>
      </c>
      <c r="AC151" s="75">
        <f t="shared" si="119"/>
        <v>28.382512321353996</v>
      </c>
      <c r="AD151" s="75">
        <f t="shared" si="120"/>
        <v>75.590466926334301</v>
      </c>
      <c r="AE151" s="76">
        <f t="shared" si="106"/>
        <v>2.2677140077900289</v>
      </c>
      <c r="AF151" s="77">
        <f t="shared" si="121"/>
        <v>28.627175674907708</v>
      </c>
      <c r="AG151" s="77">
        <f t="shared" si="122"/>
        <v>28.85320469304822</v>
      </c>
      <c r="AH151" s="77">
        <f t="shared" si="123"/>
        <v>0.22602901814051179</v>
      </c>
      <c r="AI151" s="78">
        <f t="shared" si="124"/>
        <v>100</v>
      </c>
      <c r="AJ151" s="79">
        <f t="shared" si="107"/>
        <v>4</v>
      </c>
      <c r="AK151" s="113">
        <v>5</v>
      </c>
      <c r="AL151" s="113">
        <v>26</v>
      </c>
      <c r="AM151" s="113">
        <v>1</v>
      </c>
      <c r="AN151" s="81">
        <f t="shared" si="125"/>
        <v>31</v>
      </c>
      <c r="AO151" s="82">
        <f t="shared" si="126"/>
        <v>3.225806451612903</v>
      </c>
      <c r="AP151" s="83">
        <f t="shared" si="127"/>
        <v>100</v>
      </c>
      <c r="AQ151" s="84">
        <f t="shared" si="108"/>
        <v>2</v>
      </c>
      <c r="AR151" s="118">
        <v>3</v>
      </c>
      <c r="AS151" s="86">
        <f t="shared" si="128"/>
        <v>0.25</v>
      </c>
      <c r="AT151" s="87">
        <f t="shared" si="129"/>
        <v>1.25</v>
      </c>
      <c r="AU151" s="87">
        <f t="shared" si="130"/>
        <v>1</v>
      </c>
      <c r="AV151" s="88">
        <f t="shared" si="131"/>
        <v>40</v>
      </c>
      <c r="AW151" s="78">
        <f t="shared" si="132"/>
        <v>100</v>
      </c>
      <c r="AX151" s="89">
        <f t="shared" si="109"/>
        <v>1</v>
      </c>
      <c r="AY151" s="114">
        <v>8</v>
      </c>
      <c r="AZ151" s="114">
        <f>24-2</f>
        <v>22</v>
      </c>
      <c r="BA151" s="91">
        <f t="shared" si="133"/>
        <v>24</v>
      </c>
      <c r="BB151" s="77">
        <f t="shared" si="134"/>
        <v>91.666666666666657</v>
      </c>
      <c r="BC151" s="78">
        <f t="shared" si="135"/>
        <v>100</v>
      </c>
      <c r="BD151" s="79">
        <f t="shared" si="110"/>
        <v>1</v>
      </c>
      <c r="BE151" s="92">
        <v>7497366</v>
      </c>
      <c r="BF151" s="92">
        <v>692722</v>
      </c>
      <c r="BG151" s="114">
        <v>529195</v>
      </c>
      <c r="BH151" s="94">
        <f t="shared" si="136"/>
        <v>8190088</v>
      </c>
      <c r="BI151" s="77">
        <f t="shared" si="137"/>
        <v>6.4614079848714683</v>
      </c>
      <c r="BJ151" s="95" t="str">
        <f t="shared" si="138"/>
        <v>전기전자/기계업</v>
      </c>
      <c r="BK151" s="96">
        <f t="shared" si="139"/>
        <v>2.4096449716116446</v>
      </c>
      <c r="BL151" s="97">
        <f t="shared" si="140"/>
        <v>4.0517630132598237</v>
      </c>
      <c r="BM151" s="98">
        <f t="shared" si="141"/>
        <v>40</v>
      </c>
      <c r="BN151" s="99">
        <f t="shared" si="142"/>
        <v>0.8</v>
      </c>
      <c r="BO151" s="114">
        <v>39742290</v>
      </c>
      <c r="BP151" s="101">
        <f t="shared" si="143"/>
        <v>4.658868741845442</v>
      </c>
      <c r="BQ151" s="78">
        <f t="shared" si="144"/>
        <v>100</v>
      </c>
      <c r="BR151" s="79">
        <f t="shared" si="111"/>
        <v>2</v>
      </c>
      <c r="BS151" s="102">
        <v>32310008.909000002</v>
      </c>
      <c r="BT151" s="102">
        <v>3798271.1549999998</v>
      </c>
      <c r="BU151" s="103">
        <f t="shared" si="145"/>
        <v>28511737.754000001</v>
      </c>
      <c r="BV151" s="77">
        <f t="shared" si="146"/>
        <v>3.3423449881173219</v>
      </c>
      <c r="BW151" s="96">
        <f t="shared" si="147"/>
        <v>5.2309968128308295</v>
      </c>
      <c r="BX151" s="96">
        <f t="shared" si="148"/>
        <v>3.5670057149936616</v>
      </c>
      <c r="BY151" s="96">
        <f t="shared" si="149"/>
        <v>7.0695458012309631</v>
      </c>
      <c r="BZ151" s="96">
        <f t="shared" si="150"/>
        <v>60.532439830820394</v>
      </c>
      <c r="CA151" s="96">
        <f t="shared" si="151"/>
        <v>40</v>
      </c>
      <c r="CB151" s="104">
        <f t="shared" si="152"/>
        <v>0.8</v>
      </c>
      <c r="CC151" s="105">
        <f t="shared" si="112"/>
        <v>48.853012886766891</v>
      </c>
      <c r="CD151" s="106">
        <f t="shared" si="113"/>
        <v>81.96494489192203</v>
      </c>
      <c r="CE151" s="107">
        <f t="shared" si="114"/>
        <v>1.2294741733788304</v>
      </c>
      <c r="CF151" s="108" t="s">
        <v>2189</v>
      </c>
      <c r="CG151" s="108" t="s">
        <v>2189</v>
      </c>
      <c r="CH151" s="108" t="s">
        <v>2189</v>
      </c>
      <c r="CI151" s="108" t="s">
        <v>2189</v>
      </c>
      <c r="CJ151" s="109"/>
      <c r="CK151" s="116" t="s">
        <v>2192</v>
      </c>
      <c r="CL151" s="116" t="s">
        <v>2193</v>
      </c>
      <c r="CM151" s="111">
        <f t="shared" si="153"/>
        <v>25</v>
      </c>
      <c r="CN151" s="107">
        <f t="shared" si="115"/>
        <v>0.375</v>
      </c>
      <c r="CO151" s="114">
        <f>990000+121582471+110300</f>
        <v>122682771</v>
      </c>
      <c r="CP151" s="88">
        <f t="shared" si="154"/>
        <v>37.254687953075653</v>
      </c>
      <c r="CQ151" s="78">
        <f t="shared" si="155"/>
        <v>40</v>
      </c>
      <c r="CR151" s="79">
        <f t="shared" si="116"/>
        <v>1.2</v>
      </c>
      <c r="CS151" s="92">
        <f>_xlfn.XLOOKUP(C151, '[1]1-1. 관계사체무보증금액 (환율 등)'!$3:$3, '[1]1-1. 관계사체무보증금액 (환율 등)'!$33:$33)</f>
        <v>0</v>
      </c>
      <c r="CT151" s="77">
        <f t="shared" si="156"/>
        <v>0</v>
      </c>
      <c r="CU151" s="78">
        <f t="shared" si="157"/>
        <v>100</v>
      </c>
      <c r="CV151" s="79">
        <f t="shared" si="117"/>
        <v>2</v>
      </c>
      <c r="CW151" s="112">
        <f t="shared" si="158"/>
        <v>18.672188181168863</v>
      </c>
    </row>
    <row r="152" spans="1:101" x14ac:dyDescent="0.35">
      <c r="A152" s="7" t="s">
        <v>977</v>
      </c>
      <c r="B152" s="8" t="s">
        <v>978</v>
      </c>
      <c r="C152" s="21" t="s">
        <v>979</v>
      </c>
      <c r="D152" s="10" t="s">
        <v>21</v>
      </c>
      <c r="E152" s="11" t="s">
        <v>303</v>
      </c>
      <c r="F152" s="11" t="s">
        <v>980</v>
      </c>
      <c r="G152" s="12">
        <v>32230</v>
      </c>
      <c r="H152" s="11" t="s">
        <v>24</v>
      </c>
      <c r="I152" s="11" t="s">
        <v>981</v>
      </c>
      <c r="J152" s="11" t="s">
        <v>982</v>
      </c>
      <c r="K152" s="11" t="s">
        <v>27</v>
      </c>
      <c r="L152" s="23">
        <v>395346619</v>
      </c>
      <c r="M152" s="14">
        <v>33864968</v>
      </c>
      <c r="N152" s="14">
        <v>361481651</v>
      </c>
      <c r="O152" s="14">
        <v>285742678</v>
      </c>
      <c r="P152" s="14">
        <v>9710082</v>
      </c>
      <c r="Q152" s="14">
        <v>36912471</v>
      </c>
      <c r="R152" s="14">
        <v>33624974</v>
      </c>
      <c r="S152" s="15">
        <v>18466948</v>
      </c>
      <c r="T152" s="15">
        <v>838844</v>
      </c>
      <c r="U152" s="15">
        <v>3880228</v>
      </c>
      <c r="V152" s="15">
        <f>625919+477433+536916+537315+753569+849208</f>
        <v>3780360</v>
      </c>
      <c r="W152" s="15">
        <v>42756</v>
      </c>
      <c r="X152" s="15">
        <v>0</v>
      </c>
      <c r="Z152" s="15">
        <v>0</v>
      </c>
      <c r="AA152" s="15">
        <v>0</v>
      </c>
      <c r="AB152" s="74">
        <f t="shared" si="118"/>
        <v>7703344</v>
      </c>
      <c r="AC152" s="75">
        <f t="shared" si="119"/>
        <v>41.714223703884365</v>
      </c>
      <c r="AD152" s="75">
        <f t="shared" si="120"/>
        <v>64.084386906889222</v>
      </c>
      <c r="AE152" s="76">
        <f t="shared" si="106"/>
        <v>1.9225316072066765</v>
      </c>
      <c r="AF152" s="77">
        <f t="shared" si="121"/>
        <v>43.456675771824358</v>
      </c>
      <c r="AG152" s="77">
        <f t="shared" si="122"/>
        <v>43.69922029050884</v>
      </c>
      <c r="AH152" s="77">
        <f t="shared" si="123"/>
        <v>0.24254451868448257</v>
      </c>
      <c r="AI152" s="78">
        <f t="shared" si="124"/>
        <v>100</v>
      </c>
      <c r="AJ152" s="79">
        <f t="shared" si="107"/>
        <v>4</v>
      </c>
      <c r="AK152" s="113">
        <v>4</v>
      </c>
      <c r="AL152" s="113">
        <v>7</v>
      </c>
      <c r="AM152" s="113">
        <v>1</v>
      </c>
      <c r="AN152" s="81">
        <f t="shared" si="125"/>
        <v>11</v>
      </c>
      <c r="AO152" s="82">
        <f t="shared" si="126"/>
        <v>9.0909090909090917</v>
      </c>
      <c r="AP152" s="83">
        <f t="shared" si="127"/>
        <v>100</v>
      </c>
      <c r="AQ152" s="84">
        <f t="shared" si="108"/>
        <v>2</v>
      </c>
      <c r="AR152" s="118">
        <v>3</v>
      </c>
      <c r="AS152" s="86">
        <f t="shared" si="128"/>
        <v>0.25</v>
      </c>
      <c r="AT152" s="87">
        <f t="shared" si="129"/>
        <v>1</v>
      </c>
      <c r="AU152" s="87">
        <f t="shared" si="130"/>
        <v>1</v>
      </c>
      <c r="AV152" s="88">
        <f t="shared" si="131"/>
        <v>50</v>
      </c>
      <c r="AW152" s="78">
        <f t="shared" si="132"/>
        <v>100</v>
      </c>
      <c r="AX152" s="89">
        <f t="shared" si="109"/>
        <v>1</v>
      </c>
      <c r="AY152" s="114">
        <v>6</v>
      </c>
      <c r="AZ152" s="114">
        <v>18</v>
      </c>
      <c r="BA152" s="91">
        <f t="shared" si="133"/>
        <v>18</v>
      </c>
      <c r="BB152" s="77">
        <f t="shared" si="134"/>
        <v>100</v>
      </c>
      <c r="BC152" s="78">
        <f t="shared" si="135"/>
        <v>100</v>
      </c>
      <c r="BD152" s="79">
        <f t="shared" si="110"/>
        <v>1</v>
      </c>
      <c r="BE152" s="92">
        <v>4324716.0199999996</v>
      </c>
      <c r="BF152" s="92">
        <v>413339.95199999999</v>
      </c>
      <c r="BG152" s="114">
        <v>164487</v>
      </c>
      <c r="BH152" s="94">
        <f t="shared" si="136"/>
        <v>4738055.9719999991</v>
      </c>
      <c r="BI152" s="77">
        <f t="shared" si="137"/>
        <v>3.4716136949848604</v>
      </c>
      <c r="BJ152" s="95" t="str">
        <f t="shared" si="138"/>
        <v>비제조/서비스업</v>
      </c>
      <c r="BK152" s="96">
        <f t="shared" si="139"/>
        <v>1.7464434573900922</v>
      </c>
      <c r="BL152" s="97">
        <f t="shared" si="140"/>
        <v>1.7251702375947682</v>
      </c>
      <c r="BM152" s="98">
        <f t="shared" si="141"/>
        <v>60</v>
      </c>
      <c r="BN152" s="99">
        <f t="shared" si="142"/>
        <v>1.2</v>
      </c>
      <c r="BO152" s="114">
        <v>0</v>
      </c>
      <c r="BP152" s="101">
        <f t="shared" si="143"/>
        <v>0</v>
      </c>
      <c r="BQ152" s="78">
        <f t="shared" si="144"/>
        <v>25</v>
      </c>
      <c r="BR152" s="79">
        <f t="shared" si="111"/>
        <v>0.5</v>
      </c>
      <c r="BS152" s="102">
        <v>169594.31</v>
      </c>
      <c r="BT152" s="102">
        <v>57908.09</v>
      </c>
      <c r="BU152" s="103">
        <f t="shared" si="145"/>
        <v>111686.22</v>
      </c>
      <c r="BV152" s="77">
        <f t="shared" si="146"/>
        <v>3.9086292877817848E-2</v>
      </c>
      <c r="BW152" s="96">
        <f t="shared" si="147"/>
        <v>2.8482825397737606</v>
      </c>
      <c r="BX152" s="96">
        <f t="shared" si="148"/>
        <v>7.8915835535742511</v>
      </c>
      <c r="BY152" s="96">
        <f t="shared" si="149"/>
        <v>5.5697595856656807</v>
      </c>
      <c r="BZ152" s="96">
        <f t="shared" si="150"/>
        <v>69.299782666581237</v>
      </c>
      <c r="CA152" s="96">
        <f t="shared" si="151"/>
        <v>40</v>
      </c>
      <c r="CB152" s="104">
        <f t="shared" si="152"/>
        <v>0.8</v>
      </c>
      <c r="CC152" s="105">
        <f t="shared" si="112"/>
        <v>9.3683781476365997</v>
      </c>
      <c r="CD152" s="106">
        <f t="shared" si="113"/>
        <v>96.846088637825403</v>
      </c>
      <c r="CE152" s="107">
        <f t="shared" si="114"/>
        <v>1.4526913295673809</v>
      </c>
      <c r="CF152" s="108" t="s">
        <v>2189</v>
      </c>
      <c r="CG152" s="108" t="s">
        <v>2189</v>
      </c>
      <c r="CH152" s="108" t="s">
        <v>2189</v>
      </c>
      <c r="CI152" s="108" t="s">
        <v>2189</v>
      </c>
      <c r="CJ152" s="109"/>
      <c r="CK152" s="116" t="s">
        <v>2199</v>
      </c>
      <c r="CL152" s="116" t="s">
        <v>2193</v>
      </c>
      <c r="CM152" s="111">
        <f t="shared" si="153"/>
        <v>25</v>
      </c>
      <c r="CN152" s="107">
        <f t="shared" si="115"/>
        <v>0.375</v>
      </c>
      <c r="CO152" s="114">
        <v>18397000</v>
      </c>
      <c r="CP152" s="88">
        <f t="shared" si="154"/>
        <v>5.0893316297263453</v>
      </c>
      <c r="CQ152" s="78">
        <f t="shared" si="155"/>
        <v>80</v>
      </c>
      <c r="CR152" s="79">
        <f t="shared" si="116"/>
        <v>2.4</v>
      </c>
      <c r="CS152" s="92">
        <f>_xlfn.XLOOKUP(C152, '[1]1-1. 관계사체무보증금액 (환율 등)'!$3:$3, '[1]1-1. 관계사체무보증금액 (환율 등)'!$33:$33)</f>
        <v>0</v>
      </c>
      <c r="CT152" s="77">
        <f t="shared" si="156"/>
        <v>0</v>
      </c>
      <c r="CU152" s="78">
        <f t="shared" si="157"/>
        <v>100</v>
      </c>
      <c r="CV152" s="79">
        <f t="shared" si="117"/>
        <v>2</v>
      </c>
      <c r="CW152" s="112">
        <f t="shared" si="158"/>
        <v>18.650222936774057</v>
      </c>
    </row>
    <row r="153" spans="1:101" x14ac:dyDescent="0.35">
      <c r="A153" s="7" t="s">
        <v>964</v>
      </c>
      <c r="B153" s="8" t="s">
        <v>965</v>
      </c>
      <c r="C153" s="21" t="s">
        <v>966</v>
      </c>
      <c r="D153" s="10" t="s">
        <v>31</v>
      </c>
      <c r="E153" s="11" t="s">
        <v>967</v>
      </c>
      <c r="F153" s="11" t="s">
        <v>968</v>
      </c>
      <c r="G153" s="12">
        <v>32822</v>
      </c>
      <c r="H153" s="11" t="s">
        <v>24</v>
      </c>
      <c r="I153" s="11" t="s">
        <v>969</v>
      </c>
      <c r="J153" s="11" t="s">
        <v>970</v>
      </c>
      <c r="K153" s="11" t="s">
        <v>27</v>
      </c>
      <c r="L153" s="23">
        <v>443969944</v>
      </c>
      <c r="M153" s="14">
        <v>38559474</v>
      </c>
      <c r="N153" s="14">
        <v>405410470</v>
      </c>
      <c r="O153" s="14">
        <v>177572920</v>
      </c>
      <c r="P153" s="14">
        <v>14182631</v>
      </c>
      <c r="Q153" s="14">
        <v>16901598</v>
      </c>
      <c r="R153" s="14">
        <v>12822855</v>
      </c>
      <c r="S153" s="15">
        <v>3000000</v>
      </c>
      <c r="T153" s="15">
        <v>171382</v>
      </c>
      <c r="U153" s="15">
        <v>750000</v>
      </c>
      <c r="V153" s="15">
        <f>600000+180000+94500+20000+25000+50000</f>
        <v>969500</v>
      </c>
      <c r="W153" s="15">
        <v>0</v>
      </c>
      <c r="X153" s="15">
        <v>0</v>
      </c>
      <c r="Z153" s="15">
        <v>0</v>
      </c>
      <c r="AA153" s="15">
        <v>0</v>
      </c>
      <c r="AB153" s="74">
        <f t="shared" si="118"/>
        <v>1719500</v>
      </c>
      <c r="AC153" s="75">
        <f t="shared" si="119"/>
        <v>57.31666666666667</v>
      </c>
      <c r="AD153" s="75">
        <f t="shared" si="120"/>
        <v>50.618527042577682</v>
      </c>
      <c r="AE153" s="76">
        <f t="shared" si="106"/>
        <v>1.5185558112773303</v>
      </c>
      <c r="AF153" s="77">
        <f t="shared" si="121"/>
        <v>60.789403164372146</v>
      </c>
      <c r="AG153" s="77">
        <f t="shared" si="122"/>
        <v>60.789403164372146</v>
      </c>
      <c r="AH153" s="77">
        <f t="shared" si="123"/>
        <v>0</v>
      </c>
      <c r="AI153" s="78">
        <f t="shared" si="124"/>
        <v>100</v>
      </c>
      <c r="AJ153" s="79">
        <f t="shared" si="107"/>
        <v>4</v>
      </c>
      <c r="AK153" s="113">
        <v>6</v>
      </c>
      <c r="AL153" s="113">
        <v>6</v>
      </c>
      <c r="AM153" s="113">
        <v>2</v>
      </c>
      <c r="AN153" s="81">
        <f t="shared" si="125"/>
        <v>12</v>
      </c>
      <c r="AO153" s="82">
        <f t="shared" si="126"/>
        <v>16.666666666666664</v>
      </c>
      <c r="AP153" s="83">
        <f t="shared" si="127"/>
        <v>80</v>
      </c>
      <c r="AQ153" s="84">
        <f t="shared" si="108"/>
        <v>1.6</v>
      </c>
      <c r="AR153" s="118">
        <v>3</v>
      </c>
      <c r="AS153" s="86">
        <f t="shared" si="128"/>
        <v>0.25</v>
      </c>
      <c r="AT153" s="87">
        <f t="shared" si="129"/>
        <v>1.5</v>
      </c>
      <c r="AU153" s="87">
        <f t="shared" si="130"/>
        <v>1</v>
      </c>
      <c r="AV153" s="88">
        <f t="shared" si="131"/>
        <v>33.333333333333329</v>
      </c>
      <c r="AW153" s="78">
        <f t="shared" si="132"/>
        <v>80</v>
      </c>
      <c r="AX153" s="89">
        <f t="shared" si="109"/>
        <v>0.8</v>
      </c>
      <c r="AY153" s="114">
        <v>14</v>
      </c>
      <c r="AZ153" s="114">
        <f>14*3-1</f>
        <v>41</v>
      </c>
      <c r="BA153" s="91">
        <f t="shared" si="133"/>
        <v>42</v>
      </c>
      <c r="BB153" s="77">
        <f t="shared" si="134"/>
        <v>97.61904761904762</v>
      </c>
      <c r="BC153" s="78">
        <f t="shared" si="135"/>
        <v>100</v>
      </c>
      <c r="BD153" s="79">
        <f t="shared" si="110"/>
        <v>1</v>
      </c>
      <c r="BE153" s="92">
        <v>3087320</v>
      </c>
      <c r="BF153" s="92">
        <v>469839</v>
      </c>
      <c r="BG153" s="114">
        <v>58205</v>
      </c>
      <c r="BH153" s="94">
        <f t="shared" si="136"/>
        <v>3557159</v>
      </c>
      <c r="BI153" s="77">
        <f t="shared" si="137"/>
        <v>1.636277714884266</v>
      </c>
      <c r="BJ153" s="95" t="str">
        <f t="shared" si="138"/>
        <v>식약/섬유/종이업</v>
      </c>
      <c r="BK153" s="96">
        <f t="shared" si="139"/>
        <v>2.1999360555264453</v>
      </c>
      <c r="BL153" s="97">
        <f t="shared" si="140"/>
        <v>-0.56365834064217935</v>
      </c>
      <c r="BM153" s="98">
        <f t="shared" si="141"/>
        <v>80</v>
      </c>
      <c r="BN153" s="99">
        <f t="shared" si="142"/>
        <v>1.6</v>
      </c>
      <c r="BO153" s="114">
        <v>446000</v>
      </c>
      <c r="BP153" s="101">
        <f t="shared" si="143"/>
        <v>0.25116442304378395</v>
      </c>
      <c r="BQ153" s="78">
        <f t="shared" si="144"/>
        <v>55</v>
      </c>
      <c r="BR153" s="79">
        <f t="shared" si="111"/>
        <v>1.1000000000000001</v>
      </c>
      <c r="BS153" s="102">
        <v>4206030</v>
      </c>
      <c r="BT153" s="102">
        <v>2080488</v>
      </c>
      <c r="BU153" s="103">
        <f t="shared" si="145"/>
        <v>2125542</v>
      </c>
      <c r="BV153" s="77">
        <f t="shared" si="146"/>
        <v>1.1969967042271985</v>
      </c>
      <c r="BW153" s="96">
        <f t="shared" si="147"/>
        <v>5.0508176117342298</v>
      </c>
      <c r="BX153" s="96">
        <f t="shared" si="148"/>
        <v>14.851935587138318</v>
      </c>
      <c r="BY153" s="96">
        <f t="shared" si="149"/>
        <v>6.9871618081220923</v>
      </c>
      <c r="BZ153" s="96">
        <f t="shared" si="150"/>
        <v>70.937419033268043</v>
      </c>
      <c r="CA153" s="96">
        <f t="shared" si="151"/>
        <v>40</v>
      </c>
      <c r="CB153" s="104">
        <f t="shared" si="152"/>
        <v>0.8</v>
      </c>
      <c r="CC153" s="105">
        <f t="shared" si="112"/>
        <v>9.51121809952269</v>
      </c>
      <c r="CD153" s="106">
        <f t="shared" si="113"/>
        <v>96.792254485104507</v>
      </c>
      <c r="CE153" s="107">
        <f t="shared" si="114"/>
        <v>1.4518838172765676</v>
      </c>
      <c r="CF153" s="108" t="s">
        <v>2189</v>
      </c>
      <c r="CG153" s="108" t="s">
        <v>2189</v>
      </c>
      <c r="CH153" s="108" t="s">
        <v>2189</v>
      </c>
      <c r="CI153" s="108" t="s">
        <v>2189</v>
      </c>
      <c r="CJ153" s="109"/>
      <c r="CK153" s="116" t="s">
        <v>2192</v>
      </c>
      <c r="CL153" s="116" t="s">
        <v>2193</v>
      </c>
      <c r="CM153" s="111">
        <f t="shared" si="153"/>
        <v>25</v>
      </c>
      <c r="CN153" s="107">
        <f t="shared" si="115"/>
        <v>0.375</v>
      </c>
      <c r="CO153" s="114">
        <f>5121000+30207000</f>
        <v>35328000</v>
      </c>
      <c r="CP153" s="88">
        <f t="shared" si="154"/>
        <v>8.7141311372644115</v>
      </c>
      <c r="CQ153" s="78">
        <f t="shared" si="155"/>
        <v>80</v>
      </c>
      <c r="CR153" s="79">
        <f t="shared" si="116"/>
        <v>2.4</v>
      </c>
      <c r="CS153" s="92">
        <f>_xlfn.XLOOKUP(C153, '[1]1-1. 관계사체무보증금액 (환율 등)'!$3:$3, '[1]1-1. 관계사체무보증금액 (환율 등)'!$33:$33)</f>
        <v>0</v>
      </c>
      <c r="CT153" s="77">
        <f t="shared" si="156"/>
        <v>0</v>
      </c>
      <c r="CU153" s="78">
        <f t="shared" si="157"/>
        <v>100</v>
      </c>
      <c r="CV153" s="79">
        <f t="shared" si="117"/>
        <v>2</v>
      </c>
      <c r="CW153" s="112">
        <f t="shared" si="158"/>
        <v>18.645439628553895</v>
      </c>
    </row>
    <row r="154" spans="1:101" x14ac:dyDescent="0.35">
      <c r="A154" s="7" t="s">
        <v>1870</v>
      </c>
      <c r="B154" s="8" t="s">
        <v>1871</v>
      </c>
      <c r="C154" s="21" t="s">
        <v>1872</v>
      </c>
      <c r="D154" s="10" t="s">
        <v>75</v>
      </c>
      <c r="E154" s="11" t="s">
        <v>1187</v>
      </c>
      <c r="F154" s="11" t="s">
        <v>1873</v>
      </c>
      <c r="G154" s="12">
        <v>27754</v>
      </c>
      <c r="H154" s="11" t="s">
        <v>24</v>
      </c>
      <c r="I154" s="11" t="s">
        <v>1868</v>
      </c>
      <c r="J154" s="11" t="s">
        <v>1874</v>
      </c>
      <c r="K154" s="11" t="s">
        <v>27</v>
      </c>
      <c r="L154" s="23">
        <v>649126014</v>
      </c>
      <c r="M154" s="14">
        <v>285245442</v>
      </c>
      <c r="N154" s="14">
        <v>363880572</v>
      </c>
      <c r="O154" s="14">
        <v>471150174</v>
      </c>
      <c r="P154" s="14">
        <v>35168294</v>
      </c>
      <c r="Q154" s="14">
        <v>44443695</v>
      </c>
      <c r="R154" s="14">
        <v>35704071</v>
      </c>
      <c r="S154" s="15">
        <v>19327672</v>
      </c>
      <c r="T154" s="15">
        <v>0</v>
      </c>
      <c r="U154" s="15">
        <v>14170986</v>
      </c>
      <c r="V154" s="15">
        <v>0</v>
      </c>
      <c r="W154" s="15">
        <v>0</v>
      </c>
      <c r="X154" s="15">
        <v>0</v>
      </c>
      <c r="Z154" s="15">
        <v>0</v>
      </c>
      <c r="AA154" s="15">
        <v>0</v>
      </c>
      <c r="AB154" s="74">
        <f t="shared" si="118"/>
        <v>14170986</v>
      </c>
      <c r="AC154" s="75">
        <f t="shared" si="119"/>
        <v>73.319673471279927</v>
      </c>
      <c r="AD154" s="75">
        <f t="shared" si="120"/>
        <v>36.8069561525202</v>
      </c>
      <c r="AE154" s="76">
        <f t="shared" si="106"/>
        <v>1.1042086845756061</v>
      </c>
      <c r="AF154" s="77">
        <f t="shared" si="121"/>
        <v>73.319673471279927</v>
      </c>
      <c r="AG154" s="77">
        <f t="shared" si="122"/>
        <v>73.319673471279927</v>
      </c>
      <c r="AH154" s="77">
        <f t="shared" si="123"/>
        <v>0</v>
      </c>
      <c r="AI154" s="78">
        <f t="shared" si="124"/>
        <v>100</v>
      </c>
      <c r="AJ154" s="79">
        <f t="shared" si="107"/>
        <v>4</v>
      </c>
      <c r="AK154" s="113">
        <v>5</v>
      </c>
      <c r="AL154" s="113">
        <v>14</v>
      </c>
      <c r="AM154" s="113">
        <v>1</v>
      </c>
      <c r="AN154" s="81">
        <f t="shared" si="125"/>
        <v>19</v>
      </c>
      <c r="AO154" s="82">
        <f t="shared" si="126"/>
        <v>5.2631578947368416</v>
      </c>
      <c r="AP154" s="83">
        <f t="shared" si="127"/>
        <v>100</v>
      </c>
      <c r="AQ154" s="84">
        <f t="shared" si="108"/>
        <v>2</v>
      </c>
      <c r="AR154" s="118">
        <v>1</v>
      </c>
      <c r="AS154" s="86">
        <f t="shared" si="128"/>
        <v>0.25</v>
      </c>
      <c r="AT154" s="87">
        <f t="shared" si="129"/>
        <v>1.25</v>
      </c>
      <c r="AU154" s="87">
        <f t="shared" si="130"/>
        <v>1</v>
      </c>
      <c r="AV154" s="88">
        <f t="shared" si="131"/>
        <v>0</v>
      </c>
      <c r="AW154" s="78">
        <f t="shared" si="132"/>
        <v>40</v>
      </c>
      <c r="AX154" s="89">
        <f t="shared" si="109"/>
        <v>0.4</v>
      </c>
      <c r="AY154" s="114">
        <v>10</v>
      </c>
      <c r="AZ154" s="114">
        <v>10</v>
      </c>
      <c r="BA154" s="91">
        <f t="shared" si="133"/>
        <v>10</v>
      </c>
      <c r="BB154" s="77">
        <f t="shared" si="134"/>
        <v>100</v>
      </c>
      <c r="BC154" s="78">
        <f t="shared" si="135"/>
        <v>100</v>
      </c>
      <c r="BD154" s="79">
        <f t="shared" si="110"/>
        <v>1</v>
      </c>
      <c r="BE154" s="92">
        <v>9353276</v>
      </c>
      <c r="BF154" s="92">
        <v>4044480</v>
      </c>
      <c r="BG154" s="114">
        <v>792241</v>
      </c>
      <c r="BH154" s="94">
        <f t="shared" si="136"/>
        <v>13397756</v>
      </c>
      <c r="BI154" s="77">
        <f t="shared" si="137"/>
        <v>5.9132365151298476</v>
      </c>
      <c r="BJ154" s="95" t="str">
        <f t="shared" si="138"/>
        <v>금속/비금속/화학업</v>
      </c>
      <c r="BK154" s="96">
        <f t="shared" si="139"/>
        <v>3.9534118626990469</v>
      </c>
      <c r="BL154" s="97">
        <f t="shared" si="140"/>
        <v>1.9598246524308007</v>
      </c>
      <c r="BM154" s="98">
        <f t="shared" si="141"/>
        <v>60</v>
      </c>
      <c r="BN154" s="99">
        <f t="shared" si="142"/>
        <v>1.2</v>
      </c>
      <c r="BO154" s="114">
        <v>249436</v>
      </c>
      <c r="BP154" s="101">
        <f t="shared" si="143"/>
        <v>5.2941930994596216E-2</v>
      </c>
      <c r="BQ154" s="78">
        <f t="shared" si="144"/>
        <v>40</v>
      </c>
      <c r="BR154" s="79">
        <f t="shared" si="111"/>
        <v>0.8</v>
      </c>
      <c r="BS154" s="102">
        <v>59905349.259999998</v>
      </c>
      <c r="BT154" s="102">
        <v>988006.19</v>
      </c>
      <c r="BU154" s="103">
        <f t="shared" si="145"/>
        <v>58917343.07</v>
      </c>
      <c r="BV154" s="77">
        <f t="shared" si="146"/>
        <v>12.505002931400808</v>
      </c>
      <c r="BW154" s="96">
        <f t="shared" si="147"/>
        <v>5.1474158565187738</v>
      </c>
      <c r="BX154" s="96">
        <f t="shared" si="148"/>
        <v>54.134087564471173</v>
      </c>
      <c r="BY154" s="96">
        <f t="shared" si="149"/>
        <v>6.6930498535228535</v>
      </c>
      <c r="BZ154" s="96">
        <f t="shared" si="150"/>
        <v>13.58213077690279</v>
      </c>
      <c r="CA154" s="96">
        <f t="shared" si="151"/>
        <v>85</v>
      </c>
      <c r="CB154" s="104">
        <f t="shared" si="152"/>
        <v>1.7</v>
      </c>
      <c r="CC154" s="105">
        <f t="shared" si="112"/>
        <v>78.38985204189467</v>
      </c>
      <c r="CD154" s="106">
        <f t="shared" si="113"/>
        <v>70.83297033596935</v>
      </c>
      <c r="CE154" s="107">
        <f t="shared" si="114"/>
        <v>1.0624945550395402</v>
      </c>
      <c r="CF154" s="108" t="s">
        <v>2189</v>
      </c>
      <c r="CG154" s="108" t="s">
        <v>2189</v>
      </c>
      <c r="CH154" s="108" t="s">
        <v>2189</v>
      </c>
      <c r="CI154" s="108" t="s">
        <v>2189</v>
      </c>
      <c r="CJ154" s="109"/>
      <c r="CK154" s="116" t="s">
        <v>2192</v>
      </c>
      <c r="CL154" s="116" t="s">
        <v>2193</v>
      </c>
      <c r="CM154" s="111">
        <f t="shared" si="153"/>
        <v>25</v>
      </c>
      <c r="CN154" s="107">
        <f t="shared" si="115"/>
        <v>0.375</v>
      </c>
      <c r="CO154" s="114">
        <v>0</v>
      </c>
      <c r="CP154" s="88">
        <f t="shared" si="154"/>
        <v>0</v>
      </c>
      <c r="CQ154" s="78">
        <f t="shared" si="155"/>
        <v>100</v>
      </c>
      <c r="CR154" s="79">
        <f t="shared" si="116"/>
        <v>3</v>
      </c>
      <c r="CS154" s="92">
        <f>_xlfn.XLOOKUP(C154, '[1]1-1. 관계사체무보증금액 (환율 등)'!$3:$3, '[1]1-1. 관계사체무보증금액 (환율 등)'!$33:$33)</f>
        <v>0</v>
      </c>
      <c r="CT154" s="77">
        <f t="shared" si="156"/>
        <v>0</v>
      </c>
      <c r="CU154" s="78">
        <f t="shared" si="157"/>
        <v>100</v>
      </c>
      <c r="CV154" s="79">
        <f t="shared" si="117"/>
        <v>2</v>
      </c>
      <c r="CW154" s="112">
        <f t="shared" si="158"/>
        <v>18.641703239615147</v>
      </c>
    </row>
    <row r="155" spans="1:101" x14ac:dyDescent="0.35">
      <c r="A155" s="7" t="s">
        <v>72</v>
      </c>
      <c r="B155" s="8" t="s">
        <v>73</v>
      </c>
      <c r="C155" s="21" t="s">
        <v>74</v>
      </c>
      <c r="D155" s="22" t="s">
        <v>75</v>
      </c>
      <c r="E155" s="11" t="s">
        <v>76</v>
      </c>
      <c r="F155" s="11" t="s">
        <v>77</v>
      </c>
      <c r="G155" s="12">
        <v>27792</v>
      </c>
      <c r="H155" s="11" t="s">
        <v>24</v>
      </c>
      <c r="I155" s="11" t="s">
        <v>78</v>
      </c>
      <c r="J155" s="11" t="s">
        <v>79</v>
      </c>
      <c r="K155" s="11" t="s">
        <v>27</v>
      </c>
      <c r="L155" s="23">
        <v>3649116385</v>
      </c>
      <c r="M155" s="14">
        <v>587165440</v>
      </c>
      <c r="N155" s="14">
        <v>3061950944</v>
      </c>
      <c r="O155" s="14">
        <v>223739892</v>
      </c>
      <c r="P155" s="14">
        <v>195878366</v>
      </c>
      <c r="Q155" s="14">
        <v>167506991</v>
      </c>
      <c r="R155" s="14">
        <v>146629624</v>
      </c>
      <c r="S155" s="15">
        <v>20955884</v>
      </c>
      <c r="T155" s="15">
        <v>25156</v>
      </c>
      <c r="U155" s="15">
        <v>8860723</v>
      </c>
      <c r="V155" s="15">
        <f>5505+12868+9639+21</f>
        <v>28033</v>
      </c>
      <c r="W155" s="15">
        <v>0</v>
      </c>
      <c r="X155" s="15">
        <v>194976</v>
      </c>
      <c r="Y155" s="24" t="s">
        <v>2052</v>
      </c>
      <c r="Z155" s="15">
        <v>0</v>
      </c>
      <c r="AA155" s="15">
        <v>0</v>
      </c>
      <c r="AB155" s="74">
        <f t="shared" si="118"/>
        <v>9083732</v>
      </c>
      <c r="AC155" s="75">
        <f t="shared" si="119"/>
        <v>43.346928242206339</v>
      </c>
      <c r="AD155" s="75">
        <f t="shared" si="120"/>
        <v>62.675263312250003</v>
      </c>
      <c r="AE155" s="76">
        <f t="shared" si="106"/>
        <v>1.8802578993675001</v>
      </c>
      <c r="AF155" s="77">
        <f t="shared" si="121"/>
        <v>42.467495636081075</v>
      </c>
      <c r="AG155" s="77">
        <f t="shared" si="122"/>
        <v>43.39902558573214</v>
      </c>
      <c r="AH155" s="77">
        <f t="shared" si="123"/>
        <v>0.93152994965106473</v>
      </c>
      <c r="AI155" s="78">
        <f t="shared" si="124"/>
        <v>100</v>
      </c>
      <c r="AJ155" s="79">
        <f t="shared" si="107"/>
        <v>4</v>
      </c>
      <c r="AK155" s="113">
        <v>5</v>
      </c>
      <c r="AL155" s="113">
        <v>8</v>
      </c>
      <c r="AM155" s="80">
        <v>1</v>
      </c>
      <c r="AN155" s="81">
        <f t="shared" si="125"/>
        <v>13</v>
      </c>
      <c r="AO155" s="82">
        <f t="shared" si="126"/>
        <v>7.6923076923076925</v>
      </c>
      <c r="AP155" s="83">
        <f t="shared" si="127"/>
        <v>100</v>
      </c>
      <c r="AQ155" s="84">
        <f t="shared" si="108"/>
        <v>2</v>
      </c>
      <c r="AR155" s="118">
        <v>3</v>
      </c>
      <c r="AS155" s="86">
        <f t="shared" si="128"/>
        <v>0.5</v>
      </c>
      <c r="AT155" s="87">
        <f t="shared" si="129"/>
        <v>2.5</v>
      </c>
      <c r="AU155" s="87">
        <f t="shared" si="130"/>
        <v>2</v>
      </c>
      <c r="AV155" s="88">
        <f t="shared" si="131"/>
        <v>20</v>
      </c>
      <c r="AW155" s="78">
        <f t="shared" si="132"/>
        <v>80</v>
      </c>
      <c r="AX155" s="89">
        <f t="shared" si="109"/>
        <v>0.8</v>
      </c>
      <c r="AY155" s="114">
        <v>10</v>
      </c>
      <c r="AZ155" s="114">
        <v>30</v>
      </c>
      <c r="BA155" s="91">
        <f t="shared" si="133"/>
        <v>30</v>
      </c>
      <c r="BB155" s="77">
        <f t="shared" si="134"/>
        <v>100</v>
      </c>
      <c r="BC155" s="78">
        <f t="shared" si="135"/>
        <v>100</v>
      </c>
      <c r="BD155" s="79">
        <f t="shared" si="110"/>
        <v>1</v>
      </c>
      <c r="BE155" s="92">
        <v>9325000</v>
      </c>
      <c r="BF155" s="92">
        <v>708000</v>
      </c>
      <c r="BG155" s="93">
        <v>0</v>
      </c>
      <c r="BH155" s="94">
        <f t="shared" si="136"/>
        <v>10033000</v>
      </c>
      <c r="BI155" s="77">
        <f t="shared" si="137"/>
        <v>0</v>
      </c>
      <c r="BJ155" s="95" t="str">
        <f t="shared" si="138"/>
        <v>금속/비금속/화학업</v>
      </c>
      <c r="BK155" s="96">
        <f t="shared" si="139"/>
        <v>3.9534118626990469</v>
      </c>
      <c r="BL155" s="97">
        <f t="shared" si="140"/>
        <v>-3.9534118626990469</v>
      </c>
      <c r="BM155" s="98">
        <f t="shared" si="141"/>
        <v>100</v>
      </c>
      <c r="BN155" s="99">
        <f t="shared" si="142"/>
        <v>2</v>
      </c>
      <c r="BO155" s="114">
        <v>0</v>
      </c>
      <c r="BP155" s="101">
        <f t="shared" si="143"/>
        <v>0</v>
      </c>
      <c r="BQ155" s="78">
        <f t="shared" si="144"/>
        <v>25</v>
      </c>
      <c r="BR155" s="79">
        <f t="shared" si="111"/>
        <v>0.5</v>
      </c>
      <c r="BS155" s="102">
        <v>9294.8179999999993</v>
      </c>
      <c r="BT155" s="102">
        <v>987.36699999999996</v>
      </c>
      <c r="BU155" s="103">
        <f t="shared" si="145"/>
        <v>8307.4509999999991</v>
      </c>
      <c r="BV155" s="77">
        <f t="shared" si="146"/>
        <v>3.7129949986746211E-3</v>
      </c>
      <c r="BW155" s="96">
        <f t="shared" si="147"/>
        <v>5.1474158565187738</v>
      </c>
      <c r="BX155" s="96">
        <f t="shared" si="148"/>
        <v>26.457679127610056</v>
      </c>
      <c r="BY155" s="96">
        <f t="shared" si="149"/>
        <v>6.6930498535228535</v>
      </c>
      <c r="BZ155" s="96">
        <f t="shared" si="150"/>
        <v>77.890907713334627</v>
      </c>
      <c r="CA155" s="96">
        <f t="shared" si="151"/>
        <v>40</v>
      </c>
      <c r="CB155" s="104">
        <f t="shared" si="152"/>
        <v>0.8</v>
      </c>
      <c r="CC155" s="105">
        <f t="shared" si="112"/>
        <v>19.1761870369142</v>
      </c>
      <c r="CD155" s="106">
        <f t="shared" si="113"/>
        <v>93.149678252419278</v>
      </c>
      <c r="CE155" s="107">
        <f t="shared" si="114"/>
        <v>1.3972451737862892</v>
      </c>
      <c r="CF155" s="108" t="s">
        <v>2189</v>
      </c>
      <c r="CG155" s="108" t="s">
        <v>2189</v>
      </c>
      <c r="CH155" s="108" t="s">
        <v>2189</v>
      </c>
      <c r="CI155" s="108" t="s">
        <v>2189</v>
      </c>
      <c r="CJ155" s="109"/>
      <c r="CK155" s="116" t="s">
        <v>2203</v>
      </c>
      <c r="CL155" s="116" t="s">
        <v>2204</v>
      </c>
      <c r="CM155" s="111">
        <f t="shared" si="153"/>
        <v>70</v>
      </c>
      <c r="CN155" s="107">
        <f t="shared" si="115"/>
        <v>1.05</v>
      </c>
      <c r="CO155" s="114">
        <f>1603024000+297135000+252038000+143544000+112165000+57000+18304000+360000+518189000+764000+591000+10311000+27000000</f>
        <v>2983482000</v>
      </c>
      <c r="CP155" s="88">
        <f t="shared" si="154"/>
        <v>97.437289315370563</v>
      </c>
      <c r="CQ155" s="78">
        <f t="shared" si="155"/>
        <v>40</v>
      </c>
      <c r="CR155" s="79">
        <f t="shared" si="116"/>
        <v>1.2</v>
      </c>
      <c r="CS155" s="92">
        <f>_xlfn.XLOOKUP(C155, '[1]1-1. 관계사체무보증금액 (환율 등)'!$3:$3, '[1]1-1. 관계사체무보증금액 (환율 등)'!$33:$33)</f>
        <v>15129000</v>
      </c>
      <c r="CT155" s="77">
        <f t="shared" si="156"/>
        <v>0.49409674670477016</v>
      </c>
      <c r="CU155" s="78">
        <f t="shared" si="157"/>
        <v>100</v>
      </c>
      <c r="CV155" s="79">
        <f t="shared" si="117"/>
        <v>2</v>
      </c>
      <c r="CW155" s="112">
        <f t="shared" si="158"/>
        <v>18.62750307315379</v>
      </c>
    </row>
    <row r="156" spans="1:101" x14ac:dyDescent="0.35">
      <c r="A156" s="7" t="s">
        <v>1101</v>
      </c>
      <c r="B156" s="8" t="s">
        <v>1102</v>
      </c>
      <c r="C156" s="21" t="s">
        <v>1103</v>
      </c>
      <c r="D156" s="22" t="s">
        <v>141</v>
      </c>
      <c r="E156" s="11" t="s">
        <v>241</v>
      </c>
      <c r="F156" s="11" t="s">
        <v>1104</v>
      </c>
      <c r="G156" s="12">
        <v>44229</v>
      </c>
      <c r="H156" s="11" t="s">
        <v>24</v>
      </c>
      <c r="I156" s="11" t="s">
        <v>1105</v>
      </c>
      <c r="J156" s="11" t="s">
        <v>1106</v>
      </c>
      <c r="K156" s="11" t="s">
        <v>50</v>
      </c>
      <c r="L156" s="23">
        <v>487384549</v>
      </c>
      <c r="M156" s="14">
        <v>250541994</v>
      </c>
      <c r="N156" s="14">
        <v>236842555</v>
      </c>
      <c r="O156" s="14">
        <v>931449231</v>
      </c>
      <c r="P156" s="14">
        <v>44671754</v>
      </c>
      <c r="Q156" s="14">
        <v>50417620</v>
      </c>
      <c r="R156" s="14">
        <v>39493848</v>
      </c>
      <c r="S156" s="15">
        <v>50005551</v>
      </c>
      <c r="T156" s="15">
        <v>1168407</v>
      </c>
      <c r="U156" s="15">
        <v>7053999</v>
      </c>
      <c r="V156" s="15">
        <f>18364+79337+59989+135309+33058</f>
        <v>326057</v>
      </c>
      <c r="W156" s="15">
        <f>20984+37001+2000+26725+14940+43830+46554+52000+39174+11826</f>
        <v>295034</v>
      </c>
      <c r="X156" s="15">
        <v>0</v>
      </c>
      <c r="Z156" s="15">
        <v>0</v>
      </c>
      <c r="AA156" s="15">
        <v>0</v>
      </c>
      <c r="AB156" s="74">
        <f t="shared" si="118"/>
        <v>7675090</v>
      </c>
      <c r="AC156" s="75">
        <f t="shared" si="119"/>
        <v>15.348476012193126</v>
      </c>
      <c r="AD156" s="75">
        <f t="shared" si="120"/>
        <v>86.839635202364974</v>
      </c>
      <c r="AE156" s="76">
        <f t="shared" si="106"/>
        <v>2.605189056070949</v>
      </c>
      <c r="AF156" s="77">
        <f t="shared" si="121"/>
        <v>15.111563444414358</v>
      </c>
      <c r="AG156" s="77">
        <f t="shared" si="122"/>
        <v>15.715681490301725</v>
      </c>
      <c r="AH156" s="77">
        <f t="shared" si="123"/>
        <v>0.60411804588736651</v>
      </c>
      <c r="AI156" s="78">
        <f t="shared" si="124"/>
        <v>100</v>
      </c>
      <c r="AJ156" s="79">
        <f t="shared" si="107"/>
        <v>4</v>
      </c>
      <c r="AK156" s="113">
        <v>5</v>
      </c>
      <c r="AL156" s="113">
        <v>12</v>
      </c>
      <c r="AM156" s="113">
        <v>1</v>
      </c>
      <c r="AN156" s="81">
        <f t="shared" si="125"/>
        <v>17</v>
      </c>
      <c r="AO156" s="82">
        <f t="shared" si="126"/>
        <v>5.8823529411764701</v>
      </c>
      <c r="AP156" s="83">
        <f t="shared" si="127"/>
        <v>100</v>
      </c>
      <c r="AQ156" s="84">
        <f t="shared" si="108"/>
        <v>2</v>
      </c>
      <c r="AR156" s="118">
        <v>2</v>
      </c>
      <c r="AS156" s="86">
        <f t="shared" si="128"/>
        <v>0.25</v>
      </c>
      <c r="AT156" s="87">
        <f t="shared" si="129"/>
        <v>1.25</v>
      </c>
      <c r="AU156" s="87">
        <f t="shared" si="130"/>
        <v>1</v>
      </c>
      <c r="AV156" s="88">
        <f t="shared" si="131"/>
        <v>20</v>
      </c>
      <c r="AW156" s="78">
        <f t="shared" si="132"/>
        <v>80</v>
      </c>
      <c r="AX156" s="89">
        <f t="shared" si="109"/>
        <v>0.8</v>
      </c>
      <c r="AY156" s="114">
        <v>56</v>
      </c>
      <c r="AZ156" s="114">
        <f>56*2</f>
        <v>112</v>
      </c>
      <c r="BA156" s="91">
        <f t="shared" si="133"/>
        <v>112</v>
      </c>
      <c r="BB156" s="77">
        <f t="shared" si="134"/>
        <v>100</v>
      </c>
      <c r="BC156" s="78">
        <f t="shared" si="135"/>
        <v>100</v>
      </c>
      <c r="BD156" s="79">
        <f t="shared" si="110"/>
        <v>1</v>
      </c>
      <c r="BE156" s="92">
        <v>32816294</v>
      </c>
      <c r="BF156" s="92">
        <v>2730912</v>
      </c>
      <c r="BG156" s="93">
        <v>0</v>
      </c>
      <c r="BH156" s="94">
        <f t="shared" si="136"/>
        <v>35547206</v>
      </c>
      <c r="BI156" s="77">
        <f t="shared" si="137"/>
        <v>0</v>
      </c>
      <c r="BJ156" s="95" t="str">
        <f t="shared" si="138"/>
        <v>전기전자/기계업</v>
      </c>
      <c r="BK156" s="96">
        <f t="shared" si="139"/>
        <v>2.4096449716116446</v>
      </c>
      <c r="BL156" s="97">
        <f t="shared" si="140"/>
        <v>-2.4096449716116446</v>
      </c>
      <c r="BM156" s="98">
        <f t="shared" si="141"/>
        <v>100</v>
      </c>
      <c r="BN156" s="99">
        <f t="shared" si="142"/>
        <v>2</v>
      </c>
      <c r="BO156" s="114">
        <v>32658000</v>
      </c>
      <c r="BP156" s="101">
        <f t="shared" si="143"/>
        <v>3.5061492256468458</v>
      </c>
      <c r="BQ156" s="78">
        <f t="shared" si="144"/>
        <v>85</v>
      </c>
      <c r="BR156" s="79">
        <f t="shared" si="111"/>
        <v>1.7</v>
      </c>
      <c r="BS156" s="102">
        <v>1444928.6950000001</v>
      </c>
      <c r="BT156" s="102">
        <v>110391.42200000001</v>
      </c>
      <c r="BU156" s="103">
        <f t="shared" si="145"/>
        <v>1334537.273</v>
      </c>
      <c r="BV156" s="77">
        <f t="shared" si="146"/>
        <v>0.14327536365747454</v>
      </c>
      <c r="BW156" s="96">
        <f t="shared" si="147"/>
        <v>5.2309968128308295</v>
      </c>
      <c r="BX156" s="96">
        <f t="shared" si="148"/>
        <v>25.884909544378619</v>
      </c>
      <c r="BY156" s="96">
        <f t="shared" si="149"/>
        <v>7.0695458012309631</v>
      </c>
      <c r="BZ156" s="96">
        <f t="shared" si="150"/>
        <v>76.413509006146512</v>
      </c>
      <c r="CA156" s="96">
        <f t="shared" si="151"/>
        <v>40</v>
      </c>
      <c r="CB156" s="104">
        <f t="shared" si="152"/>
        <v>0.8</v>
      </c>
      <c r="CC156" s="105">
        <f t="shared" si="112"/>
        <v>105.78419659423113</v>
      </c>
      <c r="CD156" s="106">
        <f t="shared" si="113"/>
        <v>60.508468620264651</v>
      </c>
      <c r="CE156" s="107">
        <f t="shared" si="114"/>
        <v>0.90762702930396977</v>
      </c>
      <c r="CF156" s="108" t="s">
        <v>2189</v>
      </c>
      <c r="CG156" s="108" t="s">
        <v>2189</v>
      </c>
      <c r="CH156" s="108" t="s">
        <v>2189</v>
      </c>
      <c r="CI156" s="108" t="s">
        <v>2189</v>
      </c>
      <c r="CJ156" s="109"/>
      <c r="CK156" s="116" t="s">
        <v>2228</v>
      </c>
      <c r="CL156" s="116" t="s">
        <v>2209</v>
      </c>
      <c r="CM156" s="111">
        <f t="shared" si="153"/>
        <v>40</v>
      </c>
      <c r="CN156" s="107">
        <f t="shared" si="115"/>
        <v>0.6</v>
      </c>
      <c r="CO156" s="114">
        <v>73299000</v>
      </c>
      <c r="CP156" s="88">
        <f t="shared" si="154"/>
        <v>30.948407899078777</v>
      </c>
      <c r="CQ156" s="78">
        <f t="shared" si="155"/>
        <v>60</v>
      </c>
      <c r="CR156" s="79">
        <f t="shared" si="116"/>
        <v>1.7999999999999998</v>
      </c>
      <c r="CS156" s="92">
        <f>_xlfn.XLOOKUP(C156, '[1]1-1. 관계사체무보증금액 (환율 등)'!$3:$3, '[1]1-1. 관계사체무보증금액 (환율 등)'!$33:$33)</f>
        <v>268629832.36400956</v>
      </c>
      <c r="CT156" s="77">
        <f t="shared" si="156"/>
        <v>113.42126940152693</v>
      </c>
      <c r="CU156" s="78">
        <f t="shared" si="157"/>
        <v>20</v>
      </c>
      <c r="CV156" s="79">
        <f t="shared" si="117"/>
        <v>0.4</v>
      </c>
      <c r="CW156" s="112">
        <f t="shared" si="158"/>
        <v>18.61281608537492</v>
      </c>
    </row>
    <row r="157" spans="1:101" x14ac:dyDescent="0.35">
      <c r="A157" s="7" t="s">
        <v>1946</v>
      </c>
      <c r="B157" s="8" t="s">
        <v>1947</v>
      </c>
      <c r="C157" s="21" t="s">
        <v>1948</v>
      </c>
      <c r="D157" s="10" t="s">
        <v>21</v>
      </c>
      <c r="E157" s="11" t="s">
        <v>1617</v>
      </c>
      <c r="F157" s="11" t="s">
        <v>1949</v>
      </c>
      <c r="G157" s="12">
        <v>43552</v>
      </c>
      <c r="H157" s="11" t="s">
        <v>24</v>
      </c>
      <c r="I157" s="11" t="s">
        <v>1950</v>
      </c>
      <c r="J157" s="11" t="s">
        <v>1951</v>
      </c>
      <c r="K157" s="11" t="s">
        <v>27</v>
      </c>
      <c r="L157" s="23">
        <v>2408631121</v>
      </c>
      <c r="M157" s="14">
        <v>987330400</v>
      </c>
      <c r="N157" s="14">
        <v>1421300721</v>
      </c>
      <c r="O157" s="14">
        <v>2240816395</v>
      </c>
      <c r="P157" s="14">
        <v>124351998</v>
      </c>
      <c r="Q157" s="14">
        <v>138563322</v>
      </c>
      <c r="R157" s="14">
        <v>106628632</v>
      </c>
      <c r="S157" s="15">
        <v>27423982</v>
      </c>
      <c r="T157" s="15">
        <v>866</v>
      </c>
      <c r="U157" s="15">
        <f>8664334+2010000</f>
        <v>10674334</v>
      </c>
      <c r="V157" s="15">
        <v>0</v>
      </c>
      <c r="W157" s="15">
        <f>3100+150+500+200+1000+100+38169+200+126+222+150*2+300+200</f>
        <v>44567</v>
      </c>
      <c r="X157" s="15">
        <v>0</v>
      </c>
      <c r="Z157" s="15">
        <f>4453927+5520277</f>
        <v>9974204</v>
      </c>
      <c r="AA157" s="15">
        <v>0</v>
      </c>
      <c r="AB157" s="74">
        <f t="shared" si="118"/>
        <v>20693105</v>
      </c>
      <c r="AC157" s="75">
        <f t="shared" si="119"/>
        <v>75.456237536912042</v>
      </c>
      <c r="AD157" s="75">
        <f t="shared" si="120"/>
        <v>34.962971055599496</v>
      </c>
      <c r="AE157" s="76">
        <f t="shared" ref="AE157:AE220" si="159">AD157*0.03</f>
        <v>1.0488891316679849</v>
      </c>
      <c r="AF157" s="77">
        <f t="shared" si="121"/>
        <v>38.924584646033658</v>
      </c>
      <c r="AG157" s="77">
        <f t="shared" si="122"/>
        <v>75.458620384350198</v>
      </c>
      <c r="AH157" s="77">
        <f t="shared" si="123"/>
        <v>36.53403573831654</v>
      </c>
      <c r="AI157" s="78">
        <f t="shared" si="124"/>
        <v>60</v>
      </c>
      <c r="AJ157" s="79">
        <f t="shared" ref="AJ157:AJ220" si="160">AI157*0.04</f>
        <v>2.4</v>
      </c>
      <c r="AK157" s="113">
        <v>7</v>
      </c>
      <c r="AL157" s="113">
        <v>17</v>
      </c>
      <c r="AM157" s="113">
        <v>0</v>
      </c>
      <c r="AN157" s="81">
        <f t="shared" si="125"/>
        <v>24</v>
      </c>
      <c r="AO157" s="82">
        <f t="shared" si="126"/>
        <v>0</v>
      </c>
      <c r="AP157" s="83">
        <f t="shared" si="127"/>
        <v>100</v>
      </c>
      <c r="AQ157" s="84">
        <f t="shared" ref="AQ157:AQ220" si="161">AP157*0.02</f>
        <v>2</v>
      </c>
      <c r="AR157" s="118">
        <v>4</v>
      </c>
      <c r="AS157" s="86">
        <f t="shared" si="128"/>
        <v>0.5</v>
      </c>
      <c r="AT157" s="87">
        <f t="shared" si="129"/>
        <v>3.5</v>
      </c>
      <c r="AU157" s="87">
        <f t="shared" si="130"/>
        <v>3</v>
      </c>
      <c r="AV157" s="88">
        <f t="shared" si="131"/>
        <v>14.285714285714285</v>
      </c>
      <c r="AW157" s="78">
        <f t="shared" si="132"/>
        <v>60</v>
      </c>
      <c r="AX157" s="89">
        <f t="shared" ref="AX157:AX220" si="162">AW157*0.01</f>
        <v>0.6</v>
      </c>
      <c r="AY157" s="114">
        <v>7</v>
      </c>
      <c r="AZ157" s="114">
        <f>28-2</f>
        <v>26</v>
      </c>
      <c r="BA157" s="91">
        <f t="shared" si="133"/>
        <v>28</v>
      </c>
      <c r="BB157" s="77">
        <f t="shared" si="134"/>
        <v>92.857142857142861</v>
      </c>
      <c r="BC157" s="78">
        <f t="shared" si="135"/>
        <v>100</v>
      </c>
      <c r="BD157" s="79">
        <f t="shared" ref="BD157:BD220" si="163">BC157*0.01</f>
        <v>1</v>
      </c>
      <c r="BE157" s="92">
        <v>50228358</v>
      </c>
      <c r="BF157" s="92">
        <v>4585487</v>
      </c>
      <c r="BG157" s="93">
        <v>0</v>
      </c>
      <c r="BH157" s="94">
        <f t="shared" si="136"/>
        <v>54813845</v>
      </c>
      <c r="BI157" s="77">
        <f t="shared" si="137"/>
        <v>0</v>
      </c>
      <c r="BJ157" s="95" t="str">
        <f t="shared" si="138"/>
        <v>비제조/서비스업</v>
      </c>
      <c r="BK157" s="96">
        <f t="shared" si="139"/>
        <v>1.7464434573900922</v>
      </c>
      <c r="BL157" s="97">
        <f t="shared" si="140"/>
        <v>-1.7464434573900922</v>
      </c>
      <c r="BM157" s="98">
        <f t="shared" si="141"/>
        <v>80</v>
      </c>
      <c r="BN157" s="99">
        <f t="shared" si="142"/>
        <v>1.6</v>
      </c>
      <c r="BO157" s="114">
        <v>58078842</v>
      </c>
      <c r="BP157" s="101">
        <f t="shared" si="143"/>
        <v>2.5918608115146355</v>
      </c>
      <c r="BQ157" s="78">
        <f t="shared" si="144"/>
        <v>85</v>
      </c>
      <c r="BR157" s="79">
        <f t="shared" ref="BR157:BR220" si="164">BQ157*0.02</f>
        <v>1.7</v>
      </c>
      <c r="BS157" s="102">
        <v>34508754.673</v>
      </c>
      <c r="BT157" s="102">
        <v>252227.193</v>
      </c>
      <c r="BU157" s="103">
        <f t="shared" si="145"/>
        <v>34256527.479999997</v>
      </c>
      <c r="BV157" s="77">
        <f t="shared" si="146"/>
        <v>1.5287520903737406</v>
      </c>
      <c r="BW157" s="96">
        <f t="shared" si="147"/>
        <v>2.8482825397737606</v>
      </c>
      <c r="BX157" s="96">
        <f t="shared" si="148"/>
        <v>1.7411606068938186</v>
      </c>
      <c r="BY157" s="96">
        <f t="shared" si="149"/>
        <v>5.5697595856656807</v>
      </c>
      <c r="BZ157" s="96">
        <f t="shared" si="150"/>
        <v>59.363660391147313</v>
      </c>
      <c r="CA157" s="96">
        <f t="shared" si="151"/>
        <v>55</v>
      </c>
      <c r="CB157" s="104">
        <f t="shared" si="152"/>
        <v>1.1000000000000001</v>
      </c>
      <c r="CC157" s="105">
        <f t="shared" ref="CC157:CC220" si="165">(M157/N157)*100</f>
        <v>69.466678332881813</v>
      </c>
      <c r="CD157" s="106">
        <f t="shared" ref="CD157:CD220" si="166">IF((100-(75*(CC157-1)/(200-1)))&gt;100, 100, IF((100-(75*(CC157-1)/(200-1)))&lt;25, 25, (100-(75*(CC157-1)/(200-1)))))</f>
        <v>74.195975502682728</v>
      </c>
      <c r="CE157" s="107">
        <f t="shared" ref="CE157:CE220" si="167">CD157*0.015</f>
        <v>1.112939632540241</v>
      </c>
      <c r="CF157" s="108" t="s">
        <v>2189</v>
      </c>
      <c r="CG157" s="108" t="s">
        <v>2189</v>
      </c>
      <c r="CH157" s="108" t="s">
        <v>2189</v>
      </c>
      <c r="CI157" s="108" t="s">
        <v>2189</v>
      </c>
      <c r="CJ157" s="109"/>
      <c r="CK157" s="116" t="s">
        <v>2203</v>
      </c>
      <c r="CL157" s="116" t="s">
        <v>2204</v>
      </c>
      <c r="CM157" s="111">
        <f t="shared" si="153"/>
        <v>70</v>
      </c>
      <c r="CN157" s="107">
        <f t="shared" ref="CN157:CN220" si="168">CM157*0.015</f>
        <v>1.05</v>
      </c>
      <c r="CO157" s="114">
        <v>23827168</v>
      </c>
      <c r="CP157" s="88">
        <f t="shared" si="154"/>
        <v>1.6764339627743003</v>
      </c>
      <c r="CQ157" s="78">
        <f t="shared" si="155"/>
        <v>100</v>
      </c>
      <c r="CR157" s="79">
        <f t="shared" ref="CR157:CR220" si="169">CQ157*0.03</f>
        <v>3</v>
      </c>
      <c r="CS157" s="92">
        <f>_xlfn.XLOOKUP(C157, '[1]1-1. 관계사체무보증금액 (환율 등)'!$3:$3, '[1]1-1. 관계사체무보증금액 (환율 등)'!$33:$33)</f>
        <v>0</v>
      </c>
      <c r="CT157" s="77">
        <f t="shared" si="156"/>
        <v>0</v>
      </c>
      <c r="CU157" s="78">
        <f t="shared" si="157"/>
        <v>100</v>
      </c>
      <c r="CV157" s="79">
        <f t="shared" ref="CV157:CV220" si="170">CU157*0.02</f>
        <v>2</v>
      </c>
      <c r="CW157" s="112">
        <f t="shared" si="158"/>
        <v>18.611828764208227</v>
      </c>
    </row>
    <row r="158" spans="1:101" x14ac:dyDescent="0.35">
      <c r="A158" s="7" t="s">
        <v>814</v>
      </c>
      <c r="B158" s="8" t="s">
        <v>815</v>
      </c>
      <c r="C158" s="21" t="s">
        <v>816</v>
      </c>
      <c r="D158" s="10" t="s">
        <v>75</v>
      </c>
      <c r="E158" s="11" t="s">
        <v>149</v>
      </c>
      <c r="F158" s="11" t="s">
        <v>817</v>
      </c>
      <c r="G158" s="12">
        <v>32776</v>
      </c>
      <c r="H158" s="11" t="s">
        <v>24</v>
      </c>
      <c r="I158" s="11" t="s">
        <v>818</v>
      </c>
      <c r="J158" s="11" t="s">
        <v>819</v>
      </c>
      <c r="K158" s="11" t="s">
        <v>50</v>
      </c>
      <c r="L158" s="23">
        <v>391399991</v>
      </c>
      <c r="M158" s="14">
        <v>70411675</v>
      </c>
      <c r="N158" s="14">
        <v>320988317</v>
      </c>
      <c r="O158" s="14">
        <v>425547908</v>
      </c>
      <c r="P158" s="14">
        <v>77084280</v>
      </c>
      <c r="Q158" s="14">
        <v>83250609</v>
      </c>
      <c r="R158" s="14">
        <v>65769136</v>
      </c>
      <c r="S158" s="15">
        <v>4850000</v>
      </c>
      <c r="T158" s="15">
        <v>12000</v>
      </c>
      <c r="U158" s="15">
        <v>909500</v>
      </c>
      <c r="V158" s="15">
        <f>23235+167935+137750+4785+7805+51976+158890+48084+1000+1000+35876+10187+52314+260707+26339+2800+1800+25338+26949+25137+17379+7945+3000+6286+6237+5457</f>
        <v>1116211</v>
      </c>
      <c r="W158" s="15">
        <f>21000+4752+4597+6693+4000+4497+8078+4845+2381+1200+4000+800+3000+2250+200+80</f>
        <v>72373</v>
      </c>
      <c r="X158" s="15">
        <v>0</v>
      </c>
      <c r="Z158" s="15">
        <f>827798+13152+828</f>
        <v>841778</v>
      </c>
      <c r="AA158" s="15">
        <v>13152</v>
      </c>
      <c r="AB158" s="74">
        <f t="shared" si="118"/>
        <v>2939862</v>
      </c>
      <c r="AC158" s="75">
        <f t="shared" si="119"/>
        <v>60.61571134020619</v>
      </c>
      <c r="AD158" s="75">
        <f t="shared" si="120"/>
        <v>47.7712502817553</v>
      </c>
      <c r="AE158" s="76">
        <f t="shared" si="159"/>
        <v>1.433137508452659</v>
      </c>
      <c r="AF158" s="77">
        <f t="shared" si="121"/>
        <v>41.984970303727707</v>
      </c>
      <c r="AG158" s="77">
        <f t="shared" si="122"/>
        <v>60.659112991746056</v>
      </c>
      <c r="AH158" s="77">
        <f t="shared" si="123"/>
        <v>18.67414268801835</v>
      </c>
      <c r="AI158" s="78">
        <f t="shared" si="124"/>
        <v>80</v>
      </c>
      <c r="AJ158" s="79">
        <f t="shared" si="160"/>
        <v>3.2</v>
      </c>
      <c r="AK158" s="113">
        <v>9</v>
      </c>
      <c r="AL158" s="113">
        <v>8</v>
      </c>
      <c r="AM158" s="113">
        <v>1</v>
      </c>
      <c r="AN158" s="81">
        <f t="shared" si="125"/>
        <v>17</v>
      </c>
      <c r="AO158" s="82">
        <f t="shared" si="126"/>
        <v>5.8823529411764701</v>
      </c>
      <c r="AP158" s="83">
        <f t="shared" si="127"/>
        <v>100</v>
      </c>
      <c r="AQ158" s="84">
        <f t="shared" si="161"/>
        <v>2</v>
      </c>
      <c r="AR158" s="118">
        <v>3</v>
      </c>
      <c r="AS158" s="86">
        <f t="shared" si="128"/>
        <v>0.25</v>
      </c>
      <c r="AT158" s="87">
        <f t="shared" si="129"/>
        <v>2.25</v>
      </c>
      <c r="AU158" s="87">
        <f t="shared" si="130"/>
        <v>2</v>
      </c>
      <c r="AV158" s="88">
        <f t="shared" si="131"/>
        <v>11.111111111111111</v>
      </c>
      <c r="AW158" s="78">
        <f t="shared" si="132"/>
        <v>60</v>
      </c>
      <c r="AX158" s="89">
        <f t="shared" si="162"/>
        <v>0.6</v>
      </c>
      <c r="AY158" s="114">
        <v>9</v>
      </c>
      <c r="AZ158" s="114">
        <f>27-6</f>
        <v>21</v>
      </c>
      <c r="BA158" s="91">
        <f t="shared" si="133"/>
        <v>27</v>
      </c>
      <c r="BB158" s="77">
        <f t="shared" si="134"/>
        <v>77.777777777777786</v>
      </c>
      <c r="BC158" s="78">
        <f t="shared" si="135"/>
        <v>50</v>
      </c>
      <c r="BD158" s="79">
        <f t="shared" si="163"/>
        <v>0.5</v>
      </c>
      <c r="BE158" s="92">
        <v>7222666.8140000002</v>
      </c>
      <c r="BF158" s="92">
        <v>586873.49399999995</v>
      </c>
      <c r="BG158" s="114">
        <v>242157.10200000001</v>
      </c>
      <c r="BH158" s="94">
        <f t="shared" si="136"/>
        <v>7809540.3080000002</v>
      </c>
      <c r="BI158" s="77">
        <f t="shared" si="137"/>
        <v>3.1007856090061683</v>
      </c>
      <c r="BJ158" s="95" t="str">
        <f t="shared" si="138"/>
        <v>금속/비금속/화학업</v>
      </c>
      <c r="BK158" s="96">
        <f t="shared" si="139"/>
        <v>3.9534118626990469</v>
      </c>
      <c r="BL158" s="97">
        <f t="shared" si="140"/>
        <v>-0.85262625369287859</v>
      </c>
      <c r="BM158" s="98">
        <f t="shared" si="141"/>
        <v>80</v>
      </c>
      <c r="BN158" s="99">
        <f t="shared" si="142"/>
        <v>1.6</v>
      </c>
      <c r="BO158" s="114">
        <v>10352987</v>
      </c>
      <c r="BP158" s="101">
        <f t="shared" si="143"/>
        <v>2.4328605088572073</v>
      </c>
      <c r="BQ158" s="78">
        <f t="shared" si="144"/>
        <v>85</v>
      </c>
      <c r="BR158" s="79">
        <f t="shared" si="164"/>
        <v>1.7</v>
      </c>
      <c r="BS158" s="102">
        <v>41409240.324000001</v>
      </c>
      <c r="BT158" s="102">
        <v>33581.819000000003</v>
      </c>
      <c r="BU158" s="103">
        <f t="shared" si="145"/>
        <v>41375658.505000003</v>
      </c>
      <c r="BV158" s="77">
        <f t="shared" si="146"/>
        <v>9.7229143246076077</v>
      </c>
      <c r="BW158" s="96">
        <f t="shared" si="147"/>
        <v>5.1474158565187738</v>
      </c>
      <c r="BX158" s="96">
        <f t="shared" si="148"/>
        <v>20.935186231483268</v>
      </c>
      <c r="BY158" s="96">
        <f t="shared" si="149"/>
        <v>6.6930498535228535</v>
      </c>
      <c r="BZ158" s="96">
        <f t="shared" si="150"/>
        <v>24.710777765942503</v>
      </c>
      <c r="CA158" s="96">
        <f t="shared" si="151"/>
        <v>70</v>
      </c>
      <c r="CB158" s="104">
        <f t="shared" si="152"/>
        <v>1.4000000000000001</v>
      </c>
      <c r="CC158" s="105">
        <f t="shared" si="165"/>
        <v>21.935899617181395</v>
      </c>
      <c r="CD158" s="106">
        <f t="shared" si="166"/>
        <v>92.109585571414044</v>
      </c>
      <c r="CE158" s="107">
        <f t="shared" si="167"/>
        <v>1.3816437835712105</v>
      </c>
      <c r="CF158" s="108" t="s">
        <v>2189</v>
      </c>
      <c r="CG158" s="108" t="s">
        <v>2189</v>
      </c>
      <c r="CH158" s="108" t="s">
        <v>2189</v>
      </c>
      <c r="CI158" s="108" t="s">
        <v>2189</v>
      </c>
      <c r="CJ158" s="109"/>
      <c r="CK158" s="116" t="s">
        <v>2192</v>
      </c>
      <c r="CL158" s="116" t="s">
        <v>2193</v>
      </c>
      <c r="CM158" s="111">
        <f t="shared" si="153"/>
        <v>25</v>
      </c>
      <c r="CN158" s="107">
        <f t="shared" si="168"/>
        <v>0.375</v>
      </c>
      <c r="CO158" s="114">
        <f>18880177+6320400+5082738+2000</f>
        <v>30285315</v>
      </c>
      <c r="CP158" s="88">
        <f t="shared" si="154"/>
        <v>9.4350209637069131</v>
      </c>
      <c r="CQ158" s="78">
        <f t="shared" si="155"/>
        <v>80</v>
      </c>
      <c r="CR158" s="79">
        <f t="shared" si="169"/>
        <v>2.4</v>
      </c>
      <c r="CS158" s="92">
        <f>_xlfn.XLOOKUP(C158, '[1]1-1. 관계사체무보증금액 (환율 등)'!$3:$3, '[1]1-1. 관계사체무보증금액 (환율 등)'!$33:$33)</f>
        <v>0</v>
      </c>
      <c r="CT158" s="77">
        <f t="shared" si="156"/>
        <v>0</v>
      </c>
      <c r="CU158" s="78">
        <f t="shared" si="157"/>
        <v>100</v>
      </c>
      <c r="CV158" s="79">
        <f t="shared" si="170"/>
        <v>2</v>
      </c>
      <c r="CW158" s="112">
        <f t="shared" si="158"/>
        <v>18.589781292023869</v>
      </c>
    </row>
    <row r="159" spans="1:101" x14ac:dyDescent="0.35">
      <c r="A159" s="7" t="s">
        <v>1483</v>
      </c>
      <c r="B159" s="8" t="s">
        <v>1484</v>
      </c>
      <c r="C159" s="21" t="s">
        <v>1485</v>
      </c>
      <c r="D159" s="10" t="s">
        <v>31</v>
      </c>
      <c r="E159" s="11" t="s">
        <v>46</v>
      </c>
      <c r="F159" s="11" t="s">
        <v>1486</v>
      </c>
      <c r="G159" s="12">
        <v>28117</v>
      </c>
      <c r="H159" s="11" t="s">
        <v>24</v>
      </c>
      <c r="I159" s="11" t="s">
        <v>1487</v>
      </c>
      <c r="J159" s="11" t="s">
        <v>1488</v>
      </c>
      <c r="K159" s="11" t="s">
        <v>50</v>
      </c>
      <c r="L159" s="23">
        <v>418548891</v>
      </c>
      <c r="M159" s="14">
        <v>263651210</v>
      </c>
      <c r="N159" s="14">
        <v>154897681</v>
      </c>
      <c r="O159" s="14">
        <v>319394587</v>
      </c>
      <c r="P159" s="14">
        <v>15318484</v>
      </c>
      <c r="Q159" s="14">
        <v>13458495</v>
      </c>
      <c r="R159" s="14">
        <v>11843676</v>
      </c>
      <c r="S159" s="15">
        <v>600000</v>
      </c>
      <c r="T159" s="15">
        <v>0</v>
      </c>
      <c r="U159" s="15">
        <f>293550+41880</f>
        <v>335430</v>
      </c>
      <c r="V159" s="15">
        <f>1496+5000+5000+14681</f>
        <v>26177</v>
      </c>
      <c r="W159" s="15">
        <v>100</v>
      </c>
      <c r="X159" s="15">
        <v>30000</v>
      </c>
      <c r="Y159" s="24" t="s">
        <v>2104</v>
      </c>
      <c r="Z159" s="15">
        <f>10000+1600</f>
        <v>11600</v>
      </c>
      <c r="AA159" s="15">
        <v>0</v>
      </c>
      <c r="AB159" s="74">
        <f t="shared" si="118"/>
        <v>403307</v>
      </c>
      <c r="AC159" s="75">
        <f t="shared" si="119"/>
        <v>67.217833333333331</v>
      </c>
      <c r="AD159" s="75">
        <f t="shared" si="120"/>
        <v>42.0732163406214</v>
      </c>
      <c r="AE159" s="76">
        <f t="shared" si="159"/>
        <v>1.262196490218642</v>
      </c>
      <c r="AF159" s="77">
        <f t="shared" si="121"/>
        <v>60.267833333333328</v>
      </c>
      <c r="AG159" s="77">
        <f t="shared" si="122"/>
        <v>67.217833333333331</v>
      </c>
      <c r="AH159" s="77">
        <f t="shared" si="123"/>
        <v>6.9500000000000028</v>
      </c>
      <c r="AI159" s="78">
        <f t="shared" si="124"/>
        <v>100</v>
      </c>
      <c r="AJ159" s="79">
        <f t="shared" si="160"/>
        <v>4</v>
      </c>
      <c r="AK159" s="113">
        <v>4</v>
      </c>
      <c r="AL159" s="113">
        <v>4</v>
      </c>
      <c r="AM159" s="113">
        <v>0</v>
      </c>
      <c r="AN159" s="81">
        <f t="shared" si="125"/>
        <v>8</v>
      </c>
      <c r="AO159" s="82">
        <f t="shared" si="126"/>
        <v>0</v>
      </c>
      <c r="AP159" s="83">
        <f t="shared" si="127"/>
        <v>100</v>
      </c>
      <c r="AQ159" s="84">
        <f t="shared" si="161"/>
        <v>2</v>
      </c>
      <c r="AR159" s="118">
        <v>1</v>
      </c>
      <c r="AS159" s="86">
        <f t="shared" si="128"/>
        <v>0.25</v>
      </c>
      <c r="AT159" s="87">
        <f t="shared" si="129"/>
        <v>1</v>
      </c>
      <c r="AU159" s="87">
        <f t="shared" si="130"/>
        <v>1</v>
      </c>
      <c r="AV159" s="88">
        <f t="shared" si="131"/>
        <v>0</v>
      </c>
      <c r="AW159" s="78">
        <f t="shared" si="132"/>
        <v>40</v>
      </c>
      <c r="AX159" s="89">
        <f t="shared" si="162"/>
        <v>0.4</v>
      </c>
      <c r="AY159" s="114">
        <v>13</v>
      </c>
      <c r="AZ159" s="114">
        <v>12</v>
      </c>
      <c r="BA159" s="91">
        <f t="shared" si="133"/>
        <v>13</v>
      </c>
      <c r="BB159" s="77">
        <f t="shared" si="134"/>
        <v>92.307692307692307</v>
      </c>
      <c r="BC159" s="78">
        <f t="shared" si="135"/>
        <v>100</v>
      </c>
      <c r="BD159" s="79">
        <f t="shared" si="163"/>
        <v>1</v>
      </c>
      <c r="BE159" s="92">
        <v>3986704</v>
      </c>
      <c r="BF159" s="92">
        <v>398395</v>
      </c>
      <c r="BG159" s="114">
        <v>163312</v>
      </c>
      <c r="BH159" s="94">
        <f t="shared" si="136"/>
        <v>4385099</v>
      </c>
      <c r="BI159" s="77">
        <f t="shared" si="137"/>
        <v>3.7242488710061048</v>
      </c>
      <c r="BJ159" s="95" t="str">
        <f t="shared" si="138"/>
        <v>식약/섬유/종이업</v>
      </c>
      <c r="BK159" s="96">
        <f t="shared" si="139"/>
        <v>2.1999360555264453</v>
      </c>
      <c r="BL159" s="97">
        <f t="shared" si="140"/>
        <v>1.5243128154796595</v>
      </c>
      <c r="BM159" s="98">
        <f t="shared" si="141"/>
        <v>60</v>
      </c>
      <c r="BN159" s="99">
        <f t="shared" si="142"/>
        <v>1.2</v>
      </c>
      <c r="BO159" s="114">
        <v>2147214</v>
      </c>
      <c r="BP159" s="101">
        <f t="shared" si="143"/>
        <v>0.67227626497001336</v>
      </c>
      <c r="BQ159" s="78">
        <f t="shared" si="144"/>
        <v>70</v>
      </c>
      <c r="BR159" s="79">
        <f t="shared" si="164"/>
        <v>1.4000000000000001</v>
      </c>
      <c r="BS159" s="102">
        <v>29242001.386999998</v>
      </c>
      <c r="BT159" s="102">
        <v>7000</v>
      </c>
      <c r="BU159" s="103">
        <f t="shared" si="145"/>
        <v>29235001.386999998</v>
      </c>
      <c r="BV159" s="77">
        <f t="shared" si="146"/>
        <v>9.1532551198182954</v>
      </c>
      <c r="BW159" s="96">
        <f t="shared" si="147"/>
        <v>5.0508176117342298</v>
      </c>
      <c r="BX159" s="96">
        <f t="shared" si="148"/>
        <v>16.829993507734997</v>
      </c>
      <c r="BY159" s="96">
        <f t="shared" si="149"/>
        <v>6.9871618081220923</v>
      </c>
      <c r="BZ159" s="96">
        <f t="shared" si="150"/>
        <v>27.855506722273184</v>
      </c>
      <c r="CA159" s="96">
        <f t="shared" si="151"/>
        <v>70</v>
      </c>
      <c r="CB159" s="104">
        <f t="shared" si="152"/>
        <v>1.4000000000000001</v>
      </c>
      <c r="CC159" s="105">
        <f t="shared" si="165"/>
        <v>170.2099142465535</v>
      </c>
      <c r="CD159" s="106">
        <f t="shared" si="166"/>
        <v>36.227419253811497</v>
      </c>
      <c r="CE159" s="107">
        <f t="shared" si="167"/>
        <v>0.54341128880717249</v>
      </c>
      <c r="CF159" s="108" t="s">
        <v>2189</v>
      </c>
      <c r="CG159" s="108" t="s">
        <v>2189</v>
      </c>
      <c r="CH159" s="108" t="s">
        <v>2189</v>
      </c>
      <c r="CI159" s="108" t="s">
        <v>2189</v>
      </c>
      <c r="CJ159" s="109"/>
      <c r="CK159" s="116" t="s">
        <v>2199</v>
      </c>
      <c r="CL159" s="116" t="s">
        <v>2193</v>
      </c>
      <c r="CM159" s="111">
        <f t="shared" si="153"/>
        <v>25</v>
      </c>
      <c r="CN159" s="107">
        <f t="shared" si="168"/>
        <v>0.375</v>
      </c>
      <c r="CO159" s="114">
        <v>3539000</v>
      </c>
      <c r="CP159" s="88">
        <f t="shared" si="154"/>
        <v>2.2847340109630179</v>
      </c>
      <c r="CQ159" s="78">
        <f t="shared" si="155"/>
        <v>100</v>
      </c>
      <c r="CR159" s="79">
        <f t="shared" si="169"/>
        <v>3</v>
      </c>
      <c r="CS159" s="92">
        <f>_xlfn.XLOOKUP(C159, '[1]1-1. 관계사체무보증금액 (환율 등)'!$3:$3, '[1]1-1. 관계사체무보증금액 (환율 등)'!$33:$33)</f>
        <v>0</v>
      </c>
      <c r="CT159" s="77">
        <f t="shared" si="156"/>
        <v>0</v>
      </c>
      <c r="CU159" s="78">
        <f t="shared" si="157"/>
        <v>100</v>
      </c>
      <c r="CV159" s="79">
        <f t="shared" si="170"/>
        <v>2</v>
      </c>
      <c r="CW159" s="112">
        <f t="shared" si="158"/>
        <v>18.580607779025815</v>
      </c>
    </row>
    <row r="160" spans="1:101" x14ac:dyDescent="0.35">
      <c r="A160" s="7" t="s">
        <v>946</v>
      </c>
      <c r="B160" s="8" t="s">
        <v>947</v>
      </c>
      <c r="C160" s="21" t="s">
        <v>948</v>
      </c>
      <c r="D160" s="10" t="s">
        <v>75</v>
      </c>
      <c r="E160" s="11" t="s">
        <v>106</v>
      </c>
      <c r="F160" s="11" t="s">
        <v>949</v>
      </c>
      <c r="G160" s="12">
        <v>29560</v>
      </c>
      <c r="H160" s="11" t="s">
        <v>24</v>
      </c>
      <c r="I160" s="11" t="s">
        <v>950</v>
      </c>
      <c r="J160" s="11" t="s">
        <v>951</v>
      </c>
      <c r="K160" s="11" t="s">
        <v>50</v>
      </c>
      <c r="L160" s="23">
        <v>287810418</v>
      </c>
      <c r="M160" s="14">
        <v>149871483</v>
      </c>
      <c r="N160" s="14">
        <v>137938935</v>
      </c>
      <c r="O160" s="14">
        <v>272706610</v>
      </c>
      <c r="P160" s="14">
        <v>22413049</v>
      </c>
      <c r="Q160" s="14">
        <v>21027374</v>
      </c>
      <c r="R160" s="14">
        <v>17206656</v>
      </c>
      <c r="S160" s="15">
        <v>11000000</v>
      </c>
      <c r="T160" s="15">
        <v>0</v>
      </c>
      <c r="U160" s="15">
        <f>3674000+1085016</f>
        <v>4759016</v>
      </c>
      <c r="V160" s="15">
        <v>0</v>
      </c>
      <c r="W160" s="15">
        <f>1090+17000+2880+2000+10+500+100520+97400+1000</f>
        <v>222400</v>
      </c>
      <c r="X160" s="15">
        <v>0</v>
      </c>
      <c r="Z160" s="15">
        <v>157236</v>
      </c>
      <c r="AA160" s="15">
        <v>0</v>
      </c>
      <c r="AB160" s="74">
        <f t="shared" si="118"/>
        <v>5138652</v>
      </c>
      <c r="AC160" s="75">
        <f t="shared" si="119"/>
        <v>46.715018181818181</v>
      </c>
      <c r="AD160" s="75">
        <f t="shared" si="120"/>
        <v>59.76839627576107</v>
      </c>
      <c r="AE160" s="76">
        <f t="shared" si="159"/>
        <v>1.7930518882728321</v>
      </c>
      <c r="AF160" s="77">
        <f t="shared" si="121"/>
        <v>43.263781818181819</v>
      </c>
      <c r="AG160" s="77">
        <f t="shared" si="122"/>
        <v>46.715018181818181</v>
      </c>
      <c r="AH160" s="77">
        <f t="shared" si="123"/>
        <v>3.4512363636363617</v>
      </c>
      <c r="AI160" s="78">
        <f t="shared" si="124"/>
        <v>100</v>
      </c>
      <c r="AJ160" s="79">
        <f t="shared" si="160"/>
        <v>4</v>
      </c>
      <c r="AK160" s="113">
        <v>10</v>
      </c>
      <c r="AL160" s="113">
        <v>5</v>
      </c>
      <c r="AM160" s="113">
        <v>1</v>
      </c>
      <c r="AN160" s="81">
        <f t="shared" si="125"/>
        <v>15</v>
      </c>
      <c r="AO160" s="82">
        <f t="shared" si="126"/>
        <v>6.666666666666667</v>
      </c>
      <c r="AP160" s="83">
        <f t="shared" si="127"/>
        <v>100</v>
      </c>
      <c r="AQ160" s="84">
        <f t="shared" si="161"/>
        <v>2</v>
      </c>
      <c r="AR160" s="118">
        <v>2</v>
      </c>
      <c r="AS160" s="86">
        <f t="shared" si="128"/>
        <v>0.25</v>
      </c>
      <c r="AT160" s="87">
        <f t="shared" si="129"/>
        <v>2.5</v>
      </c>
      <c r="AU160" s="87">
        <f t="shared" si="130"/>
        <v>2</v>
      </c>
      <c r="AV160" s="88">
        <f t="shared" si="131"/>
        <v>0</v>
      </c>
      <c r="AW160" s="78">
        <f t="shared" si="132"/>
        <v>40</v>
      </c>
      <c r="AX160" s="89">
        <f t="shared" si="162"/>
        <v>0.4</v>
      </c>
      <c r="AY160" s="114">
        <v>8</v>
      </c>
      <c r="AZ160" s="114">
        <v>16</v>
      </c>
      <c r="BA160" s="91">
        <f t="shared" si="133"/>
        <v>16</v>
      </c>
      <c r="BB160" s="77">
        <f t="shared" si="134"/>
        <v>100</v>
      </c>
      <c r="BC160" s="78">
        <f t="shared" si="135"/>
        <v>100</v>
      </c>
      <c r="BD160" s="79">
        <f t="shared" si="163"/>
        <v>1</v>
      </c>
      <c r="BE160" s="92">
        <v>4125912</v>
      </c>
      <c r="BF160" s="92">
        <v>548838</v>
      </c>
      <c r="BG160" s="114">
        <v>240192</v>
      </c>
      <c r="BH160" s="94">
        <f t="shared" si="136"/>
        <v>4674750</v>
      </c>
      <c r="BI160" s="77">
        <f t="shared" si="137"/>
        <v>5.1380715546285902</v>
      </c>
      <c r="BJ160" s="95" t="str">
        <f t="shared" si="138"/>
        <v>금속/비금속/화학업</v>
      </c>
      <c r="BK160" s="96">
        <f t="shared" si="139"/>
        <v>3.9534118626990469</v>
      </c>
      <c r="BL160" s="97">
        <f t="shared" si="140"/>
        <v>1.1846596919295433</v>
      </c>
      <c r="BM160" s="98">
        <f t="shared" si="141"/>
        <v>60</v>
      </c>
      <c r="BN160" s="99">
        <f t="shared" si="142"/>
        <v>1.2</v>
      </c>
      <c r="BO160" s="114">
        <v>459549</v>
      </c>
      <c r="BP160" s="101">
        <f t="shared" si="143"/>
        <v>0.16851406718744369</v>
      </c>
      <c r="BQ160" s="78">
        <f t="shared" si="144"/>
        <v>55</v>
      </c>
      <c r="BR160" s="79">
        <f t="shared" si="164"/>
        <v>1.1000000000000001</v>
      </c>
      <c r="BS160" s="102">
        <v>24095394.842999998</v>
      </c>
      <c r="BT160" s="102">
        <v>22374.79</v>
      </c>
      <c r="BU160" s="103">
        <f t="shared" si="145"/>
        <v>24073020.052999999</v>
      </c>
      <c r="BV160" s="77">
        <f t="shared" si="146"/>
        <v>8.8274428159258775</v>
      </c>
      <c r="BW160" s="96">
        <f t="shared" si="147"/>
        <v>5.1474158565187738</v>
      </c>
      <c r="BX160" s="96">
        <f t="shared" si="148"/>
        <v>13.542598421963094</v>
      </c>
      <c r="BY160" s="96">
        <f t="shared" si="149"/>
        <v>6.6930498535228535</v>
      </c>
      <c r="BZ160" s="96">
        <f t="shared" si="150"/>
        <v>29.121863776809352</v>
      </c>
      <c r="CA160" s="96">
        <f t="shared" si="151"/>
        <v>70</v>
      </c>
      <c r="CB160" s="104">
        <f t="shared" si="152"/>
        <v>1.4000000000000001</v>
      </c>
      <c r="CC160" s="105">
        <f t="shared" si="165"/>
        <v>108.65060180434189</v>
      </c>
      <c r="CD160" s="106">
        <f t="shared" si="166"/>
        <v>59.428165149117383</v>
      </c>
      <c r="CE160" s="107">
        <f t="shared" si="167"/>
        <v>0.89142247723676071</v>
      </c>
      <c r="CF160" s="108" t="s">
        <v>2189</v>
      </c>
      <c r="CG160" s="108" t="s">
        <v>2189</v>
      </c>
      <c r="CH160" s="108" t="s">
        <v>2189</v>
      </c>
      <c r="CI160" s="108" t="s">
        <v>2189</v>
      </c>
      <c r="CJ160" s="109"/>
      <c r="CK160" s="116" t="s">
        <v>2192</v>
      </c>
      <c r="CL160" s="116" t="s">
        <v>2193</v>
      </c>
      <c r="CM160" s="111">
        <f t="shared" si="153"/>
        <v>25</v>
      </c>
      <c r="CN160" s="107">
        <f t="shared" si="168"/>
        <v>0.375</v>
      </c>
      <c r="CO160" s="114">
        <v>5212000</v>
      </c>
      <c r="CP160" s="88">
        <f t="shared" si="154"/>
        <v>3.7784835731840327</v>
      </c>
      <c r="CQ160" s="78">
        <f t="shared" si="155"/>
        <v>80</v>
      </c>
      <c r="CR160" s="79">
        <f t="shared" si="169"/>
        <v>2.4</v>
      </c>
      <c r="CS160" s="92">
        <f>_xlfn.XLOOKUP(C160, '[1]1-1. 관계사체무보증금액 (환율 등)'!$3:$3, '[1]1-1. 관계사체무보증금액 (환율 등)'!$33:$33)</f>
        <v>0</v>
      </c>
      <c r="CT160" s="77">
        <f t="shared" si="156"/>
        <v>0</v>
      </c>
      <c r="CU160" s="78">
        <f t="shared" si="157"/>
        <v>100</v>
      </c>
      <c r="CV160" s="79">
        <f t="shared" si="170"/>
        <v>2</v>
      </c>
      <c r="CW160" s="112">
        <f t="shared" si="158"/>
        <v>18.55947436550959</v>
      </c>
    </row>
    <row r="161" spans="1:101" x14ac:dyDescent="0.35">
      <c r="A161" s="7" t="s">
        <v>550</v>
      </c>
      <c r="B161" s="8" t="s">
        <v>551</v>
      </c>
      <c r="C161" s="21" t="s">
        <v>552</v>
      </c>
      <c r="D161" s="22" t="s">
        <v>75</v>
      </c>
      <c r="E161" s="11" t="s">
        <v>390</v>
      </c>
      <c r="F161" s="11" t="s">
        <v>553</v>
      </c>
      <c r="G161" s="12">
        <v>40536</v>
      </c>
      <c r="H161" s="11" t="s">
        <v>24</v>
      </c>
      <c r="I161" s="11" t="s">
        <v>554</v>
      </c>
      <c r="J161" s="191" t="s">
        <v>555</v>
      </c>
      <c r="K161" s="11" t="s">
        <v>536</v>
      </c>
      <c r="L161" s="23">
        <v>838882273</v>
      </c>
      <c r="M161" s="14">
        <v>521359056</v>
      </c>
      <c r="N161" s="14">
        <v>317523216</v>
      </c>
      <c r="O161" s="14">
        <v>1019977255</v>
      </c>
      <c r="P161" s="14">
        <v>1019269</v>
      </c>
      <c r="Q161" s="14">
        <v>1770357</v>
      </c>
      <c r="R161" s="14">
        <v>1219262</v>
      </c>
      <c r="S161" s="15">
        <v>27500000</v>
      </c>
      <c r="T161" s="15">
        <v>305454</v>
      </c>
      <c r="U161" s="15">
        <v>19600000</v>
      </c>
      <c r="V161" s="15">
        <v>0</v>
      </c>
      <c r="W161" s="15">
        <v>0</v>
      </c>
      <c r="X161" s="15">
        <v>0</v>
      </c>
      <c r="Z161" s="15">
        <v>400000</v>
      </c>
      <c r="AA161" s="15">
        <v>0</v>
      </c>
      <c r="AB161" s="74">
        <f t="shared" si="118"/>
        <v>20000000</v>
      </c>
      <c r="AC161" s="75">
        <f t="shared" si="119"/>
        <v>72.727272727272734</v>
      </c>
      <c r="AD161" s="75">
        <f t="shared" si="120"/>
        <v>37.31823412490845</v>
      </c>
      <c r="AE161" s="76">
        <f t="shared" si="159"/>
        <v>1.1195470237472536</v>
      </c>
      <c r="AF161" s="77">
        <f t="shared" si="121"/>
        <v>72.073275281006715</v>
      </c>
      <c r="AG161" s="77">
        <f t="shared" si="122"/>
        <v>73.544158450006847</v>
      </c>
      <c r="AH161" s="77">
        <f t="shared" si="123"/>
        <v>1.4708831690001318</v>
      </c>
      <c r="AI161" s="78">
        <f t="shared" si="124"/>
        <v>100</v>
      </c>
      <c r="AJ161" s="79">
        <f t="shared" si="160"/>
        <v>4</v>
      </c>
      <c r="AK161" s="113">
        <v>8</v>
      </c>
      <c r="AL161" s="113">
        <v>1</v>
      </c>
      <c r="AM161" s="80">
        <v>1</v>
      </c>
      <c r="AN161" s="81">
        <f t="shared" si="125"/>
        <v>9</v>
      </c>
      <c r="AO161" s="82">
        <f t="shared" si="126"/>
        <v>11.111111111111111</v>
      </c>
      <c r="AP161" s="83">
        <f t="shared" si="127"/>
        <v>80</v>
      </c>
      <c r="AQ161" s="84">
        <f t="shared" si="161"/>
        <v>1.6</v>
      </c>
      <c r="AR161" s="118">
        <v>3</v>
      </c>
      <c r="AS161" s="86">
        <f t="shared" si="128"/>
        <v>0.25</v>
      </c>
      <c r="AT161" s="87">
        <f t="shared" si="129"/>
        <v>2</v>
      </c>
      <c r="AU161" s="87">
        <f t="shared" si="130"/>
        <v>2</v>
      </c>
      <c r="AV161" s="88">
        <f t="shared" si="131"/>
        <v>12.5</v>
      </c>
      <c r="AW161" s="78">
        <f t="shared" si="132"/>
        <v>60</v>
      </c>
      <c r="AX161" s="89">
        <f t="shared" si="162"/>
        <v>0.6</v>
      </c>
      <c r="AY161" s="114">
        <v>14</v>
      </c>
      <c r="AZ161" s="114">
        <f>14*3-1</f>
        <v>41</v>
      </c>
      <c r="BA161" s="91">
        <f t="shared" si="133"/>
        <v>42</v>
      </c>
      <c r="BB161" s="77">
        <f t="shared" si="134"/>
        <v>97.61904761904762</v>
      </c>
      <c r="BC161" s="78">
        <f t="shared" si="135"/>
        <v>100</v>
      </c>
      <c r="BD161" s="79">
        <f t="shared" si="163"/>
        <v>1</v>
      </c>
      <c r="BE161" s="92">
        <v>9182725.1490000002</v>
      </c>
      <c r="BF161" s="92">
        <v>747345.43</v>
      </c>
      <c r="BG161" s="114">
        <v>139603.65</v>
      </c>
      <c r="BH161" s="94">
        <f t="shared" si="136"/>
        <v>9930070.5789999999</v>
      </c>
      <c r="BI161" s="77">
        <f t="shared" si="137"/>
        <v>1.4058676510842953</v>
      </c>
      <c r="BJ161" s="95" t="str">
        <f t="shared" si="138"/>
        <v>금속/비금속/화학업</v>
      </c>
      <c r="BK161" s="96">
        <f t="shared" si="139"/>
        <v>3.9534118626990469</v>
      </c>
      <c r="BL161" s="97">
        <f t="shared" si="140"/>
        <v>-2.5475442116147518</v>
      </c>
      <c r="BM161" s="98">
        <f t="shared" si="141"/>
        <v>100</v>
      </c>
      <c r="BN161" s="99">
        <f t="shared" si="142"/>
        <v>2</v>
      </c>
      <c r="BO161" s="114">
        <v>0</v>
      </c>
      <c r="BP161" s="101">
        <f t="shared" si="143"/>
        <v>0</v>
      </c>
      <c r="BQ161" s="78">
        <f t="shared" si="144"/>
        <v>25</v>
      </c>
      <c r="BR161" s="79">
        <f t="shared" si="164"/>
        <v>0.5</v>
      </c>
      <c r="BS161" s="102">
        <v>39137356.218999997</v>
      </c>
      <c r="BT161" s="102">
        <v>1299393.19</v>
      </c>
      <c r="BU161" s="103">
        <f t="shared" si="145"/>
        <v>37837963.028999999</v>
      </c>
      <c r="BV161" s="77">
        <f t="shared" si="146"/>
        <v>3.7096869409112458</v>
      </c>
      <c r="BW161" s="96">
        <f t="shared" si="147"/>
        <v>5.1474158565187738</v>
      </c>
      <c r="BX161" s="96">
        <f t="shared" si="148"/>
        <v>2.0670644347739979</v>
      </c>
      <c r="BY161" s="96">
        <f t="shared" si="149"/>
        <v>6.6930498535228535</v>
      </c>
      <c r="BZ161" s="96">
        <f t="shared" si="150"/>
        <v>58.50419735701049</v>
      </c>
      <c r="CA161" s="96">
        <f t="shared" si="151"/>
        <v>55</v>
      </c>
      <c r="CB161" s="104">
        <f t="shared" si="152"/>
        <v>1.1000000000000001</v>
      </c>
      <c r="CC161" s="105">
        <f t="shared" si="165"/>
        <v>164.19557050593744</v>
      </c>
      <c r="CD161" s="106">
        <f t="shared" si="166"/>
        <v>38.494131718867806</v>
      </c>
      <c r="CE161" s="107">
        <f t="shared" si="167"/>
        <v>0.57741197578301706</v>
      </c>
      <c r="CF161" s="108" t="s">
        <v>2189</v>
      </c>
      <c r="CG161" s="108" t="s">
        <v>2189</v>
      </c>
      <c r="CH161" s="108" t="s">
        <v>2189</v>
      </c>
      <c r="CI161" s="108" t="s">
        <v>2189</v>
      </c>
      <c r="CJ161" s="109"/>
      <c r="CK161" s="116" t="s">
        <v>2207</v>
      </c>
      <c r="CL161" s="116" t="s">
        <v>2204</v>
      </c>
      <c r="CM161" s="111">
        <f t="shared" si="153"/>
        <v>70</v>
      </c>
      <c r="CN161" s="107">
        <f t="shared" si="168"/>
        <v>1.05</v>
      </c>
      <c r="CO161" s="114">
        <v>5400000</v>
      </c>
      <c r="CP161" s="88">
        <f t="shared" si="154"/>
        <v>1.7006630469502424</v>
      </c>
      <c r="CQ161" s="78">
        <f t="shared" si="155"/>
        <v>100</v>
      </c>
      <c r="CR161" s="79">
        <f t="shared" si="169"/>
        <v>3</v>
      </c>
      <c r="CS161" s="92">
        <f>_xlfn.XLOOKUP(C161, '[1]1-1. 관계사체무보증금액 (환율 등)'!$3:$3, '[1]1-1. 관계사체무보증금액 (환율 등)'!$33:$33)</f>
        <v>0</v>
      </c>
      <c r="CT161" s="77">
        <f t="shared" si="156"/>
        <v>0</v>
      </c>
      <c r="CU161" s="78">
        <f t="shared" si="157"/>
        <v>100</v>
      </c>
      <c r="CV161" s="79">
        <f t="shared" si="170"/>
        <v>2</v>
      </c>
      <c r="CW161" s="112">
        <f t="shared" si="158"/>
        <v>18.546958999530268</v>
      </c>
    </row>
    <row r="162" spans="1:101" x14ac:dyDescent="0.35">
      <c r="A162" s="7" t="s">
        <v>154</v>
      </c>
      <c r="B162" s="8" t="s">
        <v>155</v>
      </c>
      <c r="C162" s="21" t="s">
        <v>156</v>
      </c>
      <c r="D162" s="27" t="s">
        <v>21</v>
      </c>
      <c r="E162" s="11" t="s">
        <v>83</v>
      </c>
      <c r="F162" s="11" t="s">
        <v>157</v>
      </c>
      <c r="G162" s="12">
        <v>43263</v>
      </c>
      <c r="H162" s="11" t="s">
        <v>24</v>
      </c>
      <c r="I162" s="11" t="s">
        <v>158</v>
      </c>
      <c r="J162" s="11" t="s">
        <v>159</v>
      </c>
      <c r="K162" s="11" t="s">
        <v>27</v>
      </c>
      <c r="L162" s="23">
        <v>7073844464</v>
      </c>
      <c r="M162" s="14">
        <v>4098482728</v>
      </c>
      <c r="N162" s="14">
        <v>2975361736</v>
      </c>
      <c r="O162" s="14">
        <v>3283542070</v>
      </c>
      <c r="P162" s="14">
        <v>110039015</v>
      </c>
      <c r="Q162" s="14">
        <v>105468581</v>
      </c>
      <c r="R162" s="14">
        <v>36587869</v>
      </c>
      <c r="S162" s="15">
        <v>65907330</v>
      </c>
      <c r="T162" s="15">
        <v>9470</v>
      </c>
      <c r="U162" s="15">
        <v>27366352</v>
      </c>
      <c r="V162" s="15">
        <f>41965+441718+312411</f>
        <v>796094</v>
      </c>
      <c r="W162" s="15">
        <f>4037+2100+2000+1006</f>
        <v>9143</v>
      </c>
      <c r="X162" s="15">
        <v>174869</v>
      </c>
      <c r="Y162" s="24" t="s">
        <v>2054</v>
      </c>
      <c r="Z162" s="15">
        <v>0</v>
      </c>
      <c r="AA162" s="15">
        <v>0</v>
      </c>
      <c r="AB162" s="74">
        <f t="shared" si="118"/>
        <v>28346458</v>
      </c>
      <c r="AC162" s="75">
        <f t="shared" si="119"/>
        <v>43.009568131496145</v>
      </c>
      <c r="AD162" s="75">
        <f t="shared" si="120"/>
        <v>62.966425663265703</v>
      </c>
      <c r="AE162" s="76">
        <f t="shared" si="159"/>
        <v>1.8889927698979709</v>
      </c>
      <c r="AF162" s="77">
        <f t="shared" si="121"/>
        <v>42.736510715218976</v>
      </c>
      <c r="AG162" s="77">
        <f t="shared" si="122"/>
        <v>43.015748918098403</v>
      </c>
      <c r="AH162" s="77">
        <f t="shared" si="123"/>
        <v>0.27923820287942647</v>
      </c>
      <c r="AI162" s="78">
        <f t="shared" si="124"/>
        <v>100</v>
      </c>
      <c r="AJ162" s="79">
        <f t="shared" si="160"/>
        <v>4</v>
      </c>
      <c r="AK162" s="113">
        <v>7</v>
      </c>
      <c r="AL162" s="113">
        <v>14</v>
      </c>
      <c r="AM162" s="113">
        <v>0</v>
      </c>
      <c r="AN162" s="81">
        <f t="shared" si="125"/>
        <v>21</v>
      </c>
      <c r="AO162" s="82">
        <f t="shared" si="126"/>
        <v>0</v>
      </c>
      <c r="AP162" s="83">
        <f t="shared" si="127"/>
        <v>100</v>
      </c>
      <c r="AQ162" s="84">
        <f t="shared" si="161"/>
        <v>2</v>
      </c>
      <c r="AR162" s="118">
        <v>4</v>
      </c>
      <c r="AS162" s="86">
        <f t="shared" si="128"/>
        <v>0.5</v>
      </c>
      <c r="AT162" s="87">
        <f t="shared" si="129"/>
        <v>3.5</v>
      </c>
      <c r="AU162" s="87">
        <f t="shared" si="130"/>
        <v>3</v>
      </c>
      <c r="AV162" s="88">
        <f t="shared" si="131"/>
        <v>14.285714285714285</v>
      </c>
      <c r="AW162" s="78">
        <f t="shared" si="132"/>
        <v>60</v>
      </c>
      <c r="AX162" s="89">
        <f t="shared" si="162"/>
        <v>0.6</v>
      </c>
      <c r="AY162" s="114">
        <v>10</v>
      </c>
      <c r="AZ162" s="114">
        <f>8*4+3*2</f>
        <v>38</v>
      </c>
      <c r="BA162" s="91">
        <f t="shared" si="133"/>
        <v>40</v>
      </c>
      <c r="BB162" s="77">
        <f t="shared" si="134"/>
        <v>95</v>
      </c>
      <c r="BC162" s="78">
        <f t="shared" si="135"/>
        <v>100</v>
      </c>
      <c r="BD162" s="79">
        <f t="shared" si="163"/>
        <v>1</v>
      </c>
      <c r="BE162" s="92">
        <v>47656000</v>
      </c>
      <c r="BF162" s="92">
        <v>3910000</v>
      </c>
      <c r="BG162" s="93">
        <v>0</v>
      </c>
      <c r="BH162" s="94">
        <f t="shared" si="136"/>
        <v>51566000</v>
      </c>
      <c r="BI162" s="77">
        <f t="shared" si="137"/>
        <v>0</v>
      </c>
      <c r="BJ162" s="95" t="str">
        <f t="shared" si="138"/>
        <v>비제조/서비스업</v>
      </c>
      <c r="BK162" s="96">
        <f t="shared" si="139"/>
        <v>1.7464434573900922</v>
      </c>
      <c r="BL162" s="97">
        <f t="shared" si="140"/>
        <v>-1.7464434573900922</v>
      </c>
      <c r="BM162" s="98">
        <f t="shared" si="141"/>
        <v>80</v>
      </c>
      <c r="BN162" s="99">
        <f t="shared" si="142"/>
        <v>1.6</v>
      </c>
      <c r="BO162" s="114">
        <v>2134000</v>
      </c>
      <c r="BP162" s="101">
        <f t="shared" si="143"/>
        <v>6.4990792093003402E-2</v>
      </c>
      <c r="BQ162" s="78">
        <f t="shared" si="144"/>
        <v>40</v>
      </c>
      <c r="BR162" s="79">
        <f t="shared" si="164"/>
        <v>0.8</v>
      </c>
      <c r="BS162" s="102">
        <v>60148973.327</v>
      </c>
      <c r="BT162" s="102">
        <v>3449.9989999999998</v>
      </c>
      <c r="BU162" s="103">
        <f t="shared" si="145"/>
        <v>60145523.328000002</v>
      </c>
      <c r="BV162" s="77">
        <f t="shared" si="146"/>
        <v>1.8317268987511404</v>
      </c>
      <c r="BW162" s="96">
        <f t="shared" si="147"/>
        <v>2.8482825397737606</v>
      </c>
      <c r="BX162" s="96">
        <f t="shared" si="148"/>
        <v>1.0333853712949101</v>
      </c>
      <c r="BY162" s="96">
        <f t="shared" si="149"/>
        <v>5.5697595856656807</v>
      </c>
      <c r="BZ162" s="96">
        <f t="shared" si="150"/>
        <v>57.241007203140207</v>
      </c>
      <c r="CA162" s="96">
        <f t="shared" si="151"/>
        <v>55</v>
      </c>
      <c r="CB162" s="104">
        <f t="shared" si="152"/>
        <v>1.1000000000000001</v>
      </c>
      <c r="CC162" s="105">
        <f t="shared" si="165"/>
        <v>137.74737634120063</v>
      </c>
      <c r="CD162" s="106">
        <f t="shared" si="166"/>
        <v>48.462044092512329</v>
      </c>
      <c r="CE162" s="107">
        <f t="shared" si="167"/>
        <v>0.72693066138768492</v>
      </c>
      <c r="CF162" s="108" t="s">
        <v>2189</v>
      </c>
      <c r="CG162" s="108" t="s">
        <v>2189</v>
      </c>
      <c r="CH162" s="108" t="s">
        <v>2189</v>
      </c>
      <c r="CI162" s="108" t="s">
        <v>2189</v>
      </c>
      <c r="CJ162" s="109"/>
      <c r="CK162" s="116" t="s">
        <v>2202</v>
      </c>
      <c r="CL162" s="116" t="s">
        <v>2196</v>
      </c>
      <c r="CM162" s="111">
        <f t="shared" si="153"/>
        <v>55</v>
      </c>
      <c r="CN162" s="107">
        <f t="shared" si="168"/>
        <v>0.82499999999999996</v>
      </c>
      <c r="CO162" s="114">
        <f>500000+120000000+37200000+58000000+60000+300000+7185000+4000000+500000</f>
        <v>227745000</v>
      </c>
      <c r="CP162" s="88">
        <f t="shared" si="154"/>
        <v>7.6543634088060353</v>
      </c>
      <c r="CQ162" s="78">
        <f t="shared" si="155"/>
        <v>80</v>
      </c>
      <c r="CR162" s="79">
        <f t="shared" si="169"/>
        <v>2.4</v>
      </c>
      <c r="CS162" s="92">
        <f>_xlfn.XLOOKUP(C162, '[1]1-1. 관계사체무보증금액 (환율 등)'!$3:$3, '[1]1-1. 관계사체무보증금액 (환율 등)'!$33:$33)</f>
        <v>230000000</v>
      </c>
      <c r="CT162" s="77">
        <f t="shared" si="156"/>
        <v>7.730152512790128</v>
      </c>
      <c r="CU162" s="78">
        <f t="shared" si="157"/>
        <v>80</v>
      </c>
      <c r="CV162" s="79">
        <f t="shared" si="170"/>
        <v>1.6</v>
      </c>
      <c r="CW162" s="112">
        <f t="shared" si="158"/>
        <v>18.540923431285655</v>
      </c>
    </row>
    <row r="163" spans="1:101" x14ac:dyDescent="0.35">
      <c r="A163" s="7" t="s">
        <v>1083</v>
      </c>
      <c r="B163" s="8" t="s">
        <v>1084</v>
      </c>
      <c r="C163" s="21" t="s">
        <v>1085</v>
      </c>
      <c r="D163" s="10" t="s">
        <v>141</v>
      </c>
      <c r="E163" s="11" t="s">
        <v>356</v>
      </c>
      <c r="F163" s="11" t="s">
        <v>1086</v>
      </c>
      <c r="G163" s="12">
        <v>35249</v>
      </c>
      <c r="H163" s="11" t="s">
        <v>788</v>
      </c>
      <c r="I163" s="11" t="s">
        <v>1087</v>
      </c>
      <c r="J163" s="11" t="s">
        <v>1088</v>
      </c>
      <c r="K163" s="11" t="s">
        <v>536</v>
      </c>
      <c r="L163" s="23">
        <v>298109844</v>
      </c>
      <c r="M163" s="14">
        <v>31806382</v>
      </c>
      <c r="N163" s="14">
        <v>266303462</v>
      </c>
      <c r="O163" s="14">
        <v>55615777</v>
      </c>
      <c r="P163" s="14">
        <v>4744809</v>
      </c>
      <c r="Q163" s="14">
        <v>9739774</v>
      </c>
      <c r="R163" s="14">
        <v>7926239</v>
      </c>
      <c r="S163" s="15">
        <v>10000000</v>
      </c>
      <c r="T163" s="15">
        <v>0</v>
      </c>
      <c r="U163" s="15">
        <f>426041+2101210</f>
        <v>2527251</v>
      </c>
      <c r="V163" s="15">
        <f>1047750+229690+130000</f>
        <v>1407440</v>
      </c>
      <c r="W163" s="15">
        <f>377220+94366</f>
        <v>471586</v>
      </c>
      <c r="X163" s="15">
        <v>50000</v>
      </c>
      <c r="Y163" s="24" t="s">
        <v>2090</v>
      </c>
      <c r="Z163" s="15">
        <v>300000</v>
      </c>
      <c r="AA163" s="15">
        <v>0</v>
      </c>
      <c r="AB163" s="74">
        <f t="shared" si="118"/>
        <v>4756277</v>
      </c>
      <c r="AC163" s="75">
        <f t="shared" si="119"/>
        <v>47.56277</v>
      </c>
      <c r="AD163" s="75">
        <f t="shared" si="120"/>
        <v>59.036734752589183</v>
      </c>
      <c r="AE163" s="76">
        <f t="shared" si="159"/>
        <v>1.7711020425776753</v>
      </c>
      <c r="AF163" s="77">
        <f t="shared" si="121"/>
        <v>39.346910000000001</v>
      </c>
      <c r="AG163" s="77">
        <f t="shared" si="122"/>
        <v>47.56277</v>
      </c>
      <c r="AH163" s="77">
        <f t="shared" si="123"/>
        <v>8.2158599999999993</v>
      </c>
      <c r="AI163" s="78">
        <f t="shared" si="124"/>
        <v>100</v>
      </c>
      <c r="AJ163" s="79">
        <f t="shared" si="160"/>
        <v>4</v>
      </c>
      <c r="AK163" s="113">
        <v>6</v>
      </c>
      <c r="AL163" s="113">
        <v>5</v>
      </c>
      <c r="AM163" s="113">
        <v>0</v>
      </c>
      <c r="AN163" s="81">
        <f t="shared" si="125"/>
        <v>11</v>
      </c>
      <c r="AO163" s="82">
        <f t="shared" si="126"/>
        <v>0</v>
      </c>
      <c r="AP163" s="83">
        <f t="shared" si="127"/>
        <v>100</v>
      </c>
      <c r="AQ163" s="84">
        <f t="shared" si="161"/>
        <v>2</v>
      </c>
      <c r="AR163" s="118">
        <v>3</v>
      </c>
      <c r="AS163" s="86">
        <f t="shared" si="128"/>
        <v>0.25</v>
      </c>
      <c r="AT163" s="87">
        <f t="shared" si="129"/>
        <v>1.5</v>
      </c>
      <c r="AU163" s="87">
        <f t="shared" si="130"/>
        <v>1</v>
      </c>
      <c r="AV163" s="88">
        <f t="shared" si="131"/>
        <v>33.333333333333329</v>
      </c>
      <c r="AW163" s="78">
        <f t="shared" si="132"/>
        <v>80</v>
      </c>
      <c r="AX163" s="89">
        <f t="shared" si="162"/>
        <v>0.8</v>
      </c>
      <c r="AY163" s="114">
        <v>16</v>
      </c>
      <c r="AZ163" s="114">
        <f>16*3-13</f>
        <v>35</v>
      </c>
      <c r="BA163" s="91">
        <f t="shared" si="133"/>
        <v>48</v>
      </c>
      <c r="BB163" s="77">
        <f t="shared" si="134"/>
        <v>72.916666666666657</v>
      </c>
      <c r="BC163" s="78">
        <f t="shared" si="135"/>
        <v>50</v>
      </c>
      <c r="BD163" s="79">
        <f t="shared" si="163"/>
        <v>0.5</v>
      </c>
      <c r="BE163" s="92">
        <v>1787063</v>
      </c>
      <c r="BF163" s="92">
        <v>249165</v>
      </c>
      <c r="BG163" s="93">
        <v>0</v>
      </c>
      <c r="BH163" s="94">
        <f t="shared" si="136"/>
        <v>2036228</v>
      </c>
      <c r="BI163" s="77">
        <f t="shared" si="137"/>
        <v>0</v>
      </c>
      <c r="BJ163" s="95" t="str">
        <f t="shared" si="138"/>
        <v>전기전자/기계업</v>
      </c>
      <c r="BK163" s="96">
        <f t="shared" si="139"/>
        <v>2.4096449716116446</v>
      </c>
      <c r="BL163" s="97">
        <f t="shared" si="140"/>
        <v>-2.4096449716116446</v>
      </c>
      <c r="BM163" s="98">
        <f t="shared" si="141"/>
        <v>100</v>
      </c>
      <c r="BN163" s="99">
        <f t="shared" si="142"/>
        <v>2</v>
      </c>
      <c r="BO163" s="114">
        <f>3486251-1564829</f>
        <v>1921422</v>
      </c>
      <c r="BP163" s="101">
        <f t="shared" si="143"/>
        <v>3.4548146293092339</v>
      </c>
      <c r="BQ163" s="78">
        <f t="shared" si="144"/>
        <v>85</v>
      </c>
      <c r="BR163" s="79">
        <f t="shared" si="164"/>
        <v>1.7</v>
      </c>
      <c r="BS163" s="102">
        <v>4189120.713</v>
      </c>
      <c r="BT163" s="102">
        <v>103</v>
      </c>
      <c r="BU163" s="103">
        <f t="shared" si="145"/>
        <v>4189017.713</v>
      </c>
      <c r="BV163" s="77">
        <f t="shared" si="146"/>
        <v>7.5320672279738181</v>
      </c>
      <c r="BW163" s="96">
        <f t="shared" si="147"/>
        <v>5.2309968128308295</v>
      </c>
      <c r="BX163" s="96">
        <f t="shared" si="148"/>
        <v>5.2949250554463259</v>
      </c>
      <c r="BY163" s="96">
        <f t="shared" si="149"/>
        <v>7.0695458012309631</v>
      </c>
      <c r="BZ163" s="96">
        <f t="shared" si="150"/>
        <v>37.240491337456575</v>
      </c>
      <c r="CA163" s="96">
        <f t="shared" si="151"/>
        <v>55</v>
      </c>
      <c r="CB163" s="104">
        <f t="shared" si="152"/>
        <v>1.1000000000000001</v>
      </c>
      <c r="CC163" s="105">
        <f t="shared" si="165"/>
        <v>11.943660724921406</v>
      </c>
      <c r="CD163" s="106">
        <f t="shared" si="166"/>
        <v>95.875504751914036</v>
      </c>
      <c r="CE163" s="107">
        <f t="shared" si="167"/>
        <v>1.4381325712787105</v>
      </c>
      <c r="CF163" s="108" t="s">
        <v>2189</v>
      </c>
      <c r="CG163" s="108" t="s">
        <v>2189</v>
      </c>
      <c r="CH163" s="108" t="s">
        <v>2189</v>
      </c>
      <c r="CI163" s="108" t="s">
        <v>2189</v>
      </c>
      <c r="CJ163" s="109"/>
      <c r="CK163" s="116" t="s">
        <v>2217</v>
      </c>
      <c r="CL163" s="116" t="s">
        <v>2209</v>
      </c>
      <c r="CM163" s="111">
        <f t="shared" si="153"/>
        <v>40</v>
      </c>
      <c r="CN163" s="107">
        <f t="shared" si="168"/>
        <v>0.6</v>
      </c>
      <c r="CO163" s="114">
        <f>300000+37824000</f>
        <v>38124000</v>
      </c>
      <c r="CP163" s="88">
        <f t="shared" si="154"/>
        <v>14.315998640678581</v>
      </c>
      <c r="CQ163" s="78">
        <f t="shared" si="155"/>
        <v>60</v>
      </c>
      <c r="CR163" s="79">
        <f t="shared" si="169"/>
        <v>1.7999999999999998</v>
      </c>
      <c r="CS163" s="92">
        <f>_xlfn.XLOOKUP(C163, '[1]1-1. 관계사체무보증금액 (환율 등)'!$3:$3, '[1]1-1. 관계사체무보증금액 (환율 등)'!$33:$33)</f>
        <v>102957422.32451093</v>
      </c>
      <c r="CT163" s="77">
        <f t="shared" si="156"/>
        <v>38.661691271783369</v>
      </c>
      <c r="CU163" s="78">
        <f t="shared" si="157"/>
        <v>40</v>
      </c>
      <c r="CV163" s="79">
        <f t="shared" si="170"/>
        <v>0.8</v>
      </c>
      <c r="CW163" s="112">
        <f t="shared" si="158"/>
        <v>18.509234613856385</v>
      </c>
    </row>
    <row r="164" spans="1:101" x14ac:dyDescent="0.35">
      <c r="A164" s="7" t="s">
        <v>1773</v>
      </c>
      <c r="B164" s="8" t="s">
        <v>1774</v>
      </c>
      <c r="C164" s="21" t="s">
        <v>1775</v>
      </c>
      <c r="D164" s="22" t="s">
        <v>75</v>
      </c>
      <c r="E164" s="11" t="s">
        <v>114</v>
      </c>
      <c r="F164" s="11" t="s">
        <v>1776</v>
      </c>
      <c r="G164" s="12">
        <v>25549</v>
      </c>
      <c r="H164" s="11" t="s">
        <v>24</v>
      </c>
      <c r="I164" s="11" t="s">
        <v>1777</v>
      </c>
      <c r="J164" s="11" t="s">
        <v>1778</v>
      </c>
      <c r="K164" s="11" t="s">
        <v>110</v>
      </c>
      <c r="L164" s="23">
        <v>319037628</v>
      </c>
      <c r="M164" s="14">
        <v>46527487</v>
      </c>
      <c r="N164" s="14">
        <v>272510141</v>
      </c>
      <c r="O164" s="14">
        <v>118960265</v>
      </c>
      <c r="P164" s="14">
        <v>9521305</v>
      </c>
      <c r="Q164" s="14">
        <v>26092874</v>
      </c>
      <c r="R164" s="14">
        <v>23518478</v>
      </c>
      <c r="S164" s="15">
        <v>22800500</v>
      </c>
      <c r="T164" s="15">
        <v>1289530</v>
      </c>
      <c r="U164" s="15">
        <v>2897921</v>
      </c>
      <c r="V164" s="15">
        <f>94547+1686184+127529+31111</f>
        <v>1939371</v>
      </c>
      <c r="W164" s="15">
        <v>0</v>
      </c>
      <c r="X164" s="15">
        <v>2084021</v>
      </c>
      <c r="Y164" s="24" t="s">
        <v>2113</v>
      </c>
      <c r="Z164" s="15">
        <v>0</v>
      </c>
      <c r="AA164" s="15">
        <v>0</v>
      </c>
      <c r="AB164" s="74">
        <f t="shared" si="118"/>
        <v>6921313</v>
      </c>
      <c r="AC164" s="75">
        <f t="shared" si="119"/>
        <v>30.355970263810008</v>
      </c>
      <c r="AD164" s="75">
        <f t="shared" si="120"/>
        <v>73.887252361498838</v>
      </c>
      <c r="AE164" s="76">
        <f t="shared" si="159"/>
        <v>2.2166175708449649</v>
      </c>
      <c r="AF164" s="77">
        <f t="shared" si="121"/>
        <v>22.487558673551217</v>
      </c>
      <c r="AG164" s="77">
        <f t="shared" si="122"/>
        <v>32.175736380088857</v>
      </c>
      <c r="AH164" s="77">
        <f t="shared" si="123"/>
        <v>9.6881777065376404</v>
      </c>
      <c r="AI164" s="78">
        <f t="shared" si="124"/>
        <v>100</v>
      </c>
      <c r="AJ164" s="79">
        <f t="shared" si="160"/>
        <v>4</v>
      </c>
      <c r="AK164" s="113">
        <v>7</v>
      </c>
      <c r="AL164" s="113">
        <v>2</v>
      </c>
      <c r="AM164" s="113">
        <v>2</v>
      </c>
      <c r="AN164" s="81">
        <f t="shared" si="125"/>
        <v>9</v>
      </c>
      <c r="AO164" s="82">
        <f t="shared" si="126"/>
        <v>22.222222222222221</v>
      </c>
      <c r="AP164" s="83">
        <f t="shared" si="127"/>
        <v>60</v>
      </c>
      <c r="AQ164" s="84">
        <f t="shared" si="161"/>
        <v>1.2</v>
      </c>
      <c r="AR164" s="118">
        <v>2</v>
      </c>
      <c r="AS164" s="86">
        <f t="shared" si="128"/>
        <v>0.25</v>
      </c>
      <c r="AT164" s="87">
        <f t="shared" si="129"/>
        <v>1.75</v>
      </c>
      <c r="AU164" s="87">
        <f t="shared" si="130"/>
        <v>1</v>
      </c>
      <c r="AV164" s="88">
        <f t="shared" si="131"/>
        <v>14.285714285714285</v>
      </c>
      <c r="AW164" s="78">
        <f t="shared" si="132"/>
        <v>60</v>
      </c>
      <c r="AX164" s="89">
        <f t="shared" si="162"/>
        <v>0.6</v>
      </c>
      <c r="AY164" s="114">
        <v>14</v>
      </c>
      <c r="AZ164" s="114">
        <f>14*2-2</f>
        <v>26</v>
      </c>
      <c r="BA164" s="91">
        <f t="shared" si="133"/>
        <v>28</v>
      </c>
      <c r="BB164" s="77">
        <f t="shared" si="134"/>
        <v>92.857142857142861</v>
      </c>
      <c r="BC164" s="78">
        <f t="shared" si="135"/>
        <v>100</v>
      </c>
      <c r="BD164" s="79">
        <f t="shared" si="163"/>
        <v>1</v>
      </c>
      <c r="BE164" s="92">
        <v>9810883</v>
      </c>
      <c r="BF164" s="92">
        <v>713653</v>
      </c>
      <c r="BG164" s="114">
        <v>104997</v>
      </c>
      <c r="BH164" s="94">
        <f t="shared" si="136"/>
        <v>10524536</v>
      </c>
      <c r="BI164" s="77">
        <f t="shared" si="137"/>
        <v>0.99764018100180385</v>
      </c>
      <c r="BJ164" s="95" t="str">
        <f t="shared" si="138"/>
        <v>금속/비금속/화학업</v>
      </c>
      <c r="BK164" s="96">
        <f t="shared" si="139"/>
        <v>3.9534118626990469</v>
      </c>
      <c r="BL164" s="97">
        <f t="shared" si="140"/>
        <v>-2.955771681697243</v>
      </c>
      <c r="BM164" s="98">
        <f t="shared" si="141"/>
        <v>100</v>
      </c>
      <c r="BN164" s="99">
        <f t="shared" si="142"/>
        <v>2</v>
      </c>
      <c r="BO164" s="114">
        <v>489000</v>
      </c>
      <c r="BP164" s="101">
        <f t="shared" si="143"/>
        <v>0.41106162633380144</v>
      </c>
      <c r="BQ164" s="78">
        <f t="shared" si="144"/>
        <v>55</v>
      </c>
      <c r="BR164" s="79">
        <f t="shared" si="164"/>
        <v>1.1000000000000001</v>
      </c>
      <c r="BS164" s="102">
        <v>1615945.2309999999</v>
      </c>
      <c r="BT164" s="102">
        <v>657954.54500000004</v>
      </c>
      <c r="BU164" s="103">
        <f t="shared" si="145"/>
        <v>957990.68599999987</v>
      </c>
      <c r="BV164" s="77">
        <f t="shared" si="146"/>
        <v>0.80530308670714534</v>
      </c>
      <c r="BW164" s="96">
        <f t="shared" si="147"/>
        <v>5.1474158565187738</v>
      </c>
      <c r="BX164" s="96">
        <f t="shared" si="148"/>
        <v>18.853943305761209</v>
      </c>
      <c r="BY164" s="96">
        <f t="shared" si="149"/>
        <v>6.6930498535228535</v>
      </c>
      <c r="BZ164" s="96">
        <f t="shared" si="150"/>
        <v>74.174984933104938</v>
      </c>
      <c r="CA164" s="96">
        <f t="shared" si="151"/>
        <v>40</v>
      </c>
      <c r="CB164" s="104">
        <f t="shared" si="152"/>
        <v>0.8</v>
      </c>
      <c r="CC164" s="105">
        <f t="shared" si="165"/>
        <v>17.073671764750951</v>
      </c>
      <c r="CD164" s="106">
        <f t="shared" si="166"/>
        <v>93.942083505747135</v>
      </c>
      <c r="CE164" s="107">
        <f t="shared" si="167"/>
        <v>1.409131252586207</v>
      </c>
      <c r="CF164" s="108" t="s">
        <v>2189</v>
      </c>
      <c r="CG164" s="108" t="s">
        <v>2189</v>
      </c>
      <c r="CH164" s="108" t="s">
        <v>2189</v>
      </c>
      <c r="CI164" s="108" t="s">
        <v>2189</v>
      </c>
      <c r="CJ164" s="109"/>
      <c r="CK164" s="116" t="s">
        <v>2199</v>
      </c>
      <c r="CL164" s="116" t="s">
        <v>2193</v>
      </c>
      <c r="CM164" s="111">
        <f t="shared" si="153"/>
        <v>25</v>
      </c>
      <c r="CN164" s="107">
        <f t="shared" si="168"/>
        <v>0.375</v>
      </c>
      <c r="CO164" s="114">
        <f>70924000-39150000</f>
        <v>31774000</v>
      </c>
      <c r="CP164" s="88">
        <f t="shared" si="154"/>
        <v>11.659749572402152</v>
      </c>
      <c r="CQ164" s="78">
        <f t="shared" si="155"/>
        <v>60</v>
      </c>
      <c r="CR164" s="79">
        <f t="shared" si="169"/>
        <v>1.7999999999999998</v>
      </c>
      <c r="CS164" s="92">
        <f>_xlfn.XLOOKUP(C164, '[1]1-1. 관계사체무보증금액 (환율 등)'!$3:$3, '[1]1-1. 관계사체무보증금액 (환율 등)'!$33:$33)</f>
        <v>0</v>
      </c>
      <c r="CT164" s="77">
        <f t="shared" si="156"/>
        <v>0</v>
      </c>
      <c r="CU164" s="78">
        <f t="shared" si="157"/>
        <v>100</v>
      </c>
      <c r="CV164" s="79">
        <f t="shared" si="170"/>
        <v>2</v>
      </c>
      <c r="CW164" s="112">
        <f t="shared" si="158"/>
        <v>18.500748823431174</v>
      </c>
    </row>
    <row r="165" spans="1:101" x14ac:dyDescent="0.35">
      <c r="A165" s="7" t="s">
        <v>1437</v>
      </c>
      <c r="B165" s="8" t="s">
        <v>1438</v>
      </c>
      <c r="C165" s="21" t="s">
        <v>1439</v>
      </c>
      <c r="D165" s="10" t="s">
        <v>21</v>
      </c>
      <c r="E165" s="11" t="s">
        <v>1440</v>
      </c>
      <c r="F165" s="11" t="s">
        <v>1441</v>
      </c>
      <c r="G165" s="12">
        <v>43775</v>
      </c>
      <c r="H165" s="11" t="s">
        <v>24</v>
      </c>
      <c r="I165" s="11" t="s">
        <v>1442</v>
      </c>
      <c r="J165" s="11" t="s">
        <v>1443</v>
      </c>
      <c r="K165" s="11" t="s">
        <v>27</v>
      </c>
      <c r="L165" s="23">
        <v>753639957</v>
      </c>
      <c r="M165" s="14">
        <v>284239813</v>
      </c>
      <c r="N165" s="14">
        <v>469400144</v>
      </c>
      <c r="O165" s="14">
        <v>589689077</v>
      </c>
      <c r="P165" s="14">
        <v>92750362</v>
      </c>
      <c r="Q165" s="14">
        <v>95830158</v>
      </c>
      <c r="R165" s="14">
        <v>72515496</v>
      </c>
      <c r="S165" s="15">
        <v>38782520</v>
      </c>
      <c r="T165" s="15">
        <v>0</v>
      </c>
      <c r="U165" s="15">
        <v>19319000</v>
      </c>
      <c r="V165" s="15">
        <v>0</v>
      </c>
      <c r="W165" s="15">
        <f>13919+90946+19084+17555</f>
        <v>141504</v>
      </c>
      <c r="X165" s="15">
        <v>0</v>
      </c>
      <c r="Z165" s="15">
        <v>0</v>
      </c>
      <c r="AA165" s="15">
        <v>0</v>
      </c>
      <c r="AB165" s="74">
        <f t="shared" si="118"/>
        <v>19460504</v>
      </c>
      <c r="AC165" s="75">
        <f t="shared" si="119"/>
        <v>50.178544354518486</v>
      </c>
      <c r="AD165" s="75">
        <f t="shared" si="120"/>
        <v>56.779161949494984</v>
      </c>
      <c r="AE165" s="76">
        <f t="shared" si="159"/>
        <v>1.7033748584848494</v>
      </c>
      <c r="AF165" s="77">
        <f t="shared" si="121"/>
        <v>49.813678946081893</v>
      </c>
      <c r="AG165" s="77">
        <f t="shared" si="122"/>
        <v>50.178544354518486</v>
      </c>
      <c r="AH165" s="77">
        <f t="shared" si="123"/>
        <v>0.36486540843659299</v>
      </c>
      <c r="AI165" s="78">
        <f t="shared" si="124"/>
        <v>100</v>
      </c>
      <c r="AJ165" s="79">
        <f t="shared" si="160"/>
        <v>4</v>
      </c>
      <c r="AK165" s="113">
        <v>5</v>
      </c>
      <c r="AL165" s="113">
        <v>7</v>
      </c>
      <c r="AM165" s="113">
        <v>0</v>
      </c>
      <c r="AN165" s="81">
        <f t="shared" si="125"/>
        <v>12</v>
      </c>
      <c r="AO165" s="82">
        <f t="shared" si="126"/>
        <v>0</v>
      </c>
      <c r="AP165" s="83">
        <f t="shared" si="127"/>
        <v>100</v>
      </c>
      <c r="AQ165" s="84">
        <f t="shared" si="161"/>
        <v>2</v>
      </c>
      <c r="AR165" s="118">
        <v>3</v>
      </c>
      <c r="AS165" s="86">
        <f t="shared" si="128"/>
        <v>0.25</v>
      </c>
      <c r="AT165" s="87">
        <f t="shared" si="129"/>
        <v>1.25</v>
      </c>
      <c r="AU165" s="87">
        <f t="shared" si="130"/>
        <v>1</v>
      </c>
      <c r="AV165" s="88">
        <f t="shared" si="131"/>
        <v>40</v>
      </c>
      <c r="AW165" s="78">
        <f t="shared" si="132"/>
        <v>100</v>
      </c>
      <c r="AX165" s="89">
        <f t="shared" si="162"/>
        <v>1</v>
      </c>
      <c r="AY165" s="114">
        <v>8</v>
      </c>
      <c r="AZ165" s="114">
        <v>24</v>
      </c>
      <c r="BA165" s="91">
        <f t="shared" si="133"/>
        <v>24</v>
      </c>
      <c r="BB165" s="77">
        <f t="shared" si="134"/>
        <v>100</v>
      </c>
      <c r="BC165" s="78">
        <f t="shared" si="135"/>
        <v>100</v>
      </c>
      <c r="BD165" s="79">
        <f t="shared" si="163"/>
        <v>1</v>
      </c>
      <c r="BE165" s="92">
        <v>7304487</v>
      </c>
      <c r="BF165" s="92">
        <v>613706</v>
      </c>
      <c r="BG165" s="93">
        <v>0</v>
      </c>
      <c r="BH165" s="94">
        <f t="shared" si="136"/>
        <v>7918193</v>
      </c>
      <c r="BI165" s="77">
        <f t="shared" si="137"/>
        <v>0</v>
      </c>
      <c r="BJ165" s="95" t="str">
        <f t="shared" si="138"/>
        <v>비제조/서비스업</v>
      </c>
      <c r="BK165" s="96">
        <f t="shared" si="139"/>
        <v>1.7464434573900922</v>
      </c>
      <c r="BL165" s="97">
        <f t="shared" si="140"/>
        <v>-1.7464434573900922</v>
      </c>
      <c r="BM165" s="98">
        <f t="shared" si="141"/>
        <v>80</v>
      </c>
      <c r="BN165" s="99">
        <f t="shared" si="142"/>
        <v>1.6</v>
      </c>
      <c r="BO165" s="114">
        <v>4660000</v>
      </c>
      <c r="BP165" s="101">
        <f t="shared" si="143"/>
        <v>0.79024695924628763</v>
      </c>
      <c r="BQ165" s="78">
        <f t="shared" si="144"/>
        <v>70</v>
      </c>
      <c r="BR165" s="79">
        <f t="shared" si="164"/>
        <v>1.4000000000000001</v>
      </c>
      <c r="BS165" s="102">
        <v>420664</v>
      </c>
      <c r="BT165" s="102">
        <v>246897</v>
      </c>
      <c r="BU165" s="103">
        <f t="shared" si="145"/>
        <v>173767</v>
      </c>
      <c r="BV165" s="77">
        <f t="shared" si="146"/>
        <v>2.946756295436688E-2</v>
      </c>
      <c r="BW165" s="96">
        <f t="shared" si="147"/>
        <v>2.8482825397737606</v>
      </c>
      <c r="BX165" s="96">
        <f t="shared" si="148"/>
        <v>7.9457178735413176</v>
      </c>
      <c r="BY165" s="96">
        <f t="shared" si="149"/>
        <v>5.5697595856656807</v>
      </c>
      <c r="BZ165" s="96">
        <f t="shared" si="150"/>
        <v>69.360423203135724</v>
      </c>
      <c r="CA165" s="96">
        <f t="shared" si="151"/>
        <v>40</v>
      </c>
      <c r="CB165" s="104">
        <f t="shared" si="152"/>
        <v>0.8</v>
      </c>
      <c r="CC165" s="105">
        <f t="shared" si="165"/>
        <v>60.553840179478094</v>
      </c>
      <c r="CD165" s="106">
        <f t="shared" si="166"/>
        <v>77.555085359493177</v>
      </c>
      <c r="CE165" s="107">
        <f t="shared" si="167"/>
        <v>1.1633262803923976</v>
      </c>
      <c r="CF165" s="108" t="s">
        <v>2189</v>
      </c>
      <c r="CG165" s="108" t="s">
        <v>2189</v>
      </c>
      <c r="CH165" s="108" t="s">
        <v>2189</v>
      </c>
      <c r="CI165" s="108" t="s">
        <v>2189</v>
      </c>
      <c r="CJ165" s="109"/>
      <c r="CK165" s="116" t="s">
        <v>2195</v>
      </c>
      <c r="CL165" s="116" t="s">
        <v>2196</v>
      </c>
      <c r="CM165" s="111">
        <f t="shared" si="153"/>
        <v>55</v>
      </c>
      <c r="CN165" s="107">
        <f t="shared" si="168"/>
        <v>0.82499999999999996</v>
      </c>
      <c r="CO165" s="114">
        <v>102005000</v>
      </c>
      <c r="CP165" s="88">
        <f t="shared" si="154"/>
        <v>21.730926439596491</v>
      </c>
      <c r="CQ165" s="78">
        <f t="shared" si="155"/>
        <v>60</v>
      </c>
      <c r="CR165" s="79">
        <f t="shared" si="169"/>
        <v>1.7999999999999998</v>
      </c>
      <c r="CS165" s="92">
        <f>_xlfn.XLOOKUP(C165, '[1]1-1. 관계사체무보증금액 (환율 등)'!$3:$3, '[1]1-1. 관계사체무보증금액 (환율 등)'!$33:$33)</f>
        <v>52000000</v>
      </c>
      <c r="CT165" s="77">
        <f t="shared" si="156"/>
        <v>11.077968480555047</v>
      </c>
      <c r="CU165" s="78">
        <f t="shared" si="157"/>
        <v>60</v>
      </c>
      <c r="CV165" s="79">
        <f t="shared" si="170"/>
        <v>1.2</v>
      </c>
      <c r="CW165" s="112">
        <f t="shared" si="158"/>
        <v>18.491701138877247</v>
      </c>
    </row>
    <row r="166" spans="1:101" x14ac:dyDescent="0.35">
      <c r="A166" s="7" t="s">
        <v>2007</v>
      </c>
      <c r="B166" s="8" t="s">
        <v>2008</v>
      </c>
      <c r="C166" s="21" t="s">
        <v>2009</v>
      </c>
      <c r="D166" s="10" t="s">
        <v>75</v>
      </c>
      <c r="E166" s="11" t="s">
        <v>106</v>
      </c>
      <c r="F166" s="11" t="s">
        <v>2010</v>
      </c>
      <c r="G166" s="12">
        <v>40115</v>
      </c>
      <c r="H166" s="11" t="s">
        <v>24</v>
      </c>
      <c r="I166" s="11" t="s">
        <v>78</v>
      </c>
      <c r="J166" s="11" t="s">
        <v>2011</v>
      </c>
      <c r="K166" s="11" t="s">
        <v>50</v>
      </c>
      <c r="L166" s="23">
        <v>292166785</v>
      </c>
      <c r="M166" s="14">
        <v>44275143</v>
      </c>
      <c r="N166" s="14">
        <v>247891642</v>
      </c>
      <c r="O166" s="14">
        <v>161284519</v>
      </c>
      <c r="P166" s="14">
        <v>27840640</v>
      </c>
      <c r="Q166" s="14">
        <v>28718534</v>
      </c>
      <c r="R166" s="14">
        <v>22454629</v>
      </c>
      <c r="S166" s="15">
        <v>17000000</v>
      </c>
      <c r="T166" s="15">
        <v>11218</v>
      </c>
      <c r="U166" s="15">
        <v>5364271</v>
      </c>
      <c r="V166" s="15">
        <f>1588234+1504224+744609</f>
        <v>3837067</v>
      </c>
      <c r="W166" s="15">
        <v>0</v>
      </c>
      <c r="X166" s="15">
        <v>0</v>
      </c>
      <c r="Z166" s="15">
        <v>0</v>
      </c>
      <c r="AA166" s="15">
        <v>0</v>
      </c>
      <c r="AB166" s="74">
        <f t="shared" si="118"/>
        <v>9201338</v>
      </c>
      <c r="AC166" s="75">
        <f t="shared" si="119"/>
        <v>54.125517647058821</v>
      </c>
      <c r="AD166" s="75">
        <f t="shared" si="120"/>
        <v>53.372683273539572</v>
      </c>
      <c r="AE166" s="76">
        <f t="shared" si="159"/>
        <v>1.601180498206187</v>
      </c>
      <c r="AF166" s="77">
        <f t="shared" si="121"/>
        <v>54.161257705231606</v>
      </c>
      <c r="AG166" s="77">
        <f t="shared" si="122"/>
        <v>54.161257705231606</v>
      </c>
      <c r="AH166" s="77">
        <f t="shared" si="123"/>
        <v>0</v>
      </c>
      <c r="AI166" s="78">
        <f t="shared" si="124"/>
        <v>100</v>
      </c>
      <c r="AJ166" s="79">
        <f t="shared" si="160"/>
        <v>4</v>
      </c>
      <c r="AK166" s="113">
        <v>5</v>
      </c>
      <c r="AL166" s="113">
        <v>3</v>
      </c>
      <c r="AM166" s="113">
        <v>1</v>
      </c>
      <c r="AN166" s="81">
        <f t="shared" si="125"/>
        <v>8</v>
      </c>
      <c r="AO166" s="82">
        <f t="shared" si="126"/>
        <v>12.5</v>
      </c>
      <c r="AP166" s="83">
        <f t="shared" si="127"/>
        <v>80</v>
      </c>
      <c r="AQ166" s="84">
        <f t="shared" si="161"/>
        <v>1.6</v>
      </c>
      <c r="AR166" s="118">
        <v>1</v>
      </c>
      <c r="AS166" s="86">
        <f t="shared" si="128"/>
        <v>0.25</v>
      </c>
      <c r="AT166" s="87">
        <f t="shared" si="129"/>
        <v>1.25</v>
      </c>
      <c r="AU166" s="87">
        <f t="shared" si="130"/>
        <v>1</v>
      </c>
      <c r="AV166" s="88">
        <f t="shared" si="131"/>
        <v>0</v>
      </c>
      <c r="AW166" s="78">
        <f t="shared" si="132"/>
        <v>40</v>
      </c>
      <c r="AX166" s="89">
        <f t="shared" si="162"/>
        <v>0.4</v>
      </c>
      <c r="AY166" s="114">
        <v>11</v>
      </c>
      <c r="AZ166" s="114">
        <v>11</v>
      </c>
      <c r="BA166" s="91">
        <f t="shared" si="133"/>
        <v>11</v>
      </c>
      <c r="BB166" s="77">
        <f t="shared" si="134"/>
        <v>100</v>
      </c>
      <c r="BC166" s="78">
        <f t="shared" si="135"/>
        <v>100</v>
      </c>
      <c r="BD166" s="79">
        <f t="shared" si="163"/>
        <v>1</v>
      </c>
      <c r="BE166" s="92">
        <v>3276556</v>
      </c>
      <c r="BF166" s="92">
        <v>277587</v>
      </c>
      <c r="BG166" s="114">
        <v>35980</v>
      </c>
      <c r="BH166" s="94">
        <f t="shared" si="136"/>
        <v>3554143</v>
      </c>
      <c r="BI166" s="77">
        <f t="shared" si="137"/>
        <v>1.0123396835749152</v>
      </c>
      <c r="BJ166" s="95" t="str">
        <f t="shared" si="138"/>
        <v>금속/비금속/화학업</v>
      </c>
      <c r="BK166" s="96">
        <f t="shared" si="139"/>
        <v>3.9534118626990469</v>
      </c>
      <c r="BL166" s="97">
        <f t="shared" si="140"/>
        <v>-2.9410721791241317</v>
      </c>
      <c r="BM166" s="98">
        <f t="shared" si="141"/>
        <v>100</v>
      </c>
      <c r="BN166" s="99">
        <f t="shared" si="142"/>
        <v>2</v>
      </c>
      <c r="BO166" s="114">
        <v>2824000</v>
      </c>
      <c r="BP166" s="101">
        <f t="shared" si="143"/>
        <v>1.7509430027813147</v>
      </c>
      <c r="BQ166" s="78">
        <f t="shared" si="144"/>
        <v>70</v>
      </c>
      <c r="BR166" s="79">
        <f t="shared" si="164"/>
        <v>1.4000000000000001</v>
      </c>
      <c r="BS166" s="102">
        <v>298099.02799999999</v>
      </c>
      <c r="BT166" s="102">
        <v>435505.81900000002</v>
      </c>
      <c r="BU166" s="103">
        <f t="shared" si="145"/>
        <v>-137406.79100000003</v>
      </c>
      <c r="BV166" s="77">
        <f t="shared" si="146"/>
        <v>-8.5195275933457715E-2</v>
      </c>
      <c r="BW166" s="96">
        <f t="shared" si="147"/>
        <v>5.1474158565187738</v>
      </c>
      <c r="BX166" s="96">
        <f t="shared" si="148"/>
        <v>27.380219263463026</v>
      </c>
      <c r="BY166" s="96">
        <f t="shared" si="149"/>
        <v>6.6930498535228535</v>
      </c>
      <c r="BZ166" s="96">
        <f t="shared" si="150"/>
        <v>78.283327015054866</v>
      </c>
      <c r="CA166" s="96">
        <f t="shared" si="151"/>
        <v>40</v>
      </c>
      <c r="CB166" s="104">
        <f t="shared" si="152"/>
        <v>0.8</v>
      </c>
      <c r="CC166" s="105">
        <f t="shared" si="165"/>
        <v>17.860684064531711</v>
      </c>
      <c r="CD166" s="106">
        <f t="shared" si="166"/>
        <v>93.645470829950355</v>
      </c>
      <c r="CE166" s="107">
        <f t="shared" si="167"/>
        <v>1.4046820624492553</v>
      </c>
      <c r="CF166" s="108" t="s">
        <v>2189</v>
      </c>
      <c r="CG166" s="108" t="s">
        <v>2189</v>
      </c>
      <c r="CH166" s="108" t="s">
        <v>2189</v>
      </c>
      <c r="CI166" s="108" t="s">
        <v>2189</v>
      </c>
      <c r="CJ166" s="109"/>
      <c r="CK166" s="116" t="s">
        <v>2245</v>
      </c>
      <c r="CL166" s="116" t="s">
        <v>2204</v>
      </c>
      <c r="CM166" s="111">
        <f t="shared" si="153"/>
        <v>70</v>
      </c>
      <c r="CN166" s="107">
        <f t="shared" si="168"/>
        <v>1.05</v>
      </c>
      <c r="CO166" s="114">
        <v>105569000</v>
      </c>
      <c r="CP166" s="88">
        <f t="shared" si="154"/>
        <v>42.586752481150612</v>
      </c>
      <c r="CQ166" s="78">
        <f t="shared" si="155"/>
        <v>40</v>
      </c>
      <c r="CR166" s="79">
        <f t="shared" si="169"/>
        <v>1.2</v>
      </c>
      <c r="CS166" s="92">
        <f>_xlfn.XLOOKUP(C166, '[1]1-1. 관계사체무보증금액 (환율 등)'!$3:$3, '[1]1-1. 관계사체무보증금액 (환율 등)'!$33:$33)</f>
        <v>0</v>
      </c>
      <c r="CT166" s="77">
        <f t="shared" si="156"/>
        <v>0</v>
      </c>
      <c r="CU166" s="78">
        <f t="shared" si="157"/>
        <v>100</v>
      </c>
      <c r="CV166" s="79">
        <f t="shared" si="170"/>
        <v>2</v>
      </c>
      <c r="CW166" s="112">
        <f t="shared" si="158"/>
        <v>18.455862560655444</v>
      </c>
    </row>
    <row r="167" spans="1:101" x14ac:dyDescent="0.35">
      <c r="A167" s="7" t="s">
        <v>505</v>
      </c>
      <c r="B167" s="8" t="s">
        <v>506</v>
      </c>
      <c r="C167" s="21" t="s">
        <v>507</v>
      </c>
      <c r="D167" s="10" t="s">
        <v>75</v>
      </c>
      <c r="E167" s="11" t="s">
        <v>508</v>
      </c>
      <c r="F167" s="11" t="s">
        <v>509</v>
      </c>
      <c r="G167" s="12">
        <v>32130</v>
      </c>
      <c r="H167" s="11" t="s">
        <v>24</v>
      </c>
      <c r="I167" s="11" t="s">
        <v>510</v>
      </c>
      <c r="J167" s="11" t="s">
        <v>511</v>
      </c>
      <c r="K167" s="11" t="s">
        <v>102</v>
      </c>
      <c r="L167" s="23">
        <v>736767227</v>
      </c>
      <c r="M167" s="14">
        <v>105463213</v>
      </c>
      <c r="N167" s="14">
        <v>631304014</v>
      </c>
      <c r="O167" s="14">
        <v>737876931</v>
      </c>
      <c r="P167" s="14">
        <v>30653869</v>
      </c>
      <c r="Q167" s="14">
        <v>35607383</v>
      </c>
      <c r="R167" s="14">
        <v>31223584</v>
      </c>
      <c r="S167" s="15">
        <v>53543977</v>
      </c>
      <c r="T167" s="15">
        <v>2940839</v>
      </c>
      <c r="U167" s="15">
        <f>25965940</f>
        <v>25965940</v>
      </c>
      <c r="V167" s="15">
        <f>4612102+1210260</f>
        <v>5822362</v>
      </c>
      <c r="W167" s="15">
        <v>0</v>
      </c>
      <c r="X167" s="15">
        <v>0</v>
      </c>
      <c r="Z167" s="15">
        <v>0</v>
      </c>
      <c r="AA167" s="15">
        <v>0</v>
      </c>
      <c r="AB167" s="74">
        <f t="shared" si="118"/>
        <v>31788302</v>
      </c>
      <c r="AC167" s="75">
        <f t="shared" si="119"/>
        <v>59.368585938246611</v>
      </c>
      <c r="AD167" s="75">
        <f t="shared" si="120"/>
        <v>48.847595565379798</v>
      </c>
      <c r="AE167" s="76">
        <f t="shared" si="159"/>
        <v>1.4654278669613938</v>
      </c>
      <c r="AF167" s="77">
        <f t="shared" si="121"/>
        <v>62.818835464314482</v>
      </c>
      <c r="AG167" s="77">
        <f t="shared" si="122"/>
        <v>62.818835464314482</v>
      </c>
      <c r="AH167" s="77">
        <f t="shared" si="123"/>
        <v>0</v>
      </c>
      <c r="AI167" s="78">
        <f t="shared" si="124"/>
        <v>100</v>
      </c>
      <c r="AJ167" s="79">
        <f t="shared" si="160"/>
        <v>4</v>
      </c>
      <c r="AK167" s="113">
        <v>5</v>
      </c>
      <c r="AL167" s="113">
        <v>13</v>
      </c>
      <c r="AM167" s="113">
        <v>2</v>
      </c>
      <c r="AN167" s="81">
        <f t="shared" si="125"/>
        <v>18</v>
      </c>
      <c r="AO167" s="82">
        <f t="shared" si="126"/>
        <v>11.111111111111111</v>
      </c>
      <c r="AP167" s="83">
        <f t="shared" si="127"/>
        <v>80</v>
      </c>
      <c r="AQ167" s="84">
        <f t="shared" si="161"/>
        <v>1.6</v>
      </c>
      <c r="AR167" s="118">
        <v>3</v>
      </c>
      <c r="AS167" s="86">
        <f t="shared" si="128"/>
        <v>0.25</v>
      </c>
      <c r="AT167" s="87">
        <f t="shared" si="129"/>
        <v>1.25</v>
      </c>
      <c r="AU167" s="87">
        <f t="shared" si="130"/>
        <v>1</v>
      </c>
      <c r="AV167" s="88">
        <f t="shared" si="131"/>
        <v>40</v>
      </c>
      <c r="AW167" s="78">
        <f t="shared" si="132"/>
        <v>100</v>
      </c>
      <c r="AX167" s="89">
        <f t="shared" si="162"/>
        <v>1</v>
      </c>
      <c r="AY167" s="114">
        <v>13</v>
      </c>
      <c r="AZ167" s="114">
        <v>39</v>
      </c>
      <c r="BA167" s="91">
        <f t="shared" si="133"/>
        <v>39</v>
      </c>
      <c r="BB167" s="77">
        <f t="shared" si="134"/>
        <v>100</v>
      </c>
      <c r="BC167" s="78">
        <f t="shared" si="135"/>
        <v>100</v>
      </c>
      <c r="BD167" s="79">
        <f t="shared" si="163"/>
        <v>1</v>
      </c>
      <c r="BE167" s="92">
        <v>11883939</v>
      </c>
      <c r="BF167" s="92">
        <v>1178878</v>
      </c>
      <c r="BG167" s="114">
        <v>53545</v>
      </c>
      <c r="BH167" s="94">
        <f t="shared" si="136"/>
        <v>13062817</v>
      </c>
      <c r="BI167" s="77">
        <f t="shared" si="137"/>
        <v>0.40990392807309478</v>
      </c>
      <c r="BJ167" s="95" t="str">
        <f t="shared" si="138"/>
        <v>금속/비금속/화학업</v>
      </c>
      <c r="BK167" s="96">
        <f t="shared" si="139"/>
        <v>3.9534118626990469</v>
      </c>
      <c r="BL167" s="97">
        <f t="shared" si="140"/>
        <v>-3.5435079346259521</v>
      </c>
      <c r="BM167" s="98">
        <f t="shared" si="141"/>
        <v>100</v>
      </c>
      <c r="BN167" s="99">
        <f t="shared" si="142"/>
        <v>2</v>
      </c>
      <c r="BO167" s="114">
        <f>(90494-338)*1000</f>
        <v>90156000</v>
      </c>
      <c r="BP167" s="101">
        <f t="shared" si="143"/>
        <v>12.218297687910777</v>
      </c>
      <c r="BQ167" s="78">
        <f t="shared" si="144"/>
        <v>100</v>
      </c>
      <c r="BR167" s="79">
        <f t="shared" si="164"/>
        <v>2</v>
      </c>
      <c r="BS167" s="102">
        <v>7141363.7050000001</v>
      </c>
      <c r="BT167" s="102">
        <v>1471224.0249999999</v>
      </c>
      <c r="BU167" s="103">
        <f t="shared" si="145"/>
        <v>5670139.6799999997</v>
      </c>
      <c r="BV167" s="77">
        <f t="shared" si="146"/>
        <v>0.76843975489457328</v>
      </c>
      <c r="BW167" s="96">
        <f t="shared" si="147"/>
        <v>5.1474158565187738</v>
      </c>
      <c r="BX167" s="96">
        <f t="shared" si="148"/>
        <v>19.175431698595879</v>
      </c>
      <c r="BY167" s="96">
        <f t="shared" si="149"/>
        <v>6.6930498535228535</v>
      </c>
      <c r="BZ167" s="96">
        <f t="shared" si="150"/>
        <v>74.352694451993784</v>
      </c>
      <c r="CA167" s="96">
        <f t="shared" si="151"/>
        <v>40</v>
      </c>
      <c r="CB167" s="104">
        <f t="shared" si="152"/>
        <v>0.8</v>
      </c>
      <c r="CC167" s="105">
        <f t="shared" si="165"/>
        <v>16.705614198740072</v>
      </c>
      <c r="CD167" s="106">
        <f t="shared" si="166"/>
        <v>94.080798668816556</v>
      </c>
      <c r="CE167" s="107">
        <f t="shared" si="167"/>
        <v>1.4112119800322482</v>
      </c>
      <c r="CF167" s="108" t="s">
        <v>2189</v>
      </c>
      <c r="CG167" s="108" t="s">
        <v>2189</v>
      </c>
      <c r="CH167" s="108" t="s">
        <v>2189</v>
      </c>
      <c r="CI167" s="108" t="s">
        <v>2189</v>
      </c>
      <c r="CJ167" s="109"/>
      <c r="CK167" s="116" t="s">
        <v>2192</v>
      </c>
      <c r="CL167" s="116" t="s">
        <v>2193</v>
      </c>
      <c r="CM167" s="111">
        <f t="shared" si="153"/>
        <v>25</v>
      </c>
      <c r="CN167" s="107">
        <f t="shared" si="168"/>
        <v>0.375</v>
      </c>
      <c r="CO167" s="114">
        <f>1036000+3022000+22290000+49721000+319670000</f>
        <v>395739000</v>
      </c>
      <c r="CP167" s="88">
        <f t="shared" si="154"/>
        <v>62.685962899643464</v>
      </c>
      <c r="CQ167" s="78">
        <f t="shared" si="155"/>
        <v>40</v>
      </c>
      <c r="CR167" s="79">
        <f t="shared" si="169"/>
        <v>1.2</v>
      </c>
      <c r="CS167" s="92">
        <f>_xlfn.XLOOKUP(C167, '[1]1-1. 관계사체무보증금액 (환율 등)'!$3:$3, '[1]1-1. 관계사체무보증금액 (환율 등)'!$33:$33)</f>
        <v>27179926.798720799</v>
      </c>
      <c r="CT167" s="77">
        <f t="shared" si="156"/>
        <v>4.3053625822060431</v>
      </c>
      <c r="CU167" s="78">
        <f t="shared" si="157"/>
        <v>80</v>
      </c>
      <c r="CV167" s="79">
        <f t="shared" si="170"/>
        <v>1.6</v>
      </c>
      <c r="CW167" s="112">
        <f t="shared" si="158"/>
        <v>18.451639846993643</v>
      </c>
    </row>
    <row r="168" spans="1:101" x14ac:dyDescent="0.35">
      <c r="A168" s="7" t="s">
        <v>1682</v>
      </c>
      <c r="B168" s="8" t="s">
        <v>1683</v>
      </c>
      <c r="C168" s="21" t="s">
        <v>1684</v>
      </c>
      <c r="D168" s="22" t="s">
        <v>21</v>
      </c>
      <c r="E168" s="11" t="s">
        <v>176</v>
      </c>
      <c r="F168" s="11" t="s">
        <v>1685</v>
      </c>
      <c r="G168" s="12">
        <v>39346</v>
      </c>
      <c r="H168" s="11" t="s">
        <v>24</v>
      </c>
      <c r="I168" s="11" t="s">
        <v>1686</v>
      </c>
      <c r="J168" s="11" t="s">
        <v>1687</v>
      </c>
      <c r="K168" s="11" t="s">
        <v>27</v>
      </c>
      <c r="L168" s="23">
        <v>7391490000</v>
      </c>
      <c r="M168" s="14">
        <v>2951621000</v>
      </c>
      <c r="N168" s="14">
        <v>4439869000</v>
      </c>
      <c r="O168" s="14">
        <v>5700446000</v>
      </c>
      <c r="P168" s="14">
        <v>784634000</v>
      </c>
      <c r="Q168" s="14">
        <v>676532000</v>
      </c>
      <c r="R168" s="14">
        <v>676532000</v>
      </c>
      <c r="S168" s="15">
        <v>534569512</v>
      </c>
      <c r="T168" s="15">
        <v>0</v>
      </c>
      <c r="U168" s="15">
        <v>292533115</v>
      </c>
      <c r="V168" s="15">
        <f>75008+3030</f>
        <v>78038</v>
      </c>
      <c r="W168" s="15">
        <f>30000+64541+27712+5749+1288+8120+2355+15150+5000+1500+3100+2000</f>
        <v>166515</v>
      </c>
      <c r="X168" s="15">
        <v>0</v>
      </c>
      <c r="Z168" s="15">
        <v>0</v>
      </c>
      <c r="AA168" s="15">
        <v>0</v>
      </c>
      <c r="AB168" s="74">
        <f t="shared" si="118"/>
        <v>292777668</v>
      </c>
      <c r="AC168" s="75">
        <f t="shared" si="119"/>
        <v>54.768867551877896</v>
      </c>
      <c r="AD168" s="75">
        <f t="shared" si="120"/>
        <v>52.817433067999517</v>
      </c>
      <c r="AE168" s="76">
        <f t="shared" si="159"/>
        <v>1.5845229920399855</v>
      </c>
      <c r="AF168" s="77">
        <f t="shared" si="121"/>
        <v>54.737718188462651</v>
      </c>
      <c r="AG168" s="77">
        <f t="shared" si="122"/>
        <v>54.768867551877896</v>
      </c>
      <c r="AH168" s="77">
        <f t="shared" si="123"/>
        <v>3.1149363415245546E-2</v>
      </c>
      <c r="AI168" s="78">
        <f t="shared" si="124"/>
        <v>100</v>
      </c>
      <c r="AJ168" s="79">
        <f t="shared" si="160"/>
        <v>4</v>
      </c>
      <c r="AK168" s="113">
        <v>6</v>
      </c>
      <c r="AL168" s="113">
        <v>12</v>
      </c>
      <c r="AM168" s="113">
        <v>1</v>
      </c>
      <c r="AN168" s="81">
        <f t="shared" si="125"/>
        <v>18</v>
      </c>
      <c r="AO168" s="82">
        <f t="shared" si="126"/>
        <v>5.5555555555555554</v>
      </c>
      <c r="AP168" s="83">
        <f t="shared" si="127"/>
        <v>100</v>
      </c>
      <c r="AQ168" s="84">
        <f t="shared" si="161"/>
        <v>2</v>
      </c>
      <c r="AR168" s="118">
        <v>3</v>
      </c>
      <c r="AS168" s="86">
        <f t="shared" si="128"/>
        <v>0.5</v>
      </c>
      <c r="AT168" s="87">
        <f t="shared" si="129"/>
        <v>3</v>
      </c>
      <c r="AU168" s="87">
        <f t="shared" si="130"/>
        <v>3</v>
      </c>
      <c r="AV168" s="88">
        <f t="shared" si="131"/>
        <v>0</v>
      </c>
      <c r="AW168" s="78">
        <f t="shared" si="132"/>
        <v>40</v>
      </c>
      <c r="AX168" s="89">
        <f t="shared" si="162"/>
        <v>0.4</v>
      </c>
      <c r="AY168" s="114">
        <v>12</v>
      </c>
      <c r="AZ168" s="114">
        <f>12*3-2</f>
        <v>34</v>
      </c>
      <c r="BA168" s="91">
        <f t="shared" si="133"/>
        <v>36</v>
      </c>
      <c r="BB168" s="77">
        <f t="shared" si="134"/>
        <v>94.444444444444443</v>
      </c>
      <c r="BC168" s="78">
        <f t="shared" si="135"/>
        <v>100</v>
      </c>
      <c r="BD168" s="79">
        <f t="shared" si="163"/>
        <v>1</v>
      </c>
      <c r="BE168" s="92">
        <v>190494000</v>
      </c>
      <c r="BF168" s="92">
        <v>9456000</v>
      </c>
      <c r="BG168" s="93">
        <v>0</v>
      </c>
      <c r="BH168" s="94">
        <f t="shared" si="136"/>
        <v>199950000</v>
      </c>
      <c r="BI168" s="77">
        <f t="shared" si="137"/>
        <v>0</v>
      </c>
      <c r="BJ168" s="95" t="str">
        <f t="shared" si="138"/>
        <v>비제조/서비스업</v>
      </c>
      <c r="BK168" s="96">
        <f t="shared" si="139"/>
        <v>1.7464434573900922</v>
      </c>
      <c r="BL168" s="97">
        <f t="shared" si="140"/>
        <v>-1.7464434573900922</v>
      </c>
      <c r="BM168" s="98">
        <f t="shared" si="141"/>
        <v>80</v>
      </c>
      <c r="BN168" s="99">
        <f t="shared" si="142"/>
        <v>1.6</v>
      </c>
      <c r="BO168" s="114">
        <v>0</v>
      </c>
      <c r="BP168" s="101">
        <f t="shared" si="143"/>
        <v>0</v>
      </c>
      <c r="BQ168" s="78">
        <f t="shared" si="144"/>
        <v>25</v>
      </c>
      <c r="BR168" s="79">
        <f t="shared" si="164"/>
        <v>0.5</v>
      </c>
      <c r="BS168" s="102">
        <v>340197000</v>
      </c>
      <c r="BT168" s="102">
        <v>16640000</v>
      </c>
      <c r="BU168" s="103">
        <f t="shared" si="145"/>
        <v>323557000</v>
      </c>
      <c r="BV168" s="77">
        <f t="shared" si="146"/>
        <v>5.6759944748182862</v>
      </c>
      <c r="BW168" s="96">
        <f t="shared" si="147"/>
        <v>2.8482825397737606</v>
      </c>
      <c r="BX168" s="96">
        <f t="shared" si="148"/>
        <v>7.9959547875932557</v>
      </c>
      <c r="BY168" s="96">
        <f t="shared" si="149"/>
        <v>5.5697595856656807</v>
      </c>
      <c r="BZ168" s="96">
        <f t="shared" si="150"/>
        <v>30.583533773893322</v>
      </c>
      <c r="CA168" s="96">
        <f t="shared" si="151"/>
        <v>70</v>
      </c>
      <c r="CB168" s="104">
        <f t="shared" si="152"/>
        <v>1.4000000000000001</v>
      </c>
      <c r="CC168" s="105">
        <f t="shared" si="165"/>
        <v>66.479911907310779</v>
      </c>
      <c r="CD168" s="106">
        <f t="shared" si="166"/>
        <v>75.321641240963274</v>
      </c>
      <c r="CE168" s="107">
        <f t="shared" si="167"/>
        <v>1.1298246186144492</v>
      </c>
      <c r="CF168" s="108" t="s">
        <v>2189</v>
      </c>
      <c r="CG168" s="108" t="s">
        <v>2189</v>
      </c>
      <c r="CH168" s="108" t="s">
        <v>2189</v>
      </c>
      <c r="CI168" s="108" t="s">
        <v>2189</v>
      </c>
      <c r="CJ168" s="109"/>
      <c r="CK168" s="116" t="s">
        <v>2202</v>
      </c>
      <c r="CL168" s="116" t="s">
        <v>2196</v>
      </c>
      <c r="CM168" s="111">
        <f t="shared" si="153"/>
        <v>55</v>
      </c>
      <c r="CN168" s="107">
        <f t="shared" si="168"/>
        <v>0.82499999999999996</v>
      </c>
      <c r="CO168" s="114">
        <v>213780000</v>
      </c>
      <c r="CP168" s="88">
        <f t="shared" si="154"/>
        <v>4.815006929258498</v>
      </c>
      <c r="CQ168" s="78">
        <f t="shared" si="155"/>
        <v>80</v>
      </c>
      <c r="CR168" s="79">
        <f t="shared" si="169"/>
        <v>2.4</v>
      </c>
      <c r="CS168" s="92">
        <f>_xlfn.XLOOKUP(C168, '[1]1-1. 관계사체무보증금액 (환율 등)'!$3:$3, '[1]1-1. 관계사체무보증금액 (환율 등)'!$33:$33)</f>
        <v>210063291.03797463</v>
      </c>
      <c r="CT168" s="77">
        <f t="shared" si="156"/>
        <v>4.7312947980666689</v>
      </c>
      <c r="CU168" s="78">
        <f t="shared" si="157"/>
        <v>80</v>
      </c>
      <c r="CV168" s="79">
        <f t="shared" si="170"/>
        <v>1.6</v>
      </c>
      <c r="CW168" s="112">
        <f t="shared" si="158"/>
        <v>18.439347610654437</v>
      </c>
    </row>
    <row r="169" spans="1:101" x14ac:dyDescent="0.35">
      <c r="A169" s="7" t="s">
        <v>1394</v>
      </c>
      <c r="B169" s="8" t="s">
        <v>1395</v>
      </c>
      <c r="C169" s="21" t="s">
        <v>1396</v>
      </c>
      <c r="D169" s="22" t="s">
        <v>21</v>
      </c>
      <c r="E169" s="11" t="s">
        <v>39</v>
      </c>
      <c r="F169" s="11" t="s">
        <v>1397</v>
      </c>
      <c r="G169" s="12">
        <v>40893</v>
      </c>
      <c r="H169" s="11" t="s">
        <v>24</v>
      </c>
      <c r="I169" s="11" t="s">
        <v>1398</v>
      </c>
      <c r="J169" s="11" t="s">
        <v>1399</v>
      </c>
      <c r="K169" s="11" t="s">
        <v>110</v>
      </c>
      <c r="L169" s="23">
        <v>385856608</v>
      </c>
      <c r="M169" s="14">
        <v>158877086</v>
      </c>
      <c r="N169" s="14">
        <v>226979522</v>
      </c>
      <c r="O169" s="14">
        <v>667448084</v>
      </c>
      <c r="P169" s="14">
        <v>26380166</v>
      </c>
      <c r="Q169" s="14">
        <v>27563574</v>
      </c>
      <c r="R169" s="14">
        <v>25353259</v>
      </c>
      <c r="S169" s="15">
        <v>29747874</v>
      </c>
      <c r="T169" s="15">
        <v>1533742</v>
      </c>
      <c r="U169" s="15">
        <v>14380402</v>
      </c>
      <c r="V169" s="15">
        <f>519846*5</f>
        <v>2599230</v>
      </c>
      <c r="W169" s="15">
        <f>10000+3200+5438+9454</f>
        <v>28092</v>
      </c>
      <c r="X169" s="15">
        <v>0</v>
      </c>
      <c r="Z169" s="15">
        <v>0</v>
      </c>
      <c r="AA169" s="15">
        <v>0</v>
      </c>
      <c r="AB169" s="74">
        <f t="shared" si="118"/>
        <v>17007724</v>
      </c>
      <c r="AC169" s="75">
        <f t="shared" si="119"/>
        <v>57.17290586883621</v>
      </c>
      <c r="AD169" s="75">
        <f t="shared" si="120"/>
        <v>50.742601379025139</v>
      </c>
      <c r="AE169" s="76">
        <f t="shared" si="159"/>
        <v>1.5222780413707542</v>
      </c>
      <c r="AF169" s="77">
        <f t="shared" si="121"/>
        <v>60.181302051043076</v>
      </c>
      <c r="AG169" s="77">
        <f t="shared" si="122"/>
        <v>60.280869175773333</v>
      </c>
      <c r="AH169" s="77">
        <f t="shared" si="123"/>
        <v>9.9567124730256751E-2</v>
      </c>
      <c r="AI169" s="78">
        <f t="shared" si="124"/>
        <v>100</v>
      </c>
      <c r="AJ169" s="79">
        <f t="shared" si="160"/>
        <v>4</v>
      </c>
      <c r="AK169" s="113">
        <v>5</v>
      </c>
      <c r="AL169" s="113">
        <v>6</v>
      </c>
      <c r="AM169" s="113">
        <v>0</v>
      </c>
      <c r="AN169" s="81">
        <f t="shared" si="125"/>
        <v>11</v>
      </c>
      <c r="AO169" s="82">
        <f t="shared" si="126"/>
        <v>0</v>
      </c>
      <c r="AP169" s="83">
        <f t="shared" si="127"/>
        <v>100</v>
      </c>
      <c r="AQ169" s="84">
        <f t="shared" si="161"/>
        <v>2</v>
      </c>
      <c r="AR169" s="118">
        <v>3</v>
      </c>
      <c r="AS169" s="86">
        <f t="shared" si="128"/>
        <v>0.25</v>
      </c>
      <c r="AT169" s="87">
        <f t="shared" si="129"/>
        <v>1.25</v>
      </c>
      <c r="AU169" s="87">
        <f t="shared" si="130"/>
        <v>1</v>
      </c>
      <c r="AV169" s="88">
        <f t="shared" si="131"/>
        <v>40</v>
      </c>
      <c r="AW169" s="78">
        <f t="shared" si="132"/>
        <v>100</v>
      </c>
      <c r="AX169" s="89">
        <f t="shared" si="162"/>
        <v>1</v>
      </c>
      <c r="AY169" s="114">
        <v>15</v>
      </c>
      <c r="AZ169" s="114">
        <f>15*3-1</f>
        <v>44</v>
      </c>
      <c r="BA169" s="91">
        <f t="shared" si="133"/>
        <v>45</v>
      </c>
      <c r="BB169" s="77">
        <f t="shared" si="134"/>
        <v>97.777777777777771</v>
      </c>
      <c r="BC169" s="78">
        <f t="shared" si="135"/>
        <v>100</v>
      </c>
      <c r="BD169" s="79">
        <f t="shared" si="163"/>
        <v>1</v>
      </c>
      <c r="BE169" s="92">
        <v>10640496</v>
      </c>
      <c r="BF169" s="92">
        <v>661325</v>
      </c>
      <c r="BG169" s="114">
        <v>223965</v>
      </c>
      <c r="BH169" s="94">
        <f t="shared" si="136"/>
        <v>11301821</v>
      </c>
      <c r="BI169" s="77">
        <f t="shared" si="137"/>
        <v>1.9816718031545537</v>
      </c>
      <c r="BJ169" s="95" t="str">
        <f t="shared" si="138"/>
        <v>비제조/서비스업</v>
      </c>
      <c r="BK169" s="96">
        <f t="shared" si="139"/>
        <v>1.7464434573900922</v>
      </c>
      <c r="BL169" s="97">
        <f t="shared" si="140"/>
        <v>0.2352283457644615</v>
      </c>
      <c r="BM169" s="98">
        <f t="shared" si="141"/>
        <v>60</v>
      </c>
      <c r="BN169" s="99">
        <f t="shared" si="142"/>
        <v>1.2</v>
      </c>
      <c r="BO169" s="114">
        <v>0</v>
      </c>
      <c r="BP169" s="101">
        <f t="shared" si="143"/>
        <v>0</v>
      </c>
      <c r="BQ169" s="78">
        <f t="shared" si="144"/>
        <v>25</v>
      </c>
      <c r="BR169" s="79">
        <f t="shared" si="164"/>
        <v>0.5</v>
      </c>
      <c r="BS169" s="102">
        <v>10148630.346000001</v>
      </c>
      <c r="BT169" s="102">
        <v>98676.409</v>
      </c>
      <c r="BU169" s="103">
        <f t="shared" si="145"/>
        <v>10049953.937000001</v>
      </c>
      <c r="BV169" s="77">
        <f t="shared" si="146"/>
        <v>1.5057281873926245</v>
      </c>
      <c r="BW169" s="96">
        <f t="shared" si="147"/>
        <v>2.8482825397737606</v>
      </c>
      <c r="BX169" s="96">
        <f t="shared" si="148"/>
        <v>1.8024521890975318</v>
      </c>
      <c r="BY169" s="96">
        <f t="shared" si="149"/>
        <v>5.5697595856656807</v>
      </c>
      <c r="BZ169" s="96">
        <f t="shared" si="150"/>
        <v>59.523929945308353</v>
      </c>
      <c r="CA169" s="96">
        <f t="shared" si="151"/>
        <v>55</v>
      </c>
      <c r="CB169" s="104">
        <f t="shared" si="152"/>
        <v>1.1000000000000001</v>
      </c>
      <c r="CC169" s="105">
        <f t="shared" si="165"/>
        <v>69.996220187651986</v>
      </c>
      <c r="CD169" s="106">
        <f t="shared" si="166"/>
        <v>73.996399426764327</v>
      </c>
      <c r="CE169" s="107">
        <f t="shared" si="167"/>
        <v>1.1099459914014649</v>
      </c>
      <c r="CF169" s="108" t="s">
        <v>2189</v>
      </c>
      <c r="CG169" s="108" t="s">
        <v>2189</v>
      </c>
      <c r="CH169" s="108" t="s">
        <v>2189</v>
      </c>
      <c r="CI169" s="108" t="s">
        <v>2189</v>
      </c>
      <c r="CJ169" s="109"/>
      <c r="CK169" s="116" t="s">
        <v>2230</v>
      </c>
      <c r="CL169" s="116" t="s">
        <v>2209</v>
      </c>
      <c r="CM169" s="111">
        <f t="shared" si="153"/>
        <v>40</v>
      </c>
      <c r="CN169" s="107">
        <f t="shared" si="168"/>
        <v>0.6</v>
      </c>
      <c r="CO169" s="114">
        <v>9799000</v>
      </c>
      <c r="CP169" s="88">
        <f t="shared" si="154"/>
        <v>4.3171295426377716</v>
      </c>
      <c r="CQ169" s="78">
        <f t="shared" si="155"/>
        <v>80</v>
      </c>
      <c r="CR169" s="79">
        <f t="shared" si="169"/>
        <v>2.4</v>
      </c>
      <c r="CS169" s="92">
        <f>_xlfn.XLOOKUP(C169, '[1]1-1. 관계사체무보증금액 (환율 등)'!$3:$3, '[1]1-1. 관계사체무보증금액 (환율 등)'!$33:$33)</f>
        <v>4000000</v>
      </c>
      <c r="CT169" s="77">
        <f t="shared" si="156"/>
        <v>1.7622735147005903</v>
      </c>
      <c r="CU169" s="78">
        <f t="shared" si="157"/>
        <v>100</v>
      </c>
      <c r="CV169" s="79">
        <f t="shared" si="170"/>
        <v>2</v>
      </c>
      <c r="CW169" s="112">
        <f t="shared" si="158"/>
        <v>18.432224032772218</v>
      </c>
    </row>
    <row r="170" spans="1:101" x14ac:dyDescent="0.35">
      <c r="A170" s="7" t="s">
        <v>267</v>
      </c>
      <c r="B170" s="8" t="s">
        <v>268</v>
      </c>
      <c r="C170" s="21" t="s">
        <v>269</v>
      </c>
      <c r="D170" s="10" t="s">
        <v>75</v>
      </c>
      <c r="E170" s="11" t="s">
        <v>114</v>
      </c>
      <c r="F170" s="11" t="s">
        <v>270</v>
      </c>
      <c r="G170" s="12">
        <v>27573</v>
      </c>
      <c r="H170" s="11" t="s">
        <v>24</v>
      </c>
      <c r="I170" s="11" t="s">
        <v>271</v>
      </c>
      <c r="J170" s="11" t="s">
        <v>272</v>
      </c>
      <c r="K170" s="11" t="s">
        <v>27</v>
      </c>
      <c r="L170" s="23">
        <v>397444643</v>
      </c>
      <c r="M170" s="14">
        <v>209249323</v>
      </c>
      <c r="N170" s="14">
        <v>188195320</v>
      </c>
      <c r="O170" s="14">
        <v>355390202</v>
      </c>
      <c r="P170" s="14">
        <v>67734933</v>
      </c>
      <c r="Q170" s="14">
        <v>63871175</v>
      </c>
      <c r="R170" s="14">
        <v>48789612</v>
      </c>
      <c r="S170" s="15">
        <v>28600117</v>
      </c>
      <c r="T170" s="15">
        <v>0</v>
      </c>
      <c r="U170" s="15">
        <v>11358595</v>
      </c>
      <c r="V170" s="15">
        <f>1698811+339024+348733+343673+683290</f>
        <v>3413531</v>
      </c>
      <c r="W170" s="15">
        <v>0</v>
      </c>
      <c r="X170" s="15">
        <v>0</v>
      </c>
      <c r="Z170" s="15">
        <v>2086633</v>
      </c>
      <c r="AA170" s="15">
        <v>0</v>
      </c>
      <c r="AB170" s="74">
        <f t="shared" si="118"/>
        <v>16858759</v>
      </c>
      <c r="AC170" s="75">
        <f t="shared" si="119"/>
        <v>58.946468645565332</v>
      </c>
      <c r="AD170" s="75">
        <f t="shared" si="120"/>
        <v>49.211908533746843</v>
      </c>
      <c r="AE170" s="76">
        <f t="shared" si="159"/>
        <v>1.4763572560124052</v>
      </c>
      <c r="AF170" s="77">
        <f t="shared" si="121"/>
        <v>51.650578911967393</v>
      </c>
      <c r="AG170" s="77">
        <f t="shared" si="122"/>
        <v>58.946468645565332</v>
      </c>
      <c r="AH170" s="77">
        <f t="shared" si="123"/>
        <v>7.2958897335979387</v>
      </c>
      <c r="AI170" s="78">
        <f t="shared" si="124"/>
        <v>100</v>
      </c>
      <c r="AJ170" s="79">
        <f t="shared" si="160"/>
        <v>4</v>
      </c>
      <c r="AK170" s="113">
        <v>4</v>
      </c>
      <c r="AL170" s="113">
        <v>15</v>
      </c>
      <c r="AM170" s="113">
        <v>1</v>
      </c>
      <c r="AN170" s="81">
        <f t="shared" si="125"/>
        <v>19</v>
      </c>
      <c r="AO170" s="82">
        <f t="shared" si="126"/>
        <v>5.2631578947368416</v>
      </c>
      <c r="AP170" s="83">
        <f t="shared" si="127"/>
        <v>100</v>
      </c>
      <c r="AQ170" s="84">
        <f t="shared" si="161"/>
        <v>2</v>
      </c>
      <c r="AR170" s="118">
        <v>1</v>
      </c>
      <c r="AS170" s="86">
        <f t="shared" si="128"/>
        <v>0.25</v>
      </c>
      <c r="AT170" s="87">
        <f t="shared" si="129"/>
        <v>1</v>
      </c>
      <c r="AU170" s="87">
        <f t="shared" si="130"/>
        <v>1</v>
      </c>
      <c r="AV170" s="88">
        <f t="shared" si="131"/>
        <v>0</v>
      </c>
      <c r="AW170" s="78">
        <f t="shared" si="132"/>
        <v>40</v>
      </c>
      <c r="AX170" s="89">
        <f t="shared" si="162"/>
        <v>0.4</v>
      </c>
      <c r="AY170" s="114">
        <v>10</v>
      </c>
      <c r="AZ170" s="114">
        <v>10</v>
      </c>
      <c r="BA170" s="91">
        <f t="shared" si="133"/>
        <v>10</v>
      </c>
      <c r="BB170" s="77">
        <f t="shared" si="134"/>
        <v>100</v>
      </c>
      <c r="BC170" s="78">
        <f t="shared" si="135"/>
        <v>100</v>
      </c>
      <c r="BD170" s="79">
        <f t="shared" si="163"/>
        <v>1</v>
      </c>
      <c r="BE170" s="92">
        <v>4462443</v>
      </c>
      <c r="BF170" s="92">
        <v>1154379</v>
      </c>
      <c r="BG170" s="114">
        <v>442967</v>
      </c>
      <c r="BH170" s="94">
        <f t="shared" si="136"/>
        <v>5616822</v>
      </c>
      <c r="BI170" s="77">
        <f t="shared" si="137"/>
        <v>7.8864347134375983</v>
      </c>
      <c r="BJ170" s="95" t="str">
        <f t="shared" si="138"/>
        <v>금속/비금속/화학업</v>
      </c>
      <c r="BK170" s="96">
        <f t="shared" si="139"/>
        <v>3.9534118626990469</v>
      </c>
      <c r="BL170" s="97">
        <f t="shared" si="140"/>
        <v>3.9330228507385514</v>
      </c>
      <c r="BM170" s="98">
        <f t="shared" si="141"/>
        <v>40</v>
      </c>
      <c r="BN170" s="99">
        <f t="shared" si="142"/>
        <v>0.8</v>
      </c>
      <c r="BO170" s="114">
        <v>605898.32700000005</v>
      </c>
      <c r="BP170" s="101">
        <f t="shared" si="143"/>
        <v>0.17048819117416186</v>
      </c>
      <c r="BQ170" s="78">
        <f t="shared" si="144"/>
        <v>55</v>
      </c>
      <c r="BR170" s="79">
        <f t="shared" si="164"/>
        <v>1.1000000000000001</v>
      </c>
      <c r="BS170" s="102">
        <v>34335772.386</v>
      </c>
      <c r="BT170" s="102">
        <v>180943.15</v>
      </c>
      <c r="BU170" s="103">
        <f t="shared" si="145"/>
        <v>34154829.236000001</v>
      </c>
      <c r="BV170" s="77">
        <f t="shared" si="146"/>
        <v>9.6105151587718787</v>
      </c>
      <c r="BW170" s="96">
        <f t="shared" si="147"/>
        <v>5.1474158565187738</v>
      </c>
      <c r="BX170" s="96">
        <f t="shared" si="148"/>
        <v>19.919255381772153</v>
      </c>
      <c r="BY170" s="96">
        <f t="shared" si="149"/>
        <v>6.6930498535228535</v>
      </c>
      <c r="BZ170" s="96">
        <f t="shared" si="150"/>
        <v>25.244165868518831</v>
      </c>
      <c r="CA170" s="96">
        <f t="shared" si="151"/>
        <v>70</v>
      </c>
      <c r="CB170" s="104">
        <f t="shared" si="152"/>
        <v>1.4000000000000001</v>
      </c>
      <c r="CC170" s="105">
        <f t="shared" si="165"/>
        <v>111.18731485990195</v>
      </c>
      <c r="CD170" s="106">
        <f t="shared" si="166"/>
        <v>58.472117515112338</v>
      </c>
      <c r="CE170" s="107">
        <f t="shared" si="167"/>
        <v>0.87708176272668503</v>
      </c>
      <c r="CF170" s="108" t="s">
        <v>2189</v>
      </c>
      <c r="CG170" s="108" t="s">
        <v>2189</v>
      </c>
      <c r="CH170" s="108" t="s">
        <v>2189</v>
      </c>
      <c r="CI170" s="108" t="s">
        <v>2189</v>
      </c>
      <c r="CJ170" s="109"/>
      <c r="CK170" s="116" t="s">
        <v>2192</v>
      </c>
      <c r="CL170" s="116" t="s">
        <v>2193</v>
      </c>
      <c r="CM170" s="111">
        <f t="shared" si="153"/>
        <v>25</v>
      </c>
      <c r="CN170" s="107">
        <f t="shared" si="168"/>
        <v>0.375</v>
      </c>
      <c r="CO170" s="114">
        <v>3592103</v>
      </c>
      <c r="CP170" s="88">
        <f t="shared" si="154"/>
        <v>1.9087100571895201</v>
      </c>
      <c r="CQ170" s="78">
        <f t="shared" si="155"/>
        <v>100</v>
      </c>
      <c r="CR170" s="79">
        <f t="shared" si="169"/>
        <v>3</v>
      </c>
      <c r="CS170" s="92">
        <f>_xlfn.XLOOKUP(C170, '[1]1-1. 관계사체무보증금액 (환율 등)'!$3:$3, '[1]1-1. 관계사체무보증금액 (환율 등)'!$33:$33)</f>
        <v>0</v>
      </c>
      <c r="CT170" s="77">
        <f t="shared" si="156"/>
        <v>0</v>
      </c>
      <c r="CU170" s="78">
        <f t="shared" si="157"/>
        <v>100</v>
      </c>
      <c r="CV170" s="79">
        <f t="shared" si="170"/>
        <v>2</v>
      </c>
      <c r="CW170" s="112">
        <f t="shared" si="158"/>
        <v>18.428439018739091</v>
      </c>
    </row>
    <row r="171" spans="1:101" x14ac:dyDescent="0.35">
      <c r="A171" s="7" t="s">
        <v>2019</v>
      </c>
      <c r="B171" s="8" t="s">
        <v>2020</v>
      </c>
      <c r="C171" s="21" t="s">
        <v>2021</v>
      </c>
      <c r="D171" s="22" t="s">
        <v>75</v>
      </c>
      <c r="E171" s="11" t="s">
        <v>613</v>
      </c>
      <c r="F171" s="11" t="s">
        <v>2022</v>
      </c>
      <c r="G171" s="12">
        <v>43294</v>
      </c>
      <c r="H171" s="11" t="s">
        <v>24</v>
      </c>
      <c r="I171" s="11" t="s">
        <v>2023</v>
      </c>
      <c r="J171" s="11" t="s">
        <v>2024</v>
      </c>
      <c r="K171" s="11" t="s">
        <v>27</v>
      </c>
      <c r="L171" s="23">
        <v>1354651786</v>
      </c>
      <c r="M171" s="14">
        <v>616821573</v>
      </c>
      <c r="N171" s="14">
        <v>737830213</v>
      </c>
      <c r="O171" s="14">
        <v>858081181</v>
      </c>
      <c r="P171" s="14">
        <v>96465703</v>
      </c>
      <c r="Q171" s="14">
        <v>259022901</v>
      </c>
      <c r="R171" s="14">
        <v>212549126</v>
      </c>
      <c r="S171" s="15">
        <v>4479948</v>
      </c>
      <c r="T171" s="15">
        <v>11926</v>
      </c>
      <c r="U171" s="15">
        <v>949839</v>
      </c>
      <c r="V171" s="15">
        <f>2002207-949839-460</f>
        <v>1051908</v>
      </c>
      <c r="W171" s="15">
        <f>460+104+63</f>
        <v>627</v>
      </c>
      <c r="X171" s="15">
        <v>0</v>
      </c>
      <c r="Z171" s="15">
        <v>0</v>
      </c>
      <c r="AA171" s="15">
        <v>0</v>
      </c>
      <c r="AB171" s="74">
        <f t="shared" si="118"/>
        <v>2002374</v>
      </c>
      <c r="AC171" s="75">
        <f t="shared" si="119"/>
        <v>44.696367011402813</v>
      </c>
      <c r="AD171" s="75">
        <f t="shared" si="120"/>
        <v>61.510615352644294</v>
      </c>
      <c r="AE171" s="76">
        <f t="shared" si="159"/>
        <v>1.8453184605793287</v>
      </c>
      <c r="AF171" s="77">
        <f t="shared" si="121"/>
        <v>44.801637055502411</v>
      </c>
      <c r="AG171" s="77">
        <f t="shared" si="122"/>
        <v>44.815670110845467</v>
      </c>
      <c r="AH171" s="77">
        <f t="shared" si="123"/>
        <v>1.4033055343055878E-2</v>
      </c>
      <c r="AI171" s="78">
        <f t="shared" si="124"/>
        <v>100</v>
      </c>
      <c r="AJ171" s="79">
        <f t="shared" si="160"/>
        <v>4</v>
      </c>
      <c r="AK171" s="113">
        <v>6</v>
      </c>
      <c r="AL171" s="113">
        <v>38</v>
      </c>
      <c r="AM171" s="113">
        <v>1</v>
      </c>
      <c r="AN171" s="81">
        <f t="shared" si="125"/>
        <v>44</v>
      </c>
      <c r="AO171" s="82">
        <f t="shared" si="126"/>
        <v>2.2727272727272729</v>
      </c>
      <c r="AP171" s="83">
        <f t="shared" si="127"/>
        <v>100</v>
      </c>
      <c r="AQ171" s="84">
        <f t="shared" si="161"/>
        <v>2</v>
      </c>
      <c r="AR171" s="118">
        <v>3</v>
      </c>
      <c r="AS171" s="86">
        <f t="shared" si="128"/>
        <v>0.25</v>
      </c>
      <c r="AT171" s="87">
        <f t="shared" si="129"/>
        <v>1.5</v>
      </c>
      <c r="AU171" s="87">
        <f t="shared" si="130"/>
        <v>1</v>
      </c>
      <c r="AV171" s="88">
        <f t="shared" si="131"/>
        <v>33.333333333333329</v>
      </c>
      <c r="AW171" s="78">
        <f t="shared" si="132"/>
        <v>80</v>
      </c>
      <c r="AX171" s="89">
        <f t="shared" si="162"/>
        <v>0.8</v>
      </c>
      <c r="AY171" s="114">
        <v>6</v>
      </c>
      <c r="AZ171" s="114">
        <f>18-1</f>
        <v>17</v>
      </c>
      <c r="BA171" s="91">
        <f t="shared" si="133"/>
        <v>18</v>
      </c>
      <c r="BB171" s="77">
        <f t="shared" si="134"/>
        <v>94.444444444444443</v>
      </c>
      <c r="BC171" s="78">
        <f t="shared" si="135"/>
        <v>100</v>
      </c>
      <c r="BD171" s="79">
        <f t="shared" si="163"/>
        <v>1</v>
      </c>
      <c r="BE171" s="92">
        <v>9951000</v>
      </c>
      <c r="BF171" s="92">
        <v>15619000</v>
      </c>
      <c r="BG171" s="93">
        <v>0</v>
      </c>
      <c r="BH171" s="94">
        <f t="shared" si="136"/>
        <v>25570000</v>
      </c>
      <c r="BI171" s="77">
        <f t="shared" si="137"/>
        <v>0</v>
      </c>
      <c r="BJ171" s="95" t="str">
        <f t="shared" si="138"/>
        <v>금속/비금속/화학업</v>
      </c>
      <c r="BK171" s="96">
        <f t="shared" si="139"/>
        <v>3.9534118626990469</v>
      </c>
      <c r="BL171" s="97">
        <f t="shared" si="140"/>
        <v>-3.9534118626990469</v>
      </c>
      <c r="BM171" s="98">
        <f t="shared" si="141"/>
        <v>100</v>
      </c>
      <c r="BN171" s="99">
        <f t="shared" si="142"/>
        <v>2</v>
      </c>
      <c r="BO171" s="114">
        <v>34019000</v>
      </c>
      <c r="BP171" s="101">
        <f t="shared" si="143"/>
        <v>3.9645433035082491</v>
      </c>
      <c r="BQ171" s="78">
        <f t="shared" si="144"/>
        <v>85</v>
      </c>
      <c r="BR171" s="79">
        <f t="shared" si="164"/>
        <v>1.7</v>
      </c>
      <c r="BS171" s="102">
        <v>105270595.373</v>
      </c>
      <c r="BT171" s="102">
        <v>6262379.7589999996</v>
      </c>
      <c r="BU171" s="103">
        <f t="shared" si="145"/>
        <v>99008215.613999993</v>
      </c>
      <c r="BV171" s="77">
        <f t="shared" si="146"/>
        <v>11.538327352502559</v>
      </c>
      <c r="BW171" s="96">
        <f t="shared" si="147"/>
        <v>5.1474158565187738</v>
      </c>
      <c r="BX171" s="96">
        <f t="shared" si="148"/>
        <v>40.843749749497711</v>
      </c>
      <c r="BY171" s="96">
        <f t="shared" si="149"/>
        <v>6.6930498535228535</v>
      </c>
      <c r="BZ171" s="96">
        <f t="shared" si="150"/>
        <v>16.982478238366916</v>
      </c>
      <c r="CA171" s="96">
        <f t="shared" si="151"/>
        <v>70</v>
      </c>
      <c r="CB171" s="104">
        <f t="shared" si="152"/>
        <v>1.4000000000000001</v>
      </c>
      <c r="CC171" s="105">
        <f t="shared" si="165"/>
        <v>83.599392127359252</v>
      </c>
      <c r="CD171" s="106">
        <f t="shared" si="166"/>
        <v>68.86957583139727</v>
      </c>
      <c r="CE171" s="107">
        <f t="shared" si="167"/>
        <v>1.0330436374709591</v>
      </c>
      <c r="CF171" s="108" t="s">
        <v>2189</v>
      </c>
      <c r="CG171" s="108" t="s">
        <v>2189</v>
      </c>
      <c r="CH171" s="108" t="s">
        <v>2189</v>
      </c>
      <c r="CI171" s="108" t="s">
        <v>2189</v>
      </c>
      <c r="CJ171" s="109"/>
      <c r="CK171" s="116" t="s">
        <v>2246</v>
      </c>
      <c r="CL171" s="116" t="s">
        <v>2204</v>
      </c>
      <c r="CM171" s="111">
        <f t="shared" si="153"/>
        <v>70</v>
      </c>
      <c r="CN171" s="107">
        <f t="shared" si="168"/>
        <v>1.05</v>
      </c>
      <c r="CO171" s="114">
        <f>453523000-1750000-150000-3945000</f>
        <v>447678000</v>
      </c>
      <c r="CP171" s="88">
        <f t="shared" si="154"/>
        <v>60.674934708860995</v>
      </c>
      <c r="CQ171" s="78">
        <f t="shared" si="155"/>
        <v>40</v>
      </c>
      <c r="CR171" s="79">
        <f t="shared" si="169"/>
        <v>1.2</v>
      </c>
      <c r="CS171" s="92">
        <f>_xlfn.XLOOKUP(C171, '[1]1-1. 관계사체무보증금액 (환율 등)'!$3:$3, '[1]1-1. 관계사체무보증금액 (환율 등)'!$33:$33)</f>
        <v>1149160000</v>
      </c>
      <c r="CT171" s="77">
        <f t="shared" si="156"/>
        <v>155.74856921723804</v>
      </c>
      <c r="CU171" s="78">
        <f t="shared" si="157"/>
        <v>20</v>
      </c>
      <c r="CV171" s="79">
        <f t="shared" si="170"/>
        <v>0.4</v>
      </c>
      <c r="CW171" s="112">
        <f t="shared" si="158"/>
        <v>18.428362098050286</v>
      </c>
    </row>
    <row r="172" spans="1:101" x14ac:dyDescent="0.35">
      <c r="A172" s="7" t="s">
        <v>1718</v>
      </c>
      <c r="B172" s="8" t="s">
        <v>1719</v>
      </c>
      <c r="C172" s="21" t="s">
        <v>1720</v>
      </c>
      <c r="D172" s="10" t="s">
        <v>75</v>
      </c>
      <c r="E172" s="11" t="s">
        <v>106</v>
      </c>
      <c r="F172" s="11">
        <v>0</v>
      </c>
      <c r="G172" s="12">
        <v>39659</v>
      </c>
      <c r="H172" s="11" t="s">
        <v>24</v>
      </c>
      <c r="I172" s="11" t="s">
        <v>1721</v>
      </c>
      <c r="J172" s="11" t="s">
        <v>1722</v>
      </c>
      <c r="K172" s="11" t="s">
        <v>50</v>
      </c>
      <c r="L172" s="23">
        <v>3060678472</v>
      </c>
      <c r="M172" s="14">
        <v>1220679297</v>
      </c>
      <c r="N172" s="14">
        <v>1839999175</v>
      </c>
      <c r="O172" s="14">
        <v>3257164379</v>
      </c>
      <c r="P172" s="14">
        <v>203168169</v>
      </c>
      <c r="Q172" s="14">
        <v>220419231</v>
      </c>
      <c r="R172" s="14">
        <v>175385732</v>
      </c>
      <c r="S172" s="15">
        <v>28024278</v>
      </c>
      <c r="T172" s="15">
        <v>710000</v>
      </c>
      <c r="U172" s="15">
        <f>10650000</f>
        <v>10650000</v>
      </c>
      <c r="V172" s="15">
        <v>0</v>
      </c>
      <c r="W172" s="15">
        <f>388+910+1338+495+307+60+500+57+11*2+3</f>
        <v>4080</v>
      </c>
      <c r="X172" s="15">
        <v>0</v>
      </c>
      <c r="Z172" s="15">
        <v>0</v>
      </c>
      <c r="AA172" s="15">
        <v>0</v>
      </c>
      <c r="AB172" s="74">
        <f t="shared" si="118"/>
        <v>10654080</v>
      </c>
      <c r="AC172" s="75">
        <f t="shared" si="119"/>
        <v>38.01732198060553</v>
      </c>
      <c r="AD172" s="75">
        <f t="shared" si="120"/>
        <v>67.275038566796155</v>
      </c>
      <c r="AE172" s="76">
        <f t="shared" si="159"/>
        <v>2.0182511570038848</v>
      </c>
      <c r="AF172" s="77">
        <f t="shared" si="121"/>
        <v>38.990596786047213</v>
      </c>
      <c r="AG172" s="77">
        <f t="shared" si="122"/>
        <v>39.005534028759605</v>
      </c>
      <c r="AH172" s="77">
        <f t="shared" si="123"/>
        <v>1.4937242712392163E-2</v>
      </c>
      <c r="AI172" s="78">
        <f t="shared" si="124"/>
        <v>100</v>
      </c>
      <c r="AJ172" s="79">
        <f t="shared" si="160"/>
        <v>4</v>
      </c>
      <c r="AK172" s="113">
        <v>7</v>
      </c>
      <c r="AL172" s="113">
        <v>27</v>
      </c>
      <c r="AM172" s="113">
        <v>1</v>
      </c>
      <c r="AN172" s="81">
        <f t="shared" si="125"/>
        <v>34</v>
      </c>
      <c r="AO172" s="82">
        <f t="shared" si="126"/>
        <v>2.9411764705882351</v>
      </c>
      <c r="AP172" s="83">
        <f t="shared" si="127"/>
        <v>100</v>
      </c>
      <c r="AQ172" s="84">
        <f t="shared" si="161"/>
        <v>2</v>
      </c>
      <c r="AR172" s="118">
        <v>4</v>
      </c>
      <c r="AS172" s="86">
        <f t="shared" si="128"/>
        <v>0.5</v>
      </c>
      <c r="AT172" s="87">
        <f t="shared" si="129"/>
        <v>3.5</v>
      </c>
      <c r="AU172" s="87">
        <f t="shared" si="130"/>
        <v>3</v>
      </c>
      <c r="AV172" s="88">
        <f t="shared" si="131"/>
        <v>14.285714285714285</v>
      </c>
      <c r="AW172" s="78">
        <f t="shared" si="132"/>
        <v>60</v>
      </c>
      <c r="AX172" s="89">
        <f t="shared" si="162"/>
        <v>0.6</v>
      </c>
      <c r="AY172" s="114">
        <v>8</v>
      </c>
      <c r="AZ172" s="114">
        <f>32-1</f>
        <v>31</v>
      </c>
      <c r="BA172" s="91">
        <f t="shared" si="133"/>
        <v>32</v>
      </c>
      <c r="BB172" s="77">
        <f t="shared" si="134"/>
        <v>96.875</v>
      </c>
      <c r="BC172" s="78">
        <f t="shared" si="135"/>
        <v>100</v>
      </c>
      <c r="BD172" s="79">
        <f t="shared" si="163"/>
        <v>1</v>
      </c>
      <c r="BE172" s="92">
        <v>27571000</v>
      </c>
      <c r="BF172" s="92">
        <v>3098000</v>
      </c>
      <c r="BG172" s="114">
        <v>1651000</v>
      </c>
      <c r="BH172" s="94">
        <f t="shared" si="136"/>
        <v>30669000</v>
      </c>
      <c r="BI172" s="77">
        <f t="shared" si="137"/>
        <v>5.3832860543219532</v>
      </c>
      <c r="BJ172" s="95" t="str">
        <f t="shared" si="138"/>
        <v>금속/비금속/화학업</v>
      </c>
      <c r="BK172" s="96">
        <f t="shared" si="139"/>
        <v>3.9534118626990469</v>
      </c>
      <c r="BL172" s="97">
        <f t="shared" si="140"/>
        <v>1.4298741916229063</v>
      </c>
      <c r="BM172" s="98">
        <f t="shared" si="141"/>
        <v>60</v>
      </c>
      <c r="BN172" s="99">
        <f t="shared" si="142"/>
        <v>1.2</v>
      </c>
      <c r="BO172" s="114">
        <f>27037000-79000</f>
        <v>26958000</v>
      </c>
      <c r="BP172" s="101">
        <f t="shared" si="143"/>
        <v>0.82765242595083643</v>
      </c>
      <c r="BQ172" s="78">
        <f t="shared" si="144"/>
        <v>70</v>
      </c>
      <c r="BR172" s="79">
        <f t="shared" si="164"/>
        <v>1.4000000000000001</v>
      </c>
      <c r="BS172" s="102">
        <v>99019044.662</v>
      </c>
      <c r="BT172" s="102">
        <v>249498.52</v>
      </c>
      <c r="BU172" s="103">
        <f t="shared" si="145"/>
        <v>98769546.142000005</v>
      </c>
      <c r="BV172" s="77">
        <f t="shared" si="146"/>
        <v>3.0323783097592325</v>
      </c>
      <c r="BW172" s="96">
        <f t="shared" si="147"/>
        <v>5.1474158565187738</v>
      </c>
      <c r="BX172" s="96">
        <f t="shared" si="148"/>
        <v>4.4733838242026183</v>
      </c>
      <c r="BY172" s="96">
        <f t="shared" si="149"/>
        <v>6.6930498535228535</v>
      </c>
      <c r="BZ172" s="96">
        <f t="shared" si="150"/>
        <v>62.400066208349038</v>
      </c>
      <c r="CA172" s="96">
        <f t="shared" si="151"/>
        <v>40</v>
      </c>
      <c r="CB172" s="104">
        <f t="shared" si="152"/>
        <v>0.8</v>
      </c>
      <c r="CC172" s="105">
        <f t="shared" si="165"/>
        <v>66.341295886722335</v>
      </c>
      <c r="CD172" s="106">
        <f t="shared" si="166"/>
        <v>75.373883459778014</v>
      </c>
      <c r="CE172" s="107">
        <f t="shared" si="167"/>
        <v>1.1306082518966702</v>
      </c>
      <c r="CF172" s="108" t="s">
        <v>2189</v>
      </c>
      <c r="CG172" s="108" t="s">
        <v>2189</v>
      </c>
      <c r="CH172" s="108" t="s">
        <v>2189</v>
      </c>
      <c r="CI172" s="108" t="s">
        <v>2189</v>
      </c>
      <c r="CJ172" s="109"/>
      <c r="CK172" s="116" t="s">
        <v>2224</v>
      </c>
      <c r="CL172" s="116" t="s">
        <v>2191</v>
      </c>
      <c r="CM172" s="111">
        <f t="shared" si="153"/>
        <v>85</v>
      </c>
      <c r="CN172" s="107">
        <f t="shared" si="168"/>
        <v>1.2749999999999999</v>
      </c>
      <c r="CO172" s="114">
        <v>409739000</v>
      </c>
      <c r="CP172" s="88">
        <f t="shared" si="154"/>
        <v>22.268433897531501</v>
      </c>
      <c r="CQ172" s="78">
        <f t="shared" si="155"/>
        <v>60</v>
      </c>
      <c r="CR172" s="79">
        <f t="shared" si="169"/>
        <v>1.7999999999999998</v>
      </c>
      <c r="CS172" s="92">
        <f>_xlfn.XLOOKUP(C172, '[1]1-1. 관계사체무보증금액 (환율 등)'!$3:$3, '[1]1-1. 관계사체무보증금액 (환율 등)'!$33:$33)</f>
        <v>199638947.67910379</v>
      </c>
      <c r="CT172" s="77">
        <f t="shared" si="156"/>
        <v>10.849947673433267</v>
      </c>
      <c r="CU172" s="78">
        <f t="shared" si="157"/>
        <v>60</v>
      </c>
      <c r="CV172" s="79">
        <f t="shared" si="170"/>
        <v>1.2</v>
      </c>
      <c r="CW172" s="112">
        <f t="shared" si="158"/>
        <v>18.423859408900555</v>
      </c>
    </row>
    <row r="173" spans="1:101" x14ac:dyDescent="0.35">
      <c r="A173" s="7" t="s">
        <v>187</v>
      </c>
      <c r="B173" s="8" t="s">
        <v>188</v>
      </c>
      <c r="C173" s="21" t="s">
        <v>189</v>
      </c>
      <c r="D173" s="22" t="s">
        <v>75</v>
      </c>
      <c r="E173" s="11" t="s">
        <v>114</v>
      </c>
      <c r="F173" s="11" t="s">
        <v>190</v>
      </c>
      <c r="G173" s="12">
        <v>31446</v>
      </c>
      <c r="H173" s="11" t="s">
        <v>24</v>
      </c>
      <c r="I173" s="11" t="s">
        <v>191</v>
      </c>
      <c r="J173" s="11" t="s">
        <v>192</v>
      </c>
      <c r="K173" s="11" t="s">
        <v>27</v>
      </c>
      <c r="L173" s="23">
        <v>2935263009</v>
      </c>
      <c r="M173" s="14">
        <v>1282845349</v>
      </c>
      <c r="N173" s="14">
        <v>1652417660</v>
      </c>
      <c r="O173" s="14">
        <v>3676462979</v>
      </c>
      <c r="P173" s="14">
        <v>325853385</v>
      </c>
      <c r="Q173" s="14">
        <v>376778870</v>
      </c>
      <c r="R173" s="14">
        <v>526787734</v>
      </c>
      <c r="S173" s="15">
        <v>100008897</v>
      </c>
      <c r="T173" s="15">
        <v>6585</v>
      </c>
      <c r="U173" s="15">
        <v>40000000</v>
      </c>
      <c r="V173" s="15">
        <v>0</v>
      </c>
      <c r="W173" s="15">
        <v>131</v>
      </c>
      <c r="X173" s="15">
        <v>0</v>
      </c>
      <c r="Z173" s="15">
        <v>0</v>
      </c>
      <c r="AA173" s="15">
        <v>0</v>
      </c>
      <c r="AB173" s="74">
        <f t="shared" si="118"/>
        <v>40000131</v>
      </c>
      <c r="AC173" s="75">
        <f t="shared" si="119"/>
        <v>39.996572504944233</v>
      </c>
      <c r="AD173" s="75">
        <f t="shared" si="120"/>
        <v>65.566824650508437</v>
      </c>
      <c r="AE173" s="76">
        <f t="shared" si="159"/>
        <v>1.967004739515253</v>
      </c>
      <c r="AF173" s="77">
        <f t="shared" si="121"/>
        <v>39.999075221380878</v>
      </c>
      <c r="AG173" s="77">
        <f t="shared" si="122"/>
        <v>39.999206218352228</v>
      </c>
      <c r="AH173" s="77">
        <f t="shared" si="123"/>
        <v>1.3099697135032784E-4</v>
      </c>
      <c r="AI173" s="78">
        <f t="shared" si="124"/>
        <v>100</v>
      </c>
      <c r="AJ173" s="79">
        <f t="shared" si="160"/>
        <v>4</v>
      </c>
      <c r="AK173" s="113">
        <v>7</v>
      </c>
      <c r="AL173" s="113">
        <v>13</v>
      </c>
      <c r="AM173" s="80">
        <v>1</v>
      </c>
      <c r="AN173" s="81">
        <f t="shared" si="125"/>
        <v>20</v>
      </c>
      <c r="AO173" s="82">
        <f t="shared" si="126"/>
        <v>5</v>
      </c>
      <c r="AP173" s="83">
        <f t="shared" si="127"/>
        <v>100</v>
      </c>
      <c r="AQ173" s="84">
        <f t="shared" si="161"/>
        <v>2</v>
      </c>
      <c r="AR173" s="118">
        <v>4</v>
      </c>
      <c r="AS173" s="86">
        <f t="shared" si="128"/>
        <v>0.5</v>
      </c>
      <c r="AT173" s="87">
        <f t="shared" si="129"/>
        <v>3.5</v>
      </c>
      <c r="AU173" s="87">
        <f t="shared" si="130"/>
        <v>3</v>
      </c>
      <c r="AV173" s="88">
        <f t="shared" si="131"/>
        <v>14.285714285714285</v>
      </c>
      <c r="AW173" s="78">
        <f t="shared" si="132"/>
        <v>60</v>
      </c>
      <c r="AX173" s="89">
        <f t="shared" si="162"/>
        <v>0.6</v>
      </c>
      <c r="AY173" s="114">
        <v>11</v>
      </c>
      <c r="AZ173" s="114">
        <f>44-3</f>
        <v>41</v>
      </c>
      <c r="BA173" s="91">
        <f t="shared" si="133"/>
        <v>44</v>
      </c>
      <c r="BB173" s="77">
        <f t="shared" si="134"/>
        <v>93.181818181818173</v>
      </c>
      <c r="BC173" s="78">
        <f t="shared" si="135"/>
        <v>100</v>
      </c>
      <c r="BD173" s="79">
        <f t="shared" si="163"/>
        <v>1</v>
      </c>
      <c r="BE173" s="92">
        <v>17067</v>
      </c>
      <c r="BF173" s="92">
        <v>1342</v>
      </c>
      <c r="BG173" s="93">
        <v>0</v>
      </c>
      <c r="BH173" s="94">
        <f t="shared" si="136"/>
        <v>18409</v>
      </c>
      <c r="BI173" s="77">
        <f t="shared" si="137"/>
        <v>0</v>
      </c>
      <c r="BJ173" s="95" t="str">
        <f t="shared" si="138"/>
        <v>금속/비금속/화학업</v>
      </c>
      <c r="BK173" s="96">
        <f t="shared" si="139"/>
        <v>3.9534118626990469</v>
      </c>
      <c r="BL173" s="97">
        <f t="shared" si="140"/>
        <v>-3.9534118626990469</v>
      </c>
      <c r="BM173" s="98">
        <f t="shared" si="141"/>
        <v>100</v>
      </c>
      <c r="BN173" s="99">
        <f t="shared" si="142"/>
        <v>2</v>
      </c>
      <c r="BO173" s="114">
        <v>2143000</v>
      </c>
      <c r="BP173" s="101">
        <f t="shared" si="143"/>
        <v>5.8289720642934285E-2</v>
      </c>
      <c r="BQ173" s="78">
        <f t="shared" si="144"/>
        <v>40</v>
      </c>
      <c r="BR173" s="79">
        <f t="shared" si="164"/>
        <v>0.8</v>
      </c>
      <c r="BS173" s="102">
        <v>30241194.454</v>
      </c>
      <c r="BT173" s="102">
        <v>44482986.773000002</v>
      </c>
      <c r="BU173" s="103">
        <f t="shared" si="145"/>
        <v>-14241792.319000002</v>
      </c>
      <c r="BV173" s="77">
        <f t="shared" si="146"/>
        <v>-0.38737755283676972</v>
      </c>
      <c r="BW173" s="96">
        <f t="shared" si="147"/>
        <v>5.1474158565187738</v>
      </c>
      <c r="BX173" s="96">
        <f t="shared" si="148"/>
        <v>30.633938084245564</v>
      </c>
      <c r="BY173" s="96">
        <f t="shared" si="149"/>
        <v>6.6930498535228535</v>
      </c>
      <c r="BZ173" s="96">
        <f t="shared" si="150"/>
        <v>79.586627574008872</v>
      </c>
      <c r="CA173" s="96">
        <f t="shared" si="151"/>
        <v>40</v>
      </c>
      <c r="CB173" s="104">
        <f t="shared" si="152"/>
        <v>0.8</v>
      </c>
      <c r="CC173" s="105">
        <f t="shared" si="165"/>
        <v>77.634449210619067</v>
      </c>
      <c r="CD173" s="106">
        <f t="shared" si="166"/>
        <v>71.117669895495325</v>
      </c>
      <c r="CE173" s="107">
        <f t="shared" si="167"/>
        <v>1.0667650484324298</v>
      </c>
      <c r="CF173" s="108" t="s">
        <v>2189</v>
      </c>
      <c r="CG173" s="108" t="s">
        <v>2189</v>
      </c>
      <c r="CH173" s="108" t="s">
        <v>2189</v>
      </c>
      <c r="CI173" s="108" t="s">
        <v>2189</v>
      </c>
      <c r="CJ173" s="109"/>
      <c r="CK173" s="116" t="s">
        <v>2199</v>
      </c>
      <c r="CL173" s="116" t="s">
        <v>2193</v>
      </c>
      <c r="CM173" s="111">
        <f t="shared" si="153"/>
        <v>25</v>
      </c>
      <c r="CN173" s="107">
        <f t="shared" si="168"/>
        <v>0.375</v>
      </c>
      <c r="CO173" s="114">
        <f>209000+2530000+5773000+206430000+4351000+90000000+411000</f>
        <v>309704000</v>
      </c>
      <c r="CP173" s="88">
        <f t="shared" si="154"/>
        <v>18.742477007901257</v>
      </c>
      <c r="CQ173" s="78">
        <f t="shared" si="155"/>
        <v>60</v>
      </c>
      <c r="CR173" s="79">
        <f t="shared" si="169"/>
        <v>1.7999999999999998</v>
      </c>
      <c r="CS173" s="92">
        <f>_xlfn.XLOOKUP(C173, '[1]1-1. 관계사체무보증금액 (환율 등)'!$3:$3, '[1]1-1. 관계사체무보증금액 (환율 등)'!$33:$33)</f>
        <v>20268341.772151899</v>
      </c>
      <c r="CT173" s="77">
        <f t="shared" si="156"/>
        <v>1.2265870949449851</v>
      </c>
      <c r="CU173" s="78">
        <f t="shared" si="157"/>
        <v>100</v>
      </c>
      <c r="CV173" s="79">
        <f t="shared" si="170"/>
        <v>2</v>
      </c>
      <c r="CW173" s="112">
        <f t="shared" si="158"/>
        <v>18.408769787947683</v>
      </c>
    </row>
    <row r="174" spans="1:101" x14ac:dyDescent="0.35">
      <c r="A174" s="7" t="s">
        <v>754</v>
      </c>
      <c r="B174" s="8" t="s">
        <v>755</v>
      </c>
      <c r="C174" s="21" t="s">
        <v>756</v>
      </c>
      <c r="D174" s="10" t="s">
        <v>141</v>
      </c>
      <c r="E174" s="11" t="s">
        <v>481</v>
      </c>
      <c r="F174" s="11" t="s">
        <v>757</v>
      </c>
      <c r="G174" s="12">
        <v>42019</v>
      </c>
      <c r="H174" s="11" t="s">
        <v>24</v>
      </c>
      <c r="I174" s="11" t="s">
        <v>758</v>
      </c>
      <c r="J174" s="11" t="s">
        <v>759</v>
      </c>
      <c r="K174" s="11" t="s">
        <v>102</v>
      </c>
      <c r="L174" s="23">
        <v>254037930</v>
      </c>
      <c r="M174" s="14">
        <v>46334209</v>
      </c>
      <c r="N174" s="14">
        <v>207703722</v>
      </c>
      <c r="O174" s="14">
        <v>296998154</v>
      </c>
      <c r="P174" s="14">
        <v>11495556</v>
      </c>
      <c r="Q174" s="14">
        <v>30484094</v>
      </c>
      <c r="R174" s="14">
        <v>29253768</v>
      </c>
      <c r="S174" s="15">
        <v>11041708</v>
      </c>
      <c r="T174" s="15">
        <v>5857</v>
      </c>
      <c r="U174" s="15">
        <f>4244268+871</f>
        <v>4245139</v>
      </c>
      <c r="V174" s="15">
        <v>0</v>
      </c>
      <c r="W174" s="15">
        <f>421+854+562</f>
        <v>1837</v>
      </c>
      <c r="X174" s="15">
        <v>0</v>
      </c>
      <c r="Z174" s="15">
        <v>0</v>
      </c>
      <c r="AA174" s="15">
        <v>0</v>
      </c>
      <c r="AB174" s="74">
        <f t="shared" si="118"/>
        <v>4246976</v>
      </c>
      <c r="AC174" s="75">
        <f t="shared" si="119"/>
        <v>38.463034885544886</v>
      </c>
      <c r="AD174" s="75">
        <f t="shared" si="120"/>
        <v>66.890361145962416</v>
      </c>
      <c r="AE174" s="76">
        <f t="shared" si="159"/>
        <v>2.0067108343788722</v>
      </c>
      <c r="AF174" s="77">
        <f t="shared" si="121"/>
        <v>38.466802424208154</v>
      </c>
      <c r="AG174" s="77">
        <f t="shared" si="122"/>
        <v>38.483448172687361</v>
      </c>
      <c r="AH174" s="77">
        <f t="shared" si="123"/>
        <v>1.664574847920619E-2</v>
      </c>
      <c r="AI174" s="78">
        <f t="shared" si="124"/>
        <v>100</v>
      </c>
      <c r="AJ174" s="79">
        <f t="shared" si="160"/>
        <v>4</v>
      </c>
      <c r="AK174" s="113">
        <v>5</v>
      </c>
      <c r="AL174" s="113">
        <v>5</v>
      </c>
      <c r="AM174" s="113">
        <v>0</v>
      </c>
      <c r="AN174" s="81">
        <f t="shared" si="125"/>
        <v>10</v>
      </c>
      <c r="AO174" s="82">
        <f t="shared" si="126"/>
        <v>0</v>
      </c>
      <c r="AP174" s="83">
        <f t="shared" si="127"/>
        <v>100</v>
      </c>
      <c r="AQ174" s="84">
        <f t="shared" si="161"/>
        <v>2</v>
      </c>
      <c r="AR174" s="118">
        <v>1</v>
      </c>
      <c r="AS174" s="86">
        <f t="shared" si="128"/>
        <v>0.25</v>
      </c>
      <c r="AT174" s="87">
        <f t="shared" si="129"/>
        <v>1.25</v>
      </c>
      <c r="AU174" s="87">
        <f t="shared" si="130"/>
        <v>1</v>
      </c>
      <c r="AV174" s="88">
        <f t="shared" si="131"/>
        <v>0</v>
      </c>
      <c r="AW174" s="78">
        <f t="shared" si="132"/>
        <v>40</v>
      </c>
      <c r="AX174" s="89">
        <f t="shared" si="162"/>
        <v>0.4</v>
      </c>
      <c r="AY174" s="114">
        <v>7</v>
      </c>
      <c r="AZ174" s="114">
        <v>7</v>
      </c>
      <c r="BA174" s="91">
        <f t="shared" si="133"/>
        <v>7</v>
      </c>
      <c r="BB174" s="77">
        <f t="shared" si="134"/>
        <v>100</v>
      </c>
      <c r="BC174" s="78">
        <f t="shared" si="135"/>
        <v>100</v>
      </c>
      <c r="BD174" s="79">
        <f t="shared" si="163"/>
        <v>1</v>
      </c>
      <c r="BE174" s="92">
        <v>3021396</v>
      </c>
      <c r="BF174" s="92">
        <v>283344</v>
      </c>
      <c r="BG174" s="114">
        <v>35479</v>
      </c>
      <c r="BH174" s="94">
        <f t="shared" si="136"/>
        <v>3304740</v>
      </c>
      <c r="BI174" s="77">
        <f t="shared" si="137"/>
        <v>1.0735791620520827</v>
      </c>
      <c r="BJ174" s="95" t="str">
        <f t="shared" si="138"/>
        <v>전기전자/기계업</v>
      </c>
      <c r="BK174" s="96">
        <f t="shared" si="139"/>
        <v>2.4096449716116446</v>
      </c>
      <c r="BL174" s="97">
        <f t="shared" si="140"/>
        <v>-1.3360658095595619</v>
      </c>
      <c r="BM174" s="98">
        <f t="shared" si="141"/>
        <v>80</v>
      </c>
      <c r="BN174" s="99">
        <f t="shared" si="142"/>
        <v>1.6</v>
      </c>
      <c r="BO174" s="114">
        <f>(5436-491)*1000</f>
        <v>4945000</v>
      </c>
      <c r="BP174" s="101">
        <f t="shared" si="143"/>
        <v>1.6649935137307286</v>
      </c>
      <c r="BQ174" s="78">
        <f t="shared" si="144"/>
        <v>70</v>
      </c>
      <c r="BR174" s="79">
        <f t="shared" si="164"/>
        <v>1.4000000000000001</v>
      </c>
      <c r="BS174" s="102">
        <v>9311093.8059999999</v>
      </c>
      <c r="BT174" s="102">
        <v>22918.11</v>
      </c>
      <c r="BU174" s="103">
        <f t="shared" si="145"/>
        <v>9288175.6960000005</v>
      </c>
      <c r="BV174" s="77">
        <f t="shared" si="146"/>
        <v>3.1273513221903735</v>
      </c>
      <c r="BW174" s="96">
        <f t="shared" si="147"/>
        <v>5.2309968128308295</v>
      </c>
      <c r="BX174" s="96">
        <f t="shared" si="148"/>
        <v>4.4253243502919251</v>
      </c>
      <c r="BY174" s="96">
        <f t="shared" si="149"/>
        <v>7.0695458012309631</v>
      </c>
      <c r="BZ174" s="96">
        <f t="shared" si="150"/>
        <v>61.698219363559524</v>
      </c>
      <c r="CA174" s="96">
        <f t="shared" si="151"/>
        <v>40</v>
      </c>
      <c r="CB174" s="104">
        <f t="shared" si="152"/>
        <v>0.8</v>
      </c>
      <c r="CC174" s="105">
        <f t="shared" si="165"/>
        <v>22.307837603410881</v>
      </c>
      <c r="CD174" s="106">
        <f t="shared" si="166"/>
        <v>91.969407938412985</v>
      </c>
      <c r="CE174" s="107">
        <f t="shared" si="167"/>
        <v>1.3795411190761948</v>
      </c>
      <c r="CF174" s="108" t="s">
        <v>2189</v>
      </c>
      <c r="CG174" s="108" t="s">
        <v>2189</v>
      </c>
      <c r="CH174" s="108" t="s">
        <v>2189</v>
      </c>
      <c r="CI174" s="108" t="s">
        <v>2189</v>
      </c>
      <c r="CJ174" s="109"/>
      <c r="CK174" s="116" t="s">
        <v>2192</v>
      </c>
      <c r="CL174" s="116" t="s">
        <v>2193</v>
      </c>
      <c r="CM174" s="111">
        <f t="shared" si="153"/>
        <v>25</v>
      </c>
      <c r="CN174" s="107">
        <f t="shared" si="168"/>
        <v>0.375</v>
      </c>
      <c r="CO174" s="114">
        <v>52286000</v>
      </c>
      <c r="CP174" s="88">
        <f t="shared" si="154"/>
        <v>25.173357268966036</v>
      </c>
      <c r="CQ174" s="78">
        <f t="shared" si="155"/>
        <v>60</v>
      </c>
      <c r="CR174" s="79">
        <f t="shared" si="169"/>
        <v>1.7999999999999998</v>
      </c>
      <c r="CS174" s="92">
        <f>_xlfn.XLOOKUP(C174, '[1]1-1. 관계사체무보증금액 (환율 등)'!$3:$3, '[1]1-1. 관계사체무보증금액 (환율 등)'!$33:$33)</f>
        <v>19607903.673973445</v>
      </c>
      <c r="CT174" s="77">
        <f t="shared" si="156"/>
        <v>9.4403236904793868</v>
      </c>
      <c r="CU174" s="78">
        <f t="shared" si="157"/>
        <v>80</v>
      </c>
      <c r="CV174" s="79">
        <f t="shared" si="170"/>
        <v>1.6</v>
      </c>
      <c r="CW174" s="112">
        <f t="shared" si="158"/>
        <v>18.361251953455071</v>
      </c>
    </row>
    <row r="175" spans="1:101" x14ac:dyDescent="0.35">
      <c r="A175" s="7" t="s">
        <v>716</v>
      </c>
      <c r="B175" s="8" t="s">
        <v>717</v>
      </c>
      <c r="C175" s="21" t="s">
        <v>718</v>
      </c>
      <c r="D175" s="10" t="s">
        <v>75</v>
      </c>
      <c r="E175" s="11" t="s">
        <v>114</v>
      </c>
      <c r="F175" s="11" t="s">
        <v>719</v>
      </c>
      <c r="G175" s="12">
        <v>42271</v>
      </c>
      <c r="H175" s="11" t="s">
        <v>24</v>
      </c>
      <c r="I175" s="11" t="s">
        <v>720</v>
      </c>
      <c r="J175" s="11" t="s">
        <v>721</v>
      </c>
      <c r="K175" s="11" t="s">
        <v>50</v>
      </c>
      <c r="L175" s="23">
        <v>179708719</v>
      </c>
      <c r="M175" s="14">
        <v>22028248</v>
      </c>
      <c r="N175" s="14">
        <v>157680471</v>
      </c>
      <c r="O175" s="14">
        <v>196757615</v>
      </c>
      <c r="P175" s="14">
        <v>2456930</v>
      </c>
      <c r="Q175" s="14">
        <v>3926033</v>
      </c>
      <c r="R175" s="14">
        <v>3345149</v>
      </c>
      <c r="S175" s="15">
        <v>20300360</v>
      </c>
      <c r="T175" s="15">
        <v>514900</v>
      </c>
      <c r="U175" s="15">
        <v>1000000</v>
      </c>
      <c r="V175" s="15">
        <f>687820+600000+300000</f>
        <v>1587820</v>
      </c>
      <c r="W175" s="15">
        <f>85000+450000+11000</f>
        <v>546000</v>
      </c>
      <c r="X175" s="15">
        <v>0</v>
      </c>
      <c r="Z175" s="15">
        <v>8450812</v>
      </c>
      <c r="AA175" s="15">
        <v>0</v>
      </c>
      <c r="AB175" s="74">
        <f t="shared" si="118"/>
        <v>11584632</v>
      </c>
      <c r="AC175" s="75">
        <f t="shared" si="119"/>
        <v>57.066140698982679</v>
      </c>
      <c r="AD175" s="75">
        <f t="shared" si="120"/>
        <v>50.834746232178368</v>
      </c>
      <c r="AE175" s="76">
        <f t="shared" si="159"/>
        <v>1.5250423869653509</v>
      </c>
      <c r="AF175" s="77">
        <f t="shared" si="121"/>
        <v>13.079402753335026</v>
      </c>
      <c r="AG175" s="77">
        <f t="shared" si="122"/>
        <v>58.551239142279229</v>
      </c>
      <c r="AH175" s="77">
        <f t="shared" si="123"/>
        <v>45.471836388944205</v>
      </c>
      <c r="AI175" s="78">
        <f t="shared" si="124"/>
        <v>60</v>
      </c>
      <c r="AJ175" s="79">
        <f t="shared" si="160"/>
        <v>2.4</v>
      </c>
      <c r="AK175" s="113">
        <v>6</v>
      </c>
      <c r="AL175" s="113">
        <v>7</v>
      </c>
      <c r="AM175" s="113">
        <v>1</v>
      </c>
      <c r="AN175" s="81">
        <f t="shared" si="125"/>
        <v>13</v>
      </c>
      <c r="AO175" s="82">
        <f t="shared" si="126"/>
        <v>7.6923076923076925</v>
      </c>
      <c r="AP175" s="83">
        <f t="shared" si="127"/>
        <v>100</v>
      </c>
      <c r="AQ175" s="84">
        <f t="shared" si="161"/>
        <v>2</v>
      </c>
      <c r="AR175" s="118">
        <v>3</v>
      </c>
      <c r="AS175" s="86">
        <f t="shared" si="128"/>
        <v>0.25</v>
      </c>
      <c r="AT175" s="87">
        <f t="shared" si="129"/>
        <v>1.5</v>
      </c>
      <c r="AU175" s="87">
        <f t="shared" si="130"/>
        <v>1</v>
      </c>
      <c r="AV175" s="88">
        <f t="shared" si="131"/>
        <v>33.333333333333329</v>
      </c>
      <c r="AW175" s="78">
        <f t="shared" si="132"/>
        <v>80</v>
      </c>
      <c r="AX175" s="89">
        <f t="shared" si="162"/>
        <v>0.8</v>
      </c>
      <c r="AY175" s="114">
        <v>7</v>
      </c>
      <c r="AZ175" s="114">
        <v>19</v>
      </c>
      <c r="BA175" s="91">
        <f t="shared" si="133"/>
        <v>21</v>
      </c>
      <c r="BB175" s="77">
        <f t="shared" si="134"/>
        <v>90.476190476190482</v>
      </c>
      <c r="BC175" s="78">
        <f t="shared" si="135"/>
        <v>100</v>
      </c>
      <c r="BD175" s="79">
        <f t="shared" si="163"/>
        <v>1</v>
      </c>
      <c r="BE175" s="92">
        <f>2434618+180938</f>
        <v>2615556</v>
      </c>
      <c r="BF175" s="92">
        <v>356189</v>
      </c>
      <c r="BG175" s="114">
        <v>20748</v>
      </c>
      <c r="BH175" s="94">
        <f t="shared" si="136"/>
        <v>2971745</v>
      </c>
      <c r="BI175" s="77">
        <f t="shared" si="137"/>
        <v>0.69817565100639523</v>
      </c>
      <c r="BJ175" s="95" t="str">
        <f t="shared" si="138"/>
        <v>금속/비금속/화학업</v>
      </c>
      <c r="BK175" s="96">
        <f t="shared" si="139"/>
        <v>3.9534118626990469</v>
      </c>
      <c r="BL175" s="97">
        <f t="shared" si="140"/>
        <v>-3.2552362116926519</v>
      </c>
      <c r="BM175" s="98">
        <f t="shared" si="141"/>
        <v>100</v>
      </c>
      <c r="BN175" s="99">
        <f t="shared" si="142"/>
        <v>2</v>
      </c>
      <c r="BO175" s="114">
        <v>0</v>
      </c>
      <c r="BP175" s="101">
        <f t="shared" si="143"/>
        <v>0</v>
      </c>
      <c r="BQ175" s="78">
        <f t="shared" si="144"/>
        <v>25</v>
      </c>
      <c r="BR175" s="79">
        <f t="shared" si="164"/>
        <v>0.5</v>
      </c>
      <c r="BS175" s="102">
        <v>7185226</v>
      </c>
      <c r="BT175" s="102">
        <v>252718</v>
      </c>
      <c r="BU175" s="103">
        <f t="shared" si="145"/>
        <v>6932508</v>
      </c>
      <c r="BV175" s="77">
        <f t="shared" si="146"/>
        <v>3.5233746861589066</v>
      </c>
      <c r="BW175" s="96">
        <f t="shared" si="147"/>
        <v>5.1474158565187738</v>
      </c>
      <c r="BX175" s="96">
        <f t="shared" si="148"/>
        <v>2.6375097230238471</v>
      </c>
      <c r="BY175" s="96">
        <f t="shared" si="149"/>
        <v>6.6930498535228535</v>
      </c>
      <c r="BZ175" s="96">
        <f t="shared" si="150"/>
        <v>59.586014349460292</v>
      </c>
      <c r="CA175" s="96">
        <f t="shared" si="151"/>
        <v>55</v>
      </c>
      <c r="CB175" s="104">
        <f t="shared" si="152"/>
        <v>1.1000000000000001</v>
      </c>
      <c r="CC175" s="105">
        <f t="shared" si="165"/>
        <v>13.970181507131596</v>
      </c>
      <c r="CD175" s="106">
        <f t="shared" si="166"/>
        <v>95.111740638015732</v>
      </c>
      <c r="CE175" s="107">
        <f t="shared" si="167"/>
        <v>1.4266761095702358</v>
      </c>
      <c r="CF175" s="108" t="s">
        <v>2189</v>
      </c>
      <c r="CG175" s="108" t="s">
        <v>2189</v>
      </c>
      <c r="CH175" s="108" t="s">
        <v>2189</v>
      </c>
      <c r="CI175" s="108" t="s">
        <v>2189</v>
      </c>
      <c r="CJ175" s="109"/>
      <c r="CK175" s="116" t="s">
        <v>2208</v>
      </c>
      <c r="CL175" s="116" t="s">
        <v>2209</v>
      </c>
      <c r="CM175" s="111">
        <f t="shared" si="153"/>
        <v>40</v>
      </c>
      <c r="CN175" s="107">
        <f t="shared" si="168"/>
        <v>0.6</v>
      </c>
      <c r="CO175" s="114">
        <v>0</v>
      </c>
      <c r="CP175" s="88">
        <f t="shared" si="154"/>
        <v>0</v>
      </c>
      <c r="CQ175" s="78">
        <f t="shared" si="155"/>
        <v>100</v>
      </c>
      <c r="CR175" s="79">
        <f t="shared" si="169"/>
        <v>3</v>
      </c>
      <c r="CS175" s="92">
        <f>_xlfn.XLOOKUP(C175, '[1]1-1. 관계사체무보증금액 (환율 등)'!$3:$3, '[1]1-1. 관계사체무보증금액 (환율 등)'!$33:$33)</f>
        <v>0</v>
      </c>
      <c r="CT175" s="77">
        <f t="shared" si="156"/>
        <v>0</v>
      </c>
      <c r="CU175" s="78">
        <f t="shared" si="157"/>
        <v>100</v>
      </c>
      <c r="CV175" s="79">
        <f t="shared" si="170"/>
        <v>2</v>
      </c>
      <c r="CW175" s="112">
        <f t="shared" si="158"/>
        <v>18.351718496535586</v>
      </c>
    </row>
    <row r="176" spans="1:101" x14ac:dyDescent="0.35">
      <c r="A176" s="7" t="s">
        <v>80</v>
      </c>
      <c r="B176" s="8" t="s">
        <v>81</v>
      </c>
      <c r="C176" s="21" t="s">
        <v>82</v>
      </c>
      <c r="D176" s="10" t="s">
        <v>21</v>
      </c>
      <c r="E176" s="11" t="s">
        <v>83</v>
      </c>
      <c r="F176" s="11" t="s">
        <v>84</v>
      </c>
      <c r="G176" s="12">
        <v>28481</v>
      </c>
      <c r="H176" s="11" t="s">
        <v>24</v>
      </c>
      <c r="I176" s="11" t="s">
        <v>85</v>
      </c>
      <c r="J176" s="11" t="s">
        <v>86</v>
      </c>
      <c r="K176" s="11" t="s">
        <v>87</v>
      </c>
      <c r="L176" s="23">
        <v>1746816808</v>
      </c>
      <c r="M176" s="14">
        <v>748120989</v>
      </c>
      <c r="N176" s="14">
        <v>998695819</v>
      </c>
      <c r="O176" s="14">
        <v>1962419335</v>
      </c>
      <c r="P176" s="14">
        <v>81072832</v>
      </c>
      <c r="Q176" s="14">
        <v>84339672</v>
      </c>
      <c r="R176" s="14">
        <v>55421181</v>
      </c>
      <c r="S176" s="15">
        <v>22053284</v>
      </c>
      <c r="T176" s="15">
        <v>4263</v>
      </c>
      <c r="U176" s="15">
        <v>14100660</v>
      </c>
      <c r="V176" s="15">
        <v>1188</v>
      </c>
      <c r="W176" s="15">
        <f>126724+13347</f>
        <v>140071</v>
      </c>
      <c r="X176" s="15">
        <v>130403</v>
      </c>
      <c r="Y176" s="24" t="s">
        <v>2052</v>
      </c>
      <c r="Z176" s="15">
        <v>0</v>
      </c>
      <c r="AA176" s="15">
        <v>0</v>
      </c>
      <c r="AB176" s="74">
        <f t="shared" si="118"/>
        <v>14372322</v>
      </c>
      <c r="AC176" s="75">
        <f t="shared" si="119"/>
        <v>65.170892462093178</v>
      </c>
      <c r="AD176" s="75">
        <f t="shared" si="120"/>
        <v>43.839851154695189</v>
      </c>
      <c r="AE176" s="76">
        <f t="shared" si="159"/>
        <v>1.3151955346408557</v>
      </c>
      <c r="AF176" s="77">
        <f t="shared" si="121"/>
        <v>63.956798807529822</v>
      </c>
      <c r="AG176" s="77">
        <f t="shared" si="122"/>
        <v>65.183492727409529</v>
      </c>
      <c r="AH176" s="77">
        <f t="shared" si="123"/>
        <v>1.2266939198797076</v>
      </c>
      <c r="AI176" s="78">
        <f t="shared" si="124"/>
        <v>100</v>
      </c>
      <c r="AJ176" s="79">
        <f t="shared" si="160"/>
        <v>4</v>
      </c>
      <c r="AK176" s="113">
        <v>5</v>
      </c>
      <c r="AL176" s="113">
        <v>24</v>
      </c>
      <c r="AM176" s="113">
        <v>0</v>
      </c>
      <c r="AN176" s="81">
        <f t="shared" si="125"/>
        <v>29</v>
      </c>
      <c r="AO176" s="82">
        <f t="shared" si="126"/>
        <v>0</v>
      </c>
      <c r="AP176" s="83">
        <f t="shared" si="127"/>
        <v>100</v>
      </c>
      <c r="AQ176" s="84">
        <f t="shared" si="161"/>
        <v>2</v>
      </c>
      <c r="AR176" s="118">
        <v>1</v>
      </c>
      <c r="AS176" s="86">
        <f t="shared" si="128"/>
        <v>0.25</v>
      </c>
      <c r="AT176" s="87">
        <f t="shared" si="129"/>
        <v>1.25</v>
      </c>
      <c r="AU176" s="87">
        <f t="shared" si="130"/>
        <v>1</v>
      </c>
      <c r="AV176" s="88">
        <f t="shared" si="131"/>
        <v>0</v>
      </c>
      <c r="AW176" s="78">
        <f t="shared" si="132"/>
        <v>40</v>
      </c>
      <c r="AX176" s="89">
        <f t="shared" si="162"/>
        <v>0.4</v>
      </c>
      <c r="AY176" s="114">
        <v>29</v>
      </c>
      <c r="AZ176" s="114">
        <v>29</v>
      </c>
      <c r="BA176" s="91">
        <f t="shared" si="133"/>
        <v>29</v>
      </c>
      <c r="BB176" s="77">
        <f t="shared" si="134"/>
        <v>100</v>
      </c>
      <c r="BC176" s="78">
        <f t="shared" si="135"/>
        <v>100</v>
      </c>
      <c r="BD176" s="79">
        <f t="shared" si="163"/>
        <v>1</v>
      </c>
      <c r="BE176" s="92">
        <v>36788000</v>
      </c>
      <c r="BF176" s="92">
        <v>2051000</v>
      </c>
      <c r="BG176" s="114">
        <v>159000</v>
      </c>
      <c r="BH176" s="94">
        <f t="shared" si="136"/>
        <v>38839000</v>
      </c>
      <c r="BI176" s="77">
        <f t="shared" si="137"/>
        <v>0.40938232189294266</v>
      </c>
      <c r="BJ176" s="95" t="str">
        <f t="shared" si="138"/>
        <v>비제조/서비스업</v>
      </c>
      <c r="BK176" s="96">
        <f t="shared" si="139"/>
        <v>1.7464434573900922</v>
      </c>
      <c r="BL176" s="97">
        <f t="shared" si="140"/>
        <v>-1.3370611354971496</v>
      </c>
      <c r="BM176" s="98">
        <f t="shared" si="141"/>
        <v>80</v>
      </c>
      <c r="BN176" s="99">
        <f t="shared" si="142"/>
        <v>1.6</v>
      </c>
      <c r="BO176" s="114">
        <v>0</v>
      </c>
      <c r="BP176" s="101">
        <f t="shared" si="143"/>
        <v>0</v>
      </c>
      <c r="BQ176" s="78">
        <f t="shared" si="144"/>
        <v>25</v>
      </c>
      <c r="BR176" s="79">
        <f t="shared" si="164"/>
        <v>0.5</v>
      </c>
      <c r="BS176" s="102">
        <v>722768.65</v>
      </c>
      <c r="BT176" s="102">
        <v>39904.953999999998</v>
      </c>
      <c r="BU176" s="103">
        <f t="shared" si="145"/>
        <v>682863.696</v>
      </c>
      <c r="BV176" s="77">
        <f t="shared" si="146"/>
        <v>3.4797032612808004E-2</v>
      </c>
      <c r="BW176" s="96">
        <f t="shared" si="147"/>
        <v>2.8482825397737606</v>
      </c>
      <c r="BX176" s="96">
        <f t="shared" si="148"/>
        <v>7.915700699004721</v>
      </c>
      <c r="BY176" s="96">
        <f t="shared" si="149"/>
        <v>5.5697595856656807</v>
      </c>
      <c r="BZ176" s="96">
        <f t="shared" si="150"/>
        <v>69.326830511175658</v>
      </c>
      <c r="CA176" s="96">
        <f t="shared" si="151"/>
        <v>40</v>
      </c>
      <c r="CB176" s="104">
        <f t="shared" si="152"/>
        <v>0.8</v>
      </c>
      <c r="CC176" s="105">
        <f t="shared" si="165"/>
        <v>74.909794831132658</v>
      </c>
      <c r="CD176" s="106">
        <f t="shared" si="166"/>
        <v>72.144549686759049</v>
      </c>
      <c r="CE176" s="107">
        <f t="shared" si="167"/>
        <v>1.0821682453013857</v>
      </c>
      <c r="CF176" s="108" t="s">
        <v>2189</v>
      </c>
      <c r="CG176" s="108" t="s">
        <v>2189</v>
      </c>
      <c r="CH176" s="108" t="s">
        <v>2189</v>
      </c>
      <c r="CI176" s="108" t="s">
        <v>2189</v>
      </c>
      <c r="CJ176" s="109"/>
      <c r="CK176" s="116" t="s">
        <v>2205</v>
      </c>
      <c r="CL176" s="116" t="s">
        <v>2204</v>
      </c>
      <c r="CM176" s="111">
        <f t="shared" si="153"/>
        <v>70</v>
      </c>
      <c r="CN176" s="107">
        <f t="shared" si="168"/>
        <v>1.05</v>
      </c>
      <c r="CO176" s="114">
        <v>0</v>
      </c>
      <c r="CP176" s="88">
        <f t="shared" si="154"/>
        <v>0</v>
      </c>
      <c r="CQ176" s="78">
        <f t="shared" si="155"/>
        <v>100</v>
      </c>
      <c r="CR176" s="79">
        <f t="shared" si="169"/>
        <v>3</v>
      </c>
      <c r="CS176" s="92">
        <f>_xlfn.XLOOKUP(C176, '[1]1-1. 관계사체무보증금액 (환율 등)'!$3:$3, '[1]1-1. 관계사체무보증금액 (환율 등)'!$33:$33)</f>
        <v>70000000</v>
      </c>
      <c r="CT176" s="77">
        <f t="shared" si="156"/>
        <v>7.0091411887647048</v>
      </c>
      <c r="CU176" s="78">
        <f t="shared" si="157"/>
        <v>80</v>
      </c>
      <c r="CV176" s="79">
        <f t="shared" si="170"/>
        <v>1.6</v>
      </c>
      <c r="CW176" s="112">
        <f t="shared" si="158"/>
        <v>18.347363779942242</v>
      </c>
    </row>
    <row r="177" spans="1:101" x14ac:dyDescent="0.35">
      <c r="A177" s="7" t="s">
        <v>219</v>
      </c>
      <c r="B177" s="188" t="s">
        <v>220</v>
      </c>
      <c r="C177" s="21" t="s">
        <v>221</v>
      </c>
      <c r="D177" s="10" t="s">
        <v>31</v>
      </c>
      <c r="E177" s="11" t="s">
        <v>32</v>
      </c>
      <c r="F177" s="11" t="s">
        <v>222</v>
      </c>
      <c r="G177" s="12">
        <v>39052</v>
      </c>
      <c r="H177" s="11" t="s">
        <v>24</v>
      </c>
      <c r="I177" s="11" t="s">
        <v>223</v>
      </c>
      <c r="J177" s="11" t="s">
        <v>224</v>
      </c>
      <c r="K177" s="11" t="s">
        <v>27</v>
      </c>
      <c r="L177" s="23">
        <v>1973686923</v>
      </c>
      <c r="M177" s="14">
        <v>455919080</v>
      </c>
      <c r="N177" s="14">
        <v>1517767844</v>
      </c>
      <c r="O177" s="14">
        <v>1271908968</v>
      </c>
      <c r="P177" s="14">
        <v>75779686</v>
      </c>
      <c r="Q177" s="14">
        <v>170929776</v>
      </c>
      <c r="R177" s="14">
        <v>155782948</v>
      </c>
      <c r="S177" s="15">
        <v>29240000</v>
      </c>
      <c r="T177" s="15">
        <v>780000</v>
      </c>
      <c r="U177" s="15">
        <v>5587890</v>
      </c>
      <c r="V177" s="15">
        <f>37908+322491+2501476+179300+1707100+344259+151022+127+648999+20000+89340+27937+32175+3498</f>
        <v>6065632</v>
      </c>
      <c r="W177" s="15">
        <f>15131+8330</f>
        <v>23461</v>
      </c>
      <c r="X177" s="15">
        <v>12860</v>
      </c>
      <c r="Y177" s="24" t="s">
        <v>2057</v>
      </c>
      <c r="Z177" s="15">
        <f>463564+1987823</f>
        <v>2451387</v>
      </c>
      <c r="AA177" s="15">
        <v>0</v>
      </c>
      <c r="AB177" s="74">
        <f t="shared" si="118"/>
        <v>14141230</v>
      </c>
      <c r="AC177" s="75">
        <f t="shared" si="119"/>
        <v>48.362619699042412</v>
      </c>
      <c r="AD177" s="75">
        <f t="shared" si="120"/>
        <v>58.346415679767773</v>
      </c>
      <c r="AE177" s="76">
        <f t="shared" si="159"/>
        <v>1.7503924703930331</v>
      </c>
      <c r="AF177" s="77">
        <f t="shared" si="121"/>
        <v>40.947020379479973</v>
      </c>
      <c r="AG177" s="77">
        <f t="shared" si="122"/>
        <v>49.688088545326778</v>
      </c>
      <c r="AH177" s="77">
        <f t="shared" si="123"/>
        <v>8.741068165846805</v>
      </c>
      <c r="AI177" s="78">
        <f t="shared" si="124"/>
        <v>100</v>
      </c>
      <c r="AJ177" s="79">
        <f t="shared" si="160"/>
        <v>4</v>
      </c>
      <c r="AK177" s="113">
        <v>7</v>
      </c>
      <c r="AL177" s="113">
        <v>29</v>
      </c>
      <c r="AM177" s="113">
        <v>1</v>
      </c>
      <c r="AN177" s="81">
        <f t="shared" si="125"/>
        <v>36</v>
      </c>
      <c r="AO177" s="82">
        <f t="shared" si="126"/>
        <v>2.7777777777777777</v>
      </c>
      <c r="AP177" s="83">
        <f t="shared" si="127"/>
        <v>100</v>
      </c>
      <c r="AQ177" s="84">
        <f t="shared" si="161"/>
        <v>2</v>
      </c>
      <c r="AR177" s="118">
        <v>3</v>
      </c>
      <c r="AS177" s="86">
        <f t="shared" si="128"/>
        <v>0.25</v>
      </c>
      <c r="AT177" s="87">
        <f t="shared" si="129"/>
        <v>1.75</v>
      </c>
      <c r="AU177" s="87">
        <f t="shared" si="130"/>
        <v>1</v>
      </c>
      <c r="AV177" s="88">
        <f t="shared" si="131"/>
        <v>28.571428571428569</v>
      </c>
      <c r="AW177" s="78">
        <f t="shared" si="132"/>
        <v>80</v>
      </c>
      <c r="AX177" s="89">
        <f t="shared" si="162"/>
        <v>0.8</v>
      </c>
      <c r="AY177" s="114">
        <v>6</v>
      </c>
      <c r="AZ177" s="114">
        <v>18</v>
      </c>
      <c r="BA177" s="91">
        <f t="shared" si="133"/>
        <v>18</v>
      </c>
      <c r="BB177" s="77">
        <f t="shared" si="134"/>
        <v>100</v>
      </c>
      <c r="BC177" s="78">
        <f t="shared" si="135"/>
        <v>100</v>
      </c>
      <c r="BD177" s="79">
        <f t="shared" si="163"/>
        <v>1</v>
      </c>
      <c r="BE177" s="92">
        <v>83467000</v>
      </c>
      <c r="BF177" s="92">
        <v>8849000</v>
      </c>
      <c r="BG177" s="93">
        <v>0</v>
      </c>
      <c r="BH177" s="94">
        <f t="shared" si="136"/>
        <v>92316000</v>
      </c>
      <c r="BI177" s="77">
        <f t="shared" si="137"/>
        <v>0</v>
      </c>
      <c r="BJ177" s="95" t="str">
        <f t="shared" si="138"/>
        <v>식약/섬유/종이업</v>
      </c>
      <c r="BK177" s="96">
        <f t="shared" si="139"/>
        <v>2.1999360555264453</v>
      </c>
      <c r="BL177" s="97">
        <f t="shared" si="140"/>
        <v>-2.1999360555264453</v>
      </c>
      <c r="BM177" s="98">
        <f t="shared" si="141"/>
        <v>100</v>
      </c>
      <c r="BN177" s="99">
        <f t="shared" si="142"/>
        <v>2</v>
      </c>
      <c r="BO177" s="114">
        <v>473000</v>
      </c>
      <c r="BP177" s="101">
        <f t="shared" si="143"/>
        <v>3.7188196003033448E-2</v>
      </c>
      <c r="BQ177" s="78">
        <f t="shared" si="144"/>
        <v>40</v>
      </c>
      <c r="BR177" s="79">
        <f t="shared" si="164"/>
        <v>0.8</v>
      </c>
      <c r="BS177" s="102">
        <v>19420249.263</v>
      </c>
      <c r="BT177" s="102">
        <v>103169.977</v>
      </c>
      <c r="BU177" s="103">
        <f t="shared" si="145"/>
        <v>19317079.285999998</v>
      </c>
      <c r="BV177" s="77">
        <f t="shared" si="146"/>
        <v>1.5187469993528655</v>
      </c>
      <c r="BW177" s="96">
        <f t="shared" si="147"/>
        <v>5.0508176117342298</v>
      </c>
      <c r="BX177" s="96">
        <f t="shared" si="148"/>
        <v>12.475522810848066</v>
      </c>
      <c r="BY177" s="96">
        <f t="shared" si="149"/>
        <v>6.9871618081220923</v>
      </c>
      <c r="BZ177" s="96">
        <f t="shared" si="150"/>
        <v>69.339918166444335</v>
      </c>
      <c r="CA177" s="96">
        <f t="shared" si="151"/>
        <v>40</v>
      </c>
      <c r="CB177" s="104">
        <f t="shared" si="152"/>
        <v>0.8</v>
      </c>
      <c r="CC177" s="105">
        <f t="shared" si="165"/>
        <v>30.038788988864624</v>
      </c>
      <c r="CD177" s="106">
        <f t="shared" si="166"/>
        <v>89.055732793141473</v>
      </c>
      <c r="CE177" s="107">
        <f t="shared" si="167"/>
        <v>1.3358359918971221</v>
      </c>
      <c r="CF177" s="108" t="s">
        <v>2189</v>
      </c>
      <c r="CG177" s="108" t="s">
        <v>2189</v>
      </c>
      <c r="CH177" s="108" t="s">
        <v>2189</v>
      </c>
      <c r="CI177" s="108" t="s">
        <v>2189</v>
      </c>
      <c r="CJ177" s="109"/>
      <c r="CK177" s="116" t="s">
        <v>2203</v>
      </c>
      <c r="CL177" s="116" t="s">
        <v>2204</v>
      </c>
      <c r="CM177" s="111">
        <f t="shared" si="153"/>
        <v>70</v>
      </c>
      <c r="CN177" s="107">
        <f t="shared" si="168"/>
        <v>1.05</v>
      </c>
      <c r="CO177" s="114">
        <f>110908000+4000+10372000+39768000+264000+5167000+2674000+21749000+1646000+18037000+2822000+379077000+779000+9323000+23863000+4627000+96679000+6956000+10316000+6960000</f>
        <v>751991000</v>
      </c>
      <c r="CP177" s="88">
        <f t="shared" si="154"/>
        <v>49.545851361441812</v>
      </c>
      <c r="CQ177" s="78">
        <f t="shared" si="155"/>
        <v>40</v>
      </c>
      <c r="CR177" s="79">
        <f t="shared" si="169"/>
        <v>1.2</v>
      </c>
      <c r="CS177" s="92">
        <f>_xlfn.XLOOKUP(C177, '[1]1-1. 관계사체무보증금액 (환율 등)'!$3:$3, '[1]1-1. 관계사체무보증금액 (환율 등)'!$33:$33)</f>
        <v>101037780.92754345</v>
      </c>
      <c r="CT177" s="77">
        <f t="shared" si="156"/>
        <v>6.6569983892440039</v>
      </c>
      <c r="CU177" s="78">
        <f t="shared" si="157"/>
        <v>80</v>
      </c>
      <c r="CV177" s="79">
        <f t="shared" si="170"/>
        <v>1.6</v>
      </c>
      <c r="CW177" s="112">
        <f t="shared" si="158"/>
        <v>18.336228462290158</v>
      </c>
    </row>
    <row r="178" spans="1:101" x14ac:dyDescent="0.35">
      <c r="A178" s="7" t="s">
        <v>103</v>
      </c>
      <c r="B178" s="8" t="s">
        <v>104</v>
      </c>
      <c r="C178" s="21" t="s">
        <v>105</v>
      </c>
      <c r="D178" s="10" t="s">
        <v>75</v>
      </c>
      <c r="E178" s="11" t="s">
        <v>106</v>
      </c>
      <c r="F178" s="11" t="s">
        <v>107</v>
      </c>
      <c r="G178" s="12">
        <v>41409</v>
      </c>
      <c r="H178" s="11" t="s">
        <v>24</v>
      </c>
      <c r="I178" s="11" t="s">
        <v>108</v>
      </c>
      <c r="J178" s="11" t="s">
        <v>109</v>
      </c>
      <c r="K178" s="11" t="s">
        <v>110</v>
      </c>
      <c r="L178" s="23">
        <v>279626168</v>
      </c>
      <c r="M178" s="14">
        <v>94093073</v>
      </c>
      <c r="N178" s="14">
        <v>185533095</v>
      </c>
      <c r="O178" s="14">
        <v>246405810</v>
      </c>
      <c r="P178" s="14">
        <v>31078773</v>
      </c>
      <c r="Q178" s="14">
        <v>26528544</v>
      </c>
      <c r="R178" s="14">
        <v>19234317</v>
      </c>
      <c r="S178" s="15">
        <v>16000000</v>
      </c>
      <c r="T178" s="15">
        <v>0</v>
      </c>
      <c r="U178" s="15">
        <f>5080000+1377450</f>
        <v>6457450</v>
      </c>
      <c r="V178" s="15">
        <f>1267950+693719+600000+125000+123842</f>
        <v>2810511</v>
      </c>
      <c r="W178" s="15">
        <f>620500+561200+320500+162280</f>
        <v>1664480</v>
      </c>
      <c r="X178" s="15">
        <v>0</v>
      </c>
      <c r="Z178" s="15">
        <v>0</v>
      </c>
      <c r="AA178" s="15">
        <v>461000</v>
      </c>
      <c r="AB178" s="74">
        <f t="shared" si="118"/>
        <v>10932441</v>
      </c>
      <c r="AC178" s="75">
        <f t="shared" si="119"/>
        <v>68.327756250000007</v>
      </c>
      <c r="AD178" s="75">
        <f t="shared" si="120"/>
        <v>41.115285169735323</v>
      </c>
      <c r="AE178" s="76">
        <f t="shared" si="159"/>
        <v>1.2334585550920596</v>
      </c>
      <c r="AF178" s="77">
        <f t="shared" si="121"/>
        <v>59.643226719866135</v>
      </c>
      <c r="AG178" s="77">
        <f t="shared" si="122"/>
        <v>67.388126649076526</v>
      </c>
      <c r="AH178" s="77">
        <f t="shared" si="123"/>
        <v>7.7448999292103906</v>
      </c>
      <c r="AI178" s="78">
        <f t="shared" si="124"/>
        <v>100</v>
      </c>
      <c r="AJ178" s="79">
        <f t="shared" si="160"/>
        <v>4</v>
      </c>
      <c r="AK178" s="113">
        <v>5</v>
      </c>
      <c r="AL178" s="113">
        <v>10</v>
      </c>
      <c r="AM178" s="113">
        <v>3</v>
      </c>
      <c r="AN178" s="81">
        <f t="shared" si="125"/>
        <v>15</v>
      </c>
      <c r="AO178" s="82">
        <f t="shared" si="126"/>
        <v>20</v>
      </c>
      <c r="AP178" s="83">
        <f t="shared" si="127"/>
        <v>60</v>
      </c>
      <c r="AQ178" s="84">
        <f t="shared" si="161"/>
        <v>1.2</v>
      </c>
      <c r="AR178" s="118">
        <v>3</v>
      </c>
      <c r="AS178" s="86">
        <f t="shared" si="128"/>
        <v>0.25</v>
      </c>
      <c r="AT178" s="87">
        <f t="shared" si="129"/>
        <v>1.25</v>
      </c>
      <c r="AU178" s="87">
        <f t="shared" si="130"/>
        <v>1</v>
      </c>
      <c r="AV178" s="88">
        <f t="shared" si="131"/>
        <v>40</v>
      </c>
      <c r="AW178" s="78">
        <f t="shared" si="132"/>
        <v>100</v>
      </c>
      <c r="AX178" s="89">
        <f t="shared" si="162"/>
        <v>1</v>
      </c>
      <c r="AY178" s="114">
        <v>11</v>
      </c>
      <c r="AZ178" s="114">
        <f>11+4+10</f>
        <v>25</v>
      </c>
      <c r="BA178" s="91">
        <f t="shared" si="133"/>
        <v>33</v>
      </c>
      <c r="BB178" s="77">
        <f t="shared" si="134"/>
        <v>75.757575757575751</v>
      </c>
      <c r="BC178" s="78">
        <f t="shared" si="135"/>
        <v>50</v>
      </c>
      <c r="BD178" s="79">
        <f t="shared" si="163"/>
        <v>0.5</v>
      </c>
      <c r="BE178" s="92">
        <v>4901481</v>
      </c>
      <c r="BF178" s="92">
        <v>373273</v>
      </c>
      <c r="BG178" s="93">
        <v>0</v>
      </c>
      <c r="BH178" s="94">
        <f t="shared" si="136"/>
        <v>5274754</v>
      </c>
      <c r="BI178" s="77">
        <f t="shared" si="137"/>
        <v>0</v>
      </c>
      <c r="BJ178" s="95" t="str">
        <f t="shared" si="138"/>
        <v>금속/비금속/화학업</v>
      </c>
      <c r="BK178" s="96">
        <f t="shared" si="139"/>
        <v>3.9534118626990469</v>
      </c>
      <c r="BL178" s="97">
        <f t="shared" si="140"/>
        <v>-3.9534118626990469</v>
      </c>
      <c r="BM178" s="98">
        <f t="shared" si="141"/>
        <v>100</v>
      </c>
      <c r="BN178" s="99">
        <f t="shared" si="142"/>
        <v>2</v>
      </c>
      <c r="BO178" s="114">
        <v>2711000</v>
      </c>
      <c r="BP178" s="101">
        <f t="shared" si="143"/>
        <v>1.1002175638634495</v>
      </c>
      <c r="BQ178" s="78">
        <f t="shared" si="144"/>
        <v>70</v>
      </c>
      <c r="BR178" s="79">
        <f t="shared" si="164"/>
        <v>1.4000000000000001</v>
      </c>
      <c r="BS178" s="102">
        <v>54854076.913000003</v>
      </c>
      <c r="BT178" s="102">
        <v>82975.771999999997</v>
      </c>
      <c r="BU178" s="103">
        <f t="shared" si="145"/>
        <v>54771101.141000003</v>
      </c>
      <c r="BV178" s="77">
        <f t="shared" si="146"/>
        <v>22.22800718091834</v>
      </c>
      <c r="BW178" s="96">
        <f t="shared" si="147"/>
        <v>5.1474158565187738</v>
      </c>
      <c r="BX178" s="96">
        <f t="shared" si="148"/>
        <v>291.74659999115374</v>
      </c>
      <c r="BY178" s="96">
        <f t="shared" si="149"/>
        <v>6.6930498535228535</v>
      </c>
      <c r="BZ178" s="96">
        <f t="shared" si="150"/>
        <v>0.53554910644039166</v>
      </c>
      <c r="CA178" s="96">
        <f t="shared" si="151"/>
        <v>100</v>
      </c>
      <c r="CB178" s="104">
        <f t="shared" si="152"/>
        <v>2</v>
      </c>
      <c r="CC178" s="105">
        <f t="shared" si="165"/>
        <v>50.714980526789574</v>
      </c>
      <c r="CD178" s="106">
        <f t="shared" si="166"/>
        <v>81.263198293923523</v>
      </c>
      <c r="CE178" s="107">
        <f t="shared" si="167"/>
        <v>1.2189479744088527</v>
      </c>
      <c r="CF178" s="108" t="s">
        <v>2189</v>
      </c>
      <c r="CG178" s="108" t="s">
        <v>2189</v>
      </c>
      <c r="CH178" s="108" t="s">
        <v>2189</v>
      </c>
      <c r="CI178" s="108" t="s">
        <v>2189</v>
      </c>
      <c r="CJ178" s="109"/>
      <c r="CK178" s="116" t="s">
        <v>2192</v>
      </c>
      <c r="CL178" s="116" t="s">
        <v>2193</v>
      </c>
      <c r="CM178" s="111">
        <f t="shared" si="153"/>
        <v>25</v>
      </c>
      <c r="CN178" s="107">
        <f t="shared" si="168"/>
        <v>0.375</v>
      </c>
      <c r="CO178" s="114">
        <f>2201000+11975000+5355000+10000</f>
        <v>19541000</v>
      </c>
      <c r="CP178" s="88">
        <f t="shared" si="154"/>
        <v>10.532352732001803</v>
      </c>
      <c r="CQ178" s="78">
        <f t="shared" si="155"/>
        <v>60</v>
      </c>
      <c r="CR178" s="79">
        <f t="shared" si="169"/>
        <v>1.7999999999999998</v>
      </c>
      <c r="CS178" s="92">
        <f>_xlfn.XLOOKUP(C178, '[1]1-1. 관계사체무보증금액 (환율 등)'!$3:$3, '[1]1-1. 관계사체무보증금액 (환율 등)'!$33:$33)</f>
        <v>10297639.411563462</v>
      </c>
      <c r="CT178" s="77">
        <f t="shared" si="156"/>
        <v>5.5502978654905002</v>
      </c>
      <c r="CU178" s="78">
        <f t="shared" si="157"/>
        <v>80</v>
      </c>
      <c r="CV178" s="79">
        <f t="shared" si="170"/>
        <v>1.6</v>
      </c>
      <c r="CW178" s="112">
        <f t="shared" si="158"/>
        <v>18.327406529500912</v>
      </c>
    </row>
    <row r="179" spans="1:101" x14ac:dyDescent="0.35">
      <c r="A179" s="7" t="s">
        <v>710</v>
      </c>
      <c r="B179" s="8" t="s">
        <v>711</v>
      </c>
      <c r="C179" s="21" t="s">
        <v>712</v>
      </c>
      <c r="D179" s="10" t="s">
        <v>75</v>
      </c>
      <c r="E179" s="11" t="s">
        <v>114</v>
      </c>
      <c r="F179" s="11" t="s">
        <v>713</v>
      </c>
      <c r="G179" s="12">
        <v>38533</v>
      </c>
      <c r="H179" s="11" t="s">
        <v>24</v>
      </c>
      <c r="I179" s="11" t="s">
        <v>714</v>
      </c>
      <c r="J179" s="11" t="s">
        <v>715</v>
      </c>
      <c r="K179" s="11" t="s">
        <v>453</v>
      </c>
      <c r="L179" s="23">
        <v>457877289</v>
      </c>
      <c r="M179" s="14">
        <v>52176470</v>
      </c>
      <c r="N179" s="14">
        <v>405700820</v>
      </c>
      <c r="O179" s="14">
        <v>441052792</v>
      </c>
      <c r="P179" s="14">
        <v>20091259</v>
      </c>
      <c r="Q179" s="14">
        <v>24421805</v>
      </c>
      <c r="R179" s="14">
        <v>18622026</v>
      </c>
      <c r="S179" s="15">
        <v>2425215</v>
      </c>
      <c r="T179" s="15">
        <v>259144</v>
      </c>
      <c r="U179" s="15">
        <v>611698</v>
      </c>
      <c r="V179" s="15">
        <f>3000+95942+75899+106564+77441+2106+2100+2436</f>
        <v>365488</v>
      </c>
      <c r="W179" s="15">
        <f>910+880</f>
        <v>1790</v>
      </c>
      <c r="X179" s="15">
        <v>20000</v>
      </c>
      <c r="Y179" s="24" t="s">
        <v>2075</v>
      </c>
      <c r="Z179" s="15">
        <f>107853+3000</f>
        <v>110853</v>
      </c>
      <c r="AA179" s="15">
        <v>0</v>
      </c>
      <c r="AB179" s="74">
        <f t="shared" si="118"/>
        <v>1109829</v>
      </c>
      <c r="AC179" s="75">
        <f t="shared" si="119"/>
        <v>45.762087072692523</v>
      </c>
      <c r="AD179" s="75">
        <f t="shared" si="120"/>
        <v>60.590833941864915</v>
      </c>
      <c r="AE179" s="76">
        <f t="shared" si="159"/>
        <v>1.8177250182559475</v>
      </c>
      <c r="AF179" s="77">
        <f t="shared" si="121"/>
        <v>45.113294993562079</v>
      </c>
      <c r="AG179" s="77">
        <f t="shared" si="122"/>
        <v>51.236963146637393</v>
      </c>
      <c r="AH179" s="77">
        <f t="shared" si="123"/>
        <v>6.1236681530753145</v>
      </c>
      <c r="AI179" s="78">
        <f t="shared" si="124"/>
        <v>100</v>
      </c>
      <c r="AJ179" s="79">
        <f t="shared" si="160"/>
        <v>4</v>
      </c>
      <c r="AK179" s="113">
        <v>5</v>
      </c>
      <c r="AL179" s="113">
        <v>7</v>
      </c>
      <c r="AM179" s="113">
        <v>2</v>
      </c>
      <c r="AN179" s="81">
        <f t="shared" si="125"/>
        <v>12</v>
      </c>
      <c r="AO179" s="82">
        <f t="shared" si="126"/>
        <v>16.666666666666664</v>
      </c>
      <c r="AP179" s="83">
        <f t="shared" si="127"/>
        <v>80</v>
      </c>
      <c r="AQ179" s="84">
        <f t="shared" si="161"/>
        <v>1.6</v>
      </c>
      <c r="AR179" s="118">
        <v>3</v>
      </c>
      <c r="AS179" s="86">
        <f t="shared" si="128"/>
        <v>0.25</v>
      </c>
      <c r="AT179" s="87">
        <f t="shared" si="129"/>
        <v>1.25</v>
      </c>
      <c r="AU179" s="87">
        <f t="shared" si="130"/>
        <v>1</v>
      </c>
      <c r="AV179" s="88">
        <f t="shared" si="131"/>
        <v>40</v>
      </c>
      <c r="AW179" s="78">
        <f t="shared" si="132"/>
        <v>100</v>
      </c>
      <c r="AX179" s="89">
        <f t="shared" si="162"/>
        <v>1</v>
      </c>
      <c r="AY179" s="114">
        <v>12</v>
      </c>
      <c r="AZ179" s="114">
        <v>36</v>
      </c>
      <c r="BA179" s="91">
        <f t="shared" si="133"/>
        <v>36</v>
      </c>
      <c r="BB179" s="77">
        <f t="shared" si="134"/>
        <v>100</v>
      </c>
      <c r="BC179" s="78">
        <f t="shared" si="135"/>
        <v>100</v>
      </c>
      <c r="BD179" s="79">
        <f t="shared" si="163"/>
        <v>1</v>
      </c>
      <c r="BE179" s="92">
        <v>5033498.3420000002</v>
      </c>
      <c r="BF179" s="92">
        <v>521088.913</v>
      </c>
      <c r="BG179" s="114">
        <v>95585.385999999999</v>
      </c>
      <c r="BH179" s="94">
        <f t="shared" si="136"/>
        <v>5554587.2549999999</v>
      </c>
      <c r="BI179" s="77">
        <f t="shared" si="137"/>
        <v>1.7208368797151967</v>
      </c>
      <c r="BJ179" s="95" t="str">
        <f t="shared" si="138"/>
        <v>금속/비금속/화학업</v>
      </c>
      <c r="BK179" s="96">
        <f t="shared" si="139"/>
        <v>3.9534118626990469</v>
      </c>
      <c r="BL179" s="97">
        <f t="shared" si="140"/>
        <v>-2.2325749829838504</v>
      </c>
      <c r="BM179" s="98">
        <f t="shared" si="141"/>
        <v>100</v>
      </c>
      <c r="BN179" s="99">
        <f t="shared" si="142"/>
        <v>2</v>
      </c>
      <c r="BO179" s="114">
        <v>0</v>
      </c>
      <c r="BP179" s="101">
        <f t="shared" si="143"/>
        <v>0</v>
      </c>
      <c r="BQ179" s="78">
        <f t="shared" si="144"/>
        <v>25</v>
      </c>
      <c r="BR179" s="79">
        <f t="shared" si="164"/>
        <v>0.5</v>
      </c>
      <c r="BS179" s="102">
        <v>5991703.324</v>
      </c>
      <c r="BT179" s="102">
        <v>303985.36599999998</v>
      </c>
      <c r="BU179" s="103">
        <f t="shared" si="145"/>
        <v>5687717.9579999996</v>
      </c>
      <c r="BV179" s="77">
        <f t="shared" si="146"/>
        <v>1.2895775882538796</v>
      </c>
      <c r="BW179" s="96">
        <f t="shared" si="147"/>
        <v>5.1474158565187738</v>
      </c>
      <c r="BX179" s="96">
        <f t="shared" si="148"/>
        <v>14.882916104089077</v>
      </c>
      <c r="BY179" s="96">
        <f t="shared" si="149"/>
        <v>6.6930498535228535</v>
      </c>
      <c r="BZ179" s="96">
        <f t="shared" si="150"/>
        <v>71.782577720922419</v>
      </c>
      <c r="CA179" s="96">
        <f t="shared" si="151"/>
        <v>40</v>
      </c>
      <c r="CB179" s="104">
        <f t="shared" si="152"/>
        <v>0.8</v>
      </c>
      <c r="CC179" s="105">
        <f t="shared" si="165"/>
        <v>12.860824387784081</v>
      </c>
      <c r="CD179" s="106">
        <f t="shared" si="166"/>
        <v>95.529840054855242</v>
      </c>
      <c r="CE179" s="107">
        <f t="shared" si="167"/>
        <v>1.4329476008228286</v>
      </c>
      <c r="CF179" s="108" t="s">
        <v>2189</v>
      </c>
      <c r="CG179" s="108" t="s">
        <v>2189</v>
      </c>
      <c r="CH179" s="108" t="s">
        <v>2189</v>
      </c>
      <c r="CI179" s="108" t="s">
        <v>2189</v>
      </c>
      <c r="CJ179" s="109"/>
      <c r="CK179" s="116" t="s">
        <v>2192</v>
      </c>
      <c r="CL179" s="116" t="s">
        <v>2193</v>
      </c>
      <c r="CM179" s="111">
        <f t="shared" si="153"/>
        <v>25</v>
      </c>
      <c r="CN179" s="107">
        <f t="shared" si="168"/>
        <v>0.375</v>
      </c>
      <c r="CO179" s="114">
        <v>41554000</v>
      </c>
      <c r="CP179" s="88">
        <f t="shared" si="154"/>
        <v>10.242523049374167</v>
      </c>
      <c r="CQ179" s="78">
        <f t="shared" si="155"/>
        <v>60</v>
      </c>
      <c r="CR179" s="79">
        <f t="shared" si="169"/>
        <v>1.7999999999999998</v>
      </c>
      <c r="CS179" s="92">
        <f>_xlfn.XLOOKUP(C179, '[1]1-1. 관계사체무보증금액 (환율 등)'!$3:$3, '[1]1-1. 관계사체무보증금액 (환율 등)'!$33:$33)</f>
        <v>0</v>
      </c>
      <c r="CT179" s="77">
        <f t="shared" si="156"/>
        <v>0</v>
      </c>
      <c r="CU179" s="78">
        <f t="shared" si="157"/>
        <v>100</v>
      </c>
      <c r="CV179" s="79">
        <f t="shared" si="170"/>
        <v>2</v>
      </c>
      <c r="CW179" s="112">
        <f t="shared" si="158"/>
        <v>18.325672619078777</v>
      </c>
    </row>
    <row r="180" spans="1:101" x14ac:dyDescent="0.35">
      <c r="A180" s="7" t="s">
        <v>2001</v>
      </c>
      <c r="B180" s="8" t="s">
        <v>2002</v>
      </c>
      <c r="C180" s="21" t="s">
        <v>2003</v>
      </c>
      <c r="D180" s="10" t="s">
        <v>141</v>
      </c>
      <c r="E180" s="11" t="s">
        <v>481</v>
      </c>
      <c r="F180" s="11" t="s">
        <v>2004</v>
      </c>
      <c r="G180" s="12">
        <v>36482</v>
      </c>
      <c r="H180" s="11" t="s">
        <v>24</v>
      </c>
      <c r="I180" s="11" t="s">
        <v>2005</v>
      </c>
      <c r="J180" s="11" t="s">
        <v>2006</v>
      </c>
      <c r="K180" s="11" t="s">
        <v>439</v>
      </c>
      <c r="L180" s="23">
        <v>431960683</v>
      </c>
      <c r="M180" s="14">
        <v>113198118</v>
      </c>
      <c r="N180" s="14">
        <v>318762565</v>
      </c>
      <c r="O180" s="14">
        <v>214284471</v>
      </c>
      <c r="P180" s="14">
        <v>4478641</v>
      </c>
      <c r="Q180" s="14">
        <v>40192166</v>
      </c>
      <c r="R180" s="14">
        <v>33648333</v>
      </c>
      <c r="S180" s="15">
        <v>2200000</v>
      </c>
      <c r="T180" s="15">
        <v>0</v>
      </c>
      <c r="U180" s="15">
        <v>514541</v>
      </c>
      <c r="V180" s="15">
        <f>1073167-514541-65817</f>
        <v>492809</v>
      </c>
      <c r="W180" s="15">
        <v>0</v>
      </c>
      <c r="X180" s="15">
        <v>65817</v>
      </c>
      <c r="Y180" s="24" t="s">
        <v>2124</v>
      </c>
      <c r="Z180" s="15">
        <v>0</v>
      </c>
      <c r="AA180" s="15">
        <v>0</v>
      </c>
      <c r="AB180" s="74">
        <f t="shared" si="118"/>
        <v>1073167</v>
      </c>
      <c r="AC180" s="75">
        <f t="shared" si="119"/>
        <v>48.780318181818181</v>
      </c>
      <c r="AD180" s="75">
        <f t="shared" si="120"/>
        <v>57.985916413850831</v>
      </c>
      <c r="AE180" s="76">
        <f t="shared" si="159"/>
        <v>1.739577492415525</v>
      </c>
      <c r="AF180" s="77">
        <f t="shared" si="121"/>
        <v>45.788636363636364</v>
      </c>
      <c r="AG180" s="77">
        <f t="shared" si="122"/>
        <v>48.780318181818181</v>
      </c>
      <c r="AH180" s="77">
        <f t="shared" si="123"/>
        <v>2.9916818181818172</v>
      </c>
      <c r="AI180" s="78">
        <f t="shared" si="124"/>
        <v>100</v>
      </c>
      <c r="AJ180" s="79">
        <f t="shared" si="160"/>
        <v>4</v>
      </c>
      <c r="AK180" s="113">
        <v>9</v>
      </c>
      <c r="AL180" s="113">
        <v>17</v>
      </c>
      <c r="AM180" s="113">
        <v>5</v>
      </c>
      <c r="AN180" s="81">
        <f t="shared" si="125"/>
        <v>26</v>
      </c>
      <c r="AO180" s="82">
        <f t="shared" si="126"/>
        <v>19.230769230769234</v>
      </c>
      <c r="AP180" s="83">
        <f t="shared" si="127"/>
        <v>80</v>
      </c>
      <c r="AQ180" s="84">
        <f t="shared" si="161"/>
        <v>1.6</v>
      </c>
      <c r="AR180" s="118">
        <v>2</v>
      </c>
      <c r="AS180" s="86">
        <f t="shared" si="128"/>
        <v>0.25</v>
      </c>
      <c r="AT180" s="87">
        <f t="shared" si="129"/>
        <v>2.25</v>
      </c>
      <c r="AU180" s="87">
        <f t="shared" si="130"/>
        <v>2</v>
      </c>
      <c r="AV180" s="88">
        <f t="shared" si="131"/>
        <v>0</v>
      </c>
      <c r="AW180" s="78">
        <f t="shared" si="132"/>
        <v>40</v>
      </c>
      <c r="AX180" s="89">
        <f t="shared" si="162"/>
        <v>0.4</v>
      </c>
      <c r="AY180" s="114">
        <v>4</v>
      </c>
      <c r="AZ180" s="114">
        <v>8</v>
      </c>
      <c r="BA180" s="91">
        <f t="shared" si="133"/>
        <v>8</v>
      </c>
      <c r="BB180" s="77">
        <f t="shared" si="134"/>
        <v>100</v>
      </c>
      <c r="BC180" s="78">
        <f t="shared" si="135"/>
        <v>100</v>
      </c>
      <c r="BD180" s="79">
        <f t="shared" si="163"/>
        <v>1</v>
      </c>
      <c r="BE180" s="92">
        <v>7651205</v>
      </c>
      <c r="BF180" s="92">
        <v>167422</v>
      </c>
      <c r="BG180" s="114">
        <v>102679</v>
      </c>
      <c r="BH180" s="94">
        <f t="shared" si="136"/>
        <v>7818627</v>
      </c>
      <c r="BI180" s="77">
        <f t="shared" si="137"/>
        <v>1.3132612669718098</v>
      </c>
      <c r="BJ180" s="95" t="str">
        <f t="shared" si="138"/>
        <v>전기전자/기계업</v>
      </c>
      <c r="BK180" s="96">
        <f t="shared" si="139"/>
        <v>2.4096449716116446</v>
      </c>
      <c r="BL180" s="97">
        <f t="shared" si="140"/>
        <v>-1.0963837046398348</v>
      </c>
      <c r="BM180" s="98">
        <f t="shared" si="141"/>
        <v>80</v>
      </c>
      <c r="BN180" s="99">
        <f t="shared" si="142"/>
        <v>1.6</v>
      </c>
      <c r="BO180" s="114">
        <v>6160218</v>
      </c>
      <c r="BP180" s="101">
        <f t="shared" si="143"/>
        <v>2.8747850795030314</v>
      </c>
      <c r="BQ180" s="78">
        <f t="shared" si="144"/>
        <v>85</v>
      </c>
      <c r="BR180" s="79">
        <f t="shared" si="164"/>
        <v>1.7</v>
      </c>
      <c r="BS180" s="102">
        <v>5585655.0470000003</v>
      </c>
      <c r="BT180" s="102">
        <v>46700</v>
      </c>
      <c r="BU180" s="103">
        <f t="shared" si="145"/>
        <v>5538955.0470000003</v>
      </c>
      <c r="BV180" s="77">
        <f t="shared" si="146"/>
        <v>2.5848606859617003</v>
      </c>
      <c r="BW180" s="96">
        <f t="shared" si="147"/>
        <v>5.2309968128308295</v>
      </c>
      <c r="BX180" s="96">
        <f t="shared" si="148"/>
        <v>7.0020364019219565</v>
      </c>
      <c r="BY180" s="96">
        <f t="shared" si="149"/>
        <v>7.0695458012309631</v>
      </c>
      <c r="BZ180" s="96">
        <f t="shared" si="150"/>
        <v>64.590970405013408</v>
      </c>
      <c r="CA180" s="96">
        <f t="shared" si="151"/>
        <v>40</v>
      </c>
      <c r="CB180" s="104">
        <f t="shared" si="152"/>
        <v>0.8</v>
      </c>
      <c r="CC180" s="105">
        <f t="shared" si="165"/>
        <v>35.511735200148109</v>
      </c>
      <c r="CD180" s="106">
        <f t="shared" si="166"/>
        <v>86.993064623059752</v>
      </c>
      <c r="CE180" s="107">
        <f t="shared" si="167"/>
        <v>1.3048959693458961</v>
      </c>
      <c r="CF180" s="108" t="s">
        <v>2189</v>
      </c>
      <c r="CG180" s="108" t="s">
        <v>2189</v>
      </c>
      <c r="CH180" s="108" t="s">
        <v>2189</v>
      </c>
      <c r="CI180" s="108" t="s">
        <v>2189</v>
      </c>
      <c r="CJ180" s="109"/>
      <c r="CK180" s="116" t="s">
        <v>2192</v>
      </c>
      <c r="CL180" s="116" t="s">
        <v>2193</v>
      </c>
      <c r="CM180" s="111">
        <f t="shared" si="153"/>
        <v>25</v>
      </c>
      <c r="CN180" s="107">
        <f t="shared" si="168"/>
        <v>0.375</v>
      </c>
      <c r="CO180" s="114">
        <f>133061000-76429000-3388000-4500000-1000000</f>
        <v>47744000</v>
      </c>
      <c r="CP180" s="88">
        <f t="shared" si="154"/>
        <v>14.977919380213295</v>
      </c>
      <c r="CQ180" s="78">
        <f t="shared" si="155"/>
        <v>60</v>
      </c>
      <c r="CR180" s="79">
        <f t="shared" si="169"/>
        <v>1.7999999999999998</v>
      </c>
      <c r="CS180" s="92">
        <f>_xlfn.XLOOKUP(C180, '[1]1-1. 관계사체무보증금액 (환율 등)'!$3:$3, '[1]1-1. 관계사체무보증금액 (환율 등)'!$33:$33)</f>
        <v>0</v>
      </c>
      <c r="CT180" s="77">
        <f t="shared" si="156"/>
        <v>0</v>
      </c>
      <c r="CU180" s="78">
        <f t="shared" si="157"/>
        <v>100</v>
      </c>
      <c r="CV180" s="79">
        <f t="shared" si="170"/>
        <v>2</v>
      </c>
      <c r="CW180" s="112">
        <f t="shared" si="158"/>
        <v>18.319473461761422</v>
      </c>
    </row>
    <row r="181" spans="1:101" x14ac:dyDescent="0.35">
      <c r="A181" s="7" t="s">
        <v>466</v>
      </c>
      <c r="B181" s="8" t="s">
        <v>467</v>
      </c>
      <c r="C181" s="21" t="s">
        <v>468</v>
      </c>
      <c r="D181" s="10" t="s">
        <v>21</v>
      </c>
      <c r="E181" s="11" t="s">
        <v>83</v>
      </c>
      <c r="F181" s="11" t="s">
        <v>469</v>
      </c>
      <c r="G181" s="12">
        <v>27937</v>
      </c>
      <c r="H181" s="11" t="s">
        <v>24</v>
      </c>
      <c r="I181" s="11" t="s">
        <v>470</v>
      </c>
      <c r="J181" s="11" t="s">
        <v>471</v>
      </c>
      <c r="K181" s="11" t="s">
        <v>118</v>
      </c>
      <c r="L181" s="23">
        <v>1690618825</v>
      </c>
      <c r="M181" s="14">
        <v>1132886300</v>
      </c>
      <c r="N181" s="14">
        <v>557732525</v>
      </c>
      <c r="O181" s="14">
        <v>2041695477</v>
      </c>
      <c r="P181" s="14">
        <v>55276798</v>
      </c>
      <c r="Q181" s="14">
        <v>60210595</v>
      </c>
      <c r="R181" s="14">
        <v>23918674</v>
      </c>
      <c r="S181" s="15">
        <v>36953595</v>
      </c>
      <c r="T181" s="15">
        <v>1058230</v>
      </c>
      <c r="U181" s="15">
        <f>16325327+10000</f>
        <v>16335327</v>
      </c>
      <c r="V181" s="15">
        <f>113770</f>
        <v>113770</v>
      </c>
      <c r="W181" s="15">
        <f>1031+1670</f>
        <v>2701</v>
      </c>
      <c r="X181" s="15">
        <v>8352</v>
      </c>
      <c r="Y181" s="24" t="s">
        <v>2067</v>
      </c>
      <c r="Z181" s="15">
        <v>1213209</v>
      </c>
      <c r="AA181" s="15">
        <v>0</v>
      </c>
      <c r="AB181" s="74">
        <f t="shared" si="118"/>
        <v>17673359</v>
      </c>
      <c r="AC181" s="75">
        <f t="shared" si="119"/>
        <v>47.825817758732271</v>
      </c>
      <c r="AD181" s="75">
        <f t="shared" si="120"/>
        <v>58.809708493614266</v>
      </c>
      <c r="AE181" s="76">
        <f t="shared" si="159"/>
        <v>1.764291254808428</v>
      </c>
      <c r="AF181" s="77">
        <f t="shared" si="121"/>
        <v>45.82512811890895</v>
      </c>
      <c r="AG181" s="77">
        <f t="shared" si="122"/>
        <v>49.23576901920346</v>
      </c>
      <c r="AH181" s="77">
        <f t="shared" si="123"/>
        <v>3.4106409002945099</v>
      </c>
      <c r="AI181" s="78">
        <f t="shared" si="124"/>
        <v>100</v>
      </c>
      <c r="AJ181" s="79">
        <f t="shared" si="160"/>
        <v>4</v>
      </c>
      <c r="AK181" s="113">
        <v>5</v>
      </c>
      <c r="AL181" s="113">
        <v>21</v>
      </c>
      <c r="AM181" s="113">
        <v>0</v>
      </c>
      <c r="AN181" s="81">
        <f t="shared" si="125"/>
        <v>26</v>
      </c>
      <c r="AO181" s="82">
        <f t="shared" si="126"/>
        <v>0</v>
      </c>
      <c r="AP181" s="83">
        <f t="shared" si="127"/>
        <v>100</v>
      </c>
      <c r="AQ181" s="84">
        <f t="shared" si="161"/>
        <v>2</v>
      </c>
      <c r="AR181" s="118">
        <v>3</v>
      </c>
      <c r="AS181" s="86">
        <f t="shared" si="128"/>
        <v>0.25</v>
      </c>
      <c r="AT181" s="87">
        <f t="shared" si="129"/>
        <v>1.25</v>
      </c>
      <c r="AU181" s="87">
        <f t="shared" si="130"/>
        <v>1</v>
      </c>
      <c r="AV181" s="88">
        <f t="shared" si="131"/>
        <v>40</v>
      </c>
      <c r="AW181" s="78">
        <f t="shared" si="132"/>
        <v>100</v>
      </c>
      <c r="AX181" s="89">
        <f t="shared" si="162"/>
        <v>1</v>
      </c>
      <c r="AY181" s="114">
        <v>10</v>
      </c>
      <c r="AZ181" s="114">
        <v>29</v>
      </c>
      <c r="BA181" s="91">
        <f t="shared" si="133"/>
        <v>30</v>
      </c>
      <c r="BB181" s="77">
        <f t="shared" si="134"/>
        <v>96.666666666666671</v>
      </c>
      <c r="BC181" s="78">
        <f t="shared" si="135"/>
        <v>100</v>
      </c>
      <c r="BD181" s="79">
        <f t="shared" si="163"/>
        <v>1</v>
      </c>
      <c r="BE181" s="92">
        <v>30995000</v>
      </c>
      <c r="BF181" s="92">
        <v>2325000</v>
      </c>
      <c r="BG181" s="114">
        <v>600000</v>
      </c>
      <c r="BH181" s="94">
        <f t="shared" si="136"/>
        <v>33320000</v>
      </c>
      <c r="BI181" s="77">
        <f t="shared" si="137"/>
        <v>1.800720288115246</v>
      </c>
      <c r="BJ181" s="95" t="str">
        <f t="shared" si="138"/>
        <v>비제조/서비스업</v>
      </c>
      <c r="BK181" s="96">
        <f t="shared" si="139"/>
        <v>1.7464434573900922</v>
      </c>
      <c r="BL181" s="97">
        <f t="shared" si="140"/>
        <v>5.4276830725153768E-2</v>
      </c>
      <c r="BM181" s="98">
        <f t="shared" si="141"/>
        <v>60</v>
      </c>
      <c r="BN181" s="99">
        <f t="shared" si="142"/>
        <v>1.2</v>
      </c>
      <c r="BO181" s="114">
        <v>1463000</v>
      </c>
      <c r="BP181" s="101">
        <f t="shared" si="143"/>
        <v>7.1656131704307055E-2</v>
      </c>
      <c r="BQ181" s="78">
        <f t="shared" si="144"/>
        <v>40</v>
      </c>
      <c r="BR181" s="79">
        <f t="shared" si="164"/>
        <v>0.8</v>
      </c>
      <c r="BS181" s="102">
        <v>715787</v>
      </c>
      <c r="BT181" s="102">
        <v>0</v>
      </c>
      <c r="BU181" s="103">
        <f t="shared" si="145"/>
        <v>715787</v>
      </c>
      <c r="BV181" s="77">
        <f t="shared" si="146"/>
        <v>3.5058460385667005E-2</v>
      </c>
      <c r="BW181" s="96">
        <f t="shared" si="147"/>
        <v>2.8482825397737606</v>
      </c>
      <c r="BX181" s="96">
        <f t="shared" si="148"/>
        <v>7.9142297208489856</v>
      </c>
      <c r="BY181" s="96">
        <f t="shared" si="149"/>
        <v>5.5697595856656807</v>
      </c>
      <c r="BZ181" s="96">
        <f t="shared" si="150"/>
        <v>69.325182262620771</v>
      </c>
      <c r="CA181" s="96">
        <f t="shared" si="151"/>
        <v>40</v>
      </c>
      <c r="CB181" s="104">
        <f t="shared" si="152"/>
        <v>0.8</v>
      </c>
      <c r="CC181" s="105">
        <f t="shared" si="165"/>
        <v>203.12358509125858</v>
      </c>
      <c r="CD181" s="106">
        <f t="shared" si="166"/>
        <v>25</v>
      </c>
      <c r="CE181" s="107">
        <f t="shared" si="167"/>
        <v>0.375</v>
      </c>
      <c r="CF181" s="108" t="s">
        <v>2189</v>
      </c>
      <c r="CG181" s="108" t="s">
        <v>2189</v>
      </c>
      <c r="CH181" s="108" t="s">
        <v>2189</v>
      </c>
      <c r="CI181" s="108" t="s">
        <v>2189</v>
      </c>
      <c r="CJ181" s="109"/>
      <c r="CK181" s="116" t="s">
        <v>2211</v>
      </c>
      <c r="CL181" s="116" t="s">
        <v>2193</v>
      </c>
      <c r="CM181" s="111">
        <f t="shared" si="153"/>
        <v>25</v>
      </c>
      <c r="CN181" s="107">
        <f t="shared" si="168"/>
        <v>0.375</v>
      </c>
      <c r="CO181" s="114">
        <f>1726000+900000+1000</f>
        <v>2627000</v>
      </c>
      <c r="CP181" s="88">
        <f t="shared" si="154"/>
        <v>0.47101430923362408</v>
      </c>
      <c r="CQ181" s="78">
        <f t="shared" si="155"/>
        <v>100</v>
      </c>
      <c r="CR181" s="79">
        <f t="shared" si="169"/>
        <v>3</v>
      </c>
      <c r="CS181" s="92">
        <f>_xlfn.XLOOKUP(C181, '[1]1-1. 관계사체무보증금액 (환율 등)'!$3:$3, '[1]1-1. 관계사체무보증금액 (환율 등)'!$33:$33)</f>
        <v>0</v>
      </c>
      <c r="CT181" s="77">
        <f t="shared" si="156"/>
        <v>0</v>
      </c>
      <c r="CU181" s="78">
        <f t="shared" si="157"/>
        <v>100</v>
      </c>
      <c r="CV181" s="79">
        <f t="shared" si="170"/>
        <v>2</v>
      </c>
      <c r="CW181" s="112">
        <f t="shared" si="158"/>
        <v>18.314291254808428</v>
      </c>
    </row>
    <row r="182" spans="1:101" x14ac:dyDescent="0.35">
      <c r="A182" s="7" t="s">
        <v>307</v>
      </c>
      <c r="B182" s="8" t="s">
        <v>308</v>
      </c>
      <c r="C182" s="21" t="s">
        <v>309</v>
      </c>
      <c r="D182" s="10" t="s">
        <v>21</v>
      </c>
      <c r="E182" s="11" t="s">
        <v>310</v>
      </c>
      <c r="F182" s="11" t="s">
        <v>311</v>
      </c>
      <c r="G182" s="12">
        <v>41117</v>
      </c>
      <c r="H182" s="11" t="s">
        <v>24</v>
      </c>
      <c r="I182" s="11" t="s">
        <v>312</v>
      </c>
      <c r="J182" s="11" t="s">
        <v>313</v>
      </c>
      <c r="K182" s="11" t="s">
        <v>27</v>
      </c>
      <c r="L182" s="23">
        <v>3341658508</v>
      </c>
      <c r="M182" s="14">
        <v>2823131632</v>
      </c>
      <c r="N182" s="14">
        <v>518526876</v>
      </c>
      <c r="O182" s="14">
        <v>1247543929</v>
      </c>
      <c r="P182" s="14">
        <v>94379336</v>
      </c>
      <c r="Q182" s="14">
        <v>30714021</v>
      </c>
      <c r="R182" s="14">
        <v>21213587</v>
      </c>
      <c r="S182" s="15">
        <v>47285840</v>
      </c>
      <c r="T182" s="15">
        <v>1877845</v>
      </c>
      <c r="U182" s="15">
        <v>34493200</v>
      </c>
      <c r="V182" s="15">
        <v>0</v>
      </c>
      <c r="W182" s="15">
        <f>10+7500+5000*2</f>
        <v>17510</v>
      </c>
      <c r="X182" s="15">
        <v>0</v>
      </c>
      <c r="Z182" s="15">
        <v>0</v>
      </c>
      <c r="AA182" s="15">
        <v>0</v>
      </c>
      <c r="AB182" s="74">
        <f t="shared" si="118"/>
        <v>34510710</v>
      </c>
      <c r="AC182" s="75">
        <f t="shared" si="119"/>
        <v>72.983180588522913</v>
      </c>
      <c r="AD182" s="75">
        <f t="shared" si="120"/>
        <v>37.097370032920388</v>
      </c>
      <c r="AE182" s="76">
        <f t="shared" si="159"/>
        <v>1.1129211009876117</v>
      </c>
      <c r="AF182" s="77">
        <f t="shared" si="121"/>
        <v>75.962834298233162</v>
      </c>
      <c r="AG182" s="77">
        <f t="shared" si="122"/>
        <v>76.001395789441929</v>
      </c>
      <c r="AH182" s="77">
        <f t="shared" si="123"/>
        <v>3.8561491208767507E-2</v>
      </c>
      <c r="AI182" s="78">
        <f t="shared" si="124"/>
        <v>100</v>
      </c>
      <c r="AJ182" s="79">
        <f t="shared" si="160"/>
        <v>4</v>
      </c>
      <c r="AK182" s="113">
        <v>5</v>
      </c>
      <c r="AL182" s="113">
        <v>14</v>
      </c>
      <c r="AM182" s="113">
        <v>0</v>
      </c>
      <c r="AN182" s="81">
        <f t="shared" si="125"/>
        <v>19</v>
      </c>
      <c r="AO182" s="82">
        <f t="shared" si="126"/>
        <v>0</v>
      </c>
      <c r="AP182" s="83">
        <f t="shared" si="127"/>
        <v>100</v>
      </c>
      <c r="AQ182" s="84">
        <f t="shared" si="161"/>
        <v>2</v>
      </c>
      <c r="AR182" s="118">
        <v>3</v>
      </c>
      <c r="AS182" s="86">
        <f t="shared" si="128"/>
        <v>0.5</v>
      </c>
      <c r="AT182" s="87">
        <f t="shared" si="129"/>
        <v>2.5</v>
      </c>
      <c r="AU182" s="87">
        <f t="shared" si="130"/>
        <v>2</v>
      </c>
      <c r="AV182" s="88">
        <f t="shared" si="131"/>
        <v>20</v>
      </c>
      <c r="AW182" s="78">
        <f t="shared" si="132"/>
        <v>80</v>
      </c>
      <c r="AX182" s="89">
        <f t="shared" si="162"/>
        <v>0.8</v>
      </c>
      <c r="AY182" s="114">
        <v>12</v>
      </c>
      <c r="AZ182" s="114">
        <f>36-1</f>
        <v>35</v>
      </c>
      <c r="BA182" s="91">
        <f t="shared" si="133"/>
        <v>36</v>
      </c>
      <c r="BB182" s="77">
        <f t="shared" si="134"/>
        <v>97.222222222222214</v>
      </c>
      <c r="BC182" s="78">
        <f t="shared" si="135"/>
        <v>100</v>
      </c>
      <c r="BD182" s="79">
        <f t="shared" si="163"/>
        <v>1</v>
      </c>
      <c r="BE182" s="92">
        <v>49661530</v>
      </c>
      <c r="BF182" s="92">
        <v>4037239</v>
      </c>
      <c r="BG182" s="114">
        <v>659580</v>
      </c>
      <c r="BH182" s="94">
        <f t="shared" si="136"/>
        <v>53698769</v>
      </c>
      <c r="BI182" s="77">
        <f t="shared" si="137"/>
        <v>1.2282963134592528</v>
      </c>
      <c r="BJ182" s="95" t="str">
        <f t="shared" si="138"/>
        <v>비제조/서비스업</v>
      </c>
      <c r="BK182" s="96">
        <f t="shared" si="139"/>
        <v>1.7464434573900922</v>
      </c>
      <c r="BL182" s="97">
        <f t="shared" si="140"/>
        <v>-0.51814714393083938</v>
      </c>
      <c r="BM182" s="98">
        <f t="shared" si="141"/>
        <v>80</v>
      </c>
      <c r="BN182" s="99">
        <f t="shared" si="142"/>
        <v>1.6</v>
      </c>
      <c r="BO182" s="114">
        <v>0</v>
      </c>
      <c r="BP182" s="101">
        <f t="shared" si="143"/>
        <v>0</v>
      </c>
      <c r="BQ182" s="78">
        <f t="shared" si="144"/>
        <v>25</v>
      </c>
      <c r="BR182" s="79">
        <f t="shared" si="164"/>
        <v>0.5</v>
      </c>
      <c r="BS182" s="102">
        <v>22285516.083000001</v>
      </c>
      <c r="BT182" s="102">
        <v>10927.271000000001</v>
      </c>
      <c r="BU182" s="103">
        <f t="shared" si="145"/>
        <v>22274588.811999999</v>
      </c>
      <c r="BV182" s="77">
        <f t="shared" si="146"/>
        <v>1.785475308260668</v>
      </c>
      <c r="BW182" s="96">
        <f t="shared" si="147"/>
        <v>2.8482825397737606</v>
      </c>
      <c r="BX182" s="96">
        <f t="shared" si="148"/>
        <v>1.1295592113565243</v>
      </c>
      <c r="BY182" s="96">
        <f t="shared" si="149"/>
        <v>5.5697595856656807</v>
      </c>
      <c r="BZ182" s="96">
        <f t="shared" si="150"/>
        <v>57.566568530763199</v>
      </c>
      <c r="CA182" s="96">
        <f t="shared" si="151"/>
        <v>55</v>
      </c>
      <c r="CB182" s="104">
        <f t="shared" si="152"/>
        <v>1.1000000000000001</v>
      </c>
      <c r="CC182" s="105">
        <f t="shared" si="165"/>
        <v>544.45232497456891</v>
      </c>
      <c r="CD182" s="106">
        <f t="shared" si="166"/>
        <v>25</v>
      </c>
      <c r="CE182" s="107">
        <f t="shared" si="167"/>
        <v>0.375</v>
      </c>
      <c r="CF182" s="108" t="s">
        <v>2189</v>
      </c>
      <c r="CG182" s="108" t="s">
        <v>2189</v>
      </c>
      <c r="CH182" s="108" t="s">
        <v>2189</v>
      </c>
      <c r="CI182" s="108" t="s">
        <v>2189</v>
      </c>
      <c r="CJ182" s="109"/>
      <c r="CK182" s="116" t="s">
        <v>2202</v>
      </c>
      <c r="CL182" s="116" t="s">
        <v>2196</v>
      </c>
      <c r="CM182" s="111">
        <f t="shared" si="153"/>
        <v>55</v>
      </c>
      <c r="CN182" s="107">
        <f t="shared" si="168"/>
        <v>0.82499999999999996</v>
      </c>
      <c r="CO182" s="114">
        <v>6493000</v>
      </c>
      <c r="CP182" s="88">
        <f t="shared" si="154"/>
        <v>1.2522012455917522</v>
      </c>
      <c r="CQ182" s="78">
        <f t="shared" si="155"/>
        <v>100</v>
      </c>
      <c r="CR182" s="79">
        <f t="shared" si="169"/>
        <v>3</v>
      </c>
      <c r="CS182" s="92">
        <f>_xlfn.XLOOKUP(C182, '[1]1-1. 관계사체무보증금액 (환율 등)'!$3:$3, '[1]1-1. 관계사체무보증금액 (환율 등)'!$33:$33)</f>
        <v>0</v>
      </c>
      <c r="CT182" s="77">
        <f t="shared" si="156"/>
        <v>0</v>
      </c>
      <c r="CU182" s="78">
        <f t="shared" si="157"/>
        <v>100</v>
      </c>
      <c r="CV182" s="79">
        <f t="shared" si="170"/>
        <v>2</v>
      </c>
      <c r="CW182" s="112">
        <f t="shared" si="158"/>
        <v>18.312921100987609</v>
      </c>
    </row>
    <row r="183" spans="1:101" x14ac:dyDescent="0.35">
      <c r="A183" s="7" t="s">
        <v>630</v>
      </c>
      <c r="B183" s="8" t="s">
        <v>631</v>
      </c>
      <c r="C183" s="21" t="s">
        <v>632</v>
      </c>
      <c r="D183" s="22" t="s">
        <v>75</v>
      </c>
      <c r="E183" s="11" t="s">
        <v>276</v>
      </c>
      <c r="F183" s="11" t="s">
        <v>633</v>
      </c>
      <c r="G183" s="12">
        <v>32045</v>
      </c>
      <c r="H183" s="11" t="s">
        <v>24</v>
      </c>
      <c r="I183" s="11" t="s">
        <v>634</v>
      </c>
      <c r="J183" s="11" t="s">
        <v>635</v>
      </c>
      <c r="K183" s="11" t="s">
        <v>50</v>
      </c>
      <c r="L183" s="23">
        <v>120573135</v>
      </c>
      <c r="M183" s="14">
        <v>37891105</v>
      </c>
      <c r="N183" s="14">
        <v>82682030</v>
      </c>
      <c r="O183" s="14">
        <v>116399706</v>
      </c>
      <c r="P183" s="14">
        <v>4903685</v>
      </c>
      <c r="Q183" s="14">
        <v>6345779</v>
      </c>
      <c r="R183" s="14">
        <v>5059159</v>
      </c>
      <c r="S183" s="15">
        <v>15680000</v>
      </c>
      <c r="T183" s="15">
        <v>1451788</v>
      </c>
      <c r="U183" s="15">
        <v>2044353</v>
      </c>
      <c r="V183" s="15">
        <f>680471+361470</f>
        <v>1041941</v>
      </c>
      <c r="W183" s="15">
        <v>0</v>
      </c>
      <c r="X183" s="15">
        <v>0</v>
      </c>
      <c r="Z183" s="15">
        <v>30930</v>
      </c>
      <c r="AA183" s="15">
        <v>30930</v>
      </c>
      <c r="AB183" s="74">
        <f t="shared" si="118"/>
        <v>3117224</v>
      </c>
      <c r="AC183" s="75">
        <f t="shared" si="119"/>
        <v>19.880255102040817</v>
      </c>
      <c r="AD183" s="75">
        <f t="shared" si="120"/>
        <v>82.928433456236348</v>
      </c>
      <c r="AE183" s="76">
        <f t="shared" si="159"/>
        <v>2.4878530036870905</v>
      </c>
      <c r="AF183" s="77">
        <f t="shared" si="121"/>
        <v>21.738625745406761</v>
      </c>
      <c r="AG183" s="77">
        <f t="shared" si="122"/>
        <v>21.738625745406761</v>
      </c>
      <c r="AH183" s="77">
        <f t="shared" si="123"/>
        <v>0</v>
      </c>
      <c r="AI183" s="78">
        <f t="shared" si="124"/>
        <v>100</v>
      </c>
      <c r="AJ183" s="79">
        <f t="shared" si="160"/>
        <v>4</v>
      </c>
      <c r="AK183" s="113">
        <v>6</v>
      </c>
      <c r="AL183" s="113">
        <v>4</v>
      </c>
      <c r="AM183" s="113">
        <v>2</v>
      </c>
      <c r="AN183" s="81">
        <f t="shared" si="125"/>
        <v>10</v>
      </c>
      <c r="AO183" s="82">
        <f t="shared" si="126"/>
        <v>20</v>
      </c>
      <c r="AP183" s="83">
        <f t="shared" si="127"/>
        <v>60</v>
      </c>
      <c r="AQ183" s="84">
        <f t="shared" si="161"/>
        <v>1.2</v>
      </c>
      <c r="AR183" s="118">
        <v>3</v>
      </c>
      <c r="AS183" s="86">
        <f t="shared" si="128"/>
        <v>0.25</v>
      </c>
      <c r="AT183" s="87">
        <f t="shared" si="129"/>
        <v>1.5</v>
      </c>
      <c r="AU183" s="87">
        <f t="shared" si="130"/>
        <v>1</v>
      </c>
      <c r="AV183" s="88">
        <f t="shared" si="131"/>
        <v>33.333333333333329</v>
      </c>
      <c r="AW183" s="78">
        <f t="shared" si="132"/>
        <v>80</v>
      </c>
      <c r="AX183" s="89">
        <f t="shared" si="162"/>
        <v>0.8</v>
      </c>
      <c r="AY183" s="114">
        <v>10</v>
      </c>
      <c r="AZ183" s="114">
        <v>27</v>
      </c>
      <c r="BA183" s="91">
        <f t="shared" si="133"/>
        <v>30</v>
      </c>
      <c r="BB183" s="77">
        <f t="shared" si="134"/>
        <v>90</v>
      </c>
      <c r="BC183" s="78">
        <f t="shared" si="135"/>
        <v>100</v>
      </c>
      <c r="BD183" s="79">
        <f t="shared" si="163"/>
        <v>1</v>
      </c>
      <c r="BE183" s="92">
        <v>2355619</v>
      </c>
      <c r="BF183" s="92">
        <v>219882</v>
      </c>
      <c r="BG183" s="114">
        <v>148756</v>
      </c>
      <c r="BH183" s="94">
        <f t="shared" si="136"/>
        <v>2575501</v>
      </c>
      <c r="BI183" s="77">
        <f t="shared" si="137"/>
        <v>5.775808279631808</v>
      </c>
      <c r="BJ183" s="95" t="str">
        <f t="shared" si="138"/>
        <v>금속/비금속/화학업</v>
      </c>
      <c r="BK183" s="96">
        <f t="shared" si="139"/>
        <v>3.9534118626990469</v>
      </c>
      <c r="BL183" s="97">
        <f t="shared" si="140"/>
        <v>1.8223964169327611</v>
      </c>
      <c r="BM183" s="98">
        <f t="shared" si="141"/>
        <v>60</v>
      </c>
      <c r="BN183" s="99">
        <f t="shared" si="142"/>
        <v>1.2</v>
      </c>
      <c r="BO183" s="114">
        <v>1590000</v>
      </c>
      <c r="BP183" s="101">
        <f t="shared" si="143"/>
        <v>1.3659828316061211</v>
      </c>
      <c r="BQ183" s="78">
        <f t="shared" si="144"/>
        <v>70</v>
      </c>
      <c r="BR183" s="79">
        <f t="shared" si="164"/>
        <v>1.4000000000000001</v>
      </c>
      <c r="BS183" s="102">
        <v>2415795.6710000001</v>
      </c>
      <c r="BT183" s="102">
        <v>153590.91</v>
      </c>
      <c r="BU183" s="103">
        <f t="shared" si="145"/>
        <v>2262204.7609999999</v>
      </c>
      <c r="BV183" s="77">
        <f t="shared" si="146"/>
        <v>1.9434797893733511</v>
      </c>
      <c r="BW183" s="96">
        <f t="shared" si="147"/>
        <v>5.1474158565187738</v>
      </c>
      <c r="BX183" s="96">
        <f t="shared" si="148"/>
        <v>10.265206322355278</v>
      </c>
      <c r="BY183" s="96">
        <f t="shared" si="149"/>
        <v>6.6930498535228535</v>
      </c>
      <c r="BZ183" s="96">
        <f t="shared" si="150"/>
        <v>68.392253740238345</v>
      </c>
      <c r="CA183" s="96">
        <f t="shared" si="151"/>
        <v>40</v>
      </c>
      <c r="CB183" s="104">
        <f t="shared" si="152"/>
        <v>0.8</v>
      </c>
      <c r="CC183" s="105">
        <f t="shared" si="165"/>
        <v>45.827497220375456</v>
      </c>
      <c r="CD183" s="106">
        <f t="shared" si="166"/>
        <v>83.105214615436381</v>
      </c>
      <c r="CE183" s="107">
        <f t="shared" si="167"/>
        <v>1.2465782192315458</v>
      </c>
      <c r="CF183" s="108" t="s">
        <v>2189</v>
      </c>
      <c r="CG183" s="108" t="s">
        <v>2189</v>
      </c>
      <c r="CH183" s="108" t="s">
        <v>2189</v>
      </c>
      <c r="CI183" s="108" t="s">
        <v>2189</v>
      </c>
      <c r="CJ183" s="109"/>
      <c r="CK183" s="116" t="s">
        <v>2192</v>
      </c>
      <c r="CL183" s="116" t="s">
        <v>2193</v>
      </c>
      <c r="CM183" s="111">
        <f t="shared" si="153"/>
        <v>25</v>
      </c>
      <c r="CN183" s="107">
        <f t="shared" si="168"/>
        <v>0.375</v>
      </c>
      <c r="CO183" s="114">
        <f>2212000+6284000</f>
        <v>8496000</v>
      </c>
      <c r="CP183" s="88">
        <f t="shared" si="154"/>
        <v>10.275509684510649</v>
      </c>
      <c r="CQ183" s="78">
        <f t="shared" si="155"/>
        <v>60</v>
      </c>
      <c r="CR183" s="79">
        <f t="shared" si="169"/>
        <v>1.7999999999999998</v>
      </c>
      <c r="CS183" s="92">
        <f>_xlfn.XLOOKUP(C183, '[1]1-1. 관계사체무보증금액 (환율 등)'!$3:$3, '[1]1-1. 관계사체무보증금액 (환율 등)'!$33:$33)</f>
        <v>545454.54545454553</v>
      </c>
      <c r="CT183" s="77">
        <f t="shared" si="156"/>
        <v>0.65970144353560933</v>
      </c>
      <c r="CU183" s="78">
        <f t="shared" si="157"/>
        <v>100</v>
      </c>
      <c r="CV183" s="79">
        <f t="shared" si="170"/>
        <v>2</v>
      </c>
      <c r="CW183" s="112">
        <f t="shared" si="158"/>
        <v>18.309431222918636</v>
      </c>
    </row>
    <row r="184" spans="1:101" x14ac:dyDescent="0.35">
      <c r="A184" s="7" t="s">
        <v>205</v>
      </c>
      <c r="B184" s="8" t="s">
        <v>206</v>
      </c>
      <c r="C184" s="21" t="s">
        <v>207</v>
      </c>
      <c r="D184" s="10" t="s">
        <v>21</v>
      </c>
      <c r="E184" s="11" t="s">
        <v>208</v>
      </c>
      <c r="F184" s="11" t="s">
        <v>209</v>
      </c>
      <c r="G184" s="12">
        <v>40437</v>
      </c>
      <c r="H184" s="11" t="s">
        <v>24</v>
      </c>
      <c r="I184" s="11" t="s">
        <v>210</v>
      </c>
      <c r="J184" s="11" t="s">
        <v>211</v>
      </c>
      <c r="K184" s="11" t="s">
        <v>212</v>
      </c>
      <c r="L184" s="23">
        <v>302046228</v>
      </c>
      <c r="M184" s="14">
        <v>136864055</v>
      </c>
      <c r="N184" s="14">
        <v>165182173</v>
      </c>
      <c r="O184" s="14">
        <v>591580546</v>
      </c>
      <c r="P184" s="14">
        <v>16184660</v>
      </c>
      <c r="Q184" s="14">
        <v>17205979</v>
      </c>
      <c r="R184" s="14">
        <v>13158812</v>
      </c>
      <c r="S184" s="15">
        <v>42685000</v>
      </c>
      <c r="T184" s="15">
        <v>4746271</v>
      </c>
      <c r="U184" s="15">
        <f>4954704+3177426</f>
        <v>8132130</v>
      </c>
      <c r="V184" s="15">
        <v>0</v>
      </c>
      <c r="W184" s="15">
        <f>5440+6707+5121+2000+5000+4600+3000+1000</f>
        <v>32868</v>
      </c>
      <c r="X184" s="15">
        <v>0</v>
      </c>
      <c r="Z184" s="15">
        <v>4800000</v>
      </c>
      <c r="AA184" s="15">
        <v>0</v>
      </c>
      <c r="AB184" s="74">
        <f t="shared" si="118"/>
        <v>12964998</v>
      </c>
      <c r="AC184" s="75">
        <f t="shared" si="119"/>
        <v>30.373662879231578</v>
      </c>
      <c r="AD184" s="75">
        <f t="shared" si="120"/>
        <v>73.871982555323726</v>
      </c>
      <c r="AE184" s="76">
        <f t="shared" si="159"/>
        <v>2.2161594766597115</v>
      </c>
      <c r="AF184" s="77">
        <f t="shared" si="121"/>
        <v>21.434903631062603</v>
      </c>
      <c r="AG184" s="77">
        <f t="shared" si="122"/>
        <v>34.173516988405176</v>
      </c>
      <c r="AH184" s="77">
        <f t="shared" si="123"/>
        <v>12.738613357342572</v>
      </c>
      <c r="AI184" s="78">
        <f t="shared" si="124"/>
        <v>80</v>
      </c>
      <c r="AJ184" s="79">
        <f t="shared" si="160"/>
        <v>3.2</v>
      </c>
      <c r="AK184" s="113">
        <v>7</v>
      </c>
      <c r="AL184" s="113">
        <v>11</v>
      </c>
      <c r="AM184" s="113">
        <v>0</v>
      </c>
      <c r="AN184" s="81">
        <f t="shared" si="125"/>
        <v>18</v>
      </c>
      <c r="AO184" s="82">
        <f t="shared" si="126"/>
        <v>0</v>
      </c>
      <c r="AP184" s="83">
        <f t="shared" si="127"/>
        <v>100</v>
      </c>
      <c r="AQ184" s="84">
        <f t="shared" si="161"/>
        <v>2</v>
      </c>
      <c r="AR184" s="118">
        <v>3</v>
      </c>
      <c r="AS184" s="86">
        <f t="shared" si="128"/>
        <v>0.25</v>
      </c>
      <c r="AT184" s="87">
        <f t="shared" si="129"/>
        <v>1.75</v>
      </c>
      <c r="AU184" s="87">
        <f t="shared" si="130"/>
        <v>1</v>
      </c>
      <c r="AV184" s="88">
        <f t="shared" si="131"/>
        <v>28.571428571428569</v>
      </c>
      <c r="AW184" s="78">
        <f t="shared" si="132"/>
        <v>80</v>
      </c>
      <c r="AX184" s="89">
        <f t="shared" si="162"/>
        <v>0.8</v>
      </c>
      <c r="AY184" s="114">
        <v>8</v>
      </c>
      <c r="AZ184" s="114">
        <v>24</v>
      </c>
      <c r="BA184" s="91">
        <f t="shared" si="133"/>
        <v>24</v>
      </c>
      <c r="BB184" s="77">
        <f t="shared" si="134"/>
        <v>100</v>
      </c>
      <c r="BC184" s="78">
        <f t="shared" si="135"/>
        <v>100</v>
      </c>
      <c r="BD184" s="79">
        <f t="shared" si="163"/>
        <v>1</v>
      </c>
      <c r="BE184" s="92">
        <v>283163746</v>
      </c>
      <c r="BF184" s="92">
        <f>11407128+9033994</f>
        <v>20441122</v>
      </c>
      <c r="BG184" s="114">
        <v>41561</v>
      </c>
      <c r="BH184" s="94">
        <f t="shared" si="136"/>
        <v>303604868</v>
      </c>
      <c r="BI184" s="77">
        <f t="shared" si="137"/>
        <v>1.3689174443671964E-2</v>
      </c>
      <c r="BJ184" s="95" t="str">
        <f t="shared" si="138"/>
        <v>비제조/서비스업</v>
      </c>
      <c r="BK184" s="96">
        <f t="shared" si="139"/>
        <v>1.7464434573900922</v>
      </c>
      <c r="BL184" s="97">
        <f t="shared" si="140"/>
        <v>-1.7327542829464202</v>
      </c>
      <c r="BM184" s="98">
        <f t="shared" si="141"/>
        <v>80</v>
      </c>
      <c r="BN184" s="99">
        <f t="shared" si="142"/>
        <v>1.6</v>
      </c>
      <c r="BO184" s="114">
        <v>0</v>
      </c>
      <c r="BP184" s="101">
        <f t="shared" si="143"/>
        <v>0</v>
      </c>
      <c r="BQ184" s="78">
        <f t="shared" si="144"/>
        <v>25</v>
      </c>
      <c r="BR184" s="79">
        <f t="shared" si="164"/>
        <v>0.5</v>
      </c>
      <c r="BS184" s="102">
        <v>8637224.7809999995</v>
      </c>
      <c r="BT184" s="102">
        <v>19096.919999999998</v>
      </c>
      <c r="BU184" s="103">
        <f t="shared" si="145"/>
        <v>8618127.8609999996</v>
      </c>
      <c r="BV184" s="77">
        <f t="shared" si="146"/>
        <v>1.4567970362230267</v>
      </c>
      <c r="BW184" s="96">
        <f t="shared" si="147"/>
        <v>2.8482825397737606</v>
      </c>
      <c r="BX184" s="96">
        <f t="shared" si="148"/>
        <v>1.9362319065918394</v>
      </c>
      <c r="BY184" s="96">
        <f t="shared" si="149"/>
        <v>5.5697595856656807</v>
      </c>
      <c r="BZ184" s="96">
        <f t="shared" si="150"/>
        <v>59.864006767141561</v>
      </c>
      <c r="CA184" s="96">
        <f t="shared" si="151"/>
        <v>55</v>
      </c>
      <c r="CB184" s="104">
        <f t="shared" si="152"/>
        <v>1.1000000000000001</v>
      </c>
      <c r="CC184" s="105">
        <f t="shared" si="165"/>
        <v>82.856432092099922</v>
      </c>
      <c r="CD184" s="106">
        <f t="shared" si="166"/>
        <v>69.149585894937218</v>
      </c>
      <c r="CE184" s="107">
        <f t="shared" si="167"/>
        <v>1.0372437884240582</v>
      </c>
      <c r="CF184" s="108" t="s">
        <v>2189</v>
      </c>
      <c r="CG184" s="108" t="s">
        <v>2189</v>
      </c>
      <c r="CH184" s="108" t="s">
        <v>2189</v>
      </c>
      <c r="CI184" s="108" t="s">
        <v>2189</v>
      </c>
      <c r="CJ184" s="109"/>
      <c r="CK184" s="116" t="s">
        <v>2203</v>
      </c>
      <c r="CL184" s="116" t="s">
        <v>2204</v>
      </c>
      <c r="CM184" s="111">
        <f t="shared" si="153"/>
        <v>70</v>
      </c>
      <c r="CN184" s="107">
        <f t="shared" si="168"/>
        <v>1.05</v>
      </c>
      <c r="CO184" s="114">
        <f>17893000+610000</f>
        <v>18503000</v>
      </c>
      <c r="CP184" s="88">
        <f t="shared" si="154"/>
        <v>11.201571975929872</v>
      </c>
      <c r="CQ184" s="78">
        <f t="shared" si="155"/>
        <v>60</v>
      </c>
      <c r="CR184" s="79">
        <f t="shared" si="169"/>
        <v>1.7999999999999998</v>
      </c>
      <c r="CS184" s="92">
        <f>_xlfn.XLOOKUP(C184, '[1]1-1. 관계사체무보증금액 (환율 등)'!$3:$3, '[1]1-1. 관계사체무보증금액 (환율 등)'!$33:$33)</f>
        <v>0</v>
      </c>
      <c r="CT184" s="77">
        <f t="shared" si="156"/>
        <v>0</v>
      </c>
      <c r="CU184" s="78">
        <f t="shared" si="157"/>
        <v>100</v>
      </c>
      <c r="CV184" s="79">
        <f t="shared" si="170"/>
        <v>2</v>
      </c>
      <c r="CW184" s="112">
        <f t="shared" si="158"/>
        <v>18.303403265083769</v>
      </c>
    </row>
    <row r="185" spans="1:101" x14ac:dyDescent="0.35">
      <c r="A185" s="7" t="s">
        <v>1328</v>
      </c>
      <c r="B185" s="8" t="s">
        <v>1329</v>
      </c>
      <c r="C185" s="21" t="s">
        <v>1330</v>
      </c>
      <c r="D185" s="10" t="s">
        <v>31</v>
      </c>
      <c r="E185" s="11" t="s">
        <v>967</v>
      </c>
      <c r="F185" s="11" t="s">
        <v>1331</v>
      </c>
      <c r="G185" s="12">
        <v>32856</v>
      </c>
      <c r="H185" s="11" t="s">
        <v>24</v>
      </c>
      <c r="I185" s="11" t="s">
        <v>1332</v>
      </c>
      <c r="J185" s="11" t="s">
        <v>1333</v>
      </c>
      <c r="K185" s="11" t="s">
        <v>50</v>
      </c>
      <c r="L185" s="23">
        <v>219850861</v>
      </c>
      <c r="M185" s="14">
        <v>106769427</v>
      </c>
      <c r="N185" s="14">
        <v>113081434</v>
      </c>
      <c r="O185" s="14">
        <v>103067188</v>
      </c>
      <c r="P185" s="14">
        <v>4420274</v>
      </c>
      <c r="Q185" s="14">
        <v>926544</v>
      </c>
      <c r="R185" s="14">
        <v>3447674</v>
      </c>
      <c r="S185" s="15">
        <v>72921381</v>
      </c>
      <c r="T185" s="15">
        <v>907818</v>
      </c>
      <c r="U185" s="15">
        <f>13257727+401876</f>
        <v>13659603</v>
      </c>
      <c r="V185" s="15">
        <f>768300+781513</f>
        <v>1549813</v>
      </c>
      <c r="W185" s="15">
        <f>277000+200000+50000+150000+150000</f>
        <v>827000</v>
      </c>
      <c r="X185" s="15">
        <v>0</v>
      </c>
      <c r="Z185" s="15">
        <v>0</v>
      </c>
      <c r="AA185" s="15">
        <v>0</v>
      </c>
      <c r="AB185" s="74">
        <f t="shared" si="118"/>
        <v>16036416</v>
      </c>
      <c r="AC185" s="75">
        <f t="shared" si="119"/>
        <v>21.991377261492069</v>
      </c>
      <c r="AD185" s="75">
        <f t="shared" si="120"/>
        <v>81.10640627604252</v>
      </c>
      <c r="AE185" s="76">
        <f t="shared" si="159"/>
        <v>2.4331921882812755</v>
      </c>
      <c r="AF185" s="77">
        <f t="shared" si="121"/>
        <v>21.12021036926058</v>
      </c>
      <c r="AG185" s="77">
        <f t="shared" si="122"/>
        <v>22.268605151504588</v>
      </c>
      <c r="AH185" s="77">
        <f t="shared" si="123"/>
        <v>1.1483947822440079</v>
      </c>
      <c r="AI185" s="78">
        <f t="shared" si="124"/>
        <v>100</v>
      </c>
      <c r="AJ185" s="79">
        <f t="shared" si="160"/>
        <v>4</v>
      </c>
      <c r="AK185" s="113">
        <v>5</v>
      </c>
      <c r="AL185" s="113">
        <v>15</v>
      </c>
      <c r="AM185" s="113">
        <v>2</v>
      </c>
      <c r="AN185" s="81">
        <f t="shared" si="125"/>
        <v>20</v>
      </c>
      <c r="AO185" s="82">
        <f t="shared" si="126"/>
        <v>10</v>
      </c>
      <c r="AP185" s="83">
        <f t="shared" si="127"/>
        <v>80</v>
      </c>
      <c r="AQ185" s="84">
        <f t="shared" si="161"/>
        <v>1.6</v>
      </c>
      <c r="AR185" s="118">
        <v>1</v>
      </c>
      <c r="AS185" s="86">
        <f t="shared" si="128"/>
        <v>0.25</v>
      </c>
      <c r="AT185" s="87">
        <f t="shared" si="129"/>
        <v>1.25</v>
      </c>
      <c r="AU185" s="87">
        <f t="shared" si="130"/>
        <v>1</v>
      </c>
      <c r="AV185" s="88">
        <f t="shared" si="131"/>
        <v>0</v>
      </c>
      <c r="AW185" s="78">
        <f t="shared" si="132"/>
        <v>40</v>
      </c>
      <c r="AX185" s="89">
        <f t="shared" si="162"/>
        <v>0.4</v>
      </c>
      <c r="AY185" s="114">
        <v>41</v>
      </c>
      <c r="AZ185" s="114">
        <v>41</v>
      </c>
      <c r="BA185" s="91">
        <f t="shared" si="133"/>
        <v>41</v>
      </c>
      <c r="BB185" s="77">
        <f t="shared" si="134"/>
        <v>100</v>
      </c>
      <c r="BC185" s="78">
        <f t="shared" si="135"/>
        <v>100</v>
      </c>
      <c r="BD185" s="79">
        <f t="shared" si="163"/>
        <v>1</v>
      </c>
      <c r="BE185" s="92">
        <v>2142014</v>
      </c>
      <c r="BF185" s="92">
        <v>203665</v>
      </c>
      <c r="BG185" s="114">
        <v>183755</v>
      </c>
      <c r="BH185" s="94">
        <f t="shared" si="136"/>
        <v>2345679</v>
      </c>
      <c r="BI185" s="77">
        <f t="shared" si="137"/>
        <v>7.8337658307040297</v>
      </c>
      <c r="BJ185" s="95" t="str">
        <f t="shared" si="138"/>
        <v>식약/섬유/종이업</v>
      </c>
      <c r="BK185" s="96">
        <f t="shared" si="139"/>
        <v>2.1999360555264453</v>
      </c>
      <c r="BL185" s="97">
        <f t="shared" si="140"/>
        <v>5.6338297751775848</v>
      </c>
      <c r="BM185" s="98">
        <f t="shared" si="141"/>
        <v>40</v>
      </c>
      <c r="BN185" s="99">
        <f t="shared" si="142"/>
        <v>0.8</v>
      </c>
      <c r="BO185" s="114">
        <v>585682</v>
      </c>
      <c r="BP185" s="101">
        <f t="shared" si="143"/>
        <v>0.56825262371570673</v>
      </c>
      <c r="BQ185" s="78">
        <f t="shared" si="144"/>
        <v>70</v>
      </c>
      <c r="BR185" s="79">
        <f t="shared" si="164"/>
        <v>1.4000000000000001</v>
      </c>
      <c r="BS185" s="102">
        <v>4348757.8619999997</v>
      </c>
      <c r="BT185" s="102">
        <v>143984.89499999999</v>
      </c>
      <c r="BU185" s="103">
        <f t="shared" si="145"/>
        <v>4204772.9670000002</v>
      </c>
      <c r="BV185" s="77">
        <f t="shared" si="146"/>
        <v>4.0796426569821627</v>
      </c>
      <c r="BW185" s="96">
        <f t="shared" si="147"/>
        <v>5.0508176117342298</v>
      </c>
      <c r="BX185" s="96">
        <f t="shared" si="148"/>
        <v>0.94318079273767974</v>
      </c>
      <c r="BY185" s="96">
        <f t="shared" si="149"/>
        <v>6.9871618081220923</v>
      </c>
      <c r="BZ185" s="96">
        <f t="shared" si="150"/>
        <v>55.527263323113317</v>
      </c>
      <c r="CA185" s="96">
        <f t="shared" si="151"/>
        <v>55</v>
      </c>
      <c r="CB185" s="104">
        <f t="shared" si="152"/>
        <v>1.1000000000000001</v>
      </c>
      <c r="CC185" s="105">
        <f t="shared" si="165"/>
        <v>94.41817566621944</v>
      </c>
      <c r="CD185" s="106">
        <f t="shared" si="166"/>
        <v>64.792144849414782</v>
      </c>
      <c r="CE185" s="107">
        <f t="shared" si="167"/>
        <v>0.97188217274122168</v>
      </c>
      <c r="CF185" s="108" t="s">
        <v>2189</v>
      </c>
      <c r="CG185" s="108" t="s">
        <v>2189</v>
      </c>
      <c r="CH185" s="108" t="s">
        <v>2189</v>
      </c>
      <c r="CI185" s="108" t="s">
        <v>2189</v>
      </c>
      <c r="CJ185" s="109"/>
      <c r="CK185" s="116" t="s">
        <v>2192</v>
      </c>
      <c r="CL185" s="116" t="s">
        <v>2193</v>
      </c>
      <c r="CM185" s="111">
        <f t="shared" si="153"/>
        <v>25</v>
      </c>
      <c r="CN185" s="107">
        <f t="shared" si="168"/>
        <v>0.375</v>
      </c>
      <c r="CO185" s="114">
        <v>42497</v>
      </c>
      <c r="CP185" s="88">
        <f t="shared" si="154"/>
        <v>3.7580881756416357E-2</v>
      </c>
      <c r="CQ185" s="78">
        <f t="shared" si="155"/>
        <v>100</v>
      </c>
      <c r="CR185" s="79">
        <f t="shared" si="169"/>
        <v>3</v>
      </c>
      <c r="CS185" s="92">
        <f>_xlfn.XLOOKUP(C185, '[1]1-1. 관계사체무보증금액 (환율 등)'!$3:$3, '[1]1-1. 관계사체무보증금액 (환율 등)'!$33:$33)</f>
        <v>11346000</v>
      </c>
      <c r="CT185" s="77">
        <f t="shared" si="156"/>
        <v>10.033477290356965</v>
      </c>
      <c r="CU185" s="78">
        <f t="shared" si="157"/>
        <v>60</v>
      </c>
      <c r="CV185" s="79">
        <f t="shared" si="170"/>
        <v>1.2</v>
      </c>
      <c r="CW185" s="112">
        <f t="shared" si="158"/>
        <v>18.280074361022496</v>
      </c>
    </row>
    <row r="186" spans="1:101" x14ac:dyDescent="0.35">
      <c r="A186" s="7" t="s">
        <v>51</v>
      </c>
      <c r="B186" s="8" t="s">
        <v>52</v>
      </c>
      <c r="C186" s="21" t="s">
        <v>53</v>
      </c>
      <c r="D186" s="22" t="s">
        <v>31</v>
      </c>
      <c r="E186" s="11" t="s">
        <v>46</v>
      </c>
      <c r="F186" s="11" t="s">
        <v>54</v>
      </c>
      <c r="G186" s="12">
        <v>39353</v>
      </c>
      <c r="H186" s="11" t="s">
        <v>24</v>
      </c>
      <c r="I186" s="11" t="s">
        <v>55</v>
      </c>
      <c r="J186" s="11" t="s">
        <v>56</v>
      </c>
      <c r="K186" s="11" t="s">
        <v>27</v>
      </c>
      <c r="L186" s="23">
        <v>11450867716</v>
      </c>
      <c r="M186" s="14">
        <v>6158689194</v>
      </c>
      <c r="N186" s="14">
        <v>5292178522</v>
      </c>
      <c r="O186" s="14">
        <v>7842662871</v>
      </c>
      <c r="P186" s="14">
        <v>405033974</v>
      </c>
      <c r="Q186" s="14">
        <v>333649782</v>
      </c>
      <c r="R186" s="14">
        <v>265820089</v>
      </c>
      <c r="S186" s="15">
        <v>15054186</v>
      </c>
      <c r="T186" s="15">
        <v>357303</v>
      </c>
      <c r="U186" s="15">
        <v>6707016</v>
      </c>
      <c r="V186" s="15">
        <f>70931+22015</f>
        <v>92946</v>
      </c>
      <c r="W186" s="15">
        <f>5491</f>
        <v>5491</v>
      </c>
      <c r="X186" s="15">
        <f>30351+7844</f>
        <v>38195</v>
      </c>
      <c r="Y186" s="24" t="s">
        <v>2050</v>
      </c>
      <c r="Z186" s="15">
        <v>0</v>
      </c>
      <c r="AA186" s="15">
        <v>0</v>
      </c>
      <c r="AB186" s="74">
        <f t="shared" si="118"/>
        <v>6843648</v>
      </c>
      <c r="AC186" s="75">
        <f t="shared" si="119"/>
        <v>45.460099934994822</v>
      </c>
      <c r="AD186" s="75">
        <f t="shared" si="120"/>
        <v>60.851467259785828</v>
      </c>
      <c r="AE186" s="76">
        <f t="shared" si="159"/>
        <v>1.8255440177935747</v>
      </c>
      <c r="AF186" s="77">
        <f t="shared" si="121"/>
        <v>46.268055614241469</v>
      </c>
      <c r="AG186" s="77">
        <f t="shared" si="122"/>
        <v>46.565302316144184</v>
      </c>
      <c r="AH186" s="77">
        <f t="shared" si="123"/>
        <v>0.29724670190271496</v>
      </c>
      <c r="AI186" s="78">
        <f t="shared" si="124"/>
        <v>100</v>
      </c>
      <c r="AJ186" s="79">
        <f t="shared" si="160"/>
        <v>4</v>
      </c>
      <c r="AK186" s="113">
        <v>7</v>
      </c>
      <c r="AL186" s="113">
        <v>124</v>
      </c>
      <c r="AM186" s="80">
        <v>1</v>
      </c>
      <c r="AN186" s="81">
        <f t="shared" si="125"/>
        <v>131</v>
      </c>
      <c r="AO186" s="82">
        <f t="shared" si="126"/>
        <v>0.76335877862595414</v>
      </c>
      <c r="AP186" s="83">
        <f t="shared" si="127"/>
        <v>100</v>
      </c>
      <c r="AQ186" s="84">
        <f t="shared" si="161"/>
        <v>2</v>
      </c>
      <c r="AR186" s="118">
        <v>4</v>
      </c>
      <c r="AS186" s="86">
        <f t="shared" si="128"/>
        <v>0.5</v>
      </c>
      <c r="AT186" s="87">
        <f t="shared" si="129"/>
        <v>3.5</v>
      </c>
      <c r="AU186" s="87">
        <f t="shared" si="130"/>
        <v>3</v>
      </c>
      <c r="AV186" s="88">
        <f t="shared" si="131"/>
        <v>14.285714285714285</v>
      </c>
      <c r="AW186" s="78">
        <f t="shared" si="132"/>
        <v>60</v>
      </c>
      <c r="AX186" s="89">
        <f t="shared" si="162"/>
        <v>0.6</v>
      </c>
      <c r="AY186" s="114">
        <v>10</v>
      </c>
      <c r="AZ186" s="114">
        <f>3*10+9</f>
        <v>39</v>
      </c>
      <c r="BA186" s="91">
        <f t="shared" si="133"/>
        <v>40</v>
      </c>
      <c r="BB186" s="77">
        <f t="shared" si="134"/>
        <v>97.5</v>
      </c>
      <c r="BC186" s="78">
        <f t="shared" si="135"/>
        <v>100</v>
      </c>
      <c r="BD186" s="79">
        <f t="shared" si="163"/>
        <v>1</v>
      </c>
      <c r="BE186" s="92">
        <v>413644637</v>
      </c>
      <c r="BF186" s="92">
        <v>35354329</v>
      </c>
      <c r="BG186" s="93">
        <v>0</v>
      </c>
      <c r="BH186" s="94">
        <f t="shared" si="136"/>
        <v>448998966</v>
      </c>
      <c r="BI186" s="77">
        <f t="shared" si="137"/>
        <v>0</v>
      </c>
      <c r="BJ186" s="95" t="str">
        <f t="shared" si="138"/>
        <v>식약/섬유/종이업</v>
      </c>
      <c r="BK186" s="96">
        <f t="shared" si="139"/>
        <v>2.1999360555264453</v>
      </c>
      <c r="BL186" s="97">
        <f t="shared" si="140"/>
        <v>-2.1999360555264453</v>
      </c>
      <c r="BM186" s="98">
        <f t="shared" si="141"/>
        <v>100</v>
      </c>
      <c r="BN186" s="99">
        <f t="shared" si="142"/>
        <v>2</v>
      </c>
      <c r="BO186" s="114">
        <v>218745000</v>
      </c>
      <c r="BP186" s="101">
        <f t="shared" si="143"/>
        <v>2.7891674498576062</v>
      </c>
      <c r="BQ186" s="78">
        <f t="shared" si="144"/>
        <v>85</v>
      </c>
      <c r="BR186" s="79">
        <f t="shared" si="164"/>
        <v>1.7</v>
      </c>
      <c r="BS186" s="102">
        <v>213596218</v>
      </c>
      <c r="BT186" s="102">
        <v>6644041</v>
      </c>
      <c r="BU186" s="103">
        <f t="shared" si="145"/>
        <v>206952177</v>
      </c>
      <c r="BV186" s="77">
        <f t="shared" si="146"/>
        <v>2.638799861782303</v>
      </c>
      <c r="BW186" s="96">
        <f t="shared" si="147"/>
        <v>5.0508176117342298</v>
      </c>
      <c r="BX186" s="96">
        <f t="shared" si="148"/>
        <v>5.8178296260831557</v>
      </c>
      <c r="BY186" s="96">
        <f t="shared" si="149"/>
        <v>6.9871618081220923</v>
      </c>
      <c r="BZ186" s="96">
        <f t="shared" si="150"/>
        <v>63.503065308137472</v>
      </c>
      <c r="CA186" s="96">
        <f t="shared" si="151"/>
        <v>40</v>
      </c>
      <c r="CB186" s="104">
        <f t="shared" si="152"/>
        <v>0.8</v>
      </c>
      <c r="CC186" s="105">
        <f t="shared" si="165"/>
        <v>116.37342104764319</v>
      </c>
      <c r="CD186" s="106">
        <f t="shared" si="166"/>
        <v>56.517554881541514</v>
      </c>
      <c r="CE186" s="107">
        <f t="shared" si="167"/>
        <v>0.84776332322312264</v>
      </c>
      <c r="CF186" s="108" t="s">
        <v>2189</v>
      </c>
      <c r="CG186" s="108" t="s">
        <v>2189</v>
      </c>
      <c r="CH186" s="108" t="s">
        <v>2189</v>
      </c>
      <c r="CI186" s="108" t="s">
        <v>2189</v>
      </c>
      <c r="CJ186" s="109"/>
      <c r="CK186" s="116" t="s">
        <v>2197</v>
      </c>
      <c r="CL186" s="116" t="s">
        <v>2198</v>
      </c>
      <c r="CM186" s="111">
        <f t="shared" si="153"/>
        <v>100</v>
      </c>
      <c r="CN186" s="107">
        <f t="shared" si="168"/>
        <v>1.5</v>
      </c>
      <c r="CO186" s="114">
        <f>19995000+1528234000+789000+10498000+8613000+277765000+74825000+56786000+127807000+158000+150000+76552000+8483000+564000+162933000+260605000+6536000+8452000+16449000+1791000+238077000+10825000+1485232000+48507000+59894000+14387000+184000+208455000</f>
        <v>4713546000</v>
      </c>
      <c r="CP186" s="88">
        <f t="shared" si="154"/>
        <v>89.066269786731894</v>
      </c>
      <c r="CQ186" s="78">
        <f t="shared" si="155"/>
        <v>40</v>
      </c>
      <c r="CR186" s="79">
        <f t="shared" si="169"/>
        <v>1.2</v>
      </c>
      <c r="CS186" s="92">
        <f>_xlfn.XLOOKUP(C186, '[1]1-1. 관계사체무보증금액 (환율 등)'!$3:$3, '[1]1-1. 관계사체무보증금액 (환율 등)'!$33:$33)</f>
        <v>5268581332.4639053</v>
      </c>
      <c r="CT186" s="77">
        <f t="shared" si="156"/>
        <v>99.554111989268705</v>
      </c>
      <c r="CU186" s="78">
        <f t="shared" si="157"/>
        <v>40</v>
      </c>
      <c r="CV186" s="79">
        <f t="shared" si="170"/>
        <v>0.8</v>
      </c>
      <c r="CW186" s="112">
        <f t="shared" si="158"/>
        <v>18.273307341016697</v>
      </c>
    </row>
    <row r="187" spans="1:101" x14ac:dyDescent="0.35">
      <c r="A187" s="7" t="s">
        <v>360</v>
      </c>
      <c r="B187" s="8" t="s">
        <v>361</v>
      </c>
      <c r="C187" s="21" t="s">
        <v>362</v>
      </c>
      <c r="D187" s="10" t="s">
        <v>141</v>
      </c>
      <c r="E187" s="11" t="s">
        <v>356</v>
      </c>
      <c r="F187" s="11" t="s">
        <v>363</v>
      </c>
      <c r="G187" s="12">
        <v>37326</v>
      </c>
      <c r="H187" s="11" t="s">
        <v>24</v>
      </c>
      <c r="I187" s="11" t="s">
        <v>364</v>
      </c>
      <c r="J187" s="11" t="s">
        <v>365</v>
      </c>
      <c r="K187" s="11" t="s">
        <v>110</v>
      </c>
      <c r="L187" s="23">
        <v>1219422735</v>
      </c>
      <c r="M187" s="14">
        <v>343607691</v>
      </c>
      <c r="N187" s="14">
        <v>875815044</v>
      </c>
      <c r="O187" s="14">
        <v>1004821817</v>
      </c>
      <c r="P187" s="14">
        <v>113170594</v>
      </c>
      <c r="Q187" s="14">
        <v>122466158</v>
      </c>
      <c r="R187" s="14">
        <v>91032057</v>
      </c>
      <c r="S187" s="15">
        <v>14623136</v>
      </c>
      <c r="T187" s="15">
        <v>1393076</v>
      </c>
      <c r="U187" s="15">
        <v>5853873</v>
      </c>
      <c r="V187" s="15">
        <v>0</v>
      </c>
      <c r="W187" s="15">
        <v>0</v>
      </c>
      <c r="X187" s="15">
        <v>155521</v>
      </c>
      <c r="Y187" s="24" t="s">
        <v>2061</v>
      </c>
      <c r="Z187" s="15">
        <v>0</v>
      </c>
      <c r="AA187" s="15">
        <v>0</v>
      </c>
      <c r="AB187" s="74">
        <f t="shared" si="118"/>
        <v>6009394</v>
      </c>
      <c r="AC187" s="75">
        <f t="shared" si="119"/>
        <v>41.095111199129924</v>
      </c>
      <c r="AD187" s="75">
        <f t="shared" si="120"/>
        <v>64.6187187579431</v>
      </c>
      <c r="AE187" s="76">
        <f t="shared" si="159"/>
        <v>1.9385615627382928</v>
      </c>
      <c r="AF187" s="77">
        <f t="shared" si="121"/>
        <v>44.246760785665373</v>
      </c>
      <c r="AG187" s="77">
        <f t="shared" si="122"/>
        <v>45.422273217203852</v>
      </c>
      <c r="AH187" s="77">
        <f t="shared" si="123"/>
        <v>1.1755124315384791</v>
      </c>
      <c r="AI187" s="78">
        <f t="shared" si="124"/>
        <v>100</v>
      </c>
      <c r="AJ187" s="79">
        <f t="shared" si="160"/>
        <v>4</v>
      </c>
      <c r="AK187" s="113">
        <v>5</v>
      </c>
      <c r="AL187" s="113">
        <v>9</v>
      </c>
      <c r="AM187" s="113">
        <v>0</v>
      </c>
      <c r="AN187" s="81">
        <f t="shared" si="125"/>
        <v>14</v>
      </c>
      <c r="AO187" s="82">
        <f t="shared" si="126"/>
        <v>0</v>
      </c>
      <c r="AP187" s="83">
        <f t="shared" si="127"/>
        <v>100</v>
      </c>
      <c r="AQ187" s="84">
        <f t="shared" si="161"/>
        <v>2</v>
      </c>
      <c r="AR187" s="118">
        <v>1</v>
      </c>
      <c r="AS187" s="86">
        <f t="shared" si="128"/>
        <v>0.25</v>
      </c>
      <c r="AT187" s="87">
        <f t="shared" si="129"/>
        <v>1.25</v>
      </c>
      <c r="AU187" s="87">
        <f t="shared" si="130"/>
        <v>1</v>
      </c>
      <c r="AV187" s="88">
        <f t="shared" si="131"/>
        <v>0</v>
      </c>
      <c r="AW187" s="78">
        <f t="shared" si="132"/>
        <v>40</v>
      </c>
      <c r="AX187" s="89">
        <f t="shared" si="162"/>
        <v>0.4</v>
      </c>
      <c r="AY187" s="114">
        <v>11</v>
      </c>
      <c r="AZ187" s="114">
        <v>11</v>
      </c>
      <c r="BA187" s="91">
        <f t="shared" si="133"/>
        <v>11</v>
      </c>
      <c r="BB187" s="77">
        <f t="shared" si="134"/>
        <v>100</v>
      </c>
      <c r="BC187" s="78">
        <f t="shared" si="135"/>
        <v>100</v>
      </c>
      <c r="BD187" s="79">
        <f t="shared" si="163"/>
        <v>1</v>
      </c>
      <c r="BE187" s="92">
        <v>3912241</v>
      </c>
      <c r="BF187" s="92">
        <v>270735</v>
      </c>
      <c r="BG187" s="114">
        <v>388212</v>
      </c>
      <c r="BH187" s="94">
        <f t="shared" si="136"/>
        <v>4182976</v>
      </c>
      <c r="BI187" s="77">
        <f t="shared" si="137"/>
        <v>9.2807608745543853</v>
      </c>
      <c r="BJ187" s="95" t="str">
        <f t="shared" si="138"/>
        <v>전기전자/기계업</v>
      </c>
      <c r="BK187" s="96">
        <f t="shared" si="139"/>
        <v>2.4096449716116446</v>
      </c>
      <c r="BL187" s="97">
        <f t="shared" si="140"/>
        <v>6.8711159029427407</v>
      </c>
      <c r="BM187" s="98">
        <f t="shared" si="141"/>
        <v>40</v>
      </c>
      <c r="BN187" s="99">
        <f t="shared" si="142"/>
        <v>0.8</v>
      </c>
      <c r="BO187" s="114">
        <f>(16245-492)*1000</f>
        <v>15753000</v>
      </c>
      <c r="BP187" s="101">
        <f t="shared" si="143"/>
        <v>1.5677406415231128</v>
      </c>
      <c r="BQ187" s="78">
        <f t="shared" si="144"/>
        <v>70</v>
      </c>
      <c r="BR187" s="79">
        <f t="shared" si="164"/>
        <v>1.4000000000000001</v>
      </c>
      <c r="BS187" s="102">
        <v>31097334.322999999</v>
      </c>
      <c r="BT187" s="102">
        <v>103495.58199999999</v>
      </c>
      <c r="BU187" s="103">
        <f t="shared" si="145"/>
        <v>30993838.741</v>
      </c>
      <c r="BV187" s="77">
        <f t="shared" si="146"/>
        <v>3.0845109268761028</v>
      </c>
      <c r="BW187" s="96">
        <f t="shared" si="147"/>
        <v>5.2309968128308295</v>
      </c>
      <c r="BX187" s="96">
        <f t="shared" si="148"/>
        <v>4.6074016586028481</v>
      </c>
      <c r="BY187" s="96">
        <f t="shared" si="149"/>
        <v>7.0695458012309631</v>
      </c>
      <c r="BZ187" s="96">
        <f t="shared" si="150"/>
        <v>61.929293133719</v>
      </c>
      <c r="CA187" s="96">
        <f t="shared" si="151"/>
        <v>40</v>
      </c>
      <c r="CB187" s="104">
        <f t="shared" si="152"/>
        <v>0.8</v>
      </c>
      <c r="CC187" s="105">
        <f t="shared" si="165"/>
        <v>39.23290577776374</v>
      </c>
      <c r="CD187" s="106">
        <f t="shared" si="166"/>
        <v>85.590613400340303</v>
      </c>
      <c r="CE187" s="107">
        <f t="shared" si="167"/>
        <v>1.2838592010051044</v>
      </c>
      <c r="CF187" s="108" t="s">
        <v>2189</v>
      </c>
      <c r="CG187" s="108" t="s">
        <v>2189</v>
      </c>
      <c r="CH187" s="108" t="s">
        <v>2189</v>
      </c>
      <c r="CI187" s="108" t="s">
        <v>2189</v>
      </c>
      <c r="CJ187" s="109"/>
      <c r="CK187" s="116" t="s">
        <v>2203</v>
      </c>
      <c r="CL187" s="116" t="s">
        <v>2204</v>
      </c>
      <c r="CM187" s="111">
        <f t="shared" si="153"/>
        <v>70</v>
      </c>
      <c r="CN187" s="107">
        <f t="shared" si="168"/>
        <v>1.05</v>
      </c>
      <c r="CO187" s="114">
        <f>554000+39000+39132000</f>
        <v>39725000</v>
      </c>
      <c r="CP187" s="88">
        <f t="shared" si="154"/>
        <v>4.5357750214667476</v>
      </c>
      <c r="CQ187" s="78">
        <f t="shared" si="155"/>
        <v>80</v>
      </c>
      <c r="CR187" s="79">
        <f t="shared" si="169"/>
        <v>2.4</v>
      </c>
      <c r="CS187" s="92">
        <f>_xlfn.XLOOKUP(C187, '[1]1-1. 관계사체무보증금액 (환율 등)'!$3:$3, '[1]1-1. 관계사체무보증금액 (환율 등)'!$33:$33)</f>
        <v>264770910.75949365</v>
      </c>
      <c r="CT187" s="77">
        <f t="shared" si="156"/>
        <v>30.23137277366677</v>
      </c>
      <c r="CU187" s="78">
        <f t="shared" si="157"/>
        <v>60</v>
      </c>
      <c r="CV187" s="79">
        <f t="shared" si="170"/>
        <v>1.2</v>
      </c>
      <c r="CW187" s="112">
        <f t="shared" si="158"/>
        <v>18.272420763743398</v>
      </c>
    </row>
    <row r="188" spans="1:101" x14ac:dyDescent="0.35">
      <c r="A188" s="7" t="s">
        <v>907</v>
      </c>
      <c r="B188" s="8" t="s">
        <v>908</v>
      </c>
      <c r="C188" s="21" t="s">
        <v>909</v>
      </c>
      <c r="D188" s="22" t="s">
        <v>141</v>
      </c>
      <c r="E188" s="11" t="s">
        <v>646</v>
      </c>
      <c r="F188" s="11" t="s">
        <v>910</v>
      </c>
      <c r="G188" s="12">
        <v>35423</v>
      </c>
      <c r="H188" s="11" t="s">
        <v>24</v>
      </c>
      <c r="I188" s="11" t="s">
        <v>911</v>
      </c>
      <c r="J188" s="11" t="s">
        <v>912</v>
      </c>
      <c r="K188" s="11" t="s">
        <v>27</v>
      </c>
      <c r="L188" s="23">
        <v>5165940385</v>
      </c>
      <c r="M188" s="14">
        <v>3460358420</v>
      </c>
      <c r="N188" s="14">
        <v>1705581965</v>
      </c>
      <c r="O188" s="14">
        <v>6673315540</v>
      </c>
      <c r="P188" s="14">
        <v>504880672</v>
      </c>
      <c r="Q188" s="14">
        <v>403831051</v>
      </c>
      <c r="R188" s="14">
        <v>307787439</v>
      </c>
      <c r="S188" s="15">
        <v>196000000</v>
      </c>
      <c r="T188" s="15">
        <v>0</v>
      </c>
      <c r="U188" s="15">
        <f>22918426+3024038</f>
        <v>25942464</v>
      </c>
      <c r="V188" s="15">
        <v>0</v>
      </c>
      <c r="W188" s="15">
        <f>124748+5000+21162+20203+6165+19412+14533+13179+10882+10000+14959+15076+11581+2400+5050+15500+12000+4190+493+12488+442+4500+6706+4630+2007+1200+1600+10899+1300+8904+9500+15192+5215+2483</f>
        <v>413599</v>
      </c>
      <c r="X188" s="15">
        <v>0</v>
      </c>
      <c r="Z188" s="15">
        <f>262852+435000+13668989</f>
        <v>14366841</v>
      </c>
      <c r="AA188" s="15">
        <v>0</v>
      </c>
      <c r="AB188" s="74">
        <f t="shared" si="118"/>
        <v>40722904</v>
      </c>
      <c r="AC188" s="75">
        <f t="shared" si="119"/>
        <v>20.776991836734695</v>
      </c>
      <c r="AD188" s="75">
        <f t="shared" si="120"/>
        <v>82.154494962541975</v>
      </c>
      <c r="AE188" s="76">
        <f t="shared" si="159"/>
        <v>2.4646348488762593</v>
      </c>
      <c r="AF188" s="77">
        <f t="shared" si="121"/>
        <v>13.235951020408162</v>
      </c>
      <c r="AG188" s="77">
        <f t="shared" si="122"/>
        <v>20.776991836734695</v>
      </c>
      <c r="AH188" s="77">
        <f t="shared" si="123"/>
        <v>7.5410408163265323</v>
      </c>
      <c r="AI188" s="78">
        <f t="shared" si="124"/>
        <v>100</v>
      </c>
      <c r="AJ188" s="79">
        <f t="shared" si="160"/>
        <v>4</v>
      </c>
      <c r="AK188" s="113">
        <v>6</v>
      </c>
      <c r="AL188" s="113">
        <v>57</v>
      </c>
      <c r="AM188" s="113">
        <v>0</v>
      </c>
      <c r="AN188" s="81">
        <f t="shared" si="125"/>
        <v>63</v>
      </c>
      <c r="AO188" s="82">
        <f t="shared" si="126"/>
        <v>0</v>
      </c>
      <c r="AP188" s="83">
        <f t="shared" si="127"/>
        <v>100</v>
      </c>
      <c r="AQ188" s="84">
        <f t="shared" si="161"/>
        <v>2</v>
      </c>
      <c r="AR188" s="118">
        <v>4</v>
      </c>
      <c r="AS188" s="86">
        <f t="shared" si="128"/>
        <v>0.5</v>
      </c>
      <c r="AT188" s="87">
        <f t="shared" si="129"/>
        <v>3</v>
      </c>
      <c r="AU188" s="87">
        <f t="shared" si="130"/>
        <v>3</v>
      </c>
      <c r="AV188" s="88">
        <f t="shared" si="131"/>
        <v>16.666666666666664</v>
      </c>
      <c r="AW188" s="78">
        <f t="shared" si="132"/>
        <v>60</v>
      </c>
      <c r="AX188" s="89">
        <f t="shared" si="162"/>
        <v>0.6</v>
      </c>
      <c r="AY188" s="114">
        <v>10</v>
      </c>
      <c r="AZ188" s="114">
        <v>40</v>
      </c>
      <c r="BA188" s="91">
        <f t="shared" si="133"/>
        <v>40</v>
      </c>
      <c r="BB188" s="77">
        <f t="shared" si="134"/>
        <v>100</v>
      </c>
      <c r="BC188" s="78">
        <f t="shared" si="135"/>
        <v>100</v>
      </c>
      <c r="BD188" s="79">
        <f t="shared" si="163"/>
        <v>1</v>
      </c>
      <c r="BE188" s="92">
        <v>181720241</v>
      </c>
      <c r="BF188" s="92">
        <v>16112395</v>
      </c>
      <c r="BG188" s="93">
        <v>0</v>
      </c>
      <c r="BH188" s="94">
        <f t="shared" si="136"/>
        <v>197832636</v>
      </c>
      <c r="BI188" s="77">
        <f t="shared" si="137"/>
        <v>0</v>
      </c>
      <c r="BJ188" s="95" t="str">
        <f t="shared" si="138"/>
        <v>전기전자/기계업</v>
      </c>
      <c r="BK188" s="96">
        <f t="shared" si="139"/>
        <v>2.4096449716116446</v>
      </c>
      <c r="BL188" s="97">
        <f t="shared" si="140"/>
        <v>-2.4096449716116446</v>
      </c>
      <c r="BM188" s="98">
        <f t="shared" si="141"/>
        <v>100</v>
      </c>
      <c r="BN188" s="99">
        <f t="shared" si="142"/>
        <v>2</v>
      </c>
      <c r="BO188" s="114">
        <v>60698000</v>
      </c>
      <c r="BP188" s="101">
        <f t="shared" si="143"/>
        <v>0.90956286475852755</v>
      </c>
      <c r="BQ188" s="78">
        <f t="shared" si="144"/>
        <v>70</v>
      </c>
      <c r="BR188" s="79">
        <f t="shared" si="164"/>
        <v>1.4000000000000001</v>
      </c>
      <c r="BS188" s="102">
        <v>12064031.606000001</v>
      </c>
      <c r="BT188" s="102">
        <v>1235415.7890000001</v>
      </c>
      <c r="BU188" s="103">
        <f t="shared" si="145"/>
        <v>10828615.817</v>
      </c>
      <c r="BV188" s="77">
        <f t="shared" si="146"/>
        <v>0.16226740294375469</v>
      </c>
      <c r="BW188" s="96">
        <f t="shared" si="147"/>
        <v>5.2309968128308295</v>
      </c>
      <c r="BX188" s="96">
        <f t="shared" si="148"/>
        <v>25.692017830654173</v>
      </c>
      <c r="BY188" s="96">
        <f t="shared" si="149"/>
        <v>7.0695458012309631</v>
      </c>
      <c r="BZ188" s="96">
        <f t="shared" si="150"/>
        <v>76.330706329155447</v>
      </c>
      <c r="CA188" s="96">
        <f t="shared" si="151"/>
        <v>40</v>
      </c>
      <c r="CB188" s="104">
        <f t="shared" si="152"/>
        <v>0.8</v>
      </c>
      <c r="CC188" s="105">
        <f t="shared" si="165"/>
        <v>202.88432282994972</v>
      </c>
      <c r="CD188" s="106">
        <f t="shared" si="166"/>
        <v>25</v>
      </c>
      <c r="CE188" s="107">
        <f t="shared" si="167"/>
        <v>0.375</v>
      </c>
      <c r="CF188" s="108" t="s">
        <v>2189</v>
      </c>
      <c r="CG188" s="108" t="s">
        <v>2189</v>
      </c>
      <c r="CH188" s="108" t="s">
        <v>2189</v>
      </c>
      <c r="CI188" s="108" t="s">
        <v>2189</v>
      </c>
      <c r="CJ188" s="109"/>
      <c r="CK188" s="116" t="s">
        <v>2213</v>
      </c>
      <c r="CL188" s="116" t="s">
        <v>2196</v>
      </c>
      <c r="CM188" s="111">
        <f t="shared" si="153"/>
        <v>55</v>
      </c>
      <c r="CN188" s="107">
        <f t="shared" si="168"/>
        <v>0.82499999999999996</v>
      </c>
      <c r="CO188" s="114">
        <v>53370000</v>
      </c>
      <c r="CP188" s="88">
        <f t="shared" si="154"/>
        <v>3.129137215050231</v>
      </c>
      <c r="CQ188" s="78">
        <f t="shared" si="155"/>
        <v>80</v>
      </c>
      <c r="CR188" s="79">
        <f t="shared" si="169"/>
        <v>2.4</v>
      </c>
      <c r="CS188" s="92">
        <f>_xlfn.XLOOKUP(C188, '[1]1-1. 관계사체무보증금액 (환율 등)'!$3:$3, '[1]1-1. 관계사체무보증금액 (환율 등)'!$33:$33)</f>
        <v>2927116000</v>
      </c>
      <c r="CT188" s="77">
        <f t="shared" si="156"/>
        <v>171.61977905881528</v>
      </c>
      <c r="CU188" s="78">
        <f t="shared" si="157"/>
        <v>20</v>
      </c>
      <c r="CV188" s="79">
        <f t="shared" si="170"/>
        <v>0.4</v>
      </c>
      <c r="CW188" s="112">
        <f t="shared" si="158"/>
        <v>18.264634848876256</v>
      </c>
    </row>
    <row r="189" spans="1:101" x14ac:dyDescent="0.35">
      <c r="A189" s="7" t="s">
        <v>36</v>
      </c>
      <c r="B189" s="8" t="s">
        <v>37</v>
      </c>
      <c r="C189" s="21" t="s">
        <v>38</v>
      </c>
      <c r="D189" s="22" t="s">
        <v>21</v>
      </c>
      <c r="E189" s="11" t="s">
        <v>39</v>
      </c>
      <c r="F189" s="11" t="s">
        <v>40</v>
      </c>
      <c r="G189" s="12">
        <v>20638</v>
      </c>
      <c r="H189" s="11" t="s">
        <v>24</v>
      </c>
      <c r="I189" s="11" t="s">
        <v>41</v>
      </c>
      <c r="J189" s="11" t="s">
        <v>42</v>
      </c>
      <c r="K189" s="11" t="s">
        <v>27</v>
      </c>
      <c r="L189" s="23">
        <v>7825113458</v>
      </c>
      <c r="M189" s="14">
        <v>4398363795</v>
      </c>
      <c r="N189" s="14">
        <v>3426749663</v>
      </c>
      <c r="O189" s="14">
        <v>8214653866</v>
      </c>
      <c r="P189" s="14">
        <v>262723385</v>
      </c>
      <c r="Q189" s="14">
        <v>247777952</v>
      </c>
      <c r="R189" s="14">
        <v>200576209</v>
      </c>
      <c r="S189" s="15">
        <v>22812344</v>
      </c>
      <c r="T189" s="15">
        <v>2867456</v>
      </c>
      <c r="U189" s="15">
        <v>9162522</v>
      </c>
      <c r="V189" s="15">
        <v>0</v>
      </c>
      <c r="W189" s="15">
        <f>800+2000</f>
        <v>2800</v>
      </c>
      <c r="X189" s="15">
        <v>0</v>
      </c>
      <c r="Z189" s="15">
        <v>0</v>
      </c>
      <c r="AA189" s="15">
        <v>0</v>
      </c>
      <c r="AB189" s="74">
        <f t="shared" si="118"/>
        <v>9165322</v>
      </c>
      <c r="AC189" s="75">
        <f t="shared" si="119"/>
        <v>40.177028717434737</v>
      </c>
      <c r="AD189" s="75">
        <f t="shared" si="120"/>
        <v>65.411079933169106</v>
      </c>
      <c r="AE189" s="76">
        <f t="shared" si="159"/>
        <v>1.9623323979950731</v>
      </c>
      <c r="AF189" s="77">
        <f t="shared" si="121"/>
        <v>45.939200059684467</v>
      </c>
      <c r="AG189" s="77">
        <f t="shared" si="122"/>
        <v>45.953238744684853</v>
      </c>
      <c r="AH189" s="77">
        <f t="shared" si="123"/>
        <v>1.4038685000386408E-2</v>
      </c>
      <c r="AI189" s="78">
        <f t="shared" si="124"/>
        <v>100</v>
      </c>
      <c r="AJ189" s="79">
        <f t="shared" si="160"/>
        <v>4</v>
      </c>
      <c r="AK189" s="113">
        <v>7</v>
      </c>
      <c r="AL189" s="113">
        <v>66</v>
      </c>
      <c r="AM189" s="113">
        <v>0</v>
      </c>
      <c r="AN189" s="81">
        <f t="shared" si="125"/>
        <v>73</v>
      </c>
      <c r="AO189" s="82">
        <f t="shared" si="126"/>
        <v>0</v>
      </c>
      <c r="AP189" s="83">
        <f t="shared" si="127"/>
        <v>100</v>
      </c>
      <c r="AQ189" s="84">
        <f t="shared" si="161"/>
        <v>2</v>
      </c>
      <c r="AR189" s="118">
        <v>4</v>
      </c>
      <c r="AS189" s="86">
        <f t="shared" si="128"/>
        <v>0.5</v>
      </c>
      <c r="AT189" s="87">
        <f t="shared" si="129"/>
        <v>3.5</v>
      </c>
      <c r="AU189" s="87">
        <f t="shared" si="130"/>
        <v>3</v>
      </c>
      <c r="AV189" s="88">
        <f t="shared" si="131"/>
        <v>14.285714285714285</v>
      </c>
      <c r="AW189" s="78">
        <f t="shared" si="132"/>
        <v>60</v>
      </c>
      <c r="AX189" s="89">
        <f t="shared" si="162"/>
        <v>0.6</v>
      </c>
      <c r="AY189" s="114">
        <v>8</v>
      </c>
      <c r="AZ189" s="114">
        <v>32</v>
      </c>
      <c r="BA189" s="91">
        <f t="shared" si="133"/>
        <v>32</v>
      </c>
      <c r="BB189" s="77">
        <f t="shared" si="134"/>
        <v>100</v>
      </c>
      <c r="BC189" s="78">
        <f t="shared" si="135"/>
        <v>100</v>
      </c>
      <c r="BD189" s="79">
        <f t="shared" si="163"/>
        <v>1</v>
      </c>
      <c r="BE189" s="92">
        <v>186921979</v>
      </c>
      <c r="BF189" s="92">
        <v>15773356</v>
      </c>
      <c r="BG189" s="114">
        <v>4026318</v>
      </c>
      <c r="BH189" s="94">
        <f t="shared" si="136"/>
        <v>202695335</v>
      </c>
      <c r="BI189" s="77">
        <f t="shared" si="137"/>
        <v>1.9863890799460184</v>
      </c>
      <c r="BJ189" s="95" t="str">
        <f t="shared" si="138"/>
        <v>비제조/서비스업</v>
      </c>
      <c r="BK189" s="96">
        <f t="shared" si="139"/>
        <v>1.7464434573900922</v>
      </c>
      <c r="BL189" s="97">
        <f t="shared" si="140"/>
        <v>0.23994562255592622</v>
      </c>
      <c r="BM189" s="98">
        <f t="shared" si="141"/>
        <v>60</v>
      </c>
      <c r="BN189" s="99">
        <f t="shared" si="142"/>
        <v>1.2</v>
      </c>
      <c r="BO189" s="114">
        <v>0</v>
      </c>
      <c r="BP189" s="101">
        <f t="shared" si="143"/>
        <v>0</v>
      </c>
      <c r="BQ189" s="78">
        <f t="shared" si="144"/>
        <v>25</v>
      </c>
      <c r="BR189" s="79">
        <f t="shared" si="164"/>
        <v>0.5</v>
      </c>
      <c r="BS189" s="102">
        <v>207406124.604</v>
      </c>
      <c r="BT189" s="102">
        <v>13646107.358999999</v>
      </c>
      <c r="BU189" s="103">
        <f t="shared" si="145"/>
        <v>193760017.245</v>
      </c>
      <c r="BV189" s="77">
        <f t="shared" si="146"/>
        <v>2.3587118873865403</v>
      </c>
      <c r="BW189" s="96">
        <f t="shared" si="147"/>
        <v>2.8482825397737606</v>
      </c>
      <c r="BX189" s="96">
        <f t="shared" si="148"/>
        <v>0.23967942367884851</v>
      </c>
      <c r="BY189" s="96">
        <f t="shared" si="149"/>
        <v>5.5697595856656807</v>
      </c>
      <c r="BZ189" s="96">
        <f t="shared" si="150"/>
        <v>53.502112148962667</v>
      </c>
      <c r="CA189" s="96">
        <f t="shared" si="151"/>
        <v>55</v>
      </c>
      <c r="CB189" s="104">
        <f t="shared" si="152"/>
        <v>1.1000000000000001</v>
      </c>
      <c r="CC189" s="105">
        <f t="shared" si="165"/>
        <v>128.35381126584502</v>
      </c>
      <c r="CD189" s="106">
        <f t="shared" si="166"/>
        <v>52.002332437495596</v>
      </c>
      <c r="CE189" s="107">
        <f t="shared" si="167"/>
        <v>0.78003498656243386</v>
      </c>
      <c r="CF189" s="108" t="s">
        <v>2189</v>
      </c>
      <c r="CG189" s="108" t="s">
        <v>2189</v>
      </c>
      <c r="CH189" s="108" t="s">
        <v>2189</v>
      </c>
      <c r="CI189" s="108" t="s">
        <v>2189</v>
      </c>
      <c r="CJ189" s="109"/>
      <c r="CK189" s="116" t="s">
        <v>2194</v>
      </c>
      <c r="CL189" s="116" t="s">
        <v>2191</v>
      </c>
      <c r="CM189" s="111">
        <f t="shared" si="153"/>
        <v>85</v>
      </c>
      <c r="CN189" s="107">
        <f t="shared" si="168"/>
        <v>1.2749999999999999</v>
      </c>
      <c r="CO189" s="114">
        <f>220400+326898+11698303+5000000+248288906+9299119+76869504+138402431+1443622+35330+10037884+111951016+57778363+65159018</f>
        <v>736510794</v>
      </c>
      <c r="CP189" s="88">
        <f t="shared" si="154"/>
        <v>21.492985085908213</v>
      </c>
      <c r="CQ189" s="78">
        <f t="shared" si="155"/>
        <v>60</v>
      </c>
      <c r="CR189" s="79">
        <f t="shared" si="169"/>
        <v>1.7999999999999998</v>
      </c>
      <c r="CS189" s="92">
        <f>_xlfn.XLOOKUP(C189, '[1]1-1. 관계사체무보증금액 (환율 등)'!$3:$3, '[1]1-1. 관계사체무보증금액 (환율 등)'!$33:$33)</f>
        <v>75200000</v>
      </c>
      <c r="CT189" s="77">
        <f t="shared" si="156"/>
        <v>2.1944993768282748</v>
      </c>
      <c r="CU189" s="78">
        <f t="shared" si="157"/>
        <v>100</v>
      </c>
      <c r="CV189" s="79">
        <f t="shared" si="170"/>
        <v>2</v>
      </c>
      <c r="CW189" s="112">
        <f t="shared" si="158"/>
        <v>18.217367384557505</v>
      </c>
    </row>
    <row r="190" spans="1:101" x14ac:dyDescent="0.35">
      <c r="A190" s="7" t="s">
        <v>820</v>
      </c>
      <c r="B190" s="8" t="s">
        <v>821</v>
      </c>
      <c r="C190" s="21" t="s">
        <v>822</v>
      </c>
      <c r="D190" s="10" t="s">
        <v>75</v>
      </c>
      <c r="E190" s="11" t="s">
        <v>76</v>
      </c>
      <c r="F190" s="11" t="s">
        <v>823</v>
      </c>
      <c r="G190" s="12">
        <v>42877</v>
      </c>
      <c r="H190" s="11" t="s">
        <v>24</v>
      </c>
      <c r="I190" s="11" t="s">
        <v>824</v>
      </c>
      <c r="J190" s="11" t="s">
        <v>825</v>
      </c>
      <c r="K190" s="11" t="s">
        <v>734</v>
      </c>
      <c r="L190" s="23">
        <v>448351412</v>
      </c>
      <c r="M190" s="14">
        <v>63280350</v>
      </c>
      <c r="N190" s="14">
        <v>385071063</v>
      </c>
      <c r="O190" s="14">
        <v>611355371</v>
      </c>
      <c r="P190" s="14">
        <v>85525773</v>
      </c>
      <c r="Q190" s="14">
        <v>90825472</v>
      </c>
      <c r="R190" s="14">
        <v>70423830</v>
      </c>
      <c r="S190" s="15">
        <v>5100000</v>
      </c>
      <c r="T190" s="15">
        <v>94000</v>
      </c>
      <c r="U190" s="15">
        <f>1697000+684416</f>
        <v>2381416</v>
      </c>
      <c r="V190" s="15">
        <f>154335+158723+8489+16180+28800+8489+48024+32950+115000+195000+34000+1600+1600+63658+13150+257+239602+42585+33+41659+22050+21212+11877+3000</f>
        <v>1262273</v>
      </c>
      <c r="W190" s="15">
        <f>4100+4356+4300+29284+3800+3427+8433+2414+2421+3000+1800+4430+2000+7393+1092+4326+14599+885+1221+576+9057*2</f>
        <v>121971</v>
      </c>
      <c r="X190" s="15">
        <v>0</v>
      </c>
      <c r="Z190" s="15">
        <v>0</v>
      </c>
      <c r="AA190" s="15">
        <v>0</v>
      </c>
      <c r="AB190" s="74">
        <f t="shared" si="118"/>
        <v>3765660</v>
      </c>
      <c r="AC190" s="75">
        <f t="shared" si="119"/>
        <v>73.836470588235287</v>
      </c>
      <c r="AD190" s="75">
        <f t="shared" si="120"/>
        <v>36.360928721315922</v>
      </c>
      <c r="AE190" s="76">
        <f t="shared" si="159"/>
        <v>1.0908278616394775</v>
      </c>
      <c r="AF190" s="77">
        <f t="shared" si="121"/>
        <v>72.786436276468237</v>
      </c>
      <c r="AG190" s="77">
        <f t="shared" si="122"/>
        <v>75.222932481022781</v>
      </c>
      <c r="AH190" s="77">
        <f t="shared" si="123"/>
        <v>2.436496204554544</v>
      </c>
      <c r="AI190" s="78">
        <f t="shared" si="124"/>
        <v>100</v>
      </c>
      <c r="AJ190" s="79">
        <f t="shared" si="160"/>
        <v>4</v>
      </c>
      <c r="AK190" s="113">
        <v>6</v>
      </c>
      <c r="AL190" s="113">
        <v>10</v>
      </c>
      <c r="AM190" s="113">
        <v>1</v>
      </c>
      <c r="AN190" s="81">
        <f t="shared" si="125"/>
        <v>16</v>
      </c>
      <c r="AO190" s="82">
        <f t="shared" si="126"/>
        <v>6.25</v>
      </c>
      <c r="AP190" s="83">
        <f t="shared" si="127"/>
        <v>100</v>
      </c>
      <c r="AQ190" s="84">
        <f t="shared" si="161"/>
        <v>2</v>
      </c>
      <c r="AR190" s="118">
        <v>3</v>
      </c>
      <c r="AS190" s="86">
        <f t="shared" si="128"/>
        <v>0.25</v>
      </c>
      <c r="AT190" s="87">
        <f t="shared" si="129"/>
        <v>1.5</v>
      </c>
      <c r="AU190" s="87">
        <f t="shared" si="130"/>
        <v>1</v>
      </c>
      <c r="AV190" s="88">
        <f t="shared" si="131"/>
        <v>33.333333333333329</v>
      </c>
      <c r="AW190" s="78">
        <f t="shared" si="132"/>
        <v>80</v>
      </c>
      <c r="AX190" s="89">
        <f t="shared" si="162"/>
        <v>0.8</v>
      </c>
      <c r="AY190" s="114">
        <v>7</v>
      </c>
      <c r="AZ190" s="114">
        <f>21-6</f>
        <v>15</v>
      </c>
      <c r="BA190" s="91">
        <f t="shared" si="133"/>
        <v>21</v>
      </c>
      <c r="BB190" s="77">
        <f t="shared" si="134"/>
        <v>71.428571428571431</v>
      </c>
      <c r="BC190" s="78">
        <f t="shared" si="135"/>
        <v>50</v>
      </c>
      <c r="BD190" s="79">
        <f t="shared" si="163"/>
        <v>0.5</v>
      </c>
      <c r="BE190" s="92">
        <v>5593702.5439999998</v>
      </c>
      <c r="BF190" s="92">
        <v>441893.24</v>
      </c>
      <c r="BG190" s="114">
        <v>126158.15</v>
      </c>
      <c r="BH190" s="94">
        <f t="shared" si="136"/>
        <v>6035595.784</v>
      </c>
      <c r="BI190" s="77">
        <f t="shared" si="137"/>
        <v>2.0902352396500379</v>
      </c>
      <c r="BJ190" s="95" t="str">
        <f t="shared" si="138"/>
        <v>금속/비금속/화학업</v>
      </c>
      <c r="BK190" s="96">
        <f t="shared" si="139"/>
        <v>3.9534118626990469</v>
      </c>
      <c r="BL190" s="97">
        <f t="shared" si="140"/>
        <v>-1.863176623049009</v>
      </c>
      <c r="BM190" s="98">
        <f t="shared" si="141"/>
        <v>80</v>
      </c>
      <c r="BN190" s="99">
        <f t="shared" si="142"/>
        <v>1.6</v>
      </c>
      <c r="BO190" s="114">
        <v>4638000</v>
      </c>
      <c r="BP190" s="101">
        <f t="shared" si="143"/>
        <v>0.75864222676470106</v>
      </c>
      <c r="BQ190" s="78">
        <f t="shared" si="144"/>
        <v>70</v>
      </c>
      <c r="BR190" s="79">
        <f t="shared" si="164"/>
        <v>1.4000000000000001</v>
      </c>
      <c r="BS190" s="102">
        <v>47933318.736000001</v>
      </c>
      <c r="BT190" s="102">
        <v>315999.99900000001</v>
      </c>
      <c r="BU190" s="103">
        <f t="shared" si="145"/>
        <v>47617318.737000003</v>
      </c>
      <c r="BV190" s="77">
        <f t="shared" si="146"/>
        <v>7.7888117117727917</v>
      </c>
      <c r="BW190" s="96">
        <f t="shared" si="147"/>
        <v>5.1474158565187738</v>
      </c>
      <c r="BX190" s="96">
        <f t="shared" si="148"/>
        <v>6.976972064153105</v>
      </c>
      <c r="BY190" s="96">
        <f t="shared" si="149"/>
        <v>6.6930498535228535</v>
      </c>
      <c r="BZ190" s="96">
        <f t="shared" si="150"/>
        <v>34.655150098832635</v>
      </c>
      <c r="CA190" s="96">
        <f t="shared" si="151"/>
        <v>70</v>
      </c>
      <c r="CB190" s="104">
        <f t="shared" si="152"/>
        <v>1.4000000000000001</v>
      </c>
      <c r="CC190" s="105">
        <f t="shared" si="165"/>
        <v>16.433421277360434</v>
      </c>
      <c r="CD190" s="106">
        <f t="shared" si="166"/>
        <v>94.183383940693304</v>
      </c>
      <c r="CE190" s="107">
        <f t="shared" si="167"/>
        <v>1.4127507591103996</v>
      </c>
      <c r="CF190" s="108" t="s">
        <v>2189</v>
      </c>
      <c r="CG190" s="108" t="s">
        <v>2189</v>
      </c>
      <c r="CH190" s="108" t="s">
        <v>2189</v>
      </c>
      <c r="CI190" s="108" t="s">
        <v>2189</v>
      </c>
      <c r="CJ190" s="109"/>
      <c r="CK190" s="116" t="s">
        <v>2192</v>
      </c>
      <c r="CL190" s="116" t="s">
        <v>2193</v>
      </c>
      <c r="CM190" s="111">
        <f t="shared" si="153"/>
        <v>25</v>
      </c>
      <c r="CN190" s="107">
        <f t="shared" si="168"/>
        <v>0.375</v>
      </c>
      <c r="CO190" s="114">
        <v>11841000</v>
      </c>
      <c r="CP190" s="88">
        <f t="shared" si="154"/>
        <v>3.075016831373798</v>
      </c>
      <c r="CQ190" s="78">
        <f t="shared" si="155"/>
        <v>80</v>
      </c>
      <c r="CR190" s="79">
        <f t="shared" si="169"/>
        <v>2.4</v>
      </c>
      <c r="CS190" s="92">
        <f>_xlfn.XLOOKUP(C190, '[1]1-1. 관계사체무보증금액 (환율 등)'!$3:$3, '[1]1-1. 관계사체무보증금액 (환율 등)'!$33:$33)</f>
        <v>39493670.886075944</v>
      </c>
      <c r="CT190" s="77">
        <f t="shared" si="156"/>
        <v>10.256203252041285</v>
      </c>
      <c r="CU190" s="78">
        <f t="shared" si="157"/>
        <v>60</v>
      </c>
      <c r="CV190" s="79">
        <f t="shared" si="170"/>
        <v>1.2</v>
      </c>
      <c r="CW190" s="112">
        <f t="shared" si="158"/>
        <v>18.178578620749875</v>
      </c>
    </row>
    <row r="191" spans="1:101" x14ac:dyDescent="0.35">
      <c r="A191" s="7" t="s">
        <v>366</v>
      </c>
      <c r="B191" s="8" t="s">
        <v>367</v>
      </c>
      <c r="C191" s="21" t="s">
        <v>368</v>
      </c>
      <c r="D191" s="10" t="s">
        <v>141</v>
      </c>
      <c r="E191" s="11" t="s">
        <v>369</v>
      </c>
      <c r="F191" s="11" t="s">
        <v>370</v>
      </c>
      <c r="G191" s="12">
        <v>31936</v>
      </c>
      <c r="H191" s="11" t="s">
        <v>24</v>
      </c>
      <c r="I191" s="11" t="s">
        <v>371</v>
      </c>
      <c r="J191" s="11" t="s">
        <v>372</v>
      </c>
      <c r="K191" s="11" t="s">
        <v>50</v>
      </c>
      <c r="L191" s="23">
        <v>692740658</v>
      </c>
      <c r="M191" s="14">
        <v>395155324</v>
      </c>
      <c r="N191" s="14">
        <v>297585335</v>
      </c>
      <c r="O191" s="14">
        <v>1186678750</v>
      </c>
      <c r="P191" s="14">
        <v>24052569</v>
      </c>
      <c r="Q191" s="14">
        <v>10186256</v>
      </c>
      <c r="R191" s="14">
        <v>7026979</v>
      </c>
      <c r="S191" s="15">
        <v>6358926</v>
      </c>
      <c r="T191" s="15">
        <v>229298</v>
      </c>
      <c r="U191" s="15">
        <v>3021193</v>
      </c>
      <c r="V191" s="15">
        <v>0</v>
      </c>
      <c r="W191" s="15">
        <v>0</v>
      </c>
      <c r="X191" s="15">
        <v>0</v>
      </c>
      <c r="Z191" s="15">
        <v>0</v>
      </c>
      <c r="AA191" s="15">
        <v>0</v>
      </c>
      <c r="AB191" s="74">
        <f t="shared" si="118"/>
        <v>3021193</v>
      </c>
      <c r="AC191" s="75">
        <f t="shared" si="119"/>
        <v>47.511057684898361</v>
      </c>
      <c r="AD191" s="75">
        <f t="shared" si="120"/>
        <v>59.081365634437553</v>
      </c>
      <c r="AE191" s="76">
        <f t="shared" si="159"/>
        <v>1.7724409690331264</v>
      </c>
      <c r="AF191" s="77">
        <f t="shared" si="121"/>
        <v>49.288358118959259</v>
      </c>
      <c r="AG191" s="77">
        <f t="shared" si="122"/>
        <v>49.288358118959259</v>
      </c>
      <c r="AH191" s="77">
        <f t="shared" si="123"/>
        <v>0</v>
      </c>
      <c r="AI191" s="78">
        <f t="shared" si="124"/>
        <v>100</v>
      </c>
      <c r="AJ191" s="79">
        <f t="shared" si="160"/>
        <v>4</v>
      </c>
      <c r="AK191" s="113">
        <v>6</v>
      </c>
      <c r="AL191" s="113">
        <v>5</v>
      </c>
      <c r="AM191" s="113">
        <v>0</v>
      </c>
      <c r="AN191" s="81">
        <f t="shared" si="125"/>
        <v>11</v>
      </c>
      <c r="AO191" s="82">
        <f t="shared" si="126"/>
        <v>0</v>
      </c>
      <c r="AP191" s="83">
        <f t="shared" si="127"/>
        <v>100</v>
      </c>
      <c r="AQ191" s="84">
        <f t="shared" si="161"/>
        <v>2</v>
      </c>
      <c r="AR191" s="118">
        <v>3</v>
      </c>
      <c r="AS191" s="86">
        <f t="shared" si="128"/>
        <v>0.25</v>
      </c>
      <c r="AT191" s="87">
        <f t="shared" si="129"/>
        <v>1.5</v>
      </c>
      <c r="AU191" s="87">
        <f t="shared" si="130"/>
        <v>1</v>
      </c>
      <c r="AV191" s="88">
        <f t="shared" si="131"/>
        <v>33.333333333333329</v>
      </c>
      <c r="AW191" s="78">
        <f t="shared" si="132"/>
        <v>80</v>
      </c>
      <c r="AX191" s="89">
        <f t="shared" si="162"/>
        <v>0.8</v>
      </c>
      <c r="AY191" s="114">
        <v>7</v>
      </c>
      <c r="AZ191" s="114">
        <f>21-1</f>
        <v>20</v>
      </c>
      <c r="BA191" s="91">
        <f t="shared" si="133"/>
        <v>21</v>
      </c>
      <c r="BB191" s="77">
        <f t="shared" si="134"/>
        <v>95.238095238095227</v>
      </c>
      <c r="BC191" s="78">
        <f t="shared" si="135"/>
        <v>100</v>
      </c>
      <c r="BD191" s="79">
        <f t="shared" si="163"/>
        <v>1</v>
      </c>
      <c r="BE191" s="92">
        <v>13771619</v>
      </c>
      <c r="BF191" s="92">
        <v>1031272</v>
      </c>
      <c r="BG191" s="114">
        <v>1344018</v>
      </c>
      <c r="BH191" s="94">
        <f t="shared" si="136"/>
        <v>14802891</v>
      </c>
      <c r="BI191" s="77">
        <f t="shared" si="137"/>
        <v>9.0794291466443955</v>
      </c>
      <c r="BJ191" s="95" t="str">
        <f t="shared" si="138"/>
        <v>전기전자/기계업</v>
      </c>
      <c r="BK191" s="96">
        <f t="shared" si="139"/>
        <v>2.4096449716116446</v>
      </c>
      <c r="BL191" s="97">
        <f t="shared" si="140"/>
        <v>6.6697841750327509</v>
      </c>
      <c r="BM191" s="98">
        <f t="shared" si="141"/>
        <v>40</v>
      </c>
      <c r="BN191" s="99">
        <f t="shared" si="142"/>
        <v>0.8</v>
      </c>
      <c r="BO191" s="114">
        <v>699279</v>
      </c>
      <c r="BP191" s="101">
        <f t="shared" si="143"/>
        <v>5.8927405584704363E-2</v>
      </c>
      <c r="BQ191" s="78">
        <f t="shared" si="144"/>
        <v>40</v>
      </c>
      <c r="BR191" s="79">
        <f t="shared" si="164"/>
        <v>0.8</v>
      </c>
      <c r="BS191" s="102">
        <v>5478447.8339999998</v>
      </c>
      <c r="BT191" s="102">
        <v>27259.4</v>
      </c>
      <c r="BU191" s="103">
        <f t="shared" si="145"/>
        <v>5451188.4339999994</v>
      </c>
      <c r="BV191" s="77">
        <f t="shared" si="146"/>
        <v>0.45936513432974174</v>
      </c>
      <c r="BW191" s="96">
        <f t="shared" si="147"/>
        <v>5.2309968128308295</v>
      </c>
      <c r="BX191" s="96">
        <f t="shared" si="148"/>
        <v>22.768468875275104</v>
      </c>
      <c r="BY191" s="96">
        <f t="shared" si="149"/>
        <v>7.0695458012309631</v>
      </c>
      <c r="BZ191" s="96">
        <f t="shared" si="150"/>
        <v>75.014810952877326</v>
      </c>
      <c r="CA191" s="96">
        <f t="shared" si="151"/>
        <v>40</v>
      </c>
      <c r="CB191" s="104">
        <f t="shared" si="152"/>
        <v>0.8</v>
      </c>
      <c r="CC191" s="105">
        <f t="shared" si="165"/>
        <v>132.78723025783512</v>
      </c>
      <c r="CD191" s="106">
        <f t="shared" si="166"/>
        <v>50.331445882725461</v>
      </c>
      <c r="CE191" s="107">
        <f t="shared" si="167"/>
        <v>0.7549716882408819</v>
      </c>
      <c r="CF191" s="108" t="s">
        <v>2189</v>
      </c>
      <c r="CG191" s="108" t="s">
        <v>2189</v>
      </c>
      <c r="CH191" s="108" t="s">
        <v>2189</v>
      </c>
      <c r="CI191" s="108" t="s">
        <v>2189</v>
      </c>
      <c r="CJ191" s="109"/>
      <c r="CK191" s="116" t="s">
        <v>2216</v>
      </c>
      <c r="CL191" s="116" t="s">
        <v>2204</v>
      </c>
      <c r="CM191" s="111">
        <f t="shared" si="153"/>
        <v>70</v>
      </c>
      <c r="CN191" s="107">
        <f t="shared" si="168"/>
        <v>1.05</v>
      </c>
      <c r="CO191" s="114">
        <f>13983000+4201000+4927000</f>
        <v>23111000</v>
      </c>
      <c r="CP191" s="88">
        <f t="shared" si="154"/>
        <v>7.7661757088937193</v>
      </c>
      <c r="CQ191" s="78">
        <f t="shared" si="155"/>
        <v>80</v>
      </c>
      <c r="CR191" s="79">
        <f t="shared" si="169"/>
        <v>2.4</v>
      </c>
      <c r="CS191" s="92">
        <f>_xlfn.XLOOKUP(C191, '[1]1-1. 관계사체무보증금액 (환율 등)'!$3:$3, '[1]1-1. 관계사체무보증금액 (환율 등)'!$33:$33)</f>
        <v>0</v>
      </c>
      <c r="CT191" s="77">
        <f t="shared" si="156"/>
        <v>0</v>
      </c>
      <c r="CU191" s="78">
        <f t="shared" si="157"/>
        <v>100</v>
      </c>
      <c r="CV191" s="79">
        <f t="shared" si="170"/>
        <v>2</v>
      </c>
      <c r="CW191" s="112">
        <f t="shared" si="158"/>
        <v>18.177412657274012</v>
      </c>
    </row>
    <row r="192" spans="1:101" x14ac:dyDescent="0.35">
      <c r="A192" s="7" t="s">
        <v>1363</v>
      </c>
      <c r="B192" s="8" t="s">
        <v>1364</v>
      </c>
      <c r="C192" s="21" t="s">
        <v>1365</v>
      </c>
      <c r="D192" s="10" t="s">
        <v>21</v>
      </c>
      <c r="E192" s="11" t="s">
        <v>1366</v>
      </c>
      <c r="F192" s="11" t="s">
        <v>1367</v>
      </c>
      <c r="G192" s="12">
        <v>42202</v>
      </c>
      <c r="H192" s="11" t="s">
        <v>24</v>
      </c>
      <c r="I192" s="11" t="s">
        <v>1368</v>
      </c>
      <c r="J192" s="11" t="s">
        <v>1369</v>
      </c>
      <c r="K192" s="11" t="s">
        <v>27</v>
      </c>
      <c r="L192" s="23">
        <v>1090534674</v>
      </c>
      <c r="M192" s="14">
        <v>385964079</v>
      </c>
      <c r="N192" s="14">
        <v>704570595</v>
      </c>
      <c r="O192" s="14">
        <v>487630665</v>
      </c>
      <c r="P192" s="14">
        <v>26670913</v>
      </c>
      <c r="Q192" s="14">
        <v>152059469</v>
      </c>
      <c r="R192" s="14">
        <v>126398998</v>
      </c>
      <c r="S192" s="15">
        <v>20000000</v>
      </c>
      <c r="T192" s="15">
        <v>0</v>
      </c>
      <c r="U192" s="15">
        <v>3539000</v>
      </c>
      <c r="V192" s="15">
        <v>400000</v>
      </c>
      <c r="W192" s="15">
        <f>4500+400+3517+1000</f>
        <v>9417</v>
      </c>
      <c r="X192" s="15">
        <v>1800000</v>
      </c>
      <c r="Y192" s="24" t="s">
        <v>2100</v>
      </c>
      <c r="Z192" s="15">
        <v>0</v>
      </c>
      <c r="AA192" s="15">
        <v>0</v>
      </c>
      <c r="AB192" s="74">
        <f t="shared" si="118"/>
        <v>5748417</v>
      </c>
      <c r="AC192" s="75">
        <f t="shared" si="119"/>
        <v>28.742084999999999</v>
      </c>
      <c r="AD192" s="75">
        <f t="shared" si="120"/>
        <v>75.28013377445339</v>
      </c>
      <c r="AE192" s="76">
        <f t="shared" si="159"/>
        <v>2.2584040132336014</v>
      </c>
      <c r="AF192" s="77">
        <f t="shared" si="121"/>
        <v>19.695</v>
      </c>
      <c r="AG192" s="77">
        <f t="shared" si="122"/>
        <v>28.742084999999999</v>
      </c>
      <c r="AH192" s="77">
        <f t="shared" si="123"/>
        <v>9.0470849999999992</v>
      </c>
      <c r="AI192" s="78">
        <f t="shared" si="124"/>
        <v>100</v>
      </c>
      <c r="AJ192" s="79">
        <f t="shared" si="160"/>
        <v>4</v>
      </c>
      <c r="AK192" s="113">
        <v>7</v>
      </c>
      <c r="AL192" s="113">
        <v>20</v>
      </c>
      <c r="AM192" s="113">
        <v>1</v>
      </c>
      <c r="AN192" s="81">
        <f t="shared" si="125"/>
        <v>27</v>
      </c>
      <c r="AO192" s="82">
        <f t="shared" si="126"/>
        <v>3.7037037037037033</v>
      </c>
      <c r="AP192" s="83">
        <f t="shared" si="127"/>
        <v>100</v>
      </c>
      <c r="AQ192" s="84">
        <f t="shared" si="161"/>
        <v>2</v>
      </c>
      <c r="AR192" s="118">
        <v>3</v>
      </c>
      <c r="AS192" s="86">
        <f t="shared" si="128"/>
        <v>0.25</v>
      </c>
      <c r="AT192" s="87">
        <f t="shared" si="129"/>
        <v>1.75</v>
      </c>
      <c r="AU192" s="87">
        <f t="shared" si="130"/>
        <v>1</v>
      </c>
      <c r="AV192" s="88">
        <f t="shared" si="131"/>
        <v>28.571428571428569</v>
      </c>
      <c r="AW192" s="78">
        <f t="shared" si="132"/>
        <v>80</v>
      </c>
      <c r="AX192" s="89">
        <f t="shared" si="162"/>
        <v>0.8</v>
      </c>
      <c r="AY192" s="114">
        <v>8</v>
      </c>
      <c r="AZ192" s="114">
        <f>24-3</f>
        <v>21</v>
      </c>
      <c r="BA192" s="91">
        <f t="shared" si="133"/>
        <v>24</v>
      </c>
      <c r="BB192" s="77">
        <f t="shared" si="134"/>
        <v>87.5</v>
      </c>
      <c r="BC192" s="78">
        <f t="shared" si="135"/>
        <v>75</v>
      </c>
      <c r="BD192" s="79">
        <f t="shared" si="163"/>
        <v>0.75</v>
      </c>
      <c r="BE192" s="92">
        <v>80508463</v>
      </c>
      <c r="BF192" s="92">
        <v>7299337</v>
      </c>
      <c r="BG192" s="114">
        <v>1490181</v>
      </c>
      <c r="BH192" s="94">
        <f t="shared" si="136"/>
        <v>87807800</v>
      </c>
      <c r="BI192" s="77">
        <f t="shared" si="137"/>
        <v>1.6970941078127455</v>
      </c>
      <c r="BJ192" s="95" t="str">
        <f t="shared" si="138"/>
        <v>비제조/서비스업</v>
      </c>
      <c r="BK192" s="96">
        <f t="shared" si="139"/>
        <v>1.7464434573900922</v>
      </c>
      <c r="BL192" s="97">
        <f t="shared" si="140"/>
        <v>-4.9349349577346713E-2</v>
      </c>
      <c r="BM192" s="98">
        <f t="shared" si="141"/>
        <v>80</v>
      </c>
      <c r="BN192" s="99">
        <f t="shared" si="142"/>
        <v>1.6</v>
      </c>
      <c r="BO192" s="114">
        <v>0</v>
      </c>
      <c r="BP192" s="101">
        <f t="shared" si="143"/>
        <v>0</v>
      </c>
      <c r="BQ192" s="78">
        <f t="shared" si="144"/>
        <v>25</v>
      </c>
      <c r="BR192" s="79">
        <f t="shared" si="164"/>
        <v>0.5</v>
      </c>
      <c r="BS192" s="102">
        <v>1827883.1370000001</v>
      </c>
      <c r="BT192" s="102">
        <v>42935.000999999997</v>
      </c>
      <c r="BU192" s="103">
        <f t="shared" si="145"/>
        <v>1784948.1360000002</v>
      </c>
      <c r="BV192" s="77">
        <f t="shared" si="146"/>
        <v>0.36604509603595176</v>
      </c>
      <c r="BW192" s="96">
        <f t="shared" si="147"/>
        <v>2.8482825397737606</v>
      </c>
      <c r="BX192" s="96">
        <f t="shared" si="148"/>
        <v>6.1615027270940113</v>
      </c>
      <c r="BY192" s="96">
        <f t="shared" si="149"/>
        <v>5.5697595856656807</v>
      </c>
      <c r="BZ192" s="96">
        <f t="shared" si="150"/>
        <v>67.207976118179275</v>
      </c>
      <c r="CA192" s="96">
        <f t="shared" si="151"/>
        <v>40</v>
      </c>
      <c r="CB192" s="104">
        <f t="shared" si="152"/>
        <v>0.8</v>
      </c>
      <c r="CC192" s="105">
        <f t="shared" si="165"/>
        <v>54.780043581012627</v>
      </c>
      <c r="CD192" s="106">
        <f t="shared" si="166"/>
        <v>79.731139353889716</v>
      </c>
      <c r="CE192" s="107">
        <f t="shared" si="167"/>
        <v>1.1959670903083457</v>
      </c>
      <c r="CF192" s="108" t="s">
        <v>2189</v>
      </c>
      <c r="CG192" s="108" t="s">
        <v>2189</v>
      </c>
      <c r="CH192" s="108" t="s">
        <v>2189</v>
      </c>
      <c r="CI192" s="108" t="s">
        <v>2189</v>
      </c>
      <c r="CJ192" s="109"/>
      <c r="CK192" s="116" t="s">
        <v>2203</v>
      </c>
      <c r="CL192" s="116" t="s">
        <v>2204</v>
      </c>
      <c r="CM192" s="111">
        <f t="shared" si="153"/>
        <v>70</v>
      </c>
      <c r="CN192" s="107">
        <f t="shared" si="168"/>
        <v>1.05</v>
      </c>
      <c r="CO192" s="114">
        <v>290815000</v>
      </c>
      <c r="CP192" s="88">
        <f t="shared" si="154"/>
        <v>41.275494899130727</v>
      </c>
      <c r="CQ192" s="78">
        <f t="shared" si="155"/>
        <v>40</v>
      </c>
      <c r="CR192" s="79">
        <f t="shared" si="169"/>
        <v>1.2</v>
      </c>
      <c r="CS192" s="92">
        <f>_xlfn.XLOOKUP(C192, '[1]1-1. 관계사체무보증금액 (환율 등)'!$3:$3, '[1]1-1. 관계사체무보증금액 (환율 등)'!$33:$33)</f>
        <v>0</v>
      </c>
      <c r="CT192" s="77">
        <f t="shared" si="156"/>
        <v>0</v>
      </c>
      <c r="CU192" s="78">
        <f t="shared" si="157"/>
        <v>100</v>
      </c>
      <c r="CV192" s="79">
        <f t="shared" si="170"/>
        <v>2</v>
      </c>
      <c r="CW192" s="112">
        <f t="shared" si="158"/>
        <v>18.154371103541948</v>
      </c>
    </row>
    <row r="193" spans="1:101" x14ac:dyDescent="0.35">
      <c r="A193" s="7" t="s">
        <v>1470</v>
      </c>
      <c r="B193" s="8" t="s">
        <v>1471</v>
      </c>
      <c r="C193" s="21" t="s">
        <v>1472</v>
      </c>
      <c r="D193" s="22" t="s">
        <v>31</v>
      </c>
      <c r="E193" s="11" t="s">
        <v>383</v>
      </c>
      <c r="F193" s="11" t="s">
        <v>1473</v>
      </c>
      <c r="G193" s="12">
        <v>28122</v>
      </c>
      <c r="H193" s="11" t="s">
        <v>24</v>
      </c>
      <c r="I193" s="11" t="s">
        <v>1474</v>
      </c>
      <c r="J193" s="11" t="s">
        <v>1475</v>
      </c>
      <c r="K193" s="11" t="s">
        <v>27</v>
      </c>
      <c r="L193" s="23">
        <v>130041760</v>
      </c>
      <c r="M193" s="14">
        <v>68561446</v>
      </c>
      <c r="N193" s="14">
        <v>61480314</v>
      </c>
      <c r="O193" s="14">
        <v>148554918</v>
      </c>
      <c r="P193" s="14">
        <v>11907297</v>
      </c>
      <c r="Q193" s="14">
        <v>8526105</v>
      </c>
      <c r="R193" s="14">
        <v>8638058</v>
      </c>
      <c r="S193" s="15">
        <v>5192239</v>
      </c>
      <c r="T193" s="15">
        <v>411</v>
      </c>
      <c r="U193" s="15">
        <v>2832703</v>
      </c>
      <c r="V193" s="15">
        <v>0</v>
      </c>
      <c r="W193" s="15">
        <v>0</v>
      </c>
      <c r="X193" s="15">
        <v>0</v>
      </c>
      <c r="Z193" s="15">
        <v>124322</v>
      </c>
      <c r="AA193" s="15">
        <v>0</v>
      </c>
      <c r="AB193" s="74">
        <f t="shared" si="118"/>
        <v>2957025</v>
      </c>
      <c r="AC193" s="75">
        <f t="shared" si="119"/>
        <v>56.950864549956194</v>
      </c>
      <c r="AD193" s="75">
        <f t="shared" si="120"/>
        <v>50.934236579439421</v>
      </c>
      <c r="AE193" s="76">
        <f t="shared" si="159"/>
        <v>1.5280270973831827</v>
      </c>
      <c r="AF193" s="77">
        <f t="shared" si="121"/>
        <v>54.56080209128654</v>
      </c>
      <c r="AG193" s="77">
        <f t="shared" si="122"/>
        <v>56.955372943787822</v>
      </c>
      <c r="AH193" s="77">
        <f t="shared" si="123"/>
        <v>2.3945708525012819</v>
      </c>
      <c r="AI193" s="78">
        <f t="shared" si="124"/>
        <v>100</v>
      </c>
      <c r="AJ193" s="79">
        <f t="shared" si="160"/>
        <v>4</v>
      </c>
      <c r="AK193" s="113">
        <v>4</v>
      </c>
      <c r="AL193" s="113">
        <v>5</v>
      </c>
      <c r="AM193" s="113">
        <v>1</v>
      </c>
      <c r="AN193" s="81">
        <f t="shared" si="125"/>
        <v>9</v>
      </c>
      <c r="AO193" s="82">
        <f t="shared" si="126"/>
        <v>11.111111111111111</v>
      </c>
      <c r="AP193" s="83">
        <f t="shared" si="127"/>
        <v>80</v>
      </c>
      <c r="AQ193" s="84">
        <f t="shared" si="161"/>
        <v>1.6</v>
      </c>
      <c r="AR193" s="118">
        <v>1</v>
      </c>
      <c r="AS193" s="86">
        <f t="shared" si="128"/>
        <v>0.25</v>
      </c>
      <c r="AT193" s="87">
        <f t="shared" si="129"/>
        <v>1</v>
      </c>
      <c r="AU193" s="87">
        <f t="shared" si="130"/>
        <v>1</v>
      </c>
      <c r="AV193" s="88">
        <f t="shared" si="131"/>
        <v>0</v>
      </c>
      <c r="AW193" s="78">
        <f t="shared" si="132"/>
        <v>40</v>
      </c>
      <c r="AX193" s="89">
        <f t="shared" si="162"/>
        <v>0.4</v>
      </c>
      <c r="AY193" s="114">
        <v>9</v>
      </c>
      <c r="AZ193" s="114">
        <v>8</v>
      </c>
      <c r="BA193" s="91">
        <f t="shared" si="133"/>
        <v>9</v>
      </c>
      <c r="BB193" s="77">
        <f t="shared" si="134"/>
        <v>88.888888888888886</v>
      </c>
      <c r="BC193" s="78">
        <f t="shared" si="135"/>
        <v>75</v>
      </c>
      <c r="BD193" s="79">
        <f t="shared" si="163"/>
        <v>0.75</v>
      </c>
      <c r="BE193" s="92">
        <v>2532280</v>
      </c>
      <c r="BF193" s="92">
        <v>300797</v>
      </c>
      <c r="BG193" s="93">
        <v>0</v>
      </c>
      <c r="BH193" s="94">
        <f t="shared" si="136"/>
        <v>2833077</v>
      </c>
      <c r="BI193" s="77">
        <f t="shared" si="137"/>
        <v>0</v>
      </c>
      <c r="BJ193" s="95" t="str">
        <f t="shared" si="138"/>
        <v>식약/섬유/종이업</v>
      </c>
      <c r="BK193" s="96">
        <f t="shared" si="139"/>
        <v>2.1999360555264453</v>
      </c>
      <c r="BL193" s="97">
        <f t="shared" si="140"/>
        <v>-2.1999360555264453</v>
      </c>
      <c r="BM193" s="98">
        <f t="shared" si="141"/>
        <v>100</v>
      </c>
      <c r="BN193" s="99">
        <f t="shared" si="142"/>
        <v>2</v>
      </c>
      <c r="BO193" s="114">
        <f>143907-32236</f>
        <v>111671</v>
      </c>
      <c r="BP193" s="101">
        <f t="shared" si="143"/>
        <v>7.5171526801960195E-2</v>
      </c>
      <c r="BQ193" s="78">
        <f t="shared" si="144"/>
        <v>40</v>
      </c>
      <c r="BR193" s="79">
        <f t="shared" si="164"/>
        <v>0.8</v>
      </c>
      <c r="BS193" s="102">
        <v>3051419</v>
      </c>
      <c r="BT193" s="102">
        <v>49509</v>
      </c>
      <c r="BU193" s="103">
        <f t="shared" si="145"/>
        <v>3001910</v>
      </c>
      <c r="BV193" s="77">
        <f t="shared" si="146"/>
        <v>2.0207409087594126</v>
      </c>
      <c r="BW193" s="96">
        <f t="shared" si="147"/>
        <v>5.0508176117342298</v>
      </c>
      <c r="BX193" s="96">
        <f t="shared" si="148"/>
        <v>9.1813648259107392</v>
      </c>
      <c r="BY193" s="96">
        <f t="shared" si="149"/>
        <v>6.9871618081220923</v>
      </c>
      <c r="BZ193" s="96">
        <f t="shared" si="150"/>
        <v>66.773357446994751</v>
      </c>
      <c r="CA193" s="96">
        <f t="shared" si="151"/>
        <v>40</v>
      </c>
      <c r="CB193" s="104">
        <f t="shared" si="152"/>
        <v>0.8</v>
      </c>
      <c r="CC193" s="105">
        <f t="shared" si="165"/>
        <v>111.5177225672595</v>
      </c>
      <c r="CD193" s="106">
        <f t="shared" si="166"/>
        <v>58.347591997264004</v>
      </c>
      <c r="CE193" s="107">
        <f t="shared" si="167"/>
        <v>0.87521387995896005</v>
      </c>
      <c r="CF193" s="108" t="s">
        <v>2189</v>
      </c>
      <c r="CG193" s="108" t="s">
        <v>2189</v>
      </c>
      <c r="CH193" s="108" t="s">
        <v>2189</v>
      </c>
      <c r="CI193" s="108" t="s">
        <v>2189</v>
      </c>
      <c r="CJ193" s="109"/>
      <c r="CK193" s="116" t="s">
        <v>2192</v>
      </c>
      <c r="CL193" s="116" t="s">
        <v>2193</v>
      </c>
      <c r="CM193" s="111">
        <f t="shared" si="153"/>
        <v>25</v>
      </c>
      <c r="CN193" s="107">
        <f t="shared" si="168"/>
        <v>0.375</v>
      </c>
      <c r="CO193" s="114">
        <v>0</v>
      </c>
      <c r="CP193" s="88">
        <f t="shared" si="154"/>
        <v>0</v>
      </c>
      <c r="CQ193" s="78">
        <f t="shared" si="155"/>
        <v>100</v>
      </c>
      <c r="CR193" s="79">
        <f t="shared" si="169"/>
        <v>3</v>
      </c>
      <c r="CS193" s="92">
        <f>_xlfn.XLOOKUP(C193, '[1]1-1. 관계사체무보증금액 (환율 등)'!$3:$3, '[1]1-1. 관계사체무보증금액 (환율 등)'!$33:$33)</f>
        <v>0</v>
      </c>
      <c r="CT193" s="77">
        <f t="shared" si="156"/>
        <v>0</v>
      </c>
      <c r="CU193" s="78">
        <f t="shared" si="157"/>
        <v>100</v>
      </c>
      <c r="CV193" s="79">
        <f t="shared" si="170"/>
        <v>2</v>
      </c>
      <c r="CW193" s="112">
        <f t="shared" si="158"/>
        <v>18.128240977342145</v>
      </c>
    </row>
    <row r="194" spans="1:101" x14ac:dyDescent="0.35">
      <c r="A194" s="7" t="s">
        <v>1786</v>
      </c>
      <c r="B194" s="8" t="s">
        <v>1787</v>
      </c>
      <c r="C194" s="21" t="s">
        <v>1788</v>
      </c>
      <c r="D194" s="22" t="s">
        <v>75</v>
      </c>
      <c r="E194" s="11" t="s">
        <v>114</v>
      </c>
      <c r="F194" s="11" t="s">
        <v>1789</v>
      </c>
      <c r="G194" s="12">
        <v>32825</v>
      </c>
      <c r="H194" s="11" t="s">
        <v>24</v>
      </c>
      <c r="I194" s="11" t="s">
        <v>1790</v>
      </c>
      <c r="J194" s="191" t="s">
        <v>1791</v>
      </c>
      <c r="K194" s="11" t="s">
        <v>102</v>
      </c>
      <c r="L194" s="23">
        <v>549828404</v>
      </c>
      <c r="M194" s="14">
        <v>348575829</v>
      </c>
      <c r="N194" s="14">
        <v>201252575</v>
      </c>
      <c r="O194" s="14">
        <v>795939631</v>
      </c>
      <c r="P194" s="14">
        <v>30699585</v>
      </c>
      <c r="Q194" s="14">
        <v>32334911</v>
      </c>
      <c r="R194" s="14">
        <v>40221401</v>
      </c>
      <c r="S194" s="15">
        <v>60589598</v>
      </c>
      <c r="T194" s="15">
        <v>0</v>
      </c>
      <c r="U194" s="15">
        <f>22276235</f>
        <v>22276235</v>
      </c>
      <c r="V194" s="15">
        <f>397870+206703+384908+468770+148148+41341</f>
        <v>1647740</v>
      </c>
      <c r="W194" s="15">
        <f>14815+74666+44445+37038*2</f>
        <v>208002</v>
      </c>
      <c r="X194" s="15">
        <v>0</v>
      </c>
      <c r="Z194" s="15">
        <v>4909164</v>
      </c>
      <c r="AA194" s="15">
        <v>0</v>
      </c>
      <c r="AB194" s="74">
        <f t="shared" ref="AB194:AB257" si="171">SUM(U194,V194,Z194,W194,X194)</f>
        <v>29041141</v>
      </c>
      <c r="AC194" s="75">
        <f t="shared" ref="AC194:AC257" si="172">(AB194/S194)*100</f>
        <v>47.930902264774886</v>
      </c>
      <c r="AD194" s="75">
        <f t="shared" ref="AD194:AD257" si="173">100-(75*(AC194-0.1))/(87-0.1)</f>
        <v>58.719014155832951</v>
      </c>
      <c r="AE194" s="76">
        <f t="shared" si="159"/>
        <v>1.7615704246749886</v>
      </c>
      <c r="AF194" s="77">
        <f t="shared" ref="AF194:AF257" si="174">(U194+V194)/(S194-T194-AA194)*100</f>
        <v>39.485284256218364</v>
      </c>
      <c r="AG194" s="77">
        <f t="shared" ref="AG194:AG257" si="175">(U194+V194+Z194+W194+X194-AA194)/(S194-T194-AA194)*100</f>
        <v>47.930902264774886</v>
      </c>
      <c r="AH194" s="77">
        <f t="shared" ref="AH194:AH257" si="176">AG194-AF194</f>
        <v>8.4456180085565222</v>
      </c>
      <c r="AI194" s="78">
        <f t="shared" ref="AI194:AI257" si="177">IF(AH194&lt;10, 100, IF(AH194&lt;30, 80, IF(AH194&lt;50, 60, IF(AH194&lt;80, 40, IF(AH194&lt;=100, 20)))))</f>
        <v>100</v>
      </c>
      <c r="AJ194" s="79">
        <f t="shared" si="160"/>
        <v>4</v>
      </c>
      <c r="AK194" s="113">
        <v>8</v>
      </c>
      <c r="AL194" s="113">
        <v>5</v>
      </c>
      <c r="AM194" s="113">
        <v>1</v>
      </c>
      <c r="AN194" s="81">
        <f t="shared" ref="AN194:AN257" si="178">SUM(AK194:AL194)</f>
        <v>13</v>
      </c>
      <c r="AO194" s="82">
        <f t="shared" ref="AO194:AO257" si="179">(AM194/AN194)*100</f>
        <v>7.6923076923076925</v>
      </c>
      <c r="AP194" s="83">
        <f t="shared" ref="AP194:AP257" si="180">IF(AO194&lt;10, 100, IF(AO194&lt;20, 80, IF(AO194&lt;30, 60, IF(AO194&lt;50, 40, IF(AO194&gt;=50, 20)))))</f>
        <v>100</v>
      </c>
      <c r="AQ194" s="84">
        <f t="shared" si="161"/>
        <v>2</v>
      </c>
      <c r="AR194" s="118">
        <v>3</v>
      </c>
      <c r="AS194" s="86">
        <f t="shared" ref="AS194:AS257" si="181">IF(L194&gt;=2000000000, 0.5, IF(L194&lt;2000000000, 0.25))</f>
        <v>0.25</v>
      </c>
      <c r="AT194" s="87">
        <f t="shared" ref="AT194:AT257" si="182">AK194*AS194</f>
        <v>2</v>
      </c>
      <c r="AU194" s="87">
        <f t="shared" ref="AU194:AU257" si="183">ROUNDDOWN(AT194,0)</f>
        <v>2</v>
      </c>
      <c r="AV194" s="88">
        <f t="shared" ref="AV194:AV257" si="184">(AR194-AU194)/AK194*100</f>
        <v>12.5</v>
      </c>
      <c r="AW194" s="78">
        <f t="shared" ref="AW194:AW257" si="185">IF(AV194&lt;0, 20, IF(AV194=0, 40, IF(AV194&lt;20, 60, IF(AV194&lt;40, 80, IF(AV194&gt;=40, 100)))))</f>
        <v>60</v>
      </c>
      <c r="AX194" s="89">
        <f t="shared" si="162"/>
        <v>0.6</v>
      </c>
      <c r="AY194" s="114">
        <v>18</v>
      </c>
      <c r="AZ194" s="114">
        <f>18*3-18</f>
        <v>36</v>
      </c>
      <c r="BA194" s="91">
        <f t="shared" ref="BA194:BA257" si="186">AR194*AY194</f>
        <v>54</v>
      </c>
      <c r="BB194" s="77">
        <f t="shared" ref="BB194:BB257" si="187">(AZ194/BA194)*100</f>
        <v>66.666666666666657</v>
      </c>
      <c r="BC194" s="78">
        <f t="shared" ref="BC194:BC257" si="188">IF(BB194&lt;70, 25, IF(BB194&lt;80, 50, IF(BB194&lt;90, 75, IF(BB194&gt;=90, 100))))</f>
        <v>25</v>
      </c>
      <c r="BD194" s="79">
        <f t="shared" si="163"/>
        <v>0.25</v>
      </c>
      <c r="BE194" s="92">
        <v>5040331</v>
      </c>
      <c r="BF194" s="92">
        <v>510773</v>
      </c>
      <c r="BG194" s="93">
        <v>0</v>
      </c>
      <c r="BH194" s="94">
        <f t="shared" ref="BH194:BH257" si="189">SUM(BE194:BF194)</f>
        <v>5551104</v>
      </c>
      <c r="BI194" s="77">
        <f t="shared" ref="BI194:BI257" si="190">(BG194/BH194)*100</f>
        <v>0</v>
      </c>
      <c r="BJ194" s="95" t="str">
        <f t="shared" ref="BJ194:BJ257" si="191">IF(D194="금융업(보험)", "금융업", IF(D194="금융업(증권)", "금융업", IF(D194="금융업(종금)", "금융업", D194)))</f>
        <v>금속/비금속/화학업</v>
      </c>
      <c r="BK194" s="96">
        <f t="shared" ref="BK194:BK257" si="192">AVERAGEIF(BJ:BJ, BJ194, BI:BI)</f>
        <v>3.9534118626990469</v>
      </c>
      <c r="BL194" s="97">
        <f t="shared" ref="BL194:BL257" si="193">BI194-BK194</f>
        <v>-3.9534118626990469</v>
      </c>
      <c r="BM194" s="98">
        <f t="shared" ref="BM194:BM257" si="194">IF(BL194&lt;-2, 100, IF(BL194&lt;0, 80, IF(BL194&lt;2, 60, IF(BL194&lt;10, 40, 20))))</f>
        <v>100</v>
      </c>
      <c r="BN194" s="99">
        <f t="shared" ref="BN194:BN257" si="195">BM194*0.02</f>
        <v>2</v>
      </c>
      <c r="BO194" s="114">
        <v>0</v>
      </c>
      <c r="BP194" s="101">
        <f t="shared" ref="BP194:BP257" si="196">(BO194/O194)*100</f>
        <v>0</v>
      </c>
      <c r="BQ194" s="78">
        <f t="shared" ref="BQ194:BQ257" si="197">IF(BP194=0, 25, IF(BP194&lt;0.1, 40, IF(BP194&lt;0.5, 55, IF(BP194&lt;2, 70, IF(BP194&lt;4, 85, IF(BP194&gt;=4, 100))))))</f>
        <v>25</v>
      </c>
      <c r="BR194" s="79">
        <f t="shared" si="164"/>
        <v>0.5</v>
      </c>
      <c r="BS194" s="102">
        <v>58167574.553999998</v>
      </c>
      <c r="BT194" s="102">
        <v>92000</v>
      </c>
      <c r="BU194" s="103">
        <f t="shared" ref="BU194:BU257" si="198">BS194-BT194</f>
        <v>58075574.553999998</v>
      </c>
      <c r="BV194" s="77">
        <f t="shared" ref="BV194:BV257" si="199">BU194/O194*100</f>
        <v>7.2964798198369891</v>
      </c>
      <c r="BW194" s="96">
        <f t="shared" ref="BW194:BW257" si="200">AVERAGEIF(BJ:BJ, BJ194, BV:BV)</f>
        <v>5.1474158565187738</v>
      </c>
      <c r="BX194" s="96">
        <f t="shared" ref="BX194:BX257" si="201">(BV194-BW194)^2</f>
        <v>4.6184759184329955</v>
      </c>
      <c r="BY194" s="96">
        <f t="shared" ref="BY194:BY257" si="202">SQRT(SUMIF(BJ:BJ, BJ194, BX:BX)/COUNTIF(BJ:BJ, BJ194))</f>
        <v>6.6930498535228535</v>
      </c>
      <c r="BZ194" s="96">
        <f t="shared" ref="BZ194:BZ257" si="203">(1-_xlfn.NORM.DIST(BV194, BW194, BY194, TRUE))*100</f>
        <v>37.407151384890405</v>
      </c>
      <c r="CA194" s="96">
        <f t="shared" ref="CA194:CA257" si="204">IF(BZ194&lt;=5, 100, IF(BZ194&lt;=15, 85, IF(BZ194&lt;=35, 70, IF(BZ194&lt;=60, 55, IF(BZ194&lt;=90, 40, 25)))))</f>
        <v>55</v>
      </c>
      <c r="CB194" s="104">
        <f t="shared" ref="CB194:CB257" si="205">CA194*0.02</f>
        <v>1.1000000000000001</v>
      </c>
      <c r="CC194" s="105">
        <f t="shared" si="165"/>
        <v>173.20316472969353</v>
      </c>
      <c r="CD194" s="106">
        <f t="shared" si="166"/>
        <v>35.099309775241139</v>
      </c>
      <c r="CE194" s="107">
        <f t="shared" si="167"/>
        <v>0.52648964662861708</v>
      </c>
      <c r="CF194" s="108" t="s">
        <v>2189</v>
      </c>
      <c r="CG194" s="108" t="s">
        <v>2189</v>
      </c>
      <c r="CH194" s="108" t="s">
        <v>2189</v>
      </c>
      <c r="CI194" s="108" t="s">
        <v>2189</v>
      </c>
      <c r="CJ194" s="109"/>
      <c r="CK194" s="116" t="s">
        <v>2192</v>
      </c>
      <c r="CL194" s="116" t="s">
        <v>2193</v>
      </c>
      <c r="CM194" s="111">
        <f t="shared" ref="CM194:CM257" si="206">IF(CL194="A", 100, IF(CL194="B", 85, IF(CL194="C", 70, IF(CL194="D", 55, IF(CL194="E", 40, 25)))))</f>
        <v>25</v>
      </c>
      <c r="CN194" s="107">
        <f t="shared" si="168"/>
        <v>0.375</v>
      </c>
      <c r="CO194" s="114">
        <v>0</v>
      </c>
      <c r="CP194" s="88">
        <f t="shared" ref="CP194:CP257" si="207">(CO194/N194)*100</f>
        <v>0</v>
      </c>
      <c r="CQ194" s="78">
        <f t="shared" ref="CQ194:CQ257" si="208">IF(CP194&lt;3, 100, IF(CP194&lt;10, 80, IF(CP194&lt;35, 60, IF(CP194&lt;100, 40, IF(CP194&gt;=100, 20)))))</f>
        <v>100</v>
      </c>
      <c r="CR194" s="79">
        <f t="shared" si="169"/>
        <v>3</v>
      </c>
      <c r="CS194" s="92">
        <f>_xlfn.XLOOKUP(C194, '[1]1-1. 관계사체무보증금액 (환율 등)'!$3:$3, '[1]1-1. 관계사체무보증금액 (환율 등)'!$33:$33)</f>
        <v>0</v>
      </c>
      <c r="CT194" s="77">
        <f t="shared" ref="CT194:CT257" si="209">(CS194/N194)*100</f>
        <v>0</v>
      </c>
      <c r="CU194" s="78">
        <f t="shared" ref="CU194:CU257" si="210">IF(CT194&lt;3, 100, IF(CT194&lt;10, 80, IF(CT194&lt;35, 60, IF(CT194&lt;100, 40, 20))))</f>
        <v>100</v>
      </c>
      <c r="CV194" s="79">
        <f t="shared" si="170"/>
        <v>2</v>
      </c>
      <c r="CW194" s="112">
        <f t="shared" ref="CW194:CW257" si="211">AE194+AJ194+AQ194+AX194+BD194+BN194+BR194+CB194+CE194+CJ194+CN194+CR194+CV194</f>
        <v>18.113060071303607</v>
      </c>
    </row>
    <row r="195" spans="1:101" x14ac:dyDescent="0.35">
      <c r="A195" s="7" t="s">
        <v>454</v>
      </c>
      <c r="B195" s="8" t="s">
        <v>455</v>
      </c>
      <c r="C195" s="21" t="s">
        <v>456</v>
      </c>
      <c r="D195" s="10" t="s">
        <v>75</v>
      </c>
      <c r="E195" s="11" t="s">
        <v>149</v>
      </c>
      <c r="F195" s="11" t="s">
        <v>457</v>
      </c>
      <c r="G195" s="12">
        <v>38645</v>
      </c>
      <c r="H195" s="11" t="s">
        <v>24</v>
      </c>
      <c r="I195" s="11" t="s">
        <v>458</v>
      </c>
      <c r="J195" s="11" t="s">
        <v>459</v>
      </c>
      <c r="K195" s="11" t="s">
        <v>153</v>
      </c>
      <c r="L195" s="23">
        <v>196645335</v>
      </c>
      <c r="M195" s="14">
        <v>74168153</v>
      </c>
      <c r="N195" s="14">
        <v>122477182</v>
      </c>
      <c r="O195" s="14">
        <v>324927356</v>
      </c>
      <c r="P195" s="14">
        <v>17219652</v>
      </c>
      <c r="Q195" s="14">
        <v>5989331</v>
      </c>
      <c r="R195" s="14">
        <v>2870341</v>
      </c>
      <c r="S195" s="15">
        <v>24000000</v>
      </c>
      <c r="T195" s="15">
        <v>673676</v>
      </c>
      <c r="U195" s="15">
        <f>6113391+4732029</f>
        <v>10845420</v>
      </c>
      <c r="V195" s="15">
        <v>0</v>
      </c>
      <c r="W195" s="15">
        <v>0</v>
      </c>
      <c r="X195" s="15">
        <v>722436</v>
      </c>
      <c r="Y195" s="24" t="s">
        <v>2066</v>
      </c>
      <c r="Z195" s="15">
        <v>2785202</v>
      </c>
      <c r="AA195" s="15">
        <v>0</v>
      </c>
      <c r="AB195" s="74">
        <f t="shared" si="171"/>
        <v>14353058</v>
      </c>
      <c r="AC195" s="75">
        <f t="shared" si="172"/>
        <v>59.804408333333335</v>
      </c>
      <c r="AD195" s="75">
        <f t="shared" si="173"/>
        <v>48.471454257767554</v>
      </c>
      <c r="AE195" s="76">
        <f t="shared" si="159"/>
        <v>1.4541436277330266</v>
      </c>
      <c r="AF195" s="77">
        <f t="shared" si="174"/>
        <v>46.494338327805103</v>
      </c>
      <c r="AG195" s="77">
        <f t="shared" si="175"/>
        <v>61.531589803862794</v>
      </c>
      <c r="AH195" s="77">
        <f t="shared" si="176"/>
        <v>15.037251476057691</v>
      </c>
      <c r="AI195" s="78">
        <f t="shared" si="177"/>
        <v>80</v>
      </c>
      <c r="AJ195" s="79">
        <f t="shared" si="160"/>
        <v>3.2</v>
      </c>
      <c r="AK195" s="113">
        <v>5</v>
      </c>
      <c r="AL195" s="113">
        <v>4</v>
      </c>
      <c r="AM195" s="113">
        <v>1</v>
      </c>
      <c r="AN195" s="81">
        <f t="shared" si="178"/>
        <v>9</v>
      </c>
      <c r="AO195" s="82">
        <f t="shared" si="179"/>
        <v>11.111111111111111</v>
      </c>
      <c r="AP195" s="83">
        <f t="shared" si="180"/>
        <v>80</v>
      </c>
      <c r="AQ195" s="84">
        <f t="shared" si="161"/>
        <v>1.6</v>
      </c>
      <c r="AR195" s="118">
        <v>1</v>
      </c>
      <c r="AS195" s="86">
        <f t="shared" si="181"/>
        <v>0.25</v>
      </c>
      <c r="AT195" s="87">
        <f t="shared" si="182"/>
        <v>1.25</v>
      </c>
      <c r="AU195" s="87">
        <f t="shared" si="183"/>
        <v>1</v>
      </c>
      <c r="AV195" s="88">
        <f t="shared" si="184"/>
        <v>0</v>
      </c>
      <c r="AW195" s="78">
        <f t="shared" si="185"/>
        <v>40</v>
      </c>
      <c r="AX195" s="89">
        <f t="shared" si="162"/>
        <v>0.4</v>
      </c>
      <c r="AY195" s="114">
        <v>15</v>
      </c>
      <c r="AZ195" s="114">
        <v>15</v>
      </c>
      <c r="BA195" s="91">
        <f t="shared" si="186"/>
        <v>15</v>
      </c>
      <c r="BB195" s="77">
        <f t="shared" si="187"/>
        <v>100</v>
      </c>
      <c r="BC195" s="78">
        <f t="shared" si="188"/>
        <v>100</v>
      </c>
      <c r="BD195" s="79">
        <f t="shared" si="163"/>
        <v>1</v>
      </c>
      <c r="BE195" s="92">
        <v>3158313.9709999999</v>
      </c>
      <c r="BF195" s="92">
        <v>330370.95799999998</v>
      </c>
      <c r="BG195" s="93">
        <v>0</v>
      </c>
      <c r="BH195" s="94">
        <f t="shared" si="189"/>
        <v>3488684.929</v>
      </c>
      <c r="BI195" s="77">
        <f t="shared" si="190"/>
        <v>0</v>
      </c>
      <c r="BJ195" s="95" t="str">
        <f t="shared" si="191"/>
        <v>금속/비금속/화학업</v>
      </c>
      <c r="BK195" s="96">
        <f t="shared" si="192"/>
        <v>3.9534118626990469</v>
      </c>
      <c r="BL195" s="97">
        <f t="shared" si="193"/>
        <v>-3.9534118626990469</v>
      </c>
      <c r="BM195" s="98">
        <f t="shared" si="194"/>
        <v>100</v>
      </c>
      <c r="BN195" s="99">
        <f t="shared" si="195"/>
        <v>2</v>
      </c>
      <c r="BO195" s="114">
        <v>2241000</v>
      </c>
      <c r="BP195" s="101">
        <f t="shared" si="196"/>
        <v>0.68969262163324907</v>
      </c>
      <c r="BQ195" s="78">
        <f t="shared" si="197"/>
        <v>70</v>
      </c>
      <c r="BR195" s="79">
        <f t="shared" si="164"/>
        <v>1.4000000000000001</v>
      </c>
      <c r="BS195" s="102">
        <v>14411287.911</v>
      </c>
      <c r="BT195" s="102">
        <v>28515.591</v>
      </c>
      <c r="BU195" s="103">
        <f t="shared" si="198"/>
        <v>14382772.32</v>
      </c>
      <c r="BV195" s="77">
        <f t="shared" si="199"/>
        <v>4.4264578080030912</v>
      </c>
      <c r="BW195" s="96">
        <f t="shared" si="200"/>
        <v>5.1474158565187738</v>
      </c>
      <c r="BX195" s="96">
        <f t="shared" si="201"/>
        <v>0.51978050771954132</v>
      </c>
      <c r="BY195" s="96">
        <f t="shared" si="202"/>
        <v>6.6930498535228535</v>
      </c>
      <c r="BZ195" s="96">
        <f t="shared" si="203"/>
        <v>54.289007381428434</v>
      </c>
      <c r="CA195" s="96">
        <f t="shared" si="204"/>
        <v>55</v>
      </c>
      <c r="CB195" s="104">
        <f t="shared" si="205"/>
        <v>1.1000000000000001</v>
      </c>
      <c r="CC195" s="105">
        <f t="shared" si="165"/>
        <v>60.55671088186859</v>
      </c>
      <c r="CD195" s="106">
        <f t="shared" si="166"/>
        <v>77.554003436481679</v>
      </c>
      <c r="CE195" s="107">
        <f t="shared" si="167"/>
        <v>1.1633100515472252</v>
      </c>
      <c r="CF195" s="108" t="s">
        <v>2189</v>
      </c>
      <c r="CG195" s="108" t="s">
        <v>2189</v>
      </c>
      <c r="CH195" s="108" t="s">
        <v>2189</v>
      </c>
      <c r="CI195" s="108" t="s">
        <v>2189</v>
      </c>
      <c r="CJ195" s="109"/>
      <c r="CK195" s="116" t="s">
        <v>2192</v>
      </c>
      <c r="CL195" s="116" t="s">
        <v>2193</v>
      </c>
      <c r="CM195" s="111">
        <f t="shared" si="206"/>
        <v>25</v>
      </c>
      <c r="CN195" s="107">
        <f t="shared" si="168"/>
        <v>0.375</v>
      </c>
      <c r="CO195" s="114">
        <v>8651000</v>
      </c>
      <c r="CP195" s="88">
        <f t="shared" si="207"/>
        <v>7.0633565034179187</v>
      </c>
      <c r="CQ195" s="78">
        <f t="shared" si="208"/>
        <v>80</v>
      </c>
      <c r="CR195" s="79">
        <f t="shared" si="169"/>
        <v>2.4</v>
      </c>
      <c r="CS195" s="92">
        <f>_xlfn.XLOOKUP(C195, '[1]1-1. 관계사체무보증금액 (환율 등)'!$3:$3, '[1]1-1. 관계사체무보증금액 (환율 등)'!$33:$33)</f>
        <v>0</v>
      </c>
      <c r="CT195" s="77">
        <f t="shared" si="209"/>
        <v>0</v>
      </c>
      <c r="CU195" s="78">
        <f t="shared" si="210"/>
        <v>100</v>
      </c>
      <c r="CV195" s="79">
        <f t="shared" si="170"/>
        <v>2</v>
      </c>
      <c r="CW195" s="112">
        <f t="shared" si="211"/>
        <v>18.092453679280251</v>
      </c>
    </row>
    <row r="196" spans="1:101" x14ac:dyDescent="0.35">
      <c r="A196" s="7" t="s">
        <v>1412</v>
      </c>
      <c r="B196" s="8" t="s">
        <v>1413</v>
      </c>
      <c r="C196" s="21" t="s">
        <v>1414</v>
      </c>
      <c r="D196" s="22" t="s">
        <v>75</v>
      </c>
      <c r="E196" s="11" t="s">
        <v>1415</v>
      </c>
      <c r="F196" s="11" t="s">
        <v>1416</v>
      </c>
      <c r="G196" s="12">
        <v>31475</v>
      </c>
      <c r="H196" s="11" t="s">
        <v>24</v>
      </c>
      <c r="I196" s="11" t="s">
        <v>1417</v>
      </c>
      <c r="J196" s="11" t="s">
        <v>1418</v>
      </c>
      <c r="K196" s="11" t="s">
        <v>27</v>
      </c>
      <c r="L196" s="23">
        <v>116167864</v>
      </c>
      <c r="M196" s="14">
        <v>60940447</v>
      </c>
      <c r="N196" s="14">
        <v>55227417</v>
      </c>
      <c r="O196" s="14">
        <v>137670991</v>
      </c>
      <c r="P196" s="14">
        <v>3899804</v>
      </c>
      <c r="Q196" s="14">
        <v>2802032</v>
      </c>
      <c r="R196" s="14">
        <v>2347584</v>
      </c>
      <c r="S196" s="15">
        <v>77456610</v>
      </c>
      <c r="T196" s="15">
        <v>27600</v>
      </c>
      <c r="U196" s="15">
        <v>32003820</v>
      </c>
      <c r="V196" s="15">
        <v>0</v>
      </c>
      <c r="W196" s="15">
        <v>0</v>
      </c>
      <c r="X196" s="15">
        <v>0</v>
      </c>
      <c r="Y196" s="24" t="s">
        <v>2102</v>
      </c>
      <c r="Z196" s="15">
        <v>0</v>
      </c>
      <c r="AA196" s="15">
        <v>0</v>
      </c>
      <c r="AB196" s="74">
        <f t="shared" si="171"/>
        <v>32003820</v>
      </c>
      <c r="AC196" s="75">
        <f t="shared" si="172"/>
        <v>41.318384576861803</v>
      </c>
      <c r="AD196" s="75">
        <f t="shared" si="173"/>
        <v>64.426020215596836</v>
      </c>
      <c r="AE196" s="76">
        <f t="shared" si="159"/>
        <v>1.9327806064679049</v>
      </c>
      <c r="AF196" s="77">
        <f t="shared" si="174"/>
        <v>41.333112744176894</v>
      </c>
      <c r="AG196" s="77">
        <f t="shared" si="175"/>
        <v>41.333112744176894</v>
      </c>
      <c r="AH196" s="77">
        <f t="shared" si="176"/>
        <v>0</v>
      </c>
      <c r="AI196" s="78">
        <f t="shared" si="177"/>
        <v>100</v>
      </c>
      <c r="AJ196" s="79">
        <f t="shared" si="160"/>
        <v>4</v>
      </c>
      <c r="AK196" s="113">
        <v>5</v>
      </c>
      <c r="AL196" s="113">
        <v>5</v>
      </c>
      <c r="AM196" s="113">
        <v>0</v>
      </c>
      <c r="AN196" s="81">
        <f t="shared" si="178"/>
        <v>10</v>
      </c>
      <c r="AO196" s="82">
        <f t="shared" si="179"/>
        <v>0</v>
      </c>
      <c r="AP196" s="83">
        <f t="shared" si="180"/>
        <v>100</v>
      </c>
      <c r="AQ196" s="84">
        <f t="shared" si="161"/>
        <v>2</v>
      </c>
      <c r="AR196" s="118">
        <v>1</v>
      </c>
      <c r="AS196" s="86">
        <f t="shared" si="181"/>
        <v>0.25</v>
      </c>
      <c r="AT196" s="87">
        <f t="shared" si="182"/>
        <v>1.25</v>
      </c>
      <c r="AU196" s="87">
        <f t="shared" si="183"/>
        <v>1</v>
      </c>
      <c r="AV196" s="88">
        <f t="shared" si="184"/>
        <v>0</v>
      </c>
      <c r="AW196" s="78">
        <f t="shared" si="185"/>
        <v>40</v>
      </c>
      <c r="AX196" s="89">
        <f t="shared" si="162"/>
        <v>0.4</v>
      </c>
      <c r="AY196" s="114">
        <v>13</v>
      </c>
      <c r="AZ196" s="114">
        <v>13</v>
      </c>
      <c r="BA196" s="91">
        <f t="shared" si="186"/>
        <v>13</v>
      </c>
      <c r="BB196" s="77">
        <f t="shared" si="187"/>
        <v>100</v>
      </c>
      <c r="BC196" s="78">
        <f t="shared" si="188"/>
        <v>100</v>
      </c>
      <c r="BD196" s="79">
        <f t="shared" si="163"/>
        <v>1</v>
      </c>
      <c r="BE196" s="92">
        <v>3741281</v>
      </c>
      <c r="BF196" s="92">
        <v>440191</v>
      </c>
      <c r="BG196" s="114">
        <v>194113</v>
      </c>
      <c r="BH196" s="94">
        <f t="shared" si="189"/>
        <v>4181472</v>
      </c>
      <c r="BI196" s="77">
        <f t="shared" si="190"/>
        <v>4.6422169035210565</v>
      </c>
      <c r="BJ196" s="95" t="str">
        <f t="shared" si="191"/>
        <v>금속/비금속/화학업</v>
      </c>
      <c r="BK196" s="96">
        <f t="shared" si="192"/>
        <v>3.9534118626990469</v>
      </c>
      <c r="BL196" s="97">
        <f t="shared" si="193"/>
        <v>0.68880504082200966</v>
      </c>
      <c r="BM196" s="98">
        <f t="shared" si="194"/>
        <v>60</v>
      </c>
      <c r="BN196" s="99">
        <f t="shared" si="195"/>
        <v>1.2</v>
      </c>
      <c r="BO196" s="114">
        <v>0</v>
      </c>
      <c r="BP196" s="101">
        <f t="shared" si="196"/>
        <v>0</v>
      </c>
      <c r="BQ196" s="78">
        <f t="shared" si="197"/>
        <v>25</v>
      </c>
      <c r="BR196" s="79">
        <f t="shared" si="164"/>
        <v>0.5</v>
      </c>
      <c r="BS196" s="102">
        <v>2472366.3629999999</v>
      </c>
      <c r="BT196" s="102">
        <v>990</v>
      </c>
      <c r="BU196" s="103">
        <f t="shared" si="198"/>
        <v>2471376.3629999999</v>
      </c>
      <c r="BV196" s="77">
        <f t="shared" si="199"/>
        <v>1.7951322533880791</v>
      </c>
      <c r="BW196" s="96">
        <f t="shared" si="200"/>
        <v>5.1474158565187738</v>
      </c>
      <c r="BX196" s="96">
        <f t="shared" si="201"/>
        <v>11.237805355818912</v>
      </c>
      <c r="BY196" s="96">
        <f t="shared" si="202"/>
        <v>6.6930498535228535</v>
      </c>
      <c r="BZ196" s="96">
        <f t="shared" si="203"/>
        <v>69.17653118482724</v>
      </c>
      <c r="CA196" s="96">
        <f t="shared" si="204"/>
        <v>40</v>
      </c>
      <c r="CB196" s="104">
        <f t="shared" si="205"/>
        <v>0.8</v>
      </c>
      <c r="CC196" s="105">
        <f t="shared" si="165"/>
        <v>110.34455404640778</v>
      </c>
      <c r="CD196" s="106">
        <f t="shared" si="166"/>
        <v>58.789740937283504</v>
      </c>
      <c r="CE196" s="107">
        <f t="shared" si="167"/>
        <v>0.88184611405925251</v>
      </c>
      <c r="CF196" s="108" t="s">
        <v>2189</v>
      </c>
      <c r="CG196" s="108" t="s">
        <v>2189</v>
      </c>
      <c r="CH196" s="108" t="s">
        <v>2189</v>
      </c>
      <c r="CI196" s="108" t="s">
        <v>2189</v>
      </c>
      <c r="CJ196" s="109"/>
      <c r="CK196" s="116" t="s">
        <v>2192</v>
      </c>
      <c r="CL196" s="116" t="s">
        <v>2193</v>
      </c>
      <c r="CM196" s="111">
        <f t="shared" si="206"/>
        <v>25</v>
      </c>
      <c r="CN196" s="107">
        <f t="shared" si="168"/>
        <v>0.375</v>
      </c>
      <c r="CO196" s="114">
        <v>762916</v>
      </c>
      <c r="CP196" s="88">
        <f t="shared" si="207"/>
        <v>1.3814080785273735</v>
      </c>
      <c r="CQ196" s="78">
        <f t="shared" si="208"/>
        <v>100</v>
      </c>
      <c r="CR196" s="79">
        <f t="shared" si="169"/>
        <v>3</v>
      </c>
      <c r="CS196" s="92">
        <f>_xlfn.XLOOKUP(C196, '[1]1-1. 관계사체무보증금액 (환율 등)'!$3:$3, '[1]1-1. 관계사체무보증금액 (환율 등)'!$33:$33)</f>
        <v>0</v>
      </c>
      <c r="CT196" s="77">
        <f t="shared" si="209"/>
        <v>0</v>
      </c>
      <c r="CU196" s="78">
        <f t="shared" si="210"/>
        <v>100</v>
      </c>
      <c r="CV196" s="79">
        <f t="shared" si="170"/>
        <v>2</v>
      </c>
      <c r="CW196" s="112">
        <f t="shared" si="211"/>
        <v>18.089626720527157</v>
      </c>
    </row>
    <row r="197" spans="1:101" x14ac:dyDescent="0.35">
      <c r="A197" s="7" t="s">
        <v>1015</v>
      </c>
      <c r="B197" s="8" t="s">
        <v>1016</v>
      </c>
      <c r="C197" s="21" t="s">
        <v>1017</v>
      </c>
      <c r="D197" s="10" t="s">
        <v>21</v>
      </c>
      <c r="E197" s="11" t="s">
        <v>1018</v>
      </c>
      <c r="F197" s="11" t="s">
        <v>1019</v>
      </c>
      <c r="G197" s="12">
        <v>38484</v>
      </c>
      <c r="H197" s="11" t="s">
        <v>24</v>
      </c>
      <c r="I197" s="11" t="s">
        <v>1020</v>
      </c>
      <c r="J197" s="11" t="s">
        <v>1021</v>
      </c>
      <c r="K197" s="11" t="s">
        <v>153</v>
      </c>
      <c r="L197" s="23">
        <v>278609820</v>
      </c>
      <c r="M197" s="14">
        <v>60662564</v>
      </c>
      <c r="N197" s="14">
        <v>217947256</v>
      </c>
      <c r="O197" s="14">
        <v>300844920</v>
      </c>
      <c r="P197" s="14">
        <v>2168970</v>
      </c>
      <c r="Q197" s="14">
        <v>5936019</v>
      </c>
      <c r="R197" s="14">
        <v>4978376</v>
      </c>
      <c r="S197" s="15">
        <v>25000000</v>
      </c>
      <c r="T197" s="15">
        <v>2640000</v>
      </c>
      <c r="U197" s="15">
        <v>4500000</v>
      </c>
      <c r="V197" s="15">
        <v>2500000</v>
      </c>
      <c r="W197" s="15">
        <f>6094+21785+13280</f>
        <v>41159</v>
      </c>
      <c r="X197" s="15">
        <v>300000</v>
      </c>
      <c r="Y197" s="24" t="s">
        <v>2087</v>
      </c>
      <c r="Z197" s="15">
        <v>750000</v>
      </c>
      <c r="AA197" s="15">
        <v>0</v>
      </c>
      <c r="AB197" s="74">
        <f t="shared" si="171"/>
        <v>8091159</v>
      </c>
      <c r="AC197" s="75">
        <f t="shared" si="172"/>
        <v>32.364636000000004</v>
      </c>
      <c r="AD197" s="75">
        <f t="shared" si="173"/>
        <v>72.15365132336018</v>
      </c>
      <c r="AE197" s="76">
        <f t="shared" si="159"/>
        <v>2.1646095397008054</v>
      </c>
      <c r="AF197" s="77">
        <f t="shared" si="174"/>
        <v>31.305903398926656</v>
      </c>
      <c r="AG197" s="77">
        <f t="shared" si="175"/>
        <v>36.185863148479427</v>
      </c>
      <c r="AH197" s="77">
        <f t="shared" si="176"/>
        <v>4.8799597495527713</v>
      </c>
      <c r="AI197" s="78">
        <f t="shared" si="177"/>
        <v>100</v>
      </c>
      <c r="AJ197" s="79">
        <f t="shared" si="160"/>
        <v>4</v>
      </c>
      <c r="AK197" s="113">
        <v>5</v>
      </c>
      <c r="AL197" s="113">
        <v>9</v>
      </c>
      <c r="AM197" s="113">
        <v>2</v>
      </c>
      <c r="AN197" s="81">
        <f t="shared" si="178"/>
        <v>14</v>
      </c>
      <c r="AO197" s="82">
        <f t="shared" si="179"/>
        <v>14.285714285714285</v>
      </c>
      <c r="AP197" s="83">
        <f t="shared" si="180"/>
        <v>80</v>
      </c>
      <c r="AQ197" s="84">
        <f t="shared" si="161"/>
        <v>1.6</v>
      </c>
      <c r="AR197" s="118">
        <v>1</v>
      </c>
      <c r="AS197" s="86">
        <f t="shared" si="181"/>
        <v>0.25</v>
      </c>
      <c r="AT197" s="87">
        <f t="shared" si="182"/>
        <v>1.25</v>
      </c>
      <c r="AU197" s="87">
        <f t="shared" si="183"/>
        <v>1</v>
      </c>
      <c r="AV197" s="88">
        <f t="shared" si="184"/>
        <v>0</v>
      </c>
      <c r="AW197" s="78">
        <f t="shared" si="185"/>
        <v>40</v>
      </c>
      <c r="AX197" s="89">
        <f t="shared" si="162"/>
        <v>0.4</v>
      </c>
      <c r="AY197" s="114">
        <v>8</v>
      </c>
      <c r="AZ197" s="114">
        <v>8</v>
      </c>
      <c r="BA197" s="91">
        <f t="shared" si="186"/>
        <v>8</v>
      </c>
      <c r="BB197" s="77">
        <f t="shared" si="187"/>
        <v>100</v>
      </c>
      <c r="BC197" s="78">
        <f t="shared" si="188"/>
        <v>100</v>
      </c>
      <c r="BD197" s="79">
        <f t="shared" si="163"/>
        <v>1</v>
      </c>
      <c r="BE197" s="92">
        <v>5045223</v>
      </c>
      <c r="BF197" s="92">
        <v>375851</v>
      </c>
      <c r="BG197" s="114">
        <v>172576</v>
      </c>
      <c r="BH197" s="94">
        <f t="shared" si="189"/>
        <v>5421074</v>
      </c>
      <c r="BI197" s="77">
        <f t="shared" si="190"/>
        <v>3.1834282284285367</v>
      </c>
      <c r="BJ197" s="95" t="str">
        <f t="shared" si="191"/>
        <v>비제조/서비스업</v>
      </c>
      <c r="BK197" s="96">
        <f t="shared" si="192"/>
        <v>1.7464434573900922</v>
      </c>
      <c r="BL197" s="97">
        <f t="shared" si="193"/>
        <v>1.4369847710384445</v>
      </c>
      <c r="BM197" s="98">
        <f t="shared" si="194"/>
        <v>60</v>
      </c>
      <c r="BN197" s="99">
        <f t="shared" si="195"/>
        <v>1.2</v>
      </c>
      <c r="BO197" s="114">
        <v>189372</v>
      </c>
      <c r="BP197" s="101">
        <f t="shared" si="196"/>
        <v>6.2946716866616861E-2</v>
      </c>
      <c r="BQ197" s="78">
        <f t="shared" si="197"/>
        <v>40</v>
      </c>
      <c r="BR197" s="79">
        <f t="shared" si="164"/>
        <v>0.8</v>
      </c>
      <c r="BS197" s="102">
        <v>1942236</v>
      </c>
      <c r="BT197" s="102">
        <v>104739</v>
      </c>
      <c r="BU197" s="103">
        <f t="shared" si="198"/>
        <v>1837497</v>
      </c>
      <c r="BV197" s="77">
        <f t="shared" si="199"/>
        <v>0.61077880258041262</v>
      </c>
      <c r="BW197" s="96">
        <f t="shared" si="200"/>
        <v>2.8482825397737606</v>
      </c>
      <c r="BX197" s="96">
        <f t="shared" si="201"/>
        <v>5.0064229739541988</v>
      </c>
      <c r="BY197" s="96">
        <f t="shared" si="202"/>
        <v>5.5697595856656807</v>
      </c>
      <c r="BZ197" s="96">
        <f t="shared" si="203"/>
        <v>65.605626404933176</v>
      </c>
      <c r="CA197" s="96">
        <f t="shared" si="204"/>
        <v>40</v>
      </c>
      <c r="CB197" s="104">
        <f t="shared" si="205"/>
        <v>0.8</v>
      </c>
      <c r="CC197" s="105">
        <f t="shared" si="165"/>
        <v>27.833598418876171</v>
      </c>
      <c r="CD197" s="106">
        <f t="shared" si="166"/>
        <v>89.886834766755214</v>
      </c>
      <c r="CE197" s="107">
        <f t="shared" si="167"/>
        <v>1.3483025215013282</v>
      </c>
      <c r="CF197" s="108" t="s">
        <v>2189</v>
      </c>
      <c r="CG197" s="108" t="s">
        <v>2189</v>
      </c>
      <c r="CH197" s="108" t="s">
        <v>2189</v>
      </c>
      <c r="CI197" s="108" t="s">
        <v>2189</v>
      </c>
      <c r="CJ197" s="109"/>
      <c r="CK197" s="116" t="s">
        <v>2199</v>
      </c>
      <c r="CL197" s="116" t="s">
        <v>2193</v>
      </c>
      <c r="CM197" s="111">
        <f t="shared" si="206"/>
        <v>25</v>
      </c>
      <c r="CN197" s="107">
        <f t="shared" si="168"/>
        <v>0.375</v>
      </c>
      <c r="CO197" s="114">
        <v>15000000</v>
      </c>
      <c r="CP197" s="88">
        <f t="shared" si="207"/>
        <v>6.8823991066902899</v>
      </c>
      <c r="CQ197" s="78">
        <f t="shared" si="208"/>
        <v>80</v>
      </c>
      <c r="CR197" s="79">
        <f t="shared" si="169"/>
        <v>2.4</v>
      </c>
      <c r="CS197" s="92">
        <f>_xlfn.XLOOKUP(C197, '[1]1-1. 관계사체무보증금액 (환율 등)'!$3:$3, '[1]1-1. 관계사체무보증금액 (환율 등)'!$33:$33)</f>
        <v>0</v>
      </c>
      <c r="CT197" s="77">
        <f t="shared" si="209"/>
        <v>0</v>
      </c>
      <c r="CU197" s="78">
        <f t="shared" si="210"/>
        <v>100</v>
      </c>
      <c r="CV197" s="79">
        <f t="shared" si="170"/>
        <v>2</v>
      </c>
      <c r="CW197" s="112">
        <f t="shared" si="211"/>
        <v>18.087912061202132</v>
      </c>
    </row>
    <row r="198" spans="1:101" x14ac:dyDescent="0.35">
      <c r="A198" s="7" t="s">
        <v>408</v>
      </c>
      <c r="B198" s="8" t="s">
        <v>409</v>
      </c>
      <c r="C198" s="21" t="s">
        <v>410</v>
      </c>
      <c r="D198" s="10" t="s">
        <v>75</v>
      </c>
      <c r="E198" s="11" t="s">
        <v>106</v>
      </c>
      <c r="F198" s="11" t="s">
        <v>411</v>
      </c>
      <c r="G198" s="12">
        <v>33082</v>
      </c>
      <c r="H198" s="11" t="s">
        <v>24</v>
      </c>
      <c r="I198" s="11" t="s">
        <v>412</v>
      </c>
      <c r="J198" s="191" t="s">
        <v>413</v>
      </c>
      <c r="K198" s="11" t="s">
        <v>27</v>
      </c>
      <c r="L198" s="23">
        <v>10091235345</v>
      </c>
      <c r="M198" s="14">
        <v>1690777750</v>
      </c>
      <c r="N198" s="14">
        <v>8400457595</v>
      </c>
      <c r="O198" s="14">
        <v>8081377635</v>
      </c>
      <c r="P198" s="14">
        <v>931364084</v>
      </c>
      <c r="Q198" s="14">
        <v>876898600</v>
      </c>
      <c r="R198" s="14">
        <v>656193706</v>
      </c>
      <c r="S198" s="15">
        <v>19863158</v>
      </c>
      <c r="T198" s="15">
        <v>0</v>
      </c>
      <c r="U198" s="15">
        <v>5186797</v>
      </c>
      <c r="V198" s="15">
        <f>721798+24912+342507+2686+2259+96422+160009+1450+1450+300165+1465+1209+170412+54429+382+430+332093+38182+34726+311618+9646+23625+39858+15000+77886+71626+3941+11325+260+33665+31769</f>
        <v>2917205</v>
      </c>
      <c r="W198" s="15">
        <f>721798+24912+525+500</f>
        <v>747735</v>
      </c>
      <c r="X198" s="15">
        <f>7450+54405</f>
        <v>61855</v>
      </c>
      <c r="Y198" s="24" t="s">
        <v>2063</v>
      </c>
      <c r="Z198" s="15">
        <f>186700+320212+70959+97225+11800</f>
        <v>686896</v>
      </c>
      <c r="AA198" s="15">
        <v>374745</v>
      </c>
      <c r="AB198" s="74">
        <f t="shared" si="171"/>
        <v>9600488</v>
      </c>
      <c r="AC198" s="75">
        <f t="shared" si="172"/>
        <v>48.33314017841473</v>
      </c>
      <c r="AD198" s="75">
        <f t="shared" si="173"/>
        <v>58.371858304014907</v>
      </c>
      <c r="AE198" s="76">
        <f t="shared" si="159"/>
        <v>1.7511557491204472</v>
      </c>
      <c r="AF198" s="77">
        <f t="shared" si="174"/>
        <v>41.583693859525653</v>
      </c>
      <c r="AG198" s="77">
        <f t="shared" si="175"/>
        <v>47.33963201621394</v>
      </c>
      <c r="AH198" s="77">
        <f t="shared" si="176"/>
        <v>5.7559381566882877</v>
      </c>
      <c r="AI198" s="78">
        <f t="shared" si="177"/>
        <v>100</v>
      </c>
      <c r="AJ198" s="79">
        <f t="shared" si="160"/>
        <v>4</v>
      </c>
      <c r="AK198" s="113">
        <v>9</v>
      </c>
      <c r="AL198" s="113">
        <v>41</v>
      </c>
      <c r="AM198" s="113">
        <v>2</v>
      </c>
      <c r="AN198" s="81">
        <f t="shared" si="178"/>
        <v>50</v>
      </c>
      <c r="AO198" s="82">
        <f t="shared" si="179"/>
        <v>4</v>
      </c>
      <c r="AP198" s="83">
        <f t="shared" si="180"/>
        <v>100</v>
      </c>
      <c r="AQ198" s="84">
        <f t="shared" si="161"/>
        <v>2</v>
      </c>
      <c r="AR198" s="118">
        <v>6</v>
      </c>
      <c r="AS198" s="86">
        <f t="shared" si="181"/>
        <v>0.5</v>
      </c>
      <c r="AT198" s="87">
        <f t="shared" si="182"/>
        <v>4.5</v>
      </c>
      <c r="AU198" s="87">
        <f t="shared" si="183"/>
        <v>4</v>
      </c>
      <c r="AV198" s="88">
        <f t="shared" si="184"/>
        <v>22.222222222222221</v>
      </c>
      <c r="AW198" s="78">
        <f t="shared" si="185"/>
        <v>80</v>
      </c>
      <c r="AX198" s="89">
        <f t="shared" si="162"/>
        <v>0.8</v>
      </c>
      <c r="AY198" s="114">
        <v>22</v>
      </c>
      <c r="AZ198" s="114">
        <f>22*6-15</f>
        <v>117</v>
      </c>
      <c r="BA198" s="91">
        <f t="shared" si="186"/>
        <v>132</v>
      </c>
      <c r="BB198" s="77">
        <f t="shared" si="187"/>
        <v>88.63636363636364</v>
      </c>
      <c r="BC198" s="78">
        <f t="shared" si="188"/>
        <v>75</v>
      </c>
      <c r="BD198" s="79">
        <f t="shared" si="163"/>
        <v>0.75</v>
      </c>
      <c r="BE198" s="92">
        <v>29796731</v>
      </c>
      <c r="BF198" s="92">
        <v>13220413</v>
      </c>
      <c r="BG198" s="114">
        <v>1439928</v>
      </c>
      <c r="BH198" s="94">
        <f t="shared" si="189"/>
        <v>43017144</v>
      </c>
      <c r="BI198" s="77">
        <f t="shared" si="190"/>
        <v>3.3473351926850374</v>
      </c>
      <c r="BJ198" s="95" t="str">
        <f t="shared" si="191"/>
        <v>금속/비금속/화학업</v>
      </c>
      <c r="BK198" s="96">
        <f t="shared" si="192"/>
        <v>3.9534118626990469</v>
      </c>
      <c r="BL198" s="97">
        <f t="shared" si="193"/>
        <v>-0.60607667001400944</v>
      </c>
      <c r="BM198" s="98">
        <f t="shared" si="194"/>
        <v>80</v>
      </c>
      <c r="BN198" s="99">
        <f t="shared" si="195"/>
        <v>1.6</v>
      </c>
      <c r="BO198" s="114">
        <v>7559327</v>
      </c>
      <c r="BP198" s="101">
        <f t="shared" si="196"/>
        <v>9.3540078702187765E-2</v>
      </c>
      <c r="BQ198" s="78">
        <f t="shared" si="197"/>
        <v>40</v>
      </c>
      <c r="BR198" s="79">
        <f t="shared" si="164"/>
        <v>0.8</v>
      </c>
      <c r="BS198" s="102">
        <v>144087360.54100001</v>
      </c>
      <c r="BT198" s="102">
        <v>146136.36300000001</v>
      </c>
      <c r="BU198" s="103">
        <f t="shared" si="198"/>
        <v>143941224.178</v>
      </c>
      <c r="BV198" s="77">
        <f t="shared" si="199"/>
        <v>1.7811471098021521</v>
      </c>
      <c r="BW198" s="96">
        <f t="shared" si="200"/>
        <v>5.1474158565187738</v>
      </c>
      <c r="BX198" s="96">
        <f t="shared" si="201"/>
        <v>11.331765275121095</v>
      </c>
      <c r="BY198" s="96">
        <f t="shared" si="202"/>
        <v>6.6930498535228535</v>
      </c>
      <c r="BZ198" s="96">
        <f t="shared" si="203"/>
        <v>69.250025133299516</v>
      </c>
      <c r="CA198" s="96">
        <f t="shared" si="204"/>
        <v>40</v>
      </c>
      <c r="CB198" s="104">
        <f t="shared" si="205"/>
        <v>0.8</v>
      </c>
      <c r="CC198" s="105">
        <f t="shared" si="165"/>
        <v>20.127210105868048</v>
      </c>
      <c r="CD198" s="106">
        <f t="shared" si="166"/>
        <v>92.791252472662791</v>
      </c>
      <c r="CE198" s="107">
        <f t="shared" si="167"/>
        <v>1.3918687870899418</v>
      </c>
      <c r="CF198" s="108" t="s">
        <v>2189</v>
      </c>
      <c r="CG198" s="108" t="s">
        <v>2189</v>
      </c>
      <c r="CH198" s="108" t="s">
        <v>2189</v>
      </c>
      <c r="CI198" s="108" t="s">
        <v>2189</v>
      </c>
      <c r="CJ198" s="109"/>
      <c r="CK198" s="116" t="s">
        <v>2192</v>
      </c>
      <c r="CL198" s="116" t="s">
        <v>2193</v>
      </c>
      <c r="CM198" s="111">
        <f t="shared" si="206"/>
        <v>25</v>
      </c>
      <c r="CN198" s="107">
        <f t="shared" si="168"/>
        <v>0.375</v>
      </c>
      <c r="CO198" s="114">
        <f>77299000+500000+603000+12804000+616000+15917000+100200000+89151000+952329000+7214000+78347000+3532000+147570000+625000+14755000+592641000</f>
        <v>2094103000</v>
      </c>
      <c r="CP198" s="88">
        <f t="shared" si="207"/>
        <v>24.928439627460556</v>
      </c>
      <c r="CQ198" s="78">
        <f t="shared" si="208"/>
        <v>60</v>
      </c>
      <c r="CR198" s="79">
        <f t="shared" si="169"/>
        <v>1.7999999999999998</v>
      </c>
      <c r="CS198" s="92">
        <f>_xlfn.XLOOKUP(C198, '[1]1-1. 관계사체무보증금액 (환율 등)'!$3:$3, '[1]1-1. 관계사체무보증금액 (환율 등)'!$33:$33)</f>
        <v>0</v>
      </c>
      <c r="CT198" s="77">
        <f t="shared" si="209"/>
        <v>0</v>
      </c>
      <c r="CU198" s="78">
        <f t="shared" si="210"/>
        <v>100</v>
      </c>
      <c r="CV198" s="79">
        <f t="shared" si="170"/>
        <v>2</v>
      </c>
      <c r="CW198" s="112">
        <f t="shared" si="211"/>
        <v>18.068024536210391</v>
      </c>
    </row>
    <row r="199" spans="1:101" x14ac:dyDescent="0.35">
      <c r="A199" s="7" t="s">
        <v>1302</v>
      </c>
      <c r="B199" s="8" t="s">
        <v>1303</v>
      </c>
      <c r="C199" s="21" t="s">
        <v>1304</v>
      </c>
      <c r="D199" s="22" t="s">
        <v>141</v>
      </c>
      <c r="E199" s="11" t="s">
        <v>481</v>
      </c>
      <c r="F199" s="11" t="s">
        <v>1305</v>
      </c>
      <c r="G199" s="12">
        <v>38861</v>
      </c>
      <c r="H199" s="11" t="s">
        <v>24</v>
      </c>
      <c r="I199" s="11" t="s">
        <v>1306</v>
      </c>
      <c r="J199" s="11" t="s">
        <v>1307</v>
      </c>
      <c r="K199" s="11" t="s">
        <v>280</v>
      </c>
      <c r="L199" s="23">
        <v>285172713</v>
      </c>
      <c r="M199" s="14">
        <v>183290683</v>
      </c>
      <c r="N199" s="14">
        <v>101882030</v>
      </c>
      <c r="O199" s="14">
        <v>252909508</v>
      </c>
      <c r="P199" s="14">
        <v>22627714</v>
      </c>
      <c r="Q199" s="14">
        <v>24143944</v>
      </c>
      <c r="R199" s="14">
        <v>20922790</v>
      </c>
      <c r="S199" s="15">
        <v>20000000</v>
      </c>
      <c r="T199" s="15">
        <v>0</v>
      </c>
      <c r="U199" s="15">
        <v>5050286</v>
      </c>
      <c r="V199" s="15">
        <f>2471706+200000+148008+110000+90000+90000</f>
        <v>3109714</v>
      </c>
      <c r="W199" s="15">
        <v>0</v>
      </c>
      <c r="X199" s="15">
        <v>0</v>
      </c>
      <c r="Z199" s="15">
        <v>0</v>
      </c>
      <c r="AA199" s="15">
        <v>0</v>
      </c>
      <c r="AB199" s="74">
        <f t="shared" si="171"/>
        <v>8160000</v>
      </c>
      <c r="AC199" s="75">
        <f t="shared" si="172"/>
        <v>40.799999999999997</v>
      </c>
      <c r="AD199" s="75">
        <f t="shared" si="173"/>
        <v>64.87341772151899</v>
      </c>
      <c r="AE199" s="76">
        <f t="shared" si="159"/>
        <v>1.9462025316455696</v>
      </c>
      <c r="AF199" s="77">
        <f t="shared" si="174"/>
        <v>40.799999999999997</v>
      </c>
      <c r="AG199" s="77">
        <f t="shared" si="175"/>
        <v>40.799999999999997</v>
      </c>
      <c r="AH199" s="77">
        <f t="shared" si="176"/>
        <v>0</v>
      </c>
      <c r="AI199" s="78">
        <f t="shared" si="177"/>
        <v>100</v>
      </c>
      <c r="AJ199" s="79">
        <f t="shared" si="160"/>
        <v>4</v>
      </c>
      <c r="AK199" s="113">
        <v>5</v>
      </c>
      <c r="AL199" s="113">
        <v>11</v>
      </c>
      <c r="AM199" s="113">
        <v>1</v>
      </c>
      <c r="AN199" s="81">
        <f t="shared" si="178"/>
        <v>16</v>
      </c>
      <c r="AO199" s="82">
        <f t="shared" si="179"/>
        <v>6.25</v>
      </c>
      <c r="AP199" s="83">
        <f t="shared" si="180"/>
        <v>100</v>
      </c>
      <c r="AQ199" s="84">
        <f t="shared" si="161"/>
        <v>2</v>
      </c>
      <c r="AR199" s="118">
        <v>1</v>
      </c>
      <c r="AS199" s="86">
        <f t="shared" si="181"/>
        <v>0.25</v>
      </c>
      <c r="AT199" s="87">
        <f t="shared" si="182"/>
        <v>1.25</v>
      </c>
      <c r="AU199" s="87">
        <f t="shared" si="183"/>
        <v>1</v>
      </c>
      <c r="AV199" s="88">
        <f t="shared" si="184"/>
        <v>0</v>
      </c>
      <c r="AW199" s="78">
        <f t="shared" si="185"/>
        <v>40</v>
      </c>
      <c r="AX199" s="89">
        <f t="shared" si="162"/>
        <v>0.4</v>
      </c>
      <c r="AY199" s="114">
        <v>18</v>
      </c>
      <c r="AZ199" s="114">
        <v>9</v>
      </c>
      <c r="BA199" s="91">
        <f t="shared" si="186"/>
        <v>18</v>
      </c>
      <c r="BB199" s="77">
        <f t="shared" si="187"/>
        <v>50</v>
      </c>
      <c r="BC199" s="78">
        <f t="shared" si="188"/>
        <v>25</v>
      </c>
      <c r="BD199" s="79">
        <f t="shared" si="163"/>
        <v>0.25</v>
      </c>
      <c r="BE199" s="92">
        <v>13752872</v>
      </c>
      <c r="BF199" s="92">
        <v>1188012</v>
      </c>
      <c r="BG199" s="114">
        <v>1102825</v>
      </c>
      <c r="BH199" s="94">
        <f t="shared" si="189"/>
        <v>14940884</v>
      </c>
      <c r="BI199" s="77">
        <f t="shared" si="190"/>
        <v>7.3812566913711395</v>
      </c>
      <c r="BJ199" s="95" t="str">
        <f t="shared" si="191"/>
        <v>전기전자/기계업</v>
      </c>
      <c r="BK199" s="96">
        <f t="shared" si="192"/>
        <v>2.4096449716116446</v>
      </c>
      <c r="BL199" s="97">
        <f t="shared" si="193"/>
        <v>4.9716117197594949</v>
      </c>
      <c r="BM199" s="98">
        <f t="shared" si="194"/>
        <v>40</v>
      </c>
      <c r="BN199" s="99">
        <f t="shared" si="195"/>
        <v>0.8</v>
      </c>
      <c r="BO199" s="114">
        <v>6733000</v>
      </c>
      <c r="BP199" s="101">
        <f t="shared" si="196"/>
        <v>2.6622170329792425</v>
      </c>
      <c r="BQ199" s="78">
        <f t="shared" si="197"/>
        <v>85</v>
      </c>
      <c r="BR199" s="79">
        <f t="shared" si="164"/>
        <v>1.7</v>
      </c>
      <c r="BS199" s="102">
        <v>11893518.647</v>
      </c>
      <c r="BT199" s="102">
        <v>701523.03200000001</v>
      </c>
      <c r="BU199" s="103">
        <f t="shared" si="198"/>
        <v>11191995.615</v>
      </c>
      <c r="BV199" s="77">
        <f t="shared" si="199"/>
        <v>4.4252965036806762</v>
      </c>
      <c r="BW199" s="96">
        <f t="shared" si="200"/>
        <v>5.2309968128308295</v>
      </c>
      <c r="BX199" s="96">
        <f t="shared" si="201"/>
        <v>0.64915298816465261</v>
      </c>
      <c r="BY199" s="96">
        <f t="shared" si="202"/>
        <v>7.0695458012309631</v>
      </c>
      <c r="BZ199" s="96">
        <f t="shared" si="203"/>
        <v>54.536832521955581</v>
      </c>
      <c r="CA199" s="96">
        <f t="shared" si="204"/>
        <v>55</v>
      </c>
      <c r="CB199" s="104">
        <f t="shared" si="205"/>
        <v>1.1000000000000001</v>
      </c>
      <c r="CC199" s="105">
        <f t="shared" si="165"/>
        <v>179.9048203103138</v>
      </c>
      <c r="CD199" s="106">
        <f t="shared" si="166"/>
        <v>32.573560184555106</v>
      </c>
      <c r="CE199" s="107">
        <f t="shared" si="167"/>
        <v>0.48860340276832659</v>
      </c>
      <c r="CF199" s="108" t="s">
        <v>2189</v>
      </c>
      <c r="CG199" s="108" t="s">
        <v>2189</v>
      </c>
      <c r="CH199" s="108" t="s">
        <v>2189</v>
      </c>
      <c r="CI199" s="108" t="s">
        <v>2189</v>
      </c>
      <c r="CJ199" s="109"/>
      <c r="CK199" s="116" t="s">
        <v>2192</v>
      </c>
      <c r="CL199" s="116" t="s">
        <v>2193</v>
      </c>
      <c r="CM199" s="111">
        <f t="shared" si="206"/>
        <v>25</v>
      </c>
      <c r="CN199" s="107">
        <f t="shared" si="168"/>
        <v>0.375</v>
      </c>
      <c r="CO199" s="114">
        <v>2011000</v>
      </c>
      <c r="CP199" s="88">
        <f t="shared" si="207"/>
        <v>1.9738515221967994</v>
      </c>
      <c r="CQ199" s="78">
        <f t="shared" si="208"/>
        <v>100</v>
      </c>
      <c r="CR199" s="79">
        <f t="shared" si="169"/>
        <v>3</v>
      </c>
      <c r="CS199" s="92">
        <f>_xlfn.XLOOKUP(C199, '[1]1-1. 관계사체무보증금액 (환율 등)'!$3:$3, '[1]1-1. 관계사체무보증금액 (환율 등)'!$33:$33)</f>
        <v>0</v>
      </c>
      <c r="CT199" s="77">
        <f t="shared" si="209"/>
        <v>0</v>
      </c>
      <c r="CU199" s="78">
        <f t="shared" si="210"/>
        <v>100</v>
      </c>
      <c r="CV199" s="79">
        <f t="shared" si="170"/>
        <v>2</v>
      </c>
      <c r="CW199" s="112">
        <f t="shared" si="211"/>
        <v>18.059805934413895</v>
      </c>
    </row>
    <row r="200" spans="1:101" x14ac:dyDescent="0.35">
      <c r="A200" s="7" t="s">
        <v>952</v>
      </c>
      <c r="B200" s="8" t="s">
        <v>953</v>
      </c>
      <c r="C200" s="21" t="s">
        <v>954</v>
      </c>
      <c r="D200" s="10" t="s">
        <v>31</v>
      </c>
      <c r="E200" s="11" t="s">
        <v>46</v>
      </c>
      <c r="F200" s="11" t="s">
        <v>955</v>
      </c>
      <c r="G200" s="12">
        <v>40882</v>
      </c>
      <c r="H200" s="11" t="s">
        <v>24</v>
      </c>
      <c r="I200" s="11" t="s">
        <v>956</v>
      </c>
      <c r="J200" s="11" t="s">
        <v>957</v>
      </c>
      <c r="K200" s="11" t="s">
        <v>27</v>
      </c>
      <c r="L200" s="23">
        <v>2278458050</v>
      </c>
      <c r="M200" s="14">
        <v>1056955250</v>
      </c>
      <c r="N200" s="14">
        <v>1221502799</v>
      </c>
      <c r="O200" s="14">
        <v>1998768182</v>
      </c>
      <c r="P200" s="14">
        <v>37795019</v>
      </c>
      <c r="Q200" s="14">
        <v>66850204</v>
      </c>
      <c r="R200" s="14">
        <v>55711450</v>
      </c>
      <c r="S200" s="15">
        <v>10313449</v>
      </c>
      <c r="T200" s="15">
        <v>647099</v>
      </c>
      <c r="U200" s="15">
        <f>3924+6377255</f>
        <v>6381179</v>
      </c>
      <c r="V200" s="15">
        <f>1629+33874+39520+4170+53357</f>
        <v>132550</v>
      </c>
      <c r="W200" s="15">
        <f>11030+3779+400+1127</f>
        <v>16336</v>
      </c>
      <c r="X200" s="15">
        <v>86691</v>
      </c>
      <c r="Y200" s="24" t="s">
        <v>2084</v>
      </c>
      <c r="Z200" s="15">
        <v>0</v>
      </c>
      <c r="AA200" s="15">
        <v>0</v>
      </c>
      <c r="AB200" s="74">
        <f t="shared" si="171"/>
        <v>6616756</v>
      </c>
      <c r="AC200" s="75">
        <f t="shared" si="172"/>
        <v>64.156578463712762</v>
      </c>
      <c r="AD200" s="75">
        <f t="shared" si="173"/>
        <v>44.715265997946403</v>
      </c>
      <c r="AE200" s="76">
        <f t="shared" si="159"/>
        <v>1.3414579799383921</v>
      </c>
      <c r="AF200" s="77">
        <f t="shared" si="174"/>
        <v>67.385610907943544</v>
      </c>
      <c r="AG200" s="77">
        <f t="shared" si="175"/>
        <v>68.451442374836418</v>
      </c>
      <c r="AH200" s="77">
        <f t="shared" si="176"/>
        <v>1.0658314668928739</v>
      </c>
      <c r="AI200" s="78">
        <f t="shared" si="177"/>
        <v>100</v>
      </c>
      <c r="AJ200" s="79">
        <f t="shared" si="160"/>
        <v>4</v>
      </c>
      <c r="AK200" s="113">
        <v>9</v>
      </c>
      <c r="AL200" s="113">
        <v>22</v>
      </c>
      <c r="AM200" s="80">
        <v>2</v>
      </c>
      <c r="AN200" s="81">
        <f t="shared" si="178"/>
        <v>31</v>
      </c>
      <c r="AO200" s="82">
        <f t="shared" si="179"/>
        <v>6.4516129032258061</v>
      </c>
      <c r="AP200" s="83">
        <f t="shared" si="180"/>
        <v>100</v>
      </c>
      <c r="AQ200" s="84">
        <f t="shared" si="161"/>
        <v>2</v>
      </c>
      <c r="AR200" s="118">
        <v>5</v>
      </c>
      <c r="AS200" s="86">
        <f t="shared" si="181"/>
        <v>0.5</v>
      </c>
      <c r="AT200" s="87">
        <f t="shared" si="182"/>
        <v>4.5</v>
      </c>
      <c r="AU200" s="87">
        <f t="shared" si="183"/>
        <v>4</v>
      </c>
      <c r="AV200" s="88">
        <f t="shared" si="184"/>
        <v>11.111111111111111</v>
      </c>
      <c r="AW200" s="78">
        <f t="shared" si="185"/>
        <v>60</v>
      </c>
      <c r="AX200" s="89">
        <f t="shared" si="162"/>
        <v>0.6</v>
      </c>
      <c r="AY200" s="114">
        <v>7</v>
      </c>
      <c r="AZ200" s="114">
        <f>3*3+4+5*3</f>
        <v>28</v>
      </c>
      <c r="BA200" s="91">
        <f t="shared" si="186"/>
        <v>35</v>
      </c>
      <c r="BB200" s="77">
        <f t="shared" si="187"/>
        <v>80</v>
      </c>
      <c r="BC200" s="78">
        <f t="shared" si="188"/>
        <v>75</v>
      </c>
      <c r="BD200" s="79">
        <f t="shared" si="163"/>
        <v>0.75</v>
      </c>
      <c r="BE200" s="92">
        <v>53852000</v>
      </c>
      <c r="BF200" s="92">
        <v>5915000</v>
      </c>
      <c r="BG200" s="93">
        <v>0</v>
      </c>
      <c r="BH200" s="94">
        <f t="shared" si="189"/>
        <v>59767000</v>
      </c>
      <c r="BI200" s="77">
        <f t="shared" si="190"/>
        <v>0</v>
      </c>
      <c r="BJ200" s="95" t="str">
        <f t="shared" si="191"/>
        <v>식약/섬유/종이업</v>
      </c>
      <c r="BK200" s="96">
        <f t="shared" si="192"/>
        <v>2.1999360555264453</v>
      </c>
      <c r="BL200" s="97">
        <f t="shared" si="193"/>
        <v>-2.1999360555264453</v>
      </c>
      <c r="BM200" s="98">
        <f t="shared" si="194"/>
        <v>100</v>
      </c>
      <c r="BN200" s="99">
        <f t="shared" si="195"/>
        <v>2</v>
      </c>
      <c r="BO200" s="114">
        <v>2146000</v>
      </c>
      <c r="BP200" s="101">
        <f t="shared" si="196"/>
        <v>0.10736612776438524</v>
      </c>
      <c r="BQ200" s="78">
        <f t="shared" si="197"/>
        <v>55</v>
      </c>
      <c r="BR200" s="79">
        <f t="shared" si="164"/>
        <v>1.1000000000000001</v>
      </c>
      <c r="BS200" s="102">
        <v>53580972.555</v>
      </c>
      <c r="BT200" s="102">
        <v>80139.235000000001</v>
      </c>
      <c r="BU200" s="103">
        <f t="shared" si="198"/>
        <v>53500833.32</v>
      </c>
      <c r="BV200" s="77">
        <f t="shared" si="199"/>
        <v>2.6766902636235783</v>
      </c>
      <c r="BW200" s="96">
        <f t="shared" si="200"/>
        <v>5.0508176117342298</v>
      </c>
      <c r="BX200" s="96">
        <f t="shared" si="201"/>
        <v>5.636480665046915</v>
      </c>
      <c r="BY200" s="96">
        <f t="shared" si="202"/>
        <v>6.9871618081220923</v>
      </c>
      <c r="BZ200" s="96">
        <f t="shared" si="203"/>
        <v>63.299048511361953</v>
      </c>
      <c r="CA200" s="96">
        <f t="shared" si="204"/>
        <v>40</v>
      </c>
      <c r="CB200" s="104">
        <f t="shared" si="205"/>
        <v>0.8</v>
      </c>
      <c r="CC200" s="105">
        <f t="shared" si="165"/>
        <v>86.529089484304976</v>
      </c>
      <c r="CD200" s="106">
        <f t="shared" si="166"/>
        <v>67.765418536065965</v>
      </c>
      <c r="CE200" s="107">
        <f t="shared" si="167"/>
        <v>1.0164812780409895</v>
      </c>
      <c r="CF200" s="108" t="s">
        <v>2189</v>
      </c>
      <c r="CG200" s="108" t="s">
        <v>2189</v>
      </c>
      <c r="CH200" s="108" t="s">
        <v>2189</v>
      </c>
      <c r="CI200" s="108" t="s">
        <v>2189</v>
      </c>
      <c r="CJ200" s="109"/>
      <c r="CK200" s="116" t="s">
        <v>2203</v>
      </c>
      <c r="CL200" s="116" t="s">
        <v>2204</v>
      </c>
      <c r="CM200" s="111">
        <f t="shared" si="206"/>
        <v>70</v>
      </c>
      <c r="CN200" s="107">
        <f t="shared" si="168"/>
        <v>1.05</v>
      </c>
      <c r="CO200" s="114">
        <v>261155000</v>
      </c>
      <c r="CP200" s="88">
        <f t="shared" si="207"/>
        <v>21.379811836190481</v>
      </c>
      <c r="CQ200" s="78">
        <f t="shared" si="208"/>
        <v>60</v>
      </c>
      <c r="CR200" s="79">
        <f t="shared" si="169"/>
        <v>1.7999999999999998</v>
      </c>
      <c r="CS200" s="92">
        <f>_xlfn.XLOOKUP(C200, '[1]1-1. 관계사체무보증금액 (환율 등)'!$3:$3, '[1]1-1. 관계사체무보증금액 (환율 등)'!$33:$33)</f>
        <v>104805084.50222373</v>
      </c>
      <c r="CT200" s="77">
        <f t="shared" si="209"/>
        <v>8.5800118172487068</v>
      </c>
      <c r="CU200" s="78">
        <f t="shared" si="210"/>
        <v>80</v>
      </c>
      <c r="CV200" s="79">
        <f t="shared" si="170"/>
        <v>1.6</v>
      </c>
      <c r="CW200" s="112">
        <f t="shared" si="211"/>
        <v>18.057939257979385</v>
      </c>
    </row>
    <row r="201" spans="1:101" x14ac:dyDescent="0.35">
      <c r="A201" s="7" t="s">
        <v>1736</v>
      </c>
      <c r="B201" s="8" t="s">
        <v>1737</v>
      </c>
      <c r="C201" s="21" t="s">
        <v>1738</v>
      </c>
      <c r="D201" s="22" t="s">
        <v>75</v>
      </c>
      <c r="E201" s="11" t="s">
        <v>1739</v>
      </c>
      <c r="F201" s="11" t="s">
        <v>1740</v>
      </c>
      <c r="G201" s="12">
        <v>36815</v>
      </c>
      <c r="H201" s="11" t="s">
        <v>24</v>
      </c>
      <c r="I201" s="11" t="s">
        <v>1741</v>
      </c>
      <c r="J201" s="8" t="s">
        <v>1742</v>
      </c>
      <c r="K201" s="11" t="s">
        <v>153</v>
      </c>
      <c r="L201" s="23">
        <v>291713102</v>
      </c>
      <c r="M201" s="14">
        <v>71415596</v>
      </c>
      <c r="N201" s="14">
        <v>220297507</v>
      </c>
      <c r="O201" s="14">
        <v>256067814</v>
      </c>
      <c r="P201" s="14">
        <v>8760193</v>
      </c>
      <c r="Q201" s="14">
        <v>3858993</v>
      </c>
      <c r="R201" s="14">
        <v>3132350</v>
      </c>
      <c r="S201" s="15">
        <v>41067062</v>
      </c>
      <c r="T201" s="15">
        <v>5629960</v>
      </c>
      <c r="U201" s="15">
        <v>6930732</v>
      </c>
      <c r="V201" s="15">
        <f>3519720+6200+287732+247017+175000+9746</f>
        <v>4245415</v>
      </c>
      <c r="W201" s="15">
        <v>4000</v>
      </c>
      <c r="X201" s="15">
        <v>0</v>
      </c>
      <c r="Z201" s="15">
        <f>1066059+6546334+6642303</f>
        <v>14254696</v>
      </c>
      <c r="AA201" s="15">
        <v>368873</v>
      </c>
      <c r="AB201" s="74">
        <f t="shared" si="171"/>
        <v>25434843</v>
      </c>
      <c r="AC201" s="75">
        <f t="shared" si="172"/>
        <v>61.934898094243998</v>
      </c>
      <c r="AD201" s="75">
        <f t="shared" si="173"/>
        <v>46.63271165629115</v>
      </c>
      <c r="AE201" s="76">
        <f t="shared" si="159"/>
        <v>1.3989813496887344</v>
      </c>
      <c r="AF201" s="77">
        <f t="shared" si="174"/>
        <v>31.869721735876656</v>
      </c>
      <c r="AG201" s="77">
        <f t="shared" si="175"/>
        <v>71.477718478455245</v>
      </c>
      <c r="AH201" s="77">
        <f t="shared" si="176"/>
        <v>39.607996742578592</v>
      </c>
      <c r="AI201" s="78">
        <f t="shared" si="177"/>
        <v>60</v>
      </c>
      <c r="AJ201" s="79">
        <f t="shared" si="160"/>
        <v>2.4</v>
      </c>
      <c r="AK201" s="113">
        <v>4</v>
      </c>
      <c r="AL201" s="113">
        <v>9</v>
      </c>
      <c r="AM201" s="113">
        <v>2</v>
      </c>
      <c r="AN201" s="81">
        <f t="shared" si="178"/>
        <v>13</v>
      </c>
      <c r="AO201" s="82">
        <f t="shared" si="179"/>
        <v>15.384615384615385</v>
      </c>
      <c r="AP201" s="83">
        <f t="shared" si="180"/>
        <v>80</v>
      </c>
      <c r="AQ201" s="84">
        <f t="shared" si="161"/>
        <v>1.6</v>
      </c>
      <c r="AR201" s="118">
        <v>1</v>
      </c>
      <c r="AS201" s="86">
        <f t="shared" si="181"/>
        <v>0.25</v>
      </c>
      <c r="AT201" s="87">
        <f t="shared" si="182"/>
        <v>1</v>
      </c>
      <c r="AU201" s="87">
        <f t="shared" si="183"/>
        <v>1</v>
      </c>
      <c r="AV201" s="88">
        <f t="shared" si="184"/>
        <v>0</v>
      </c>
      <c r="AW201" s="78">
        <f t="shared" si="185"/>
        <v>40</v>
      </c>
      <c r="AX201" s="89">
        <f t="shared" si="162"/>
        <v>0.4</v>
      </c>
      <c r="AY201" s="114">
        <v>19</v>
      </c>
      <c r="AZ201" s="114">
        <v>18</v>
      </c>
      <c r="BA201" s="91">
        <f t="shared" si="186"/>
        <v>19</v>
      </c>
      <c r="BB201" s="77">
        <f t="shared" si="187"/>
        <v>94.73684210526315</v>
      </c>
      <c r="BC201" s="78">
        <f t="shared" si="188"/>
        <v>100</v>
      </c>
      <c r="BD201" s="79">
        <f t="shared" si="163"/>
        <v>1</v>
      </c>
      <c r="BE201" s="92">
        <v>6942653</v>
      </c>
      <c r="BF201" s="92">
        <v>126382</v>
      </c>
      <c r="BG201" s="114">
        <v>190258</v>
      </c>
      <c r="BH201" s="94">
        <f t="shared" si="189"/>
        <v>7069035</v>
      </c>
      <c r="BI201" s="77">
        <f t="shared" si="190"/>
        <v>2.6914281793766759</v>
      </c>
      <c r="BJ201" s="95" t="str">
        <f t="shared" si="191"/>
        <v>금속/비금속/화학업</v>
      </c>
      <c r="BK201" s="96">
        <f t="shared" si="192"/>
        <v>3.9534118626990469</v>
      </c>
      <c r="BL201" s="97">
        <f t="shared" si="193"/>
        <v>-1.261983683322371</v>
      </c>
      <c r="BM201" s="98">
        <f t="shared" si="194"/>
        <v>80</v>
      </c>
      <c r="BN201" s="99">
        <f t="shared" si="195"/>
        <v>1.6</v>
      </c>
      <c r="BO201" s="114">
        <v>4830000</v>
      </c>
      <c r="BP201" s="101">
        <f t="shared" si="196"/>
        <v>1.8862190935093466</v>
      </c>
      <c r="BQ201" s="78">
        <f t="shared" si="197"/>
        <v>70</v>
      </c>
      <c r="BR201" s="79">
        <f t="shared" si="164"/>
        <v>1.4000000000000001</v>
      </c>
      <c r="BS201" s="102">
        <v>14103966</v>
      </c>
      <c r="BT201" s="102">
        <v>5012185</v>
      </c>
      <c r="BU201" s="103">
        <f t="shared" si="198"/>
        <v>9091781</v>
      </c>
      <c r="BV201" s="77">
        <f t="shared" si="199"/>
        <v>3.5505364215746384</v>
      </c>
      <c r="BW201" s="96">
        <f t="shared" si="200"/>
        <v>5.1474158565187738</v>
      </c>
      <c r="BX201" s="96">
        <f t="shared" si="201"/>
        <v>2.5500239297475007</v>
      </c>
      <c r="BY201" s="96">
        <f t="shared" si="202"/>
        <v>6.6930498535228535</v>
      </c>
      <c r="BZ201" s="96">
        <f t="shared" si="203"/>
        <v>59.428735187866458</v>
      </c>
      <c r="CA201" s="96">
        <f t="shared" si="204"/>
        <v>55</v>
      </c>
      <c r="CB201" s="104">
        <f t="shared" si="205"/>
        <v>1.1000000000000001</v>
      </c>
      <c r="CC201" s="105">
        <f t="shared" si="165"/>
        <v>32.417795812823243</v>
      </c>
      <c r="CD201" s="106">
        <f t="shared" si="166"/>
        <v>88.159122181096762</v>
      </c>
      <c r="CE201" s="107">
        <f t="shared" si="167"/>
        <v>1.3223868327164514</v>
      </c>
      <c r="CF201" s="108" t="s">
        <v>2189</v>
      </c>
      <c r="CG201" s="108" t="s">
        <v>2189</v>
      </c>
      <c r="CH201" s="108" t="s">
        <v>2189</v>
      </c>
      <c r="CI201" s="108" t="s">
        <v>2189</v>
      </c>
      <c r="CJ201" s="109"/>
      <c r="CK201" s="116" t="s">
        <v>2195</v>
      </c>
      <c r="CL201" s="116" t="s">
        <v>2196</v>
      </c>
      <c r="CM201" s="111">
        <f t="shared" si="206"/>
        <v>55</v>
      </c>
      <c r="CN201" s="107">
        <f t="shared" si="168"/>
        <v>0.82499999999999996</v>
      </c>
      <c r="CO201" s="114">
        <v>3946941</v>
      </c>
      <c r="CP201" s="88">
        <f t="shared" si="207"/>
        <v>1.791641246307885</v>
      </c>
      <c r="CQ201" s="78">
        <f t="shared" si="208"/>
        <v>100</v>
      </c>
      <c r="CR201" s="79">
        <f t="shared" si="169"/>
        <v>3</v>
      </c>
      <c r="CS201" s="92">
        <f>_xlfn.XLOOKUP(C201, '[1]1-1. 관계사체무보증금액 (환율 등)'!$3:$3, '[1]1-1. 관계사체무보증금액 (환율 등)'!$33:$33)</f>
        <v>0</v>
      </c>
      <c r="CT201" s="77">
        <f t="shared" si="209"/>
        <v>0</v>
      </c>
      <c r="CU201" s="78">
        <f t="shared" si="210"/>
        <v>100</v>
      </c>
      <c r="CV201" s="79">
        <f t="shared" si="170"/>
        <v>2</v>
      </c>
      <c r="CW201" s="112">
        <f t="shared" si="211"/>
        <v>18.046368182405185</v>
      </c>
    </row>
    <row r="202" spans="1:101" x14ac:dyDescent="0.35">
      <c r="A202" s="7" t="s">
        <v>1376</v>
      </c>
      <c r="B202" s="8" t="s">
        <v>1377</v>
      </c>
      <c r="C202" s="21" t="s">
        <v>1378</v>
      </c>
      <c r="D202" s="22" t="s">
        <v>141</v>
      </c>
      <c r="E202" s="11" t="s">
        <v>241</v>
      </c>
      <c r="F202" s="11" t="s">
        <v>1379</v>
      </c>
      <c r="G202" s="12">
        <v>37901</v>
      </c>
      <c r="H202" s="11" t="s">
        <v>24</v>
      </c>
      <c r="I202" s="11" t="s">
        <v>1380</v>
      </c>
      <c r="J202" s="11" t="s">
        <v>1381</v>
      </c>
      <c r="K202" s="11" t="s">
        <v>536</v>
      </c>
      <c r="L202" s="23">
        <v>462207021</v>
      </c>
      <c r="M202" s="14">
        <v>210809722</v>
      </c>
      <c r="N202" s="14">
        <v>251397299</v>
      </c>
      <c r="O202" s="14">
        <v>497212502</v>
      </c>
      <c r="P202" s="14">
        <v>96368755</v>
      </c>
      <c r="Q202" s="14">
        <v>91241096</v>
      </c>
      <c r="R202" s="14">
        <v>85549247</v>
      </c>
      <c r="S202" s="15">
        <v>63246419</v>
      </c>
      <c r="T202" s="15">
        <v>0</v>
      </c>
      <c r="U202" s="15">
        <f>13404873+571000</f>
        <v>13975873</v>
      </c>
      <c r="V202" s="15">
        <f>2700000+100000+9928+42500+2000</f>
        <v>2854428</v>
      </c>
      <c r="W202" s="15">
        <v>0</v>
      </c>
      <c r="X202" s="15">
        <v>0</v>
      </c>
      <c r="Z202" s="15">
        <v>0</v>
      </c>
      <c r="AA202" s="15">
        <v>0</v>
      </c>
      <c r="AB202" s="74">
        <f t="shared" si="171"/>
        <v>16830301</v>
      </c>
      <c r="AC202" s="75">
        <f t="shared" si="172"/>
        <v>26.610678147643423</v>
      </c>
      <c r="AD202" s="75">
        <f t="shared" si="173"/>
        <v>77.119667881780714</v>
      </c>
      <c r="AE202" s="76">
        <f t="shared" si="159"/>
        <v>2.3135900364534212</v>
      </c>
      <c r="AF202" s="77">
        <f t="shared" si="174"/>
        <v>26.610678147643423</v>
      </c>
      <c r="AG202" s="77">
        <f t="shared" si="175"/>
        <v>26.610678147643423</v>
      </c>
      <c r="AH202" s="77">
        <f t="shared" si="176"/>
        <v>0</v>
      </c>
      <c r="AI202" s="78">
        <f t="shared" si="177"/>
        <v>100</v>
      </c>
      <c r="AJ202" s="79">
        <f t="shared" si="160"/>
        <v>4</v>
      </c>
      <c r="AK202" s="113">
        <v>5</v>
      </c>
      <c r="AL202" s="113">
        <v>9</v>
      </c>
      <c r="AM202" s="113">
        <v>1</v>
      </c>
      <c r="AN202" s="81">
        <f t="shared" si="178"/>
        <v>14</v>
      </c>
      <c r="AO202" s="82">
        <f t="shared" si="179"/>
        <v>7.1428571428571423</v>
      </c>
      <c r="AP202" s="83">
        <f t="shared" si="180"/>
        <v>100</v>
      </c>
      <c r="AQ202" s="84">
        <f t="shared" si="161"/>
        <v>2</v>
      </c>
      <c r="AR202" s="118">
        <v>1</v>
      </c>
      <c r="AS202" s="86">
        <f t="shared" si="181"/>
        <v>0.25</v>
      </c>
      <c r="AT202" s="87">
        <f t="shared" si="182"/>
        <v>1.25</v>
      </c>
      <c r="AU202" s="87">
        <f t="shared" si="183"/>
        <v>1</v>
      </c>
      <c r="AV202" s="88">
        <f t="shared" si="184"/>
        <v>0</v>
      </c>
      <c r="AW202" s="78">
        <f t="shared" si="185"/>
        <v>40</v>
      </c>
      <c r="AX202" s="89">
        <f t="shared" si="162"/>
        <v>0.4</v>
      </c>
      <c r="AY202" s="114">
        <v>28</v>
      </c>
      <c r="AZ202" s="114">
        <v>28</v>
      </c>
      <c r="BA202" s="91">
        <f t="shared" si="186"/>
        <v>28</v>
      </c>
      <c r="BB202" s="77">
        <f t="shared" si="187"/>
        <v>100</v>
      </c>
      <c r="BC202" s="78">
        <f t="shared" si="188"/>
        <v>100</v>
      </c>
      <c r="BD202" s="79">
        <f t="shared" si="163"/>
        <v>1</v>
      </c>
      <c r="BE202" s="92">
        <v>7766497</v>
      </c>
      <c r="BF202" s="92">
        <v>1176275</v>
      </c>
      <c r="BG202" s="114">
        <v>242485</v>
      </c>
      <c r="BH202" s="94">
        <f t="shared" si="189"/>
        <v>8942772</v>
      </c>
      <c r="BI202" s="77">
        <f t="shared" si="190"/>
        <v>2.7115194259676976</v>
      </c>
      <c r="BJ202" s="95" t="str">
        <f t="shared" si="191"/>
        <v>전기전자/기계업</v>
      </c>
      <c r="BK202" s="96">
        <f t="shared" si="192"/>
        <v>2.4096449716116446</v>
      </c>
      <c r="BL202" s="97">
        <f t="shared" si="193"/>
        <v>0.30187445435605298</v>
      </c>
      <c r="BM202" s="98">
        <f t="shared" si="194"/>
        <v>60</v>
      </c>
      <c r="BN202" s="99">
        <f t="shared" si="195"/>
        <v>1.2</v>
      </c>
      <c r="BO202" s="114">
        <v>4107000</v>
      </c>
      <c r="BP202" s="101">
        <f t="shared" si="196"/>
        <v>0.82600497442841847</v>
      </c>
      <c r="BQ202" s="78">
        <f t="shared" si="197"/>
        <v>70</v>
      </c>
      <c r="BR202" s="79">
        <f t="shared" si="164"/>
        <v>1.4000000000000001</v>
      </c>
      <c r="BS202" s="102">
        <v>37281602</v>
      </c>
      <c r="BT202" s="102">
        <v>785984</v>
      </c>
      <c r="BU202" s="103">
        <f t="shared" si="198"/>
        <v>36495618</v>
      </c>
      <c r="BV202" s="77">
        <f t="shared" si="199"/>
        <v>7.3400443177110617</v>
      </c>
      <c r="BW202" s="96">
        <f t="shared" si="200"/>
        <v>5.2309968128308295</v>
      </c>
      <c r="BX202" s="96">
        <f t="shared" si="201"/>
        <v>4.4480813778415333</v>
      </c>
      <c r="BY202" s="96">
        <f t="shared" si="202"/>
        <v>7.0695458012309631</v>
      </c>
      <c r="BZ202" s="96">
        <f t="shared" si="203"/>
        <v>38.272619956457653</v>
      </c>
      <c r="CA202" s="96">
        <f t="shared" si="204"/>
        <v>55</v>
      </c>
      <c r="CB202" s="104">
        <f t="shared" si="205"/>
        <v>1.1000000000000001</v>
      </c>
      <c r="CC202" s="105">
        <f t="shared" si="165"/>
        <v>83.855205620168576</v>
      </c>
      <c r="CD202" s="106">
        <f t="shared" si="166"/>
        <v>68.773163710991739</v>
      </c>
      <c r="CE202" s="107">
        <f t="shared" si="167"/>
        <v>1.0315974556648762</v>
      </c>
      <c r="CF202" s="108" t="s">
        <v>2189</v>
      </c>
      <c r="CG202" s="108" t="s">
        <v>2189</v>
      </c>
      <c r="CH202" s="108" t="s">
        <v>2189</v>
      </c>
      <c r="CI202" s="108" t="s">
        <v>2189</v>
      </c>
      <c r="CJ202" s="109"/>
      <c r="CK202" s="116" t="s">
        <v>2228</v>
      </c>
      <c r="CL202" s="116" t="s">
        <v>2209</v>
      </c>
      <c r="CM202" s="111">
        <f t="shared" si="206"/>
        <v>40</v>
      </c>
      <c r="CN202" s="107">
        <f t="shared" si="168"/>
        <v>0.6</v>
      </c>
      <c r="CO202" s="114">
        <f>44690616-55295</f>
        <v>44635321</v>
      </c>
      <c r="CP202" s="88">
        <f t="shared" si="207"/>
        <v>17.754892824047406</v>
      </c>
      <c r="CQ202" s="78">
        <f t="shared" si="208"/>
        <v>60</v>
      </c>
      <c r="CR202" s="79">
        <f t="shared" si="169"/>
        <v>1.7999999999999998</v>
      </c>
      <c r="CS202" s="92">
        <f>_xlfn.XLOOKUP(C202, '[1]1-1. 관계사체무보증금액 (환율 등)'!$3:$3, '[1]1-1. 관계사체무보증금액 (환율 등)'!$33:$33)</f>
        <v>51086653</v>
      </c>
      <c r="CT202" s="77">
        <f t="shared" si="209"/>
        <v>20.321082685936094</v>
      </c>
      <c r="CU202" s="78">
        <f t="shared" si="210"/>
        <v>60</v>
      </c>
      <c r="CV202" s="79">
        <f t="shared" si="170"/>
        <v>1.2</v>
      </c>
      <c r="CW202" s="112">
        <f t="shared" si="211"/>
        <v>18.045187492118295</v>
      </c>
    </row>
    <row r="203" spans="1:101" x14ac:dyDescent="0.35">
      <c r="A203" s="7" t="s">
        <v>537</v>
      </c>
      <c r="B203" s="8" t="s">
        <v>538</v>
      </c>
      <c r="C203" s="21" t="s">
        <v>539</v>
      </c>
      <c r="D203" s="10" t="s">
        <v>31</v>
      </c>
      <c r="E203" s="11" t="s">
        <v>46</v>
      </c>
      <c r="F203" s="11" t="s">
        <v>540</v>
      </c>
      <c r="G203" s="12">
        <v>25659</v>
      </c>
      <c r="H203" s="11" t="s">
        <v>24</v>
      </c>
      <c r="I203" s="11" t="s">
        <v>541</v>
      </c>
      <c r="J203" s="11" t="s">
        <v>542</v>
      </c>
      <c r="K203" s="11" t="s">
        <v>27</v>
      </c>
      <c r="L203" s="23">
        <v>2858930432</v>
      </c>
      <c r="M203" s="14">
        <v>1570209001</v>
      </c>
      <c r="N203" s="14">
        <v>1288721432</v>
      </c>
      <c r="O203" s="14">
        <v>3289633814</v>
      </c>
      <c r="P203" s="14">
        <v>129259533</v>
      </c>
      <c r="Q203" s="14">
        <v>115619859</v>
      </c>
      <c r="R203" s="14">
        <v>84739843</v>
      </c>
      <c r="S203" s="15">
        <v>34648025</v>
      </c>
      <c r="T203" s="15">
        <v>0</v>
      </c>
      <c r="U203" s="15">
        <f>244670+13608456</f>
        <v>13853126</v>
      </c>
      <c r="V203" s="15">
        <v>159000</v>
      </c>
      <c r="W203" s="15">
        <f>1000</f>
        <v>1000</v>
      </c>
      <c r="X203" s="15">
        <v>1324957</v>
      </c>
      <c r="Y203" s="24" t="s">
        <v>2069</v>
      </c>
      <c r="Z203" s="15">
        <v>0</v>
      </c>
      <c r="AA203" s="15">
        <v>0</v>
      </c>
      <c r="AB203" s="74">
        <f t="shared" si="171"/>
        <v>15338083</v>
      </c>
      <c r="AC203" s="75">
        <f t="shared" si="172"/>
        <v>44.268275031549422</v>
      </c>
      <c r="AD203" s="75">
        <f t="shared" si="173"/>
        <v>61.880084840434911</v>
      </c>
      <c r="AE203" s="76">
        <f t="shared" si="159"/>
        <v>1.8564025452130473</v>
      </c>
      <c r="AF203" s="77">
        <f t="shared" si="174"/>
        <v>40.441341173126027</v>
      </c>
      <c r="AG203" s="77">
        <f t="shared" si="175"/>
        <v>44.268275031549422</v>
      </c>
      <c r="AH203" s="77">
        <f t="shared" si="176"/>
        <v>3.826933858423395</v>
      </c>
      <c r="AI203" s="78">
        <f t="shared" si="177"/>
        <v>100</v>
      </c>
      <c r="AJ203" s="79">
        <f t="shared" si="160"/>
        <v>4</v>
      </c>
      <c r="AK203" s="113">
        <v>7</v>
      </c>
      <c r="AL203" s="113">
        <v>47</v>
      </c>
      <c r="AM203" s="80">
        <v>1</v>
      </c>
      <c r="AN203" s="81">
        <f t="shared" si="178"/>
        <v>54</v>
      </c>
      <c r="AO203" s="82">
        <f t="shared" si="179"/>
        <v>1.8518518518518516</v>
      </c>
      <c r="AP203" s="83">
        <f t="shared" si="180"/>
        <v>100</v>
      </c>
      <c r="AQ203" s="84">
        <f t="shared" si="161"/>
        <v>2</v>
      </c>
      <c r="AR203" s="118">
        <v>4</v>
      </c>
      <c r="AS203" s="86">
        <f t="shared" si="181"/>
        <v>0.5</v>
      </c>
      <c r="AT203" s="87">
        <f t="shared" si="182"/>
        <v>3.5</v>
      </c>
      <c r="AU203" s="87">
        <f t="shared" si="183"/>
        <v>3</v>
      </c>
      <c r="AV203" s="88">
        <f t="shared" si="184"/>
        <v>14.285714285714285</v>
      </c>
      <c r="AW203" s="78">
        <f t="shared" si="185"/>
        <v>60</v>
      </c>
      <c r="AX203" s="89">
        <f t="shared" si="162"/>
        <v>0.6</v>
      </c>
      <c r="AY203" s="114">
        <v>11</v>
      </c>
      <c r="AZ203" s="114">
        <v>44</v>
      </c>
      <c r="BA203" s="91">
        <f t="shared" si="186"/>
        <v>44</v>
      </c>
      <c r="BB203" s="77">
        <f t="shared" si="187"/>
        <v>100</v>
      </c>
      <c r="BC203" s="78">
        <f t="shared" si="188"/>
        <v>100</v>
      </c>
      <c r="BD203" s="79">
        <f t="shared" si="163"/>
        <v>1</v>
      </c>
      <c r="BE203" s="92">
        <v>213002000</v>
      </c>
      <c r="BF203" s="92">
        <v>21538000</v>
      </c>
      <c r="BG203" s="114">
        <v>5632000</v>
      </c>
      <c r="BH203" s="94">
        <f t="shared" si="189"/>
        <v>234540000</v>
      </c>
      <c r="BI203" s="77">
        <f t="shared" si="190"/>
        <v>2.401296154174128</v>
      </c>
      <c r="BJ203" s="95" t="str">
        <f t="shared" si="191"/>
        <v>식약/섬유/종이업</v>
      </c>
      <c r="BK203" s="96">
        <f t="shared" si="192"/>
        <v>2.1999360555264453</v>
      </c>
      <c r="BL203" s="97">
        <f t="shared" si="193"/>
        <v>0.20136009864768267</v>
      </c>
      <c r="BM203" s="98">
        <f t="shared" si="194"/>
        <v>60</v>
      </c>
      <c r="BN203" s="99">
        <f t="shared" si="195"/>
        <v>1.2</v>
      </c>
      <c r="BO203" s="114">
        <v>34665000</v>
      </c>
      <c r="BP203" s="101">
        <f t="shared" si="196"/>
        <v>1.0537647033074911</v>
      </c>
      <c r="BQ203" s="78">
        <f t="shared" si="197"/>
        <v>70</v>
      </c>
      <c r="BR203" s="79">
        <f t="shared" si="164"/>
        <v>1.4000000000000001</v>
      </c>
      <c r="BS203" s="102">
        <v>148840635.29100001</v>
      </c>
      <c r="BT203" s="102">
        <v>875675.88</v>
      </c>
      <c r="BU203" s="103">
        <f t="shared" si="198"/>
        <v>147964959.41100001</v>
      </c>
      <c r="BV203" s="77">
        <f t="shared" si="199"/>
        <v>4.4979158099996353</v>
      </c>
      <c r="BW203" s="96">
        <f t="shared" si="200"/>
        <v>5.0508176117342298</v>
      </c>
      <c r="BX203" s="96">
        <f t="shared" si="201"/>
        <v>0.30570040236136092</v>
      </c>
      <c r="BY203" s="96">
        <f t="shared" si="202"/>
        <v>6.9871618081220923</v>
      </c>
      <c r="BZ203" s="96">
        <f t="shared" si="203"/>
        <v>53.153582669120212</v>
      </c>
      <c r="CA203" s="96">
        <f t="shared" si="204"/>
        <v>55</v>
      </c>
      <c r="CB203" s="104">
        <f t="shared" si="205"/>
        <v>1.1000000000000001</v>
      </c>
      <c r="CC203" s="105">
        <f t="shared" si="165"/>
        <v>121.84239060594749</v>
      </c>
      <c r="CD203" s="106">
        <f t="shared" si="166"/>
        <v>54.456385450019788</v>
      </c>
      <c r="CE203" s="107">
        <f t="shared" si="167"/>
        <v>0.81684578175029676</v>
      </c>
      <c r="CF203" s="108" t="s">
        <v>2189</v>
      </c>
      <c r="CG203" s="108" t="s">
        <v>2189</v>
      </c>
      <c r="CH203" s="108" t="s">
        <v>2189</v>
      </c>
      <c r="CI203" s="108" t="s">
        <v>2189</v>
      </c>
      <c r="CJ203" s="109"/>
      <c r="CK203" s="116" t="s">
        <v>2203</v>
      </c>
      <c r="CL203" s="116" t="s">
        <v>2204</v>
      </c>
      <c r="CM203" s="111">
        <f t="shared" si="206"/>
        <v>70</v>
      </c>
      <c r="CN203" s="107">
        <f t="shared" si="168"/>
        <v>1.05</v>
      </c>
      <c r="CO203" s="114">
        <v>410194000</v>
      </c>
      <c r="CP203" s="88">
        <f t="shared" si="207"/>
        <v>31.829531954272642</v>
      </c>
      <c r="CQ203" s="78">
        <f t="shared" si="208"/>
        <v>60</v>
      </c>
      <c r="CR203" s="79">
        <f t="shared" si="169"/>
        <v>1.7999999999999998</v>
      </c>
      <c r="CS203" s="92">
        <f>_xlfn.XLOOKUP(C203, '[1]1-1. 관계사체무보증금액 (환율 등)'!$3:$3, '[1]1-1. 관계사체무보증금액 (환율 등)'!$33:$33)</f>
        <v>160826000</v>
      </c>
      <c r="CT203" s="77">
        <f t="shared" si="209"/>
        <v>12.479500690107246</v>
      </c>
      <c r="CU203" s="78">
        <f t="shared" si="210"/>
        <v>60</v>
      </c>
      <c r="CV203" s="79">
        <f t="shared" si="170"/>
        <v>1.2</v>
      </c>
      <c r="CW203" s="112">
        <f t="shared" si="211"/>
        <v>18.023248326963344</v>
      </c>
    </row>
    <row r="204" spans="1:101" x14ac:dyDescent="0.35">
      <c r="A204" s="7" t="s">
        <v>1712</v>
      </c>
      <c r="B204" s="8" t="s">
        <v>1713</v>
      </c>
      <c r="C204" s="21" t="s">
        <v>1714</v>
      </c>
      <c r="D204" s="10" t="s">
        <v>31</v>
      </c>
      <c r="E204" s="11" t="s">
        <v>46</v>
      </c>
      <c r="F204" s="11" t="s">
        <v>1715</v>
      </c>
      <c r="G204" s="12">
        <v>34977</v>
      </c>
      <c r="H204" s="11" t="s">
        <v>24</v>
      </c>
      <c r="I204" s="11" t="s">
        <v>1716</v>
      </c>
      <c r="J204" s="11" t="s">
        <v>1717</v>
      </c>
      <c r="K204" s="11" t="s">
        <v>280</v>
      </c>
      <c r="L204" s="23">
        <v>661278860</v>
      </c>
      <c r="M204" s="14">
        <v>160390048</v>
      </c>
      <c r="N204" s="14">
        <v>500888812</v>
      </c>
      <c r="O204" s="14">
        <v>123375352</v>
      </c>
      <c r="P204" s="14">
        <v>27450398</v>
      </c>
      <c r="Q204" s="14">
        <v>12038623</v>
      </c>
      <c r="R204" s="14">
        <v>8192124</v>
      </c>
      <c r="S204" s="15">
        <v>38120542</v>
      </c>
      <c r="T204" s="15">
        <v>1349700</v>
      </c>
      <c r="U204" s="15">
        <v>21735780</v>
      </c>
      <c r="V204" s="15">
        <f>236040+82990</f>
        <v>319030</v>
      </c>
      <c r="W204" s="15">
        <f>85750+2000+100+300+2000</f>
        <v>90150</v>
      </c>
      <c r="X204" s="15">
        <v>0</v>
      </c>
      <c r="Z204" s="15">
        <v>747000</v>
      </c>
      <c r="AA204" s="15">
        <v>0</v>
      </c>
      <c r="AB204" s="74">
        <f t="shared" si="171"/>
        <v>22891960</v>
      </c>
      <c r="AC204" s="75">
        <f t="shared" si="172"/>
        <v>60.051507137542806</v>
      </c>
      <c r="AD204" s="75">
        <f t="shared" si="173"/>
        <v>48.258192919266854</v>
      </c>
      <c r="AE204" s="76">
        <f t="shared" si="159"/>
        <v>1.4477457875780055</v>
      </c>
      <c r="AF204" s="77">
        <f t="shared" si="174"/>
        <v>59.979072548841827</v>
      </c>
      <c r="AG204" s="77">
        <f t="shared" si="175"/>
        <v>62.255740567485503</v>
      </c>
      <c r="AH204" s="77">
        <f t="shared" si="176"/>
        <v>2.2766680186436759</v>
      </c>
      <c r="AI204" s="78">
        <f t="shared" si="177"/>
        <v>100</v>
      </c>
      <c r="AJ204" s="79">
        <f t="shared" si="160"/>
        <v>4</v>
      </c>
      <c r="AK204" s="113">
        <v>11</v>
      </c>
      <c r="AL204" s="113">
        <v>16</v>
      </c>
      <c r="AM204" s="113">
        <v>1</v>
      </c>
      <c r="AN204" s="81">
        <f t="shared" si="178"/>
        <v>27</v>
      </c>
      <c r="AO204" s="82">
        <f t="shared" si="179"/>
        <v>3.7037037037037033</v>
      </c>
      <c r="AP204" s="83">
        <f t="shared" si="180"/>
        <v>100</v>
      </c>
      <c r="AQ204" s="84">
        <f t="shared" si="161"/>
        <v>2</v>
      </c>
      <c r="AR204" s="118">
        <v>8</v>
      </c>
      <c r="AS204" s="86">
        <f t="shared" si="181"/>
        <v>0.25</v>
      </c>
      <c r="AT204" s="87">
        <f t="shared" si="182"/>
        <v>2.75</v>
      </c>
      <c r="AU204" s="87">
        <f t="shared" si="183"/>
        <v>2</v>
      </c>
      <c r="AV204" s="88">
        <f t="shared" si="184"/>
        <v>54.54545454545454</v>
      </c>
      <c r="AW204" s="78">
        <f t="shared" si="185"/>
        <v>100</v>
      </c>
      <c r="AX204" s="89">
        <f t="shared" si="162"/>
        <v>1</v>
      </c>
      <c r="AY204" s="114">
        <v>7</v>
      </c>
      <c r="AZ204" s="114">
        <f>56-7</f>
        <v>49</v>
      </c>
      <c r="BA204" s="91">
        <f t="shared" si="186"/>
        <v>56</v>
      </c>
      <c r="BB204" s="77">
        <f t="shared" si="187"/>
        <v>87.5</v>
      </c>
      <c r="BC204" s="78">
        <f t="shared" si="188"/>
        <v>75</v>
      </c>
      <c r="BD204" s="79">
        <f t="shared" si="163"/>
        <v>0.75</v>
      </c>
      <c r="BE204" s="92">
        <v>22468662</v>
      </c>
      <c r="BF204" s="92">
        <v>2687960</v>
      </c>
      <c r="BG204" s="93">
        <v>0</v>
      </c>
      <c r="BH204" s="94">
        <f t="shared" si="189"/>
        <v>25156622</v>
      </c>
      <c r="BI204" s="77">
        <f t="shared" si="190"/>
        <v>0</v>
      </c>
      <c r="BJ204" s="95" t="str">
        <f t="shared" si="191"/>
        <v>식약/섬유/종이업</v>
      </c>
      <c r="BK204" s="96">
        <f t="shared" si="192"/>
        <v>2.1999360555264453</v>
      </c>
      <c r="BL204" s="97">
        <f t="shared" si="193"/>
        <v>-2.1999360555264453</v>
      </c>
      <c r="BM204" s="98">
        <f t="shared" si="194"/>
        <v>100</v>
      </c>
      <c r="BN204" s="99">
        <f t="shared" si="195"/>
        <v>2</v>
      </c>
      <c r="BO204" s="114">
        <f>27654852-25068000</f>
        <v>2586852</v>
      </c>
      <c r="BP204" s="101">
        <f t="shared" si="196"/>
        <v>2.0967332275574782</v>
      </c>
      <c r="BQ204" s="78">
        <f t="shared" si="197"/>
        <v>85</v>
      </c>
      <c r="BR204" s="79">
        <f t="shared" si="164"/>
        <v>1.7</v>
      </c>
      <c r="BS204" s="102">
        <v>3355507.5180000002</v>
      </c>
      <c r="BT204" s="102">
        <v>17153.32</v>
      </c>
      <c r="BU204" s="103">
        <f t="shared" si="198"/>
        <v>3338354.1980000003</v>
      </c>
      <c r="BV204" s="77">
        <f t="shared" si="199"/>
        <v>2.7058518122809492</v>
      </c>
      <c r="BW204" s="96">
        <f t="shared" si="200"/>
        <v>5.0508176117342298</v>
      </c>
      <c r="BX204" s="96">
        <f t="shared" si="201"/>
        <v>5.4988646006055637</v>
      </c>
      <c r="BY204" s="96">
        <f t="shared" si="202"/>
        <v>6.9871618081220923</v>
      </c>
      <c r="BZ204" s="96">
        <f t="shared" si="203"/>
        <v>63.14177477825357</v>
      </c>
      <c r="CA204" s="96">
        <f t="shared" si="204"/>
        <v>40</v>
      </c>
      <c r="CB204" s="104">
        <f t="shared" si="205"/>
        <v>0.8</v>
      </c>
      <c r="CC204" s="105">
        <f t="shared" si="165"/>
        <v>32.021088145206967</v>
      </c>
      <c r="CD204" s="106">
        <f t="shared" si="166"/>
        <v>88.308635121153159</v>
      </c>
      <c r="CE204" s="107">
        <f t="shared" si="167"/>
        <v>1.3246295268172974</v>
      </c>
      <c r="CF204" s="108" t="s">
        <v>2189</v>
      </c>
      <c r="CG204" s="108" t="s">
        <v>2189</v>
      </c>
      <c r="CH204" s="108" t="s">
        <v>2189</v>
      </c>
      <c r="CI204" s="108" t="s">
        <v>2189</v>
      </c>
      <c r="CJ204" s="109"/>
      <c r="CK204" s="116" t="s">
        <v>2208</v>
      </c>
      <c r="CL204" s="116" t="s">
        <v>2209</v>
      </c>
      <c r="CM204" s="111">
        <f t="shared" si="206"/>
        <v>40</v>
      </c>
      <c r="CN204" s="107">
        <f t="shared" si="168"/>
        <v>0.6</v>
      </c>
      <c r="CO204" s="114">
        <f>480133019-2192703</f>
        <v>477940316</v>
      </c>
      <c r="CP204" s="88">
        <f t="shared" si="207"/>
        <v>95.418445081979584</v>
      </c>
      <c r="CQ204" s="78">
        <f t="shared" si="208"/>
        <v>40</v>
      </c>
      <c r="CR204" s="79">
        <f t="shared" si="169"/>
        <v>1.2</v>
      </c>
      <c r="CS204" s="92">
        <f>_xlfn.XLOOKUP(C204, '[1]1-1. 관계사체무보증금액 (환율 등)'!$3:$3, '[1]1-1. 관계사체무보증금액 (환율 등)'!$33:$33)</f>
        <v>61364316.521480076</v>
      </c>
      <c r="CT204" s="77">
        <f t="shared" si="209"/>
        <v>12.251085480719437</v>
      </c>
      <c r="CU204" s="78">
        <f t="shared" si="210"/>
        <v>60</v>
      </c>
      <c r="CV204" s="79">
        <f t="shared" si="170"/>
        <v>1.2</v>
      </c>
      <c r="CW204" s="112">
        <f t="shared" si="211"/>
        <v>18.022375314395301</v>
      </c>
    </row>
    <row r="205" spans="1:101" x14ac:dyDescent="0.35">
      <c r="A205" s="7" t="s">
        <v>1694</v>
      </c>
      <c r="B205" s="8" t="s">
        <v>1695</v>
      </c>
      <c r="C205" s="21" t="s">
        <v>1696</v>
      </c>
      <c r="D205" s="10" t="s">
        <v>31</v>
      </c>
      <c r="E205" s="11" t="s">
        <v>1122</v>
      </c>
      <c r="F205" s="11" t="s">
        <v>1697</v>
      </c>
      <c r="G205" s="12">
        <v>35423</v>
      </c>
      <c r="H205" s="11" t="s">
        <v>24</v>
      </c>
      <c r="I205" s="11" t="s">
        <v>1698</v>
      </c>
      <c r="J205" s="11" t="s">
        <v>1699</v>
      </c>
      <c r="K205" s="11" t="s">
        <v>27</v>
      </c>
      <c r="L205" s="23">
        <v>557374543</v>
      </c>
      <c r="M205" s="14">
        <v>67942165</v>
      </c>
      <c r="N205" s="14">
        <v>489432378</v>
      </c>
      <c r="O205" s="14">
        <v>373267542</v>
      </c>
      <c r="P205" s="14">
        <v>36440646</v>
      </c>
      <c r="Q205" s="14">
        <v>14928841</v>
      </c>
      <c r="R205" s="14">
        <v>9950190</v>
      </c>
      <c r="S205" s="15">
        <v>11500000</v>
      </c>
      <c r="T205" s="15">
        <v>2539761</v>
      </c>
      <c r="U205" s="15">
        <f>3860956+1920056</f>
        <v>5781012</v>
      </c>
      <c r="V205" s="15">
        <f>73600+64400+64400</f>
        <v>202400</v>
      </c>
      <c r="W205" s="15">
        <f>16317+150*2+184</f>
        <v>16801</v>
      </c>
      <c r="X205" s="15">
        <v>177000</v>
      </c>
      <c r="Y205" s="24" t="s">
        <v>2109</v>
      </c>
      <c r="Z205" s="15">
        <v>115000</v>
      </c>
      <c r="AA205" s="15">
        <v>0</v>
      </c>
      <c r="AB205" s="74">
        <f t="shared" si="171"/>
        <v>6292213</v>
      </c>
      <c r="AC205" s="75">
        <f t="shared" si="172"/>
        <v>54.714895652173908</v>
      </c>
      <c r="AD205" s="75">
        <f t="shared" si="173"/>
        <v>52.864014109170967</v>
      </c>
      <c r="AE205" s="76">
        <f t="shared" si="159"/>
        <v>1.5859204232751289</v>
      </c>
      <c r="AF205" s="77">
        <f t="shared" si="174"/>
        <v>66.777370558977282</v>
      </c>
      <c r="AG205" s="77">
        <f t="shared" si="175"/>
        <v>70.223718362869562</v>
      </c>
      <c r="AH205" s="77">
        <f t="shared" si="176"/>
        <v>3.4463478038922801</v>
      </c>
      <c r="AI205" s="78">
        <f t="shared" si="177"/>
        <v>100</v>
      </c>
      <c r="AJ205" s="79">
        <f t="shared" si="160"/>
        <v>4</v>
      </c>
      <c r="AK205" s="113">
        <v>5</v>
      </c>
      <c r="AL205" s="113">
        <v>5</v>
      </c>
      <c r="AM205" s="113">
        <v>1</v>
      </c>
      <c r="AN205" s="81">
        <f t="shared" si="178"/>
        <v>10</v>
      </c>
      <c r="AO205" s="82">
        <f t="shared" si="179"/>
        <v>10</v>
      </c>
      <c r="AP205" s="83">
        <f t="shared" si="180"/>
        <v>80</v>
      </c>
      <c r="AQ205" s="84">
        <f t="shared" si="161"/>
        <v>1.6</v>
      </c>
      <c r="AR205" s="118">
        <v>2</v>
      </c>
      <c r="AS205" s="86">
        <f t="shared" si="181"/>
        <v>0.25</v>
      </c>
      <c r="AT205" s="87">
        <f t="shared" si="182"/>
        <v>1.25</v>
      </c>
      <c r="AU205" s="87">
        <f t="shared" si="183"/>
        <v>1</v>
      </c>
      <c r="AV205" s="88">
        <f t="shared" si="184"/>
        <v>20</v>
      </c>
      <c r="AW205" s="78">
        <f t="shared" si="185"/>
        <v>80</v>
      </c>
      <c r="AX205" s="89">
        <f t="shared" si="162"/>
        <v>0.8</v>
      </c>
      <c r="AY205" s="114">
        <v>6</v>
      </c>
      <c r="AZ205" s="114">
        <f>12-4</f>
        <v>8</v>
      </c>
      <c r="BA205" s="91">
        <f t="shared" si="186"/>
        <v>12</v>
      </c>
      <c r="BB205" s="77">
        <f t="shared" si="187"/>
        <v>66.666666666666657</v>
      </c>
      <c r="BC205" s="78">
        <f t="shared" si="188"/>
        <v>25</v>
      </c>
      <c r="BD205" s="79">
        <f t="shared" si="163"/>
        <v>0.25</v>
      </c>
      <c r="BE205" s="92">
        <v>8233382.79</v>
      </c>
      <c r="BF205" s="92">
        <v>645393.45600000001</v>
      </c>
      <c r="BG205" s="114">
        <v>120275.976</v>
      </c>
      <c r="BH205" s="94">
        <f t="shared" si="189"/>
        <v>8878776.2459999993</v>
      </c>
      <c r="BI205" s="77">
        <f t="shared" si="190"/>
        <v>1.3546458731200242</v>
      </c>
      <c r="BJ205" s="95" t="str">
        <f t="shared" si="191"/>
        <v>식약/섬유/종이업</v>
      </c>
      <c r="BK205" s="96">
        <f t="shared" si="192"/>
        <v>2.1999360555264453</v>
      </c>
      <c r="BL205" s="97">
        <f t="shared" si="193"/>
        <v>-0.84529018240642118</v>
      </c>
      <c r="BM205" s="98">
        <f t="shared" si="194"/>
        <v>80</v>
      </c>
      <c r="BN205" s="99">
        <f t="shared" si="195"/>
        <v>1.6</v>
      </c>
      <c r="BO205" s="114">
        <v>1702098.9669999999</v>
      </c>
      <c r="BP205" s="101">
        <f t="shared" si="196"/>
        <v>0.45599972552663043</v>
      </c>
      <c r="BQ205" s="78">
        <f t="shared" si="197"/>
        <v>55</v>
      </c>
      <c r="BR205" s="79">
        <f t="shared" si="164"/>
        <v>1.1000000000000001</v>
      </c>
      <c r="BS205" s="102">
        <v>7652387.2800000003</v>
      </c>
      <c r="BT205" s="102">
        <v>12188300.744000001</v>
      </c>
      <c r="BU205" s="103">
        <f t="shared" si="198"/>
        <v>-4535913.4640000006</v>
      </c>
      <c r="BV205" s="77">
        <f t="shared" si="199"/>
        <v>-1.2151909699129426</v>
      </c>
      <c r="BW205" s="96">
        <f t="shared" si="200"/>
        <v>5.0508176117342298</v>
      </c>
      <c r="BX205" s="96">
        <f t="shared" si="201"/>
        <v>39.262863545276012</v>
      </c>
      <c r="BY205" s="96">
        <f t="shared" si="202"/>
        <v>6.9871618081220923</v>
      </c>
      <c r="BZ205" s="96">
        <f t="shared" si="203"/>
        <v>81.508419216280259</v>
      </c>
      <c r="CA205" s="96">
        <f t="shared" si="204"/>
        <v>40</v>
      </c>
      <c r="CB205" s="104">
        <f t="shared" si="205"/>
        <v>0.8</v>
      </c>
      <c r="CC205" s="105">
        <f t="shared" si="165"/>
        <v>13.881828839693153</v>
      </c>
      <c r="CD205" s="106">
        <f t="shared" si="166"/>
        <v>95.145039382025189</v>
      </c>
      <c r="CE205" s="107">
        <f t="shared" si="167"/>
        <v>1.4271755907303778</v>
      </c>
      <c r="CF205" s="108" t="s">
        <v>2189</v>
      </c>
      <c r="CG205" s="108" t="s">
        <v>2189</v>
      </c>
      <c r="CH205" s="108" t="s">
        <v>2189</v>
      </c>
      <c r="CI205" s="108" t="s">
        <v>2189</v>
      </c>
      <c r="CJ205" s="109"/>
      <c r="CK205" s="116" t="s">
        <v>2207</v>
      </c>
      <c r="CL205" s="116" t="s">
        <v>2204</v>
      </c>
      <c r="CM205" s="111">
        <f t="shared" si="206"/>
        <v>70</v>
      </c>
      <c r="CN205" s="107">
        <f t="shared" si="168"/>
        <v>1.05</v>
      </c>
      <c r="CO205" s="114">
        <f>54325637.532</f>
        <v>54325637.531999998</v>
      </c>
      <c r="CP205" s="88">
        <f t="shared" si="207"/>
        <v>11.099722857321874</v>
      </c>
      <c r="CQ205" s="78">
        <f t="shared" si="208"/>
        <v>60</v>
      </c>
      <c r="CR205" s="79">
        <f t="shared" si="169"/>
        <v>1.7999999999999998</v>
      </c>
      <c r="CS205" s="92">
        <f>_xlfn.XLOOKUP(C205, '[1]1-1. 관계사체무보증금액 (환율 등)'!$3:$3, '[1]1-1. 관계사체무보증금액 (환율 등)'!$33:$33)</f>
        <v>0</v>
      </c>
      <c r="CT205" s="77">
        <f t="shared" si="209"/>
        <v>0</v>
      </c>
      <c r="CU205" s="78">
        <f t="shared" si="210"/>
        <v>100</v>
      </c>
      <c r="CV205" s="79">
        <f t="shared" si="170"/>
        <v>2</v>
      </c>
      <c r="CW205" s="112">
        <f t="shared" si="211"/>
        <v>18.013096014005509</v>
      </c>
    </row>
    <row r="206" spans="1:101" x14ac:dyDescent="0.35">
      <c r="A206" s="7" t="s">
        <v>1910</v>
      </c>
      <c r="B206" s="188" t="s">
        <v>1911</v>
      </c>
      <c r="C206" s="21" t="s">
        <v>1912</v>
      </c>
      <c r="D206" s="10" t="s">
        <v>21</v>
      </c>
      <c r="E206" s="11" t="s">
        <v>91</v>
      </c>
      <c r="F206" s="11" t="s">
        <v>1913</v>
      </c>
      <c r="G206" s="12">
        <v>31038</v>
      </c>
      <c r="H206" s="11" t="s">
        <v>24</v>
      </c>
      <c r="I206" s="11" t="s">
        <v>1914</v>
      </c>
      <c r="J206" s="11" t="s">
        <v>1915</v>
      </c>
      <c r="K206" s="11" t="s">
        <v>27</v>
      </c>
      <c r="L206" s="23">
        <v>13738416000</v>
      </c>
      <c r="M206" s="14">
        <v>7344179000</v>
      </c>
      <c r="N206" s="14">
        <v>6394237000</v>
      </c>
      <c r="O206" s="14">
        <v>11978479000</v>
      </c>
      <c r="P206" s="14">
        <v>346342000</v>
      </c>
      <c r="Q206" s="14">
        <v>503694000</v>
      </c>
      <c r="R206" s="14">
        <v>346572000</v>
      </c>
      <c r="S206" s="15">
        <v>111355765</v>
      </c>
      <c r="T206" s="15">
        <v>0</v>
      </c>
      <c r="U206" s="15">
        <v>23327400</v>
      </c>
      <c r="V206" s="15">
        <v>0</v>
      </c>
      <c r="W206" s="15">
        <f>4300+39+100+668+19+212+201+171*2+199+120+171+9+7+210+185+12+33+152+36+110+20</f>
        <v>7145</v>
      </c>
      <c r="X206" s="15">
        <v>0</v>
      </c>
      <c r="Z206" s="15">
        <f>5831850+9719750</f>
        <v>15551600</v>
      </c>
      <c r="AA206" s="15">
        <v>0</v>
      </c>
      <c r="AB206" s="74">
        <f t="shared" si="171"/>
        <v>38886145</v>
      </c>
      <c r="AC206" s="75">
        <f t="shared" si="172"/>
        <v>34.92063926820493</v>
      </c>
      <c r="AD206" s="75">
        <f t="shared" si="173"/>
        <v>69.94766461317181</v>
      </c>
      <c r="AE206" s="76">
        <f t="shared" si="159"/>
        <v>2.0984299383951543</v>
      </c>
      <c r="AF206" s="77">
        <f t="shared" si="174"/>
        <v>20.948533737790765</v>
      </c>
      <c r="AG206" s="77">
        <f t="shared" si="175"/>
        <v>34.92063926820493</v>
      </c>
      <c r="AH206" s="77">
        <f t="shared" si="176"/>
        <v>13.972105530414165</v>
      </c>
      <c r="AI206" s="78">
        <f t="shared" si="177"/>
        <v>80</v>
      </c>
      <c r="AJ206" s="79">
        <f t="shared" si="160"/>
        <v>3.2</v>
      </c>
      <c r="AK206" s="113">
        <v>7</v>
      </c>
      <c r="AL206" s="113">
        <v>81</v>
      </c>
      <c r="AM206" s="113">
        <v>0</v>
      </c>
      <c r="AN206" s="81">
        <f t="shared" si="178"/>
        <v>88</v>
      </c>
      <c r="AO206" s="82">
        <f t="shared" si="179"/>
        <v>0</v>
      </c>
      <c r="AP206" s="83">
        <f t="shared" si="180"/>
        <v>100</v>
      </c>
      <c r="AQ206" s="84">
        <f t="shared" si="161"/>
        <v>2</v>
      </c>
      <c r="AR206" s="118">
        <v>4</v>
      </c>
      <c r="AS206" s="86">
        <f t="shared" si="181"/>
        <v>0.5</v>
      </c>
      <c r="AT206" s="87">
        <f t="shared" si="182"/>
        <v>3.5</v>
      </c>
      <c r="AU206" s="87">
        <f t="shared" si="183"/>
        <v>3</v>
      </c>
      <c r="AV206" s="88">
        <f t="shared" si="184"/>
        <v>14.285714285714285</v>
      </c>
      <c r="AW206" s="78">
        <f t="shared" si="185"/>
        <v>60</v>
      </c>
      <c r="AX206" s="89">
        <f t="shared" si="162"/>
        <v>0.6</v>
      </c>
      <c r="AY206" s="114">
        <v>11</v>
      </c>
      <c r="AZ206" s="114">
        <f>44-2</f>
        <v>42</v>
      </c>
      <c r="BA206" s="91">
        <f t="shared" si="186"/>
        <v>44</v>
      </c>
      <c r="BB206" s="77">
        <f t="shared" si="187"/>
        <v>95.454545454545453</v>
      </c>
      <c r="BC206" s="78">
        <f t="shared" si="188"/>
        <v>100</v>
      </c>
      <c r="BD206" s="79">
        <f t="shared" si="163"/>
        <v>1</v>
      </c>
      <c r="BE206" s="92">
        <v>230697000</v>
      </c>
      <c r="BF206" s="92">
        <v>13049000</v>
      </c>
      <c r="BG206" s="93">
        <v>0</v>
      </c>
      <c r="BH206" s="94">
        <f t="shared" si="189"/>
        <v>243746000</v>
      </c>
      <c r="BI206" s="77">
        <f t="shared" si="190"/>
        <v>0</v>
      </c>
      <c r="BJ206" s="95" t="str">
        <f t="shared" si="191"/>
        <v>비제조/서비스업</v>
      </c>
      <c r="BK206" s="96">
        <f t="shared" si="192"/>
        <v>1.7464434573900922</v>
      </c>
      <c r="BL206" s="97">
        <f t="shared" si="193"/>
        <v>-1.7464434573900922</v>
      </c>
      <c r="BM206" s="98">
        <f t="shared" si="194"/>
        <v>80</v>
      </c>
      <c r="BN206" s="99">
        <f t="shared" si="195"/>
        <v>1.6</v>
      </c>
      <c r="BO206" s="114">
        <f>(136842-3326)*1000</f>
        <v>133516000</v>
      </c>
      <c r="BP206" s="101">
        <f t="shared" si="196"/>
        <v>1.114632333537505</v>
      </c>
      <c r="BQ206" s="78">
        <f t="shared" si="197"/>
        <v>70</v>
      </c>
      <c r="BR206" s="79">
        <f t="shared" si="164"/>
        <v>1.4000000000000001</v>
      </c>
      <c r="BS206" s="102">
        <v>49129000</v>
      </c>
      <c r="BT206" s="102">
        <v>4962000</v>
      </c>
      <c r="BU206" s="103">
        <f t="shared" si="198"/>
        <v>44167000</v>
      </c>
      <c r="BV206" s="77">
        <f t="shared" si="199"/>
        <v>0.36871960121147268</v>
      </c>
      <c r="BW206" s="96">
        <f t="shared" si="200"/>
        <v>2.8482825397737606</v>
      </c>
      <c r="BX206" s="96">
        <f t="shared" si="201"/>
        <v>6.1482323662916487</v>
      </c>
      <c r="BY206" s="96">
        <f t="shared" si="202"/>
        <v>5.5697595856656807</v>
      </c>
      <c r="BZ206" s="96">
        <f t="shared" si="203"/>
        <v>67.19062870812661</v>
      </c>
      <c r="CA206" s="96">
        <f t="shared" si="204"/>
        <v>40</v>
      </c>
      <c r="CB206" s="104">
        <f t="shared" si="205"/>
        <v>0.8</v>
      </c>
      <c r="CC206" s="105">
        <f t="shared" si="165"/>
        <v>114.85622131303548</v>
      </c>
      <c r="CD206" s="106">
        <f t="shared" si="166"/>
        <v>57.089363826745426</v>
      </c>
      <c r="CE206" s="107">
        <f t="shared" si="167"/>
        <v>0.85634045740118137</v>
      </c>
      <c r="CF206" s="108" t="s">
        <v>2189</v>
      </c>
      <c r="CG206" s="108" t="s">
        <v>2189</v>
      </c>
      <c r="CH206" s="108" t="s">
        <v>2189</v>
      </c>
      <c r="CI206" s="108" t="s">
        <v>2189</v>
      </c>
      <c r="CJ206" s="109"/>
      <c r="CK206" s="116" t="s">
        <v>2203</v>
      </c>
      <c r="CL206" s="116" t="s">
        <v>2204</v>
      </c>
      <c r="CM206" s="111">
        <f t="shared" si="206"/>
        <v>70</v>
      </c>
      <c r="CN206" s="107">
        <f t="shared" si="168"/>
        <v>1.05</v>
      </c>
      <c r="CO206" s="114">
        <v>886918000</v>
      </c>
      <c r="CP206" s="88">
        <f t="shared" si="207"/>
        <v>13.870583777235657</v>
      </c>
      <c r="CQ206" s="78">
        <f t="shared" si="208"/>
        <v>60</v>
      </c>
      <c r="CR206" s="79">
        <f t="shared" si="169"/>
        <v>1.7999999999999998</v>
      </c>
      <c r="CS206" s="92">
        <f>_xlfn.XLOOKUP(C206, '[1]1-1. 관계사체무보증금액 (환율 등)'!$3:$3, '[1]1-1. 관계사체무보증금액 (환율 등)'!$33:$33)</f>
        <v>222256962.02531645</v>
      </c>
      <c r="CT206" s="77">
        <f t="shared" si="209"/>
        <v>3.4758949664411323</v>
      </c>
      <c r="CU206" s="78">
        <f t="shared" si="210"/>
        <v>80</v>
      </c>
      <c r="CV206" s="79">
        <f t="shared" si="170"/>
        <v>1.6</v>
      </c>
      <c r="CW206" s="112">
        <f t="shared" si="211"/>
        <v>18.004770395796339</v>
      </c>
    </row>
    <row r="207" spans="1:101" x14ac:dyDescent="0.35">
      <c r="A207" s="7" t="s">
        <v>1278</v>
      </c>
      <c r="B207" s="8" t="s">
        <v>1279</v>
      </c>
      <c r="C207" s="21" t="s">
        <v>1280</v>
      </c>
      <c r="D207" s="10" t="s">
        <v>75</v>
      </c>
      <c r="E207" s="11" t="s">
        <v>276</v>
      </c>
      <c r="F207" s="11" t="s">
        <v>1281</v>
      </c>
      <c r="G207" s="12">
        <v>35669</v>
      </c>
      <c r="H207" s="11" t="s">
        <v>24</v>
      </c>
      <c r="I207" s="11" t="s">
        <v>1282</v>
      </c>
      <c r="J207" s="11" t="s">
        <v>1283</v>
      </c>
      <c r="K207" s="11" t="s">
        <v>280</v>
      </c>
      <c r="L207" s="23">
        <v>169880794</v>
      </c>
      <c r="M207" s="14">
        <v>10753658</v>
      </c>
      <c r="N207" s="14">
        <v>159127136</v>
      </c>
      <c r="O207" s="14">
        <v>80968867</v>
      </c>
      <c r="P207" s="14">
        <v>2227640</v>
      </c>
      <c r="Q207" s="14">
        <v>2895711</v>
      </c>
      <c r="R207" s="14">
        <v>2402054</v>
      </c>
      <c r="S207" s="15">
        <v>20000000</v>
      </c>
      <c r="T207" s="15">
        <v>500000</v>
      </c>
      <c r="U207" s="15">
        <v>10200000</v>
      </c>
      <c r="V207" s="15">
        <v>0</v>
      </c>
      <c r="W207" s="15">
        <v>0</v>
      </c>
      <c r="X207" s="15">
        <v>0</v>
      </c>
      <c r="Z207" s="15">
        <v>0</v>
      </c>
      <c r="AA207" s="15">
        <v>0</v>
      </c>
      <c r="AB207" s="74">
        <f t="shared" si="171"/>
        <v>10200000</v>
      </c>
      <c r="AC207" s="75">
        <f t="shared" si="172"/>
        <v>51</v>
      </c>
      <c r="AD207" s="75">
        <f t="shared" si="173"/>
        <v>56.070195627157652</v>
      </c>
      <c r="AE207" s="76">
        <f t="shared" si="159"/>
        <v>1.6821058688147295</v>
      </c>
      <c r="AF207" s="77">
        <f t="shared" si="174"/>
        <v>52.307692307692314</v>
      </c>
      <c r="AG207" s="77">
        <f t="shared" si="175"/>
        <v>52.307692307692314</v>
      </c>
      <c r="AH207" s="77">
        <f t="shared" si="176"/>
        <v>0</v>
      </c>
      <c r="AI207" s="78">
        <f t="shared" si="177"/>
        <v>100</v>
      </c>
      <c r="AJ207" s="79">
        <f t="shared" si="160"/>
        <v>4</v>
      </c>
      <c r="AK207" s="113">
        <v>6</v>
      </c>
      <c r="AL207" s="113">
        <v>5</v>
      </c>
      <c r="AM207" s="113">
        <v>0</v>
      </c>
      <c r="AN207" s="81">
        <f t="shared" si="178"/>
        <v>11</v>
      </c>
      <c r="AO207" s="82">
        <f t="shared" si="179"/>
        <v>0</v>
      </c>
      <c r="AP207" s="83">
        <f t="shared" si="180"/>
        <v>100</v>
      </c>
      <c r="AQ207" s="84">
        <f t="shared" si="161"/>
        <v>2</v>
      </c>
      <c r="AR207" s="118">
        <v>2</v>
      </c>
      <c r="AS207" s="86">
        <f t="shared" si="181"/>
        <v>0.25</v>
      </c>
      <c r="AT207" s="87">
        <f t="shared" si="182"/>
        <v>1.5</v>
      </c>
      <c r="AU207" s="87">
        <f t="shared" si="183"/>
        <v>1</v>
      </c>
      <c r="AV207" s="88">
        <f t="shared" si="184"/>
        <v>16.666666666666664</v>
      </c>
      <c r="AW207" s="78">
        <f t="shared" si="185"/>
        <v>60</v>
      </c>
      <c r="AX207" s="89">
        <f t="shared" si="162"/>
        <v>0.6</v>
      </c>
      <c r="AY207" s="114">
        <v>5</v>
      </c>
      <c r="AZ207" s="114">
        <v>0</v>
      </c>
      <c r="BA207" s="91">
        <f t="shared" si="186"/>
        <v>10</v>
      </c>
      <c r="BB207" s="77">
        <f t="shared" si="187"/>
        <v>0</v>
      </c>
      <c r="BC207" s="78">
        <f t="shared" si="188"/>
        <v>25</v>
      </c>
      <c r="BD207" s="79">
        <f t="shared" si="163"/>
        <v>0.25</v>
      </c>
      <c r="BE207" s="92">
        <v>4621015</v>
      </c>
      <c r="BF207" s="92">
        <v>160675</v>
      </c>
      <c r="BG207" s="114">
        <v>313408</v>
      </c>
      <c r="BH207" s="94">
        <f t="shared" si="189"/>
        <v>4781690</v>
      </c>
      <c r="BI207" s="77">
        <f t="shared" si="190"/>
        <v>6.5543353918802767</v>
      </c>
      <c r="BJ207" s="95" t="str">
        <f t="shared" si="191"/>
        <v>금속/비금속/화학업</v>
      </c>
      <c r="BK207" s="96">
        <f t="shared" si="192"/>
        <v>3.9534118626990469</v>
      </c>
      <c r="BL207" s="97">
        <f t="shared" si="193"/>
        <v>2.6009235291812298</v>
      </c>
      <c r="BM207" s="98">
        <f t="shared" si="194"/>
        <v>40</v>
      </c>
      <c r="BN207" s="99">
        <f t="shared" si="195"/>
        <v>0.8</v>
      </c>
      <c r="BO207" s="114">
        <v>1945206</v>
      </c>
      <c r="BP207" s="101">
        <f t="shared" si="196"/>
        <v>2.4024122753255273</v>
      </c>
      <c r="BQ207" s="78">
        <f t="shared" si="197"/>
        <v>85</v>
      </c>
      <c r="BR207" s="79">
        <f t="shared" si="164"/>
        <v>1.7</v>
      </c>
      <c r="BS207" s="102">
        <v>4035276.753</v>
      </c>
      <c r="BT207" s="102">
        <v>59270.1</v>
      </c>
      <c r="BU207" s="103">
        <f t="shared" si="198"/>
        <v>3976006.6529999999</v>
      </c>
      <c r="BV207" s="77">
        <f t="shared" si="199"/>
        <v>4.9105375934184678</v>
      </c>
      <c r="BW207" s="96">
        <f t="shared" si="200"/>
        <v>5.1474158565187738</v>
      </c>
      <c r="BX207" s="96">
        <f t="shared" si="201"/>
        <v>5.611131152941775E-2</v>
      </c>
      <c r="BY207" s="96">
        <f t="shared" si="202"/>
        <v>6.6930498535228535</v>
      </c>
      <c r="BZ207" s="96">
        <f t="shared" si="203"/>
        <v>51.411628959655033</v>
      </c>
      <c r="CA207" s="96">
        <f t="shared" si="204"/>
        <v>55</v>
      </c>
      <c r="CB207" s="104">
        <f t="shared" si="205"/>
        <v>1.1000000000000001</v>
      </c>
      <c r="CC207" s="105">
        <f t="shared" si="165"/>
        <v>6.7579033157487354</v>
      </c>
      <c r="CD207" s="106">
        <f t="shared" si="166"/>
        <v>97.829935936275604</v>
      </c>
      <c r="CE207" s="107">
        <f t="shared" si="167"/>
        <v>1.4674490390441339</v>
      </c>
      <c r="CF207" s="108" t="s">
        <v>2189</v>
      </c>
      <c r="CG207" s="108" t="s">
        <v>2189</v>
      </c>
      <c r="CH207" s="108" t="s">
        <v>2189</v>
      </c>
      <c r="CI207" s="108" t="s">
        <v>2189</v>
      </c>
      <c r="CJ207" s="109"/>
      <c r="CK207" s="116" t="s">
        <v>2208</v>
      </c>
      <c r="CL207" s="116" t="s">
        <v>2209</v>
      </c>
      <c r="CM207" s="111">
        <f t="shared" si="206"/>
        <v>40</v>
      </c>
      <c r="CN207" s="107">
        <f t="shared" si="168"/>
        <v>0.6</v>
      </c>
      <c r="CO207" s="114">
        <f>46813000-150000</f>
        <v>46663000</v>
      </c>
      <c r="CP207" s="88">
        <f t="shared" si="207"/>
        <v>29.324351064798904</v>
      </c>
      <c r="CQ207" s="78">
        <f t="shared" si="208"/>
        <v>60</v>
      </c>
      <c r="CR207" s="79">
        <f t="shared" si="169"/>
        <v>1.7999999999999998</v>
      </c>
      <c r="CS207" s="92">
        <f>_xlfn.XLOOKUP(C207, '[1]1-1. 관계사체무보증금액 (환율 등)'!$3:$3, '[1]1-1. 관계사체무보증금액 (환율 등)'!$33:$33)</f>
        <v>0</v>
      </c>
      <c r="CT207" s="77">
        <f t="shared" si="209"/>
        <v>0</v>
      </c>
      <c r="CU207" s="78">
        <f t="shared" si="210"/>
        <v>100</v>
      </c>
      <c r="CV207" s="79">
        <f t="shared" si="170"/>
        <v>2</v>
      </c>
      <c r="CW207" s="112">
        <f t="shared" si="211"/>
        <v>17.999554907858862</v>
      </c>
    </row>
    <row r="208" spans="1:101" x14ac:dyDescent="0.35">
      <c r="A208" s="7" t="s">
        <v>1178</v>
      </c>
      <c r="B208" s="8" t="s">
        <v>1179</v>
      </c>
      <c r="C208" s="21" t="s">
        <v>1180</v>
      </c>
      <c r="D208" s="10" t="s">
        <v>21</v>
      </c>
      <c r="E208" s="11" t="s">
        <v>1174</v>
      </c>
      <c r="F208" s="11" t="s">
        <v>1181</v>
      </c>
      <c r="G208" s="12">
        <v>33277</v>
      </c>
      <c r="H208" s="11" t="s">
        <v>24</v>
      </c>
      <c r="I208" s="11" t="s">
        <v>1182</v>
      </c>
      <c r="J208" s="11" t="s">
        <v>1183</v>
      </c>
      <c r="K208" s="11" t="s">
        <v>27</v>
      </c>
      <c r="L208" s="23">
        <v>131824972</v>
      </c>
      <c r="M208" s="14">
        <v>27592356</v>
      </c>
      <c r="N208" s="14">
        <v>104232616</v>
      </c>
      <c r="O208" s="14">
        <v>117958170</v>
      </c>
      <c r="P208" s="14">
        <v>9678013</v>
      </c>
      <c r="Q208" s="14">
        <v>10111802</v>
      </c>
      <c r="R208" s="14">
        <v>8289001</v>
      </c>
      <c r="S208" s="15">
        <v>9500000</v>
      </c>
      <c r="T208" s="15">
        <v>124633</v>
      </c>
      <c r="U208" s="15">
        <v>1747631</v>
      </c>
      <c r="V208" s="15">
        <f>76802+1253600+10100+482520+1032390+70000+809480+554120+292900+141837+130559+130556+20000+4200+21000+3100+32000</f>
        <v>5065164</v>
      </c>
      <c r="W208" s="15">
        <f>13354+28170+21000+888</f>
        <v>63412</v>
      </c>
      <c r="X208" s="15">
        <v>100000</v>
      </c>
      <c r="Y208" s="24" t="s">
        <v>2094</v>
      </c>
      <c r="Z208" s="15">
        <f>261332+33836+200372</f>
        <v>495540</v>
      </c>
      <c r="AA208" s="15">
        <v>33836</v>
      </c>
      <c r="AB208" s="74">
        <f t="shared" si="171"/>
        <v>7471747</v>
      </c>
      <c r="AC208" s="75">
        <f t="shared" si="172"/>
        <v>78.649968421052634</v>
      </c>
      <c r="AD208" s="75">
        <f t="shared" si="173"/>
        <v>32.206586518078851</v>
      </c>
      <c r="AE208" s="76">
        <f t="shared" si="159"/>
        <v>0.96619759554236551</v>
      </c>
      <c r="AF208" s="77">
        <f t="shared" si="174"/>
        <v>72.930176006481162</v>
      </c>
      <c r="AG208" s="77">
        <f t="shared" si="175"/>
        <v>79.621969889089911</v>
      </c>
      <c r="AH208" s="77">
        <f t="shared" si="176"/>
        <v>6.6917938826087493</v>
      </c>
      <c r="AI208" s="78">
        <f t="shared" si="177"/>
        <v>100</v>
      </c>
      <c r="AJ208" s="79">
        <f t="shared" si="160"/>
        <v>4</v>
      </c>
      <c r="AK208" s="113">
        <v>6</v>
      </c>
      <c r="AL208" s="113">
        <v>5</v>
      </c>
      <c r="AM208" s="113">
        <v>3</v>
      </c>
      <c r="AN208" s="81">
        <f t="shared" si="178"/>
        <v>11</v>
      </c>
      <c r="AO208" s="82">
        <f t="shared" si="179"/>
        <v>27.27272727272727</v>
      </c>
      <c r="AP208" s="83">
        <f t="shared" si="180"/>
        <v>60</v>
      </c>
      <c r="AQ208" s="84">
        <f t="shared" si="161"/>
        <v>1.2</v>
      </c>
      <c r="AR208" s="118">
        <v>2</v>
      </c>
      <c r="AS208" s="86">
        <f t="shared" si="181"/>
        <v>0.25</v>
      </c>
      <c r="AT208" s="87">
        <f t="shared" si="182"/>
        <v>1.5</v>
      </c>
      <c r="AU208" s="87">
        <f t="shared" si="183"/>
        <v>1</v>
      </c>
      <c r="AV208" s="88">
        <f t="shared" si="184"/>
        <v>16.666666666666664</v>
      </c>
      <c r="AW208" s="78">
        <f t="shared" si="185"/>
        <v>60</v>
      </c>
      <c r="AX208" s="89">
        <f t="shared" si="162"/>
        <v>0.6</v>
      </c>
      <c r="AY208" s="114">
        <v>13</v>
      </c>
      <c r="AZ208" s="114">
        <v>26</v>
      </c>
      <c r="BA208" s="91">
        <f t="shared" si="186"/>
        <v>26</v>
      </c>
      <c r="BB208" s="77">
        <f t="shared" si="187"/>
        <v>100</v>
      </c>
      <c r="BC208" s="78">
        <f t="shared" si="188"/>
        <v>100</v>
      </c>
      <c r="BD208" s="79">
        <f t="shared" si="163"/>
        <v>1</v>
      </c>
      <c r="BE208" s="92">
        <v>7686143</v>
      </c>
      <c r="BF208" s="92">
        <v>644148</v>
      </c>
      <c r="BG208" s="93">
        <v>0</v>
      </c>
      <c r="BH208" s="94">
        <f t="shared" si="189"/>
        <v>8330291</v>
      </c>
      <c r="BI208" s="77">
        <f t="shared" si="190"/>
        <v>0</v>
      </c>
      <c r="BJ208" s="95" t="str">
        <f t="shared" si="191"/>
        <v>비제조/서비스업</v>
      </c>
      <c r="BK208" s="96">
        <f t="shared" si="192"/>
        <v>1.7464434573900922</v>
      </c>
      <c r="BL208" s="97">
        <f t="shared" si="193"/>
        <v>-1.7464434573900922</v>
      </c>
      <c r="BM208" s="98">
        <f t="shared" si="194"/>
        <v>80</v>
      </c>
      <c r="BN208" s="99">
        <f t="shared" si="195"/>
        <v>1.6</v>
      </c>
      <c r="BO208" s="114">
        <v>744000</v>
      </c>
      <c r="BP208" s="101">
        <f t="shared" si="196"/>
        <v>0.63073206374768276</v>
      </c>
      <c r="BQ208" s="78">
        <f t="shared" si="197"/>
        <v>70</v>
      </c>
      <c r="BR208" s="79">
        <f t="shared" si="164"/>
        <v>1.4000000000000001</v>
      </c>
      <c r="BS208" s="102">
        <v>2614873.6469999999</v>
      </c>
      <c r="BT208" s="102">
        <v>288783.63699999999</v>
      </c>
      <c r="BU208" s="103">
        <f t="shared" si="198"/>
        <v>2326090.0099999998</v>
      </c>
      <c r="BV208" s="77">
        <f t="shared" si="199"/>
        <v>1.9719617640728062</v>
      </c>
      <c r="BW208" s="96">
        <f t="shared" si="200"/>
        <v>2.8482825397737606</v>
      </c>
      <c r="BX208" s="96">
        <f t="shared" si="201"/>
        <v>0.76793810192512235</v>
      </c>
      <c r="BY208" s="96">
        <f t="shared" si="202"/>
        <v>5.5697595856656807</v>
      </c>
      <c r="BZ208" s="96">
        <f t="shared" si="203"/>
        <v>56.250976869820278</v>
      </c>
      <c r="CA208" s="96">
        <f t="shared" si="204"/>
        <v>55</v>
      </c>
      <c r="CB208" s="104">
        <f t="shared" si="205"/>
        <v>1.1000000000000001</v>
      </c>
      <c r="CC208" s="105">
        <f t="shared" si="165"/>
        <v>26.471902038801364</v>
      </c>
      <c r="CD208" s="106">
        <f t="shared" si="166"/>
        <v>90.400036920049743</v>
      </c>
      <c r="CE208" s="107">
        <f t="shared" si="167"/>
        <v>1.356000553800746</v>
      </c>
      <c r="CF208" s="108" t="s">
        <v>2189</v>
      </c>
      <c r="CG208" s="108" t="s">
        <v>2189</v>
      </c>
      <c r="CH208" s="108" t="s">
        <v>2189</v>
      </c>
      <c r="CI208" s="108" t="s">
        <v>2189</v>
      </c>
      <c r="CJ208" s="109"/>
      <c r="CK208" s="116" t="s">
        <v>2192</v>
      </c>
      <c r="CL208" s="116" t="s">
        <v>2193</v>
      </c>
      <c r="CM208" s="111">
        <f t="shared" si="206"/>
        <v>25</v>
      </c>
      <c r="CN208" s="107">
        <f t="shared" si="168"/>
        <v>0.375</v>
      </c>
      <c r="CO208" s="114">
        <f>5702000-14000</f>
        <v>5688000</v>
      </c>
      <c r="CP208" s="88">
        <f t="shared" si="207"/>
        <v>5.4570250832042824</v>
      </c>
      <c r="CQ208" s="78">
        <f t="shared" si="208"/>
        <v>80</v>
      </c>
      <c r="CR208" s="79">
        <f t="shared" si="169"/>
        <v>2.4</v>
      </c>
      <c r="CS208" s="92">
        <f>_xlfn.XLOOKUP(C208, '[1]1-1. 관계사체무보증금액 (환율 등)'!$3:$3, '[1]1-1. 관계사체무보증금액 (환율 등)'!$33:$33)</f>
        <v>2923000</v>
      </c>
      <c r="CT208" s="77">
        <f t="shared" si="209"/>
        <v>2.8043045566466449</v>
      </c>
      <c r="CU208" s="78">
        <f t="shared" si="210"/>
        <v>100</v>
      </c>
      <c r="CV208" s="79">
        <f t="shared" si="170"/>
        <v>2</v>
      </c>
      <c r="CW208" s="112">
        <f t="shared" si="211"/>
        <v>17.997198149343113</v>
      </c>
    </row>
    <row r="209" spans="1:101" x14ac:dyDescent="0.35">
      <c r="A209" s="7" t="s">
        <v>1119</v>
      </c>
      <c r="B209" s="8" t="s">
        <v>1120</v>
      </c>
      <c r="C209" s="21" t="s">
        <v>1121</v>
      </c>
      <c r="D209" s="10" t="s">
        <v>31</v>
      </c>
      <c r="E209" s="11" t="s">
        <v>1122</v>
      </c>
      <c r="F209" s="11" t="s">
        <v>1123</v>
      </c>
      <c r="G209" s="12">
        <v>40568</v>
      </c>
      <c r="H209" s="11" t="s">
        <v>24</v>
      </c>
      <c r="I209" s="11" t="s">
        <v>1124</v>
      </c>
      <c r="J209" s="11" t="s">
        <v>1125</v>
      </c>
      <c r="K209" s="11" t="s">
        <v>50</v>
      </c>
      <c r="L209" s="23">
        <v>84677096</v>
      </c>
      <c r="M209" s="14">
        <v>21426870</v>
      </c>
      <c r="N209" s="14">
        <v>63250226</v>
      </c>
      <c r="O209" s="14">
        <v>241730925</v>
      </c>
      <c r="P209" s="14">
        <v>412795</v>
      </c>
      <c r="Q209" s="14">
        <v>2901178</v>
      </c>
      <c r="R209" s="14">
        <v>2331137</v>
      </c>
      <c r="S209" s="15">
        <v>2000000</v>
      </c>
      <c r="T209" s="15">
        <v>321042</v>
      </c>
      <c r="U209" s="15">
        <f>811522+303000</f>
        <v>1114522</v>
      </c>
      <c r="V209" s="15">
        <v>0</v>
      </c>
      <c r="W209" s="15">
        <f>39950</f>
        <v>39950</v>
      </c>
      <c r="X209" s="15">
        <v>60000</v>
      </c>
      <c r="Y209" s="24" t="s">
        <v>2091</v>
      </c>
      <c r="Z209" s="15">
        <v>0</v>
      </c>
      <c r="AA209" s="15">
        <v>0</v>
      </c>
      <c r="AB209" s="74">
        <f t="shared" si="171"/>
        <v>1214472</v>
      </c>
      <c r="AC209" s="75">
        <f t="shared" si="172"/>
        <v>60.723599999999998</v>
      </c>
      <c r="AD209" s="75">
        <f t="shared" si="173"/>
        <v>47.678135788262381</v>
      </c>
      <c r="AE209" s="76">
        <f t="shared" si="159"/>
        <v>1.4303440736478714</v>
      </c>
      <c r="AF209" s="77">
        <f t="shared" si="174"/>
        <v>66.381767739276384</v>
      </c>
      <c r="AG209" s="77">
        <f t="shared" si="175"/>
        <v>72.334864838786913</v>
      </c>
      <c r="AH209" s="77">
        <f t="shared" si="176"/>
        <v>5.9530970995105292</v>
      </c>
      <c r="AI209" s="78">
        <f t="shared" si="177"/>
        <v>100</v>
      </c>
      <c r="AJ209" s="79">
        <f t="shared" si="160"/>
        <v>4</v>
      </c>
      <c r="AK209" s="113">
        <v>5</v>
      </c>
      <c r="AL209" s="113">
        <v>0</v>
      </c>
      <c r="AM209" s="113">
        <v>1</v>
      </c>
      <c r="AN209" s="81">
        <f t="shared" si="178"/>
        <v>5</v>
      </c>
      <c r="AO209" s="82">
        <f t="shared" si="179"/>
        <v>20</v>
      </c>
      <c r="AP209" s="83">
        <f t="shared" si="180"/>
        <v>60</v>
      </c>
      <c r="AQ209" s="84">
        <f t="shared" si="161"/>
        <v>1.2</v>
      </c>
      <c r="AR209" s="118">
        <v>2</v>
      </c>
      <c r="AS209" s="86">
        <f t="shared" si="181"/>
        <v>0.25</v>
      </c>
      <c r="AT209" s="87">
        <f t="shared" si="182"/>
        <v>1.25</v>
      </c>
      <c r="AU209" s="87">
        <f t="shared" si="183"/>
        <v>1</v>
      </c>
      <c r="AV209" s="88">
        <f t="shared" si="184"/>
        <v>20</v>
      </c>
      <c r="AW209" s="78">
        <f t="shared" si="185"/>
        <v>80</v>
      </c>
      <c r="AX209" s="89">
        <f t="shared" si="162"/>
        <v>0.8</v>
      </c>
      <c r="AY209" s="93">
        <v>1</v>
      </c>
      <c r="AZ209" s="93">
        <v>0</v>
      </c>
      <c r="BA209" s="91">
        <f t="shared" si="186"/>
        <v>2</v>
      </c>
      <c r="BB209" s="77">
        <f t="shared" si="187"/>
        <v>0</v>
      </c>
      <c r="BC209" s="78">
        <f t="shared" si="188"/>
        <v>25</v>
      </c>
      <c r="BD209" s="79">
        <f t="shared" si="163"/>
        <v>0.25</v>
      </c>
      <c r="BE209" s="92">
        <v>3527621.5630000001</v>
      </c>
      <c r="BF209" s="92">
        <v>407875.48599999998</v>
      </c>
      <c r="BG209" s="93">
        <v>0</v>
      </c>
      <c r="BH209" s="94">
        <f t="shared" si="189"/>
        <v>3935497.0490000001</v>
      </c>
      <c r="BI209" s="77">
        <f t="shared" si="190"/>
        <v>0</v>
      </c>
      <c r="BJ209" s="95" t="str">
        <f t="shared" si="191"/>
        <v>식약/섬유/종이업</v>
      </c>
      <c r="BK209" s="96">
        <f t="shared" si="192"/>
        <v>2.1999360555264453</v>
      </c>
      <c r="BL209" s="97">
        <f t="shared" si="193"/>
        <v>-2.1999360555264453</v>
      </c>
      <c r="BM209" s="98">
        <f t="shared" si="194"/>
        <v>100</v>
      </c>
      <c r="BN209" s="99">
        <f t="shared" si="195"/>
        <v>2</v>
      </c>
      <c r="BO209" s="114">
        <v>2864343.7379999999</v>
      </c>
      <c r="BP209" s="101">
        <f t="shared" si="196"/>
        <v>1.1849306157249015</v>
      </c>
      <c r="BQ209" s="78">
        <f t="shared" si="197"/>
        <v>70</v>
      </c>
      <c r="BR209" s="79">
        <f t="shared" si="164"/>
        <v>1.4000000000000001</v>
      </c>
      <c r="BS209" s="102">
        <v>3724694.1609999998</v>
      </c>
      <c r="BT209" s="102">
        <v>162842.932</v>
      </c>
      <c r="BU209" s="103">
        <f t="shared" si="198"/>
        <v>3561851.2289999998</v>
      </c>
      <c r="BV209" s="77">
        <f t="shared" si="199"/>
        <v>1.4734776814344295</v>
      </c>
      <c r="BW209" s="96">
        <f t="shared" si="200"/>
        <v>5.0508176117342298</v>
      </c>
      <c r="BX209" s="96">
        <f t="shared" si="201"/>
        <v>12.797360976917378</v>
      </c>
      <c r="BY209" s="96">
        <f t="shared" si="202"/>
        <v>6.9871618081220923</v>
      </c>
      <c r="BZ209" s="96">
        <f t="shared" si="203"/>
        <v>69.567014226519603</v>
      </c>
      <c r="CA209" s="96">
        <f t="shared" si="204"/>
        <v>40</v>
      </c>
      <c r="CB209" s="104">
        <f t="shared" si="205"/>
        <v>0.8</v>
      </c>
      <c r="CC209" s="105">
        <f t="shared" si="165"/>
        <v>33.876353263939322</v>
      </c>
      <c r="CD209" s="106">
        <f t="shared" si="166"/>
        <v>87.609414599017839</v>
      </c>
      <c r="CE209" s="107">
        <f t="shared" si="167"/>
        <v>1.3141412189852675</v>
      </c>
      <c r="CF209" s="108" t="s">
        <v>2189</v>
      </c>
      <c r="CG209" s="108" t="s">
        <v>2189</v>
      </c>
      <c r="CH209" s="108" t="s">
        <v>2189</v>
      </c>
      <c r="CI209" s="108" t="s">
        <v>2189</v>
      </c>
      <c r="CJ209" s="109"/>
      <c r="CK209" s="116" t="s">
        <v>2192</v>
      </c>
      <c r="CL209" s="116" t="s">
        <v>2193</v>
      </c>
      <c r="CM209" s="111">
        <f t="shared" si="206"/>
        <v>25</v>
      </c>
      <c r="CN209" s="107">
        <f t="shared" si="168"/>
        <v>0.375</v>
      </c>
      <c r="CO209" s="114">
        <v>3967450</v>
      </c>
      <c r="CP209" s="88">
        <f t="shared" si="207"/>
        <v>6.2726258084832773</v>
      </c>
      <c r="CQ209" s="78">
        <f t="shared" si="208"/>
        <v>80</v>
      </c>
      <c r="CR209" s="79">
        <f t="shared" si="169"/>
        <v>2.4</v>
      </c>
      <c r="CS209" s="92">
        <f>_xlfn.XLOOKUP(C209, '[1]1-1. 관계사체무보증금액 (환율 등)'!$3:$3, '[1]1-1. 관계사체무보증금액 (환율 등)'!$33:$33)</f>
        <v>0</v>
      </c>
      <c r="CT209" s="77">
        <f t="shared" si="209"/>
        <v>0</v>
      </c>
      <c r="CU209" s="78">
        <f t="shared" si="210"/>
        <v>100</v>
      </c>
      <c r="CV209" s="79">
        <f t="shared" si="170"/>
        <v>2</v>
      </c>
      <c r="CW209" s="112">
        <f t="shared" si="211"/>
        <v>17.969485292633138</v>
      </c>
    </row>
    <row r="210" spans="1:101" x14ac:dyDescent="0.35">
      <c r="A210" s="7" t="s">
        <v>826</v>
      </c>
      <c r="B210" s="8" t="s">
        <v>827</v>
      </c>
      <c r="C210" s="21" t="s">
        <v>828</v>
      </c>
      <c r="D210" s="10" t="s">
        <v>75</v>
      </c>
      <c r="E210" s="11" t="s">
        <v>149</v>
      </c>
      <c r="F210" s="11" t="s">
        <v>829</v>
      </c>
      <c r="G210" s="12">
        <v>40589</v>
      </c>
      <c r="H210" s="11" t="s">
        <v>24</v>
      </c>
      <c r="I210" s="11" t="s">
        <v>830</v>
      </c>
      <c r="J210" s="11" t="s">
        <v>831</v>
      </c>
      <c r="K210" s="11" t="s">
        <v>394</v>
      </c>
      <c r="L210" s="23">
        <v>147864036</v>
      </c>
      <c r="M210" s="14">
        <v>15155439</v>
      </c>
      <c r="N210" s="14">
        <v>132708596</v>
      </c>
      <c r="O210" s="14">
        <v>235165568</v>
      </c>
      <c r="P210" s="14">
        <v>18983200</v>
      </c>
      <c r="Q210" s="14">
        <v>20938723</v>
      </c>
      <c r="R210" s="14">
        <v>16260515</v>
      </c>
      <c r="S210" s="15">
        <v>2199268</v>
      </c>
      <c r="T210" s="15">
        <v>151782</v>
      </c>
      <c r="U210" s="15">
        <v>102200</v>
      </c>
      <c r="V210" s="15">
        <f>68240+3970+3500+4000+8700+4000*2+20020+5000+13010+50200+830+5490+9276+3275+4000+3725+2400+3000</f>
        <v>216636</v>
      </c>
      <c r="W210" s="15">
        <f>4652+2270+4005+5150+420+1800+1000+1082+3250+3725+4652</f>
        <v>32006</v>
      </c>
      <c r="X210" s="15">
        <v>0</v>
      </c>
      <c r="Z210" s="15">
        <f>642223+92000+134501+36730</f>
        <v>905454</v>
      </c>
      <c r="AA210" s="15">
        <v>0</v>
      </c>
      <c r="AB210" s="74">
        <f t="shared" si="171"/>
        <v>1256296</v>
      </c>
      <c r="AC210" s="75">
        <f t="shared" si="172"/>
        <v>57.123370139519146</v>
      </c>
      <c r="AD210" s="75">
        <f t="shared" si="173"/>
        <v>50.785353734592221</v>
      </c>
      <c r="AE210" s="76">
        <f t="shared" si="159"/>
        <v>1.5235606120377665</v>
      </c>
      <c r="AF210" s="77">
        <f t="shared" si="174"/>
        <v>15.572072287673761</v>
      </c>
      <c r="AG210" s="77">
        <f t="shared" si="175"/>
        <v>61.357977539284761</v>
      </c>
      <c r="AH210" s="77">
        <f t="shared" si="176"/>
        <v>45.785905251610998</v>
      </c>
      <c r="AI210" s="78">
        <f t="shared" si="177"/>
        <v>60</v>
      </c>
      <c r="AJ210" s="79">
        <f t="shared" si="160"/>
        <v>2.4</v>
      </c>
      <c r="AK210" s="113">
        <v>7</v>
      </c>
      <c r="AL210" s="113">
        <v>2</v>
      </c>
      <c r="AM210" s="113">
        <v>0</v>
      </c>
      <c r="AN210" s="81">
        <f t="shared" si="178"/>
        <v>9</v>
      </c>
      <c r="AO210" s="82">
        <f t="shared" si="179"/>
        <v>0</v>
      </c>
      <c r="AP210" s="83">
        <f t="shared" si="180"/>
        <v>100</v>
      </c>
      <c r="AQ210" s="84">
        <f t="shared" si="161"/>
        <v>2</v>
      </c>
      <c r="AR210" s="118">
        <v>3</v>
      </c>
      <c r="AS210" s="86">
        <f t="shared" si="181"/>
        <v>0.25</v>
      </c>
      <c r="AT210" s="87">
        <f t="shared" si="182"/>
        <v>1.75</v>
      </c>
      <c r="AU210" s="87">
        <f t="shared" si="183"/>
        <v>1</v>
      </c>
      <c r="AV210" s="88">
        <f t="shared" si="184"/>
        <v>28.571428571428569</v>
      </c>
      <c r="AW210" s="78">
        <f t="shared" si="185"/>
        <v>80</v>
      </c>
      <c r="AX210" s="89">
        <f t="shared" si="162"/>
        <v>0.8</v>
      </c>
      <c r="AY210" s="114">
        <v>7</v>
      </c>
      <c r="AZ210" s="114">
        <v>21</v>
      </c>
      <c r="BA210" s="91">
        <f t="shared" si="186"/>
        <v>21</v>
      </c>
      <c r="BB210" s="77">
        <f t="shared" si="187"/>
        <v>100</v>
      </c>
      <c r="BC210" s="78">
        <f t="shared" si="188"/>
        <v>100</v>
      </c>
      <c r="BD210" s="79">
        <f t="shared" si="163"/>
        <v>1</v>
      </c>
      <c r="BE210" s="92">
        <v>2910683.5890000002</v>
      </c>
      <c r="BF210" s="92">
        <v>217944.98300000001</v>
      </c>
      <c r="BG210" s="114">
        <v>136814</v>
      </c>
      <c r="BH210" s="94">
        <f t="shared" si="189"/>
        <v>3128628.5720000002</v>
      </c>
      <c r="BI210" s="77">
        <f t="shared" si="190"/>
        <v>4.3729703559071114</v>
      </c>
      <c r="BJ210" s="95" t="str">
        <f t="shared" si="191"/>
        <v>금속/비금속/화학업</v>
      </c>
      <c r="BK210" s="96">
        <f t="shared" si="192"/>
        <v>3.9534118626990469</v>
      </c>
      <c r="BL210" s="97">
        <f t="shared" si="193"/>
        <v>0.41955849320806449</v>
      </c>
      <c r="BM210" s="98">
        <f t="shared" si="194"/>
        <v>60</v>
      </c>
      <c r="BN210" s="99">
        <f t="shared" si="195"/>
        <v>1.2</v>
      </c>
      <c r="BO210" s="114">
        <v>979532</v>
      </c>
      <c r="BP210" s="101">
        <f t="shared" si="196"/>
        <v>0.41652866460450538</v>
      </c>
      <c r="BQ210" s="78">
        <f t="shared" si="197"/>
        <v>55</v>
      </c>
      <c r="BR210" s="79">
        <f t="shared" si="164"/>
        <v>1.1000000000000001</v>
      </c>
      <c r="BS210" s="102">
        <v>17093480.706999999</v>
      </c>
      <c r="BT210" s="102">
        <v>65320</v>
      </c>
      <c r="BU210" s="103">
        <f t="shared" si="198"/>
        <v>17028160.706999999</v>
      </c>
      <c r="BV210" s="77">
        <f t="shared" si="199"/>
        <v>7.2409242780813896</v>
      </c>
      <c r="BW210" s="96">
        <f t="shared" si="200"/>
        <v>5.1474158565187738</v>
      </c>
      <c r="BX210" s="96">
        <f t="shared" si="201"/>
        <v>4.3827775111535949</v>
      </c>
      <c r="BY210" s="96">
        <f t="shared" si="202"/>
        <v>6.6930498535228535</v>
      </c>
      <c r="BZ210" s="96">
        <f t="shared" si="203"/>
        <v>37.722071069274591</v>
      </c>
      <c r="CA210" s="96">
        <f t="shared" si="204"/>
        <v>55</v>
      </c>
      <c r="CB210" s="104">
        <f t="shared" si="205"/>
        <v>1.1000000000000001</v>
      </c>
      <c r="CC210" s="105">
        <f t="shared" si="165"/>
        <v>11.420088416879944</v>
      </c>
      <c r="CD210" s="106">
        <f t="shared" si="166"/>
        <v>96.072830998663335</v>
      </c>
      <c r="CE210" s="107">
        <f t="shared" si="167"/>
        <v>1.4410924649799499</v>
      </c>
      <c r="CF210" s="108" t="s">
        <v>2189</v>
      </c>
      <c r="CG210" s="108" t="s">
        <v>2189</v>
      </c>
      <c r="CH210" s="108" t="s">
        <v>2189</v>
      </c>
      <c r="CI210" s="108" t="s">
        <v>2189</v>
      </c>
      <c r="CJ210" s="109"/>
      <c r="CK210" s="116" t="s">
        <v>2192</v>
      </c>
      <c r="CL210" s="116" t="s">
        <v>2193</v>
      </c>
      <c r="CM210" s="111">
        <f t="shared" si="206"/>
        <v>25</v>
      </c>
      <c r="CN210" s="107">
        <f t="shared" si="168"/>
        <v>0.375</v>
      </c>
      <c r="CO210" s="114">
        <v>635000</v>
      </c>
      <c r="CP210" s="88">
        <f t="shared" si="207"/>
        <v>0.47849198856719122</v>
      </c>
      <c r="CQ210" s="78">
        <f t="shared" si="208"/>
        <v>100</v>
      </c>
      <c r="CR210" s="79">
        <f t="shared" si="169"/>
        <v>3</v>
      </c>
      <c r="CS210" s="92">
        <f>_xlfn.XLOOKUP(C210, '[1]1-1. 관계사체무보증금액 (환율 등)'!$3:$3, '[1]1-1. 관계사체무보증금액 (환율 등)'!$33:$33)</f>
        <v>0</v>
      </c>
      <c r="CT210" s="77">
        <f t="shared" si="209"/>
        <v>0</v>
      </c>
      <c r="CU210" s="78">
        <f t="shared" si="210"/>
        <v>100</v>
      </c>
      <c r="CV210" s="79">
        <f t="shared" si="170"/>
        <v>2</v>
      </c>
      <c r="CW210" s="112">
        <f t="shared" si="211"/>
        <v>17.939653077017716</v>
      </c>
    </row>
    <row r="211" spans="1:101" x14ac:dyDescent="0.35">
      <c r="A211" s="7" t="s">
        <v>1284</v>
      </c>
      <c r="B211" s="8" t="s">
        <v>1285</v>
      </c>
      <c r="C211" s="21" t="s">
        <v>1286</v>
      </c>
      <c r="D211" s="10" t="s">
        <v>21</v>
      </c>
      <c r="E211" s="11" t="s">
        <v>134</v>
      </c>
      <c r="F211" s="11" t="s">
        <v>1287</v>
      </c>
      <c r="G211" s="12">
        <v>40024</v>
      </c>
      <c r="H211" s="11" t="s">
        <v>24</v>
      </c>
      <c r="I211" s="11" t="s">
        <v>1288</v>
      </c>
      <c r="J211" s="8" t="s">
        <v>1289</v>
      </c>
      <c r="K211" s="11" t="s">
        <v>27</v>
      </c>
      <c r="L211" s="23">
        <v>1895028518</v>
      </c>
      <c r="M211" s="14">
        <v>309482206</v>
      </c>
      <c r="N211" s="14">
        <v>1585546312</v>
      </c>
      <c r="O211" s="14">
        <v>2130649097</v>
      </c>
      <c r="P211" s="14">
        <v>241563536</v>
      </c>
      <c r="Q211" s="14">
        <v>256945444</v>
      </c>
      <c r="R211" s="14">
        <v>204214530</v>
      </c>
      <c r="S211" s="15">
        <v>44311468</v>
      </c>
      <c r="T211" s="15">
        <v>445407</v>
      </c>
      <c r="U211" s="15">
        <v>22386320</v>
      </c>
      <c r="V211" s="15">
        <f>9600</f>
        <v>9600</v>
      </c>
      <c r="W211" s="15">
        <f>2844+1524+108+800+230</f>
        <v>5506</v>
      </c>
      <c r="X211" s="15">
        <v>0</v>
      </c>
      <c r="Z211" s="15">
        <v>0</v>
      </c>
      <c r="AA211" s="15">
        <v>0</v>
      </c>
      <c r="AB211" s="74">
        <f t="shared" si="171"/>
        <v>22401426</v>
      </c>
      <c r="AC211" s="75">
        <f t="shared" si="172"/>
        <v>50.554465945474881</v>
      </c>
      <c r="AD211" s="75">
        <f t="shared" si="173"/>
        <v>56.454718689175884</v>
      </c>
      <c r="AE211" s="76">
        <f t="shared" si="159"/>
        <v>1.6936415606752764</v>
      </c>
      <c r="AF211" s="77">
        <f t="shared" si="174"/>
        <v>51.055233794527389</v>
      </c>
      <c r="AG211" s="77">
        <f t="shared" si="175"/>
        <v>51.067785639563127</v>
      </c>
      <c r="AH211" s="77">
        <f t="shared" si="176"/>
        <v>1.2551845035737585E-2</v>
      </c>
      <c r="AI211" s="78">
        <f t="shared" si="177"/>
        <v>100</v>
      </c>
      <c r="AJ211" s="79">
        <f t="shared" si="160"/>
        <v>4</v>
      </c>
      <c r="AK211" s="113">
        <v>10</v>
      </c>
      <c r="AL211" s="113">
        <v>14</v>
      </c>
      <c r="AM211" s="80">
        <v>1</v>
      </c>
      <c r="AN211" s="81">
        <f t="shared" si="178"/>
        <v>24</v>
      </c>
      <c r="AO211" s="82">
        <f t="shared" si="179"/>
        <v>4.1666666666666661</v>
      </c>
      <c r="AP211" s="83">
        <f t="shared" si="180"/>
        <v>100</v>
      </c>
      <c r="AQ211" s="84">
        <f t="shared" si="161"/>
        <v>2</v>
      </c>
      <c r="AR211" s="118">
        <v>5</v>
      </c>
      <c r="AS211" s="86">
        <f t="shared" si="181"/>
        <v>0.25</v>
      </c>
      <c r="AT211" s="87">
        <f t="shared" si="182"/>
        <v>2.5</v>
      </c>
      <c r="AU211" s="87">
        <f t="shared" si="183"/>
        <v>2</v>
      </c>
      <c r="AV211" s="88">
        <f t="shared" si="184"/>
        <v>30</v>
      </c>
      <c r="AW211" s="78">
        <f t="shared" si="185"/>
        <v>80</v>
      </c>
      <c r="AX211" s="89">
        <f t="shared" si="162"/>
        <v>0.8</v>
      </c>
      <c r="AY211" s="114">
        <v>5</v>
      </c>
      <c r="AZ211" s="114">
        <v>25</v>
      </c>
      <c r="BA211" s="91">
        <f t="shared" si="186"/>
        <v>25</v>
      </c>
      <c r="BB211" s="77">
        <f t="shared" si="187"/>
        <v>100</v>
      </c>
      <c r="BC211" s="78">
        <f t="shared" si="188"/>
        <v>100</v>
      </c>
      <c r="BD211" s="79">
        <f t="shared" si="163"/>
        <v>1</v>
      </c>
      <c r="BE211" s="92">
        <v>24504838</v>
      </c>
      <c r="BF211" s="92">
        <v>1762052</v>
      </c>
      <c r="BG211" s="114">
        <v>489093</v>
      </c>
      <c r="BH211" s="94">
        <f t="shared" si="189"/>
        <v>26266890</v>
      </c>
      <c r="BI211" s="77">
        <f t="shared" si="190"/>
        <v>1.8620133559778109</v>
      </c>
      <c r="BJ211" s="95" t="str">
        <f t="shared" si="191"/>
        <v>비제조/서비스업</v>
      </c>
      <c r="BK211" s="96">
        <f t="shared" si="192"/>
        <v>1.7464434573900922</v>
      </c>
      <c r="BL211" s="97">
        <f t="shared" si="193"/>
        <v>0.11556989858771871</v>
      </c>
      <c r="BM211" s="98">
        <f t="shared" si="194"/>
        <v>60</v>
      </c>
      <c r="BN211" s="99">
        <f t="shared" si="195"/>
        <v>1.2</v>
      </c>
      <c r="BO211" s="114">
        <v>209743</v>
      </c>
      <c r="BP211" s="101">
        <f t="shared" si="196"/>
        <v>9.8440893104041714E-3</v>
      </c>
      <c r="BQ211" s="78">
        <f t="shared" si="197"/>
        <v>40</v>
      </c>
      <c r="BR211" s="79">
        <f t="shared" si="164"/>
        <v>0.8</v>
      </c>
      <c r="BS211" s="102">
        <v>1676634</v>
      </c>
      <c r="BT211" s="102">
        <v>509612</v>
      </c>
      <c r="BU211" s="103">
        <f t="shared" si="198"/>
        <v>1167022</v>
      </c>
      <c r="BV211" s="77">
        <f t="shared" si="199"/>
        <v>5.4773073691167268E-2</v>
      </c>
      <c r="BW211" s="96">
        <f t="shared" si="200"/>
        <v>2.8482825397737606</v>
      </c>
      <c r="BX211" s="96">
        <f t="shared" si="201"/>
        <v>7.8036951370930554</v>
      </c>
      <c r="BY211" s="96">
        <f t="shared" si="202"/>
        <v>5.5697595856656807</v>
      </c>
      <c r="BZ211" s="96">
        <f t="shared" si="203"/>
        <v>69.200773274218932</v>
      </c>
      <c r="CA211" s="96">
        <f t="shared" si="204"/>
        <v>40</v>
      </c>
      <c r="CB211" s="104">
        <f t="shared" si="205"/>
        <v>0.8</v>
      </c>
      <c r="CC211" s="105">
        <f t="shared" si="165"/>
        <v>19.518963505368742</v>
      </c>
      <c r="CD211" s="106">
        <f t="shared" si="166"/>
        <v>93.020491141192679</v>
      </c>
      <c r="CE211" s="107">
        <f t="shared" si="167"/>
        <v>1.3953073671178902</v>
      </c>
      <c r="CF211" s="108" t="s">
        <v>2189</v>
      </c>
      <c r="CG211" s="108" t="s">
        <v>2189</v>
      </c>
      <c r="CH211" s="108" t="s">
        <v>2189</v>
      </c>
      <c r="CI211" s="108" t="s">
        <v>2189</v>
      </c>
      <c r="CJ211" s="109"/>
      <c r="CK211" s="116" t="s">
        <v>2203</v>
      </c>
      <c r="CL211" s="116" t="s">
        <v>2204</v>
      </c>
      <c r="CM211" s="111">
        <f t="shared" si="206"/>
        <v>70</v>
      </c>
      <c r="CN211" s="107">
        <f t="shared" si="168"/>
        <v>1.05</v>
      </c>
      <c r="CO211" s="114">
        <v>593582000</v>
      </c>
      <c r="CP211" s="88">
        <f t="shared" si="207"/>
        <v>37.437064783762686</v>
      </c>
      <c r="CQ211" s="78">
        <f t="shared" si="208"/>
        <v>40</v>
      </c>
      <c r="CR211" s="79">
        <f t="shared" si="169"/>
        <v>1.2</v>
      </c>
      <c r="CS211" s="92">
        <f>_xlfn.XLOOKUP(C211, '[1]1-1. 관계사체무보증금액 (환율 등)'!$3:$3, '[1]1-1. 관계사체무보증금액 (환율 등)'!$33:$33)</f>
        <v>0</v>
      </c>
      <c r="CT211" s="77">
        <f t="shared" si="209"/>
        <v>0</v>
      </c>
      <c r="CU211" s="78">
        <f t="shared" si="210"/>
        <v>100</v>
      </c>
      <c r="CV211" s="79">
        <f t="shared" si="170"/>
        <v>2</v>
      </c>
      <c r="CW211" s="112">
        <f t="shared" si="211"/>
        <v>17.93894892779317</v>
      </c>
    </row>
    <row r="212" spans="1:101" x14ac:dyDescent="0.35">
      <c r="A212" s="7" t="s">
        <v>1627</v>
      </c>
      <c r="B212" s="8" t="s">
        <v>1628</v>
      </c>
      <c r="C212" s="21" t="s">
        <v>1629</v>
      </c>
      <c r="D212" s="10" t="s">
        <v>75</v>
      </c>
      <c r="E212" s="11" t="s">
        <v>1187</v>
      </c>
      <c r="F212" s="11" t="s">
        <v>1630</v>
      </c>
      <c r="G212" s="12">
        <v>33304</v>
      </c>
      <c r="H212" s="11" t="s">
        <v>24</v>
      </c>
      <c r="I212" s="11" t="s">
        <v>1631</v>
      </c>
      <c r="J212" s="11" t="s">
        <v>1632</v>
      </c>
      <c r="K212" s="11" t="s">
        <v>27</v>
      </c>
      <c r="L212" s="23">
        <v>231015509</v>
      </c>
      <c r="M212" s="14">
        <v>75905969</v>
      </c>
      <c r="N212" s="14">
        <v>155109540</v>
      </c>
      <c r="O212" s="14">
        <v>285439614</v>
      </c>
      <c r="P212" s="14">
        <v>21520066</v>
      </c>
      <c r="Q212" s="14">
        <v>18501491</v>
      </c>
      <c r="R212" s="14">
        <v>19107420</v>
      </c>
      <c r="S212" s="15">
        <v>27583100</v>
      </c>
      <c r="T212" s="15">
        <v>0</v>
      </c>
      <c r="U212" s="15">
        <v>12021820</v>
      </c>
      <c r="V212" s="15">
        <v>90000</v>
      </c>
      <c r="W212" s="15">
        <v>0</v>
      </c>
      <c r="X212" s="15">
        <v>900000</v>
      </c>
      <c r="Y212" s="24" t="s">
        <v>2107</v>
      </c>
      <c r="Z212" s="15">
        <v>0</v>
      </c>
      <c r="AA212" s="15">
        <v>1010000</v>
      </c>
      <c r="AB212" s="74">
        <f t="shared" si="171"/>
        <v>13011820</v>
      </c>
      <c r="AC212" s="75">
        <f t="shared" si="172"/>
        <v>47.173160377187479</v>
      </c>
      <c r="AD212" s="75">
        <f t="shared" si="173"/>
        <v>59.372991619228301</v>
      </c>
      <c r="AE212" s="76">
        <f t="shared" si="159"/>
        <v>1.7811897485768491</v>
      </c>
      <c r="AF212" s="77">
        <f t="shared" si="174"/>
        <v>45.579251197639721</v>
      </c>
      <c r="AG212" s="77">
        <f t="shared" si="175"/>
        <v>45.165298741960861</v>
      </c>
      <c r="AH212" s="77">
        <f t="shared" si="176"/>
        <v>-0.41395245567886008</v>
      </c>
      <c r="AI212" s="78">
        <f t="shared" si="177"/>
        <v>100</v>
      </c>
      <c r="AJ212" s="79">
        <f t="shared" si="160"/>
        <v>4</v>
      </c>
      <c r="AK212" s="113">
        <v>5</v>
      </c>
      <c r="AL212" s="113">
        <v>4</v>
      </c>
      <c r="AM212" s="113">
        <v>0</v>
      </c>
      <c r="AN212" s="81">
        <f t="shared" si="178"/>
        <v>9</v>
      </c>
      <c r="AO212" s="82">
        <f t="shared" si="179"/>
        <v>0</v>
      </c>
      <c r="AP212" s="83">
        <f t="shared" si="180"/>
        <v>100</v>
      </c>
      <c r="AQ212" s="84">
        <f t="shared" si="161"/>
        <v>2</v>
      </c>
      <c r="AR212" s="118">
        <v>1</v>
      </c>
      <c r="AS212" s="86">
        <f t="shared" si="181"/>
        <v>0.25</v>
      </c>
      <c r="AT212" s="87">
        <f t="shared" si="182"/>
        <v>1.25</v>
      </c>
      <c r="AU212" s="87">
        <f t="shared" si="183"/>
        <v>1</v>
      </c>
      <c r="AV212" s="88">
        <f t="shared" si="184"/>
        <v>0</v>
      </c>
      <c r="AW212" s="78">
        <f t="shared" si="185"/>
        <v>40</v>
      </c>
      <c r="AX212" s="89">
        <f t="shared" si="162"/>
        <v>0.4</v>
      </c>
      <c r="AY212" s="114">
        <v>20</v>
      </c>
      <c r="AZ212" s="114">
        <v>19</v>
      </c>
      <c r="BA212" s="91">
        <f t="shared" si="186"/>
        <v>20</v>
      </c>
      <c r="BB212" s="77">
        <f t="shared" si="187"/>
        <v>95</v>
      </c>
      <c r="BC212" s="78">
        <f t="shared" si="188"/>
        <v>100</v>
      </c>
      <c r="BD212" s="79">
        <f t="shared" si="163"/>
        <v>1</v>
      </c>
      <c r="BE212" s="92">
        <v>4175499</v>
      </c>
      <c r="BF212" s="92">
        <v>250273</v>
      </c>
      <c r="BG212" s="114">
        <v>127349</v>
      </c>
      <c r="BH212" s="94">
        <f t="shared" si="189"/>
        <v>4425772</v>
      </c>
      <c r="BI212" s="77">
        <f t="shared" si="190"/>
        <v>2.8774414949527451</v>
      </c>
      <c r="BJ212" s="95" t="str">
        <f t="shared" si="191"/>
        <v>금속/비금속/화학업</v>
      </c>
      <c r="BK212" s="96">
        <f t="shared" si="192"/>
        <v>3.9534118626990469</v>
      </c>
      <c r="BL212" s="97">
        <f t="shared" si="193"/>
        <v>-1.0759703677463017</v>
      </c>
      <c r="BM212" s="98">
        <f t="shared" si="194"/>
        <v>80</v>
      </c>
      <c r="BN212" s="99">
        <f t="shared" si="195"/>
        <v>1.6</v>
      </c>
      <c r="BO212" s="114">
        <v>753410</v>
      </c>
      <c r="BP212" s="101">
        <f t="shared" si="196"/>
        <v>0.26394724594884017</v>
      </c>
      <c r="BQ212" s="78">
        <f t="shared" si="197"/>
        <v>55</v>
      </c>
      <c r="BR212" s="79">
        <f t="shared" si="164"/>
        <v>1.1000000000000001</v>
      </c>
      <c r="BS212" s="102">
        <v>6428265.8880000003</v>
      </c>
      <c r="BT212" s="102">
        <v>38973.273000000001</v>
      </c>
      <c r="BU212" s="103">
        <f t="shared" si="198"/>
        <v>6389292.6150000002</v>
      </c>
      <c r="BV212" s="77">
        <f t="shared" si="199"/>
        <v>2.23840430746939</v>
      </c>
      <c r="BW212" s="96">
        <f t="shared" si="200"/>
        <v>5.1474158565187738</v>
      </c>
      <c r="BX212" s="96">
        <f t="shared" si="201"/>
        <v>8.4623481925026951</v>
      </c>
      <c r="BY212" s="96">
        <f t="shared" si="202"/>
        <v>6.6930498535228535</v>
      </c>
      <c r="BZ212" s="96">
        <f t="shared" si="203"/>
        <v>66.808510450651241</v>
      </c>
      <c r="CA212" s="96">
        <f t="shared" si="204"/>
        <v>40</v>
      </c>
      <c r="CB212" s="104">
        <f t="shared" si="205"/>
        <v>0.8</v>
      </c>
      <c r="CC212" s="105">
        <f t="shared" si="165"/>
        <v>48.937008645631984</v>
      </c>
      <c r="CD212" s="106">
        <f t="shared" si="166"/>
        <v>81.933288198882423</v>
      </c>
      <c r="CE212" s="107">
        <f t="shared" si="167"/>
        <v>1.2289993229832363</v>
      </c>
      <c r="CF212" s="108" t="s">
        <v>2189</v>
      </c>
      <c r="CG212" s="108" t="s">
        <v>2189</v>
      </c>
      <c r="CH212" s="108" t="s">
        <v>2189</v>
      </c>
      <c r="CI212" s="108" t="s">
        <v>2189</v>
      </c>
      <c r="CJ212" s="109"/>
      <c r="CK212" s="116" t="s">
        <v>2202</v>
      </c>
      <c r="CL212" s="116" t="s">
        <v>2196</v>
      </c>
      <c r="CM212" s="111">
        <f t="shared" si="206"/>
        <v>55</v>
      </c>
      <c r="CN212" s="107">
        <f t="shared" si="168"/>
        <v>0.82499999999999996</v>
      </c>
      <c r="CO212" s="114">
        <f>65157000-159000</f>
        <v>64998000</v>
      </c>
      <c r="CP212" s="88">
        <f t="shared" si="207"/>
        <v>41.904579176754694</v>
      </c>
      <c r="CQ212" s="78">
        <f t="shared" si="208"/>
        <v>40</v>
      </c>
      <c r="CR212" s="79">
        <f t="shared" si="169"/>
        <v>1.2</v>
      </c>
      <c r="CS212" s="92">
        <f>_xlfn.XLOOKUP(C212, '[1]1-1. 관계사체무보증금액 (환율 등)'!$3:$3, '[1]1-1. 관계사체무보증금액 (환율 등)'!$33:$33)</f>
        <v>0</v>
      </c>
      <c r="CT212" s="77">
        <f t="shared" si="209"/>
        <v>0</v>
      </c>
      <c r="CU212" s="78">
        <f t="shared" si="210"/>
        <v>100</v>
      </c>
      <c r="CV212" s="79">
        <f t="shared" si="170"/>
        <v>2</v>
      </c>
      <c r="CW212" s="112">
        <f t="shared" si="211"/>
        <v>17.935189071560082</v>
      </c>
    </row>
    <row r="213" spans="1:101" x14ac:dyDescent="0.35">
      <c r="A213" s="7" t="s">
        <v>1976</v>
      </c>
      <c r="B213" s="8" t="s">
        <v>1977</v>
      </c>
      <c r="C213" s="21" t="s">
        <v>1978</v>
      </c>
      <c r="D213" s="10" t="s">
        <v>21</v>
      </c>
      <c r="E213" s="11" t="s">
        <v>1979</v>
      </c>
      <c r="F213" s="11" t="s">
        <v>1980</v>
      </c>
      <c r="G213" s="12">
        <v>40434</v>
      </c>
      <c r="H213" s="11" t="s">
        <v>24</v>
      </c>
      <c r="I213" s="11" t="s">
        <v>1981</v>
      </c>
      <c r="J213" s="11" t="s">
        <v>1982</v>
      </c>
      <c r="K213" s="11" t="s">
        <v>27</v>
      </c>
      <c r="L213" s="23">
        <v>1865948929</v>
      </c>
      <c r="M213" s="14">
        <v>318378114</v>
      </c>
      <c r="N213" s="14">
        <v>1547570816</v>
      </c>
      <c r="O213" s="14">
        <v>1101635299</v>
      </c>
      <c r="P213" s="14">
        <v>112712450</v>
      </c>
      <c r="Q213" s="14">
        <v>74367602</v>
      </c>
      <c r="R213" s="14">
        <v>67521538</v>
      </c>
      <c r="S213" s="15">
        <v>12000000</v>
      </c>
      <c r="T213" s="15">
        <v>552250</v>
      </c>
      <c r="U213" s="15">
        <v>3001500</v>
      </c>
      <c r="V213" s="15">
        <v>0</v>
      </c>
      <c r="W213" s="15">
        <v>0</v>
      </c>
      <c r="X213" s="15">
        <v>0</v>
      </c>
      <c r="Z213" s="15">
        <v>1896500</v>
      </c>
      <c r="AA213" s="15">
        <v>0</v>
      </c>
      <c r="AB213" s="74">
        <f t="shared" si="171"/>
        <v>4898000</v>
      </c>
      <c r="AC213" s="75">
        <f t="shared" si="172"/>
        <v>40.81666666666667</v>
      </c>
      <c r="AD213" s="75">
        <f t="shared" si="173"/>
        <v>64.859033371691595</v>
      </c>
      <c r="AE213" s="76">
        <f t="shared" si="159"/>
        <v>1.9457710011507479</v>
      </c>
      <c r="AF213" s="77">
        <f t="shared" si="174"/>
        <v>26.219126029132362</v>
      </c>
      <c r="AG213" s="77">
        <f t="shared" si="175"/>
        <v>42.785700246773381</v>
      </c>
      <c r="AH213" s="77">
        <f t="shared" si="176"/>
        <v>16.566574217641019</v>
      </c>
      <c r="AI213" s="78">
        <f t="shared" si="177"/>
        <v>80</v>
      </c>
      <c r="AJ213" s="79">
        <f t="shared" si="160"/>
        <v>3.2</v>
      </c>
      <c r="AK213" s="113">
        <v>7</v>
      </c>
      <c r="AL213" s="113">
        <v>12</v>
      </c>
      <c r="AM213" s="113">
        <v>1</v>
      </c>
      <c r="AN213" s="81">
        <f t="shared" si="178"/>
        <v>19</v>
      </c>
      <c r="AO213" s="82">
        <f t="shared" si="179"/>
        <v>5.2631578947368416</v>
      </c>
      <c r="AP213" s="83">
        <f t="shared" si="180"/>
        <v>100</v>
      </c>
      <c r="AQ213" s="84">
        <f t="shared" si="161"/>
        <v>2</v>
      </c>
      <c r="AR213" s="118">
        <v>4</v>
      </c>
      <c r="AS213" s="86">
        <f t="shared" si="181"/>
        <v>0.25</v>
      </c>
      <c r="AT213" s="87">
        <f t="shared" si="182"/>
        <v>1.75</v>
      </c>
      <c r="AU213" s="87">
        <f t="shared" si="183"/>
        <v>1</v>
      </c>
      <c r="AV213" s="88">
        <f t="shared" si="184"/>
        <v>42.857142857142854</v>
      </c>
      <c r="AW213" s="78">
        <f t="shared" si="185"/>
        <v>100</v>
      </c>
      <c r="AX213" s="89">
        <f t="shared" si="162"/>
        <v>1</v>
      </c>
      <c r="AY213" s="114">
        <v>9</v>
      </c>
      <c r="AZ213" s="114">
        <v>36</v>
      </c>
      <c r="BA213" s="91">
        <f t="shared" si="186"/>
        <v>36</v>
      </c>
      <c r="BB213" s="77">
        <f t="shared" si="187"/>
        <v>100</v>
      </c>
      <c r="BC213" s="78">
        <f t="shared" si="188"/>
        <v>100</v>
      </c>
      <c r="BD213" s="79">
        <f t="shared" si="163"/>
        <v>1</v>
      </c>
      <c r="BE213" s="92">
        <v>68160362</v>
      </c>
      <c r="BF213" s="92">
        <v>7826279</v>
      </c>
      <c r="BG213" s="114">
        <v>1445351</v>
      </c>
      <c r="BH213" s="94">
        <f t="shared" si="189"/>
        <v>75986641</v>
      </c>
      <c r="BI213" s="77">
        <f t="shared" si="190"/>
        <v>1.9021119778146265</v>
      </c>
      <c r="BJ213" s="95" t="str">
        <f t="shared" si="191"/>
        <v>비제조/서비스업</v>
      </c>
      <c r="BK213" s="96">
        <f t="shared" si="192"/>
        <v>1.7464434573900922</v>
      </c>
      <c r="BL213" s="97">
        <f t="shared" si="193"/>
        <v>0.15566852042453427</v>
      </c>
      <c r="BM213" s="98">
        <f t="shared" si="194"/>
        <v>60</v>
      </c>
      <c r="BN213" s="99">
        <f t="shared" si="195"/>
        <v>1.2</v>
      </c>
      <c r="BO213" s="114">
        <v>5273000</v>
      </c>
      <c r="BP213" s="101">
        <f t="shared" si="196"/>
        <v>0.47865205524791377</v>
      </c>
      <c r="BQ213" s="78">
        <f t="shared" si="197"/>
        <v>55</v>
      </c>
      <c r="BR213" s="79">
        <f t="shared" si="164"/>
        <v>1.1000000000000001</v>
      </c>
      <c r="BS213" s="102">
        <v>11703178.692</v>
      </c>
      <c r="BT213" s="102">
        <v>5100</v>
      </c>
      <c r="BU213" s="103">
        <f t="shared" si="198"/>
        <v>11698078.692</v>
      </c>
      <c r="BV213" s="77">
        <f t="shared" si="199"/>
        <v>1.0618830662578469</v>
      </c>
      <c r="BW213" s="96">
        <f t="shared" si="200"/>
        <v>2.8482825397737606</v>
      </c>
      <c r="BX213" s="96">
        <f t="shared" si="201"/>
        <v>3.1912230789779334</v>
      </c>
      <c r="BY213" s="96">
        <f t="shared" si="202"/>
        <v>5.5697595856656807</v>
      </c>
      <c r="BZ213" s="96">
        <f t="shared" si="203"/>
        <v>62.579320778971528</v>
      </c>
      <c r="CA213" s="96">
        <f t="shared" si="204"/>
        <v>40</v>
      </c>
      <c r="CB213" s="104">
        <f t="shared" si="205"/>
        <v>0.8</v>
      </c>
      <c r="CC213" s="105">
        <f t="shared" si="165"/>
        <v>20.572765440415232</v>
      </c>
      <c r="CD213" s="106">
        <f t="shared" si="166"/>
        <v>92.623329607883704</v>
      </c>
      <c r="CE213" s="107">
        <f t="shared" si="167"/>
        <v>1.3893499441182555</v>
      </c>
      <c r="CF213" s="108" t="s">
        <v>2189</v>
      </c>
      <c r="CG213" s="108" t="s">
        <v>2189</v>
      </c>
      <c r="CH213" s="108" t="s">
        <v>2189</v>
      </c>
      <c r="CI213" s="108" t="s">
        <v>2189</v>
      </c>
      <c r="CJ213" s="109"/>
      <c r="CK213" s="116" t="s">
        <v>2206</v>
      </c>
      <c r="CL213" s="116" t="s">
        <v>2198</v>
      </c>
      <c r="CM213" s="111">
        <f t="shared" si="206"/>
        <v>100</v>
      </c>
      <c r="CN213" s="107">
        <f t="shared" si="168"/>
        <v>1.5</v>
      </c>
      <c r="CO213" s="114">
        <v>973962000</v>
      </c>
      <c r="CP213" s="88">
        <f t="shared" si="207"/>
        <v>62.93489059953945</v>
      </c>
      <c r="CQ213" s="78">
        <f t="shared" si="208"/>
        <v>40</v>
      </c>
      <c r="CR213" s="79">
        <f t="shared" si="169"/>
        <v>1.2</v>
      </c>
      <c r="CS213" s="92">
        <f>_xlfn.XLOOKUP(C213, '[1]1-1. 관계사체무보증금액 (환율 등)'!$3:$3, '[1]1-1. 관계사체무보증금액 (환율 등)'!$33:$33)</f>
        <v>135818181.81818181</v>
      </c>
      <c r="CT213" s="77">
        <f t="shared" si="209"/>
        <v>8.7762175671695939</v>
      </c>
      <c r="CU213" s="78">
        <f t="shared" si="210"/>
        <v>80</v>
      </c>
      <c r="CV213" s="79">
        <f t="shared" si="170"/>
        <v>1.6</v>
      </c>
      <c r="CW213" s="112">
        <f t="shared" si="211"/>
        <v>17.935120945269006</v>
      </c>
    </row>
    <row r="214" spans="1:101" x14ac:dyDescent="0.35">
      <c r="A214" s="7" t="s">
        <v>1240</v>
      </c>
      <c r="B214" s="8" t="s">
        <v>1241</v>
      </c>
      <c r="C214" s="21" t="s">
        <v>1242</v>
      </c>
      <c r="D214" s="22" t="s">
        <v>141</v>
      </c>
      <c r="E214" s="11" t="s">
        <v>639</v>
      </c>
      <c r="F214" s="11" t="s">
        <v>1243</v>
      </c>
      <c r="G214" s="12">
        <v>44393</v>
      </c>
      <c r="H214" s="11" t="s">
        <v>24</v>
      </c>
      <c r="I214" s="11" t="s">
        <v>1244</v>
      </c>
      <c r="J214" s="11" t="s">
        <v>1245</v>
      </c>
      <c r="K214" s="11" t="s">
        <v>50</v>
      </c>
      <c r="L214" s="23">
        <v>3184712423</v>
      </c>
      <c r="M214" s="14">
        <v>268563685</v>
      </c>
      <c r="N214" s="14">
        <v>2916148739</v>
      </c>
      <c r="O214" s="14">
        <v>2820638098</v>
      </c>
      <c r="P214" s="14">
        <v>1115338664</v>
      </c>
      <c r="Q214" s="14">
        <v>1224820701</v>
      </c>
      <c r="R214" s="14">
        <v>903927973</v>
      </c>
      <c r="S214" s="15">
        <v>104383353</v>
      </c>
      <c r="T214" s="15">
        <v>2129887</v>
      </c>
      <c r="U214" s="15">
        <v>32589639</v>
      </c>
      <c r="V214" s="15">
        <f>120000+126135+45000+46764+26100+10400+18000</f>
        <v>392399</v>
      </c>
      <c r="W214" s="15">
        <f>4501989+483435+1000+220500+41500+88200+2100+642014+5000+344000+269200+180500+234716+36300+213420+41500+9600+6888+92100+214342</f>
        <v>7628304</v>
      </c>
      <c r="X214" s="15">
        <v>0</v>
      </c>
      <c r="Z214" s="15">
        <f>24649029+3181555</f>
        <v>27830584</v>
      </c>
      <c r="AA214" s="15">
        <v>0</v>
      </c>
      <c r="AB214" s="74">
        <f t="shared" si="171"/>
        <v>68440926</v>
      </c>
      <c r="AC214" s="75">
        <f t="shared" si="172"/>
        <v>65.566897434306398</v>
      </c>
      <c r="AD214" s="75">
        <f t="shared" si="173"/>
        <v>43.498074711473194</v>
      </c>
      <c r="AE214" s="76">
        <f t="shared" si="159"/>
        <v>1.3049422413441958</v>
      </c>
      <c r="AF214" s="77">
        <f t="shared" si="174"/>
        <v>32.255178518838669</v>
      </c>
      <c r="AG214" s="77">
        <f t="shared" si="175"/>
        <v>66.932622117669823</v>
      </c>
      <c r="AH214" s="77">
        <f t="shared" si="176"/>
        <v>34.677443598831154</v>
      </c>
      <c r="AI214" s="78">
        <f t="shared" si="177"/>
        <v>60</v>
      </c>
      <c r="AJ214" s="79">
        <f t="shared" si="160"/>
        <v>2.4</v>
      </c>
      <c r="AK214" s="113">
        <v>7</v>
      </c>
      <c r="AL214" s="113">
        <v>23</v>
      </c>
      <c r="AM214" s="113">
        <v>2</v>
      </c>
      <c r="AN214" s="81">
        <f t="shared" si="178"/>
        <v>30</v>
      </c>
      <c r="AO214" s="82">
        <f t="shared" si="179"/>
        <v>6.666666666666667</v>
      </c>
      <c r="AP214" s="83">
        <f t="shared" si="180"/>
        <v>100</v>
      </c>
      <c r="AQ214" s="84">
        <f t="shared" si="161"/>
        <v>2</v>
      </c>
      <c r="AR214" s="118">
        <v>4</v>
      </c>
      <c r="AS214" s="86">
        <f t="shared" si="181"/>
        <v>0.5</v>
      </c>
      <c r="AT214" s="87">
        <f t="shared" si="182"/>
        <v>3.5</v>
      </c>
      <c r="AU214" s="87">
        <f t="shared" si="183"/>
        <v>3</v>
      </c>
      <c r="AV214" s="88">
        <f t="shared" si="184"/>
        <v>14.285714285714285</v>
      </c>
      <c r="AW214" s="78">
        <f t="shared" si="185"/>
        <v>60</v>
      </c>
      <c r="AX214" s="89">
        <f t="shared" si="162"/>
        <v>0.6</v>
      </c>
      <c r="AY214" s="114">
        <v>17</v>
      </c>
      <c r="AZ214" s="114">
        <f>4*17-5</f>
        <v>63</v>
      </c>
      <c r="BA214" s="91">
        <f t="shared" si="186"/>
        <v>68</v>
      </c>
      <c r="BB214" s="77">
        <f t="shared" si="187"/>
        <v>92.64705882352942</v>
      </c>
      <c r="BC214" s="78">
        <f t="shared" si="188"/>
        <v>100</v>
      </c>
      <c r="BD214" s="79">
        <f t="shared" si="163"/>
        <v>1</v>
      </c>
      <c r="BE214" s="92">
        <v>39402201</v>
      </c>
      <c r="BF214" s="92">
        <v>1351027</v>
      </c>
      <c r="BG214" s="114">
        <v>597225</v>
      </c>
      <c r="BH214" s="94">
        <f t="shared" si="189"/>
        <v>40753228</v>
      </c>
      <c r="BI214" s="77">
        <f t="shared" si="190"/>
        <v>1.4654667355430102</v>
      </c>
      <c r="BJ214" s="95" t="str">
        <f t="shared" si="191"/>
        <v>전기전자/기계업</v>
      </c>
      <c r="BK214" s="96">
        <f t="shared" si="192"/>
        <v>2.4096449716116446</v>
      </c>
      <c r="BL214" s="97">
        <f t="shared" si="193"/>
        <v>-0.94417823606863438</v>
      </c>
      <c r="BM214" s="98">
        <f t="shared" si="194"/>
        <v>80</v>
      </c>
      <c r="BN214" s="99">
        <f t="shared" si="195"/>
        <v>1.6</v>
      </c>
      <c r="BO214" s="114">
        <v>45959370</v>
      </c>
      <c r="BP214" s="101">
        <f t="shared" si="196"/>
        <v>1.6293962005472422</v>
      </c>
      <c r="BQ214" s="78">
        <f t="shared" si="197"/>
        <v>70</v>
      </c>
      <c r="BR214" s="79">
        <f t="shared" si="164"/>
        <v>1.4000000000000001</v>
      </c>
      <c r="BS214" s="102">
        <v>254521878.78299999</v>
      </c>
      <c r="BT214" s="102">
        <v>2489418.4789999998</v>
      </c>
      <c r="BU214" s="103">
        <f t="shared" si="198"/>
        <v>252032460.30399999</v>
      </c>
      <c r="BV214" s="77">
        <f t="shared" si="199"/>
        <v>8.935299444572701</v>
      </c>
      <c r="BW214" s="96">
        <f t="shared" si="200"/>
        <v>5.2309968128308295</v>
      </c>
      <c r="BX214" s="96">
        <f t="shared" si="201"/>
        <v>13.721857987529756</v>
      </c>
      <c r="BY214" s="96">
        <f t="shared" si="202"/>
        <v>7.0695458012309631</v>
      </c>
      <c r="BZ214" s="96">
        <f t="shared" si="203"/>
        <v>30.014612577305154</v>
      </c>
      <c r="CA214" s="96">
        <f t="shared" si="204"/>
        <v>70</v>
      </c>
      <c r="CB214" s="104">
        <f t="shared" si="205"/>
        <v>1.4000000000000001</v>
      </c>
      <c r="CC214" s="105">
        <f t="shared" si="165"/>
        <v>9.2095331561206759</v>
      </c>
      <c r="CD214" s="106">
        <f t="shared" si="166"/>
        <v>96.90595484065804</v>
      </c>
      <c r="CE214" s="107">
        <f t="shared" si="167"/>
        <v>1.4535893226098706</v>
      </c>
      <c r="CF214" s="108" t="s">
        <v>2189</v>
      </c>
      <c r="CG214" s="108" t="s">
        <v>2189</v>
      </c>
      <c r="CH214" s="108" t="s">
        <v>2189</v>
      </c>
      <c r="CI214" s="108" t="s">
        <v>2189</v>
      </c>
      <c r="CJ214" s="109"/>
      <c r="CK214" s="116" t="s">
        <v>2199</v>
      </c>
      <c r="CL214" s="116" t="s">
        <v>2193</v>
      </c>
      <c r="CM214" s="111">
        <f t="shared" si="206"/>
        <v>25</v>
      </c>
      <c r="CN214" s="107">
        <f t="shared" si="168"/>
        <v>0.375</v>
      </c>
      <c r="CO214" s="114">
        <v>265755434</v>
      </c>
      <c r="CP214" s="88">
        <f t="shared" si="207"/>
        <v>9.1132331642017803</v>
      </c>
      <c r="CQ214" s="78">
        <f t="shared" si="208"/>
        <v>80</v>
      </c>
      <c r="CR214" s="79">
        <f t="shared" si="169"/>
        <v>2.4</v>
      </c>
      <c r="CS214" s="92">
        <f>_xlfn.XLOOKUP(C214, '[1]1-1. 관계사체무보증금액 (환율 등)'!$3:$3, '[1]1-1. 관계사체무보증금액 (환율 등)'!$33:$33)</f>
        <v>0</v>
      </c>
      <c r="CT214" s="77">
        <f t="shared" si="209"/>
        <v>0</v>
      </c>
      <c r="CU214" s="78">
        <f t="shared" si="210"/>
        <v>100</v>
      </c>
      <c r="CV214" s="79">
        <f t="shared" si="170"/>
        <v>2</v>
      </c>
      <c r="CW214" s="112">
        <f t="shared" si="211"/>
        <v>17.933531563954066</v>
      </c>
    </row>
    <row r="215" spans="1:101" x14ac:dyDescent="0.35">
      <c r="A215" s="7" t="s">
        <v>1561</v>
      </c>
      <c r="B215" s="8" t="s">
        <v>1562</v>
      </c>
      <c r="C215" s="21" t="s">
        <v>1563</v>
      </c>
      <c r="D215" s="22" t="s">
        <v>21</v>
      </c>
      <c r="E215" s="11" t="s">
        <v>1564</v>
      </c>
      <c r="F215" s="11" t="s">
        <v>1565</v>
      </c>
      <c r="G215" s="12">
        <v>40697</v>
      </c>
      <c r="H215" s="11" t="s">
        <v>24</v>
      </c>
      <c r="I215" s="11" t="s">
        <v>1566</v>
      </c>
      <c r="J215" s="11" t="s">
        <v>1567</v>
      </c>
      <c r="K215" s="11" t="s">
        <v>27</v>
      </c>
      <c r="L215" s="23">
        <v>1160021099</v>
      </c>
      <c r="M215" s="14">
        <v>357640642</v>
      </c>
      <c r="N215" s="14">
        <v>802380457</v>
      </c>
      <c r="O215" s="14">
        <v>704927362</v>
      </c>
      <c r="P215" s="14">
        <v>50599970</v>
      </c>
      <c r="Q215" s="14">
        <v>45652874</v>
      </c>
      <c r="R215" s="14">
        <v>34327224</v>
      </c>
      <c r="S215" s="15">
        <v>47821966</v>
      </c>
      <c r="T215" s="15">
        <v>238149</v>
      </c>
      <c r="U215" s="15">
        <v>23908000</v>
      </c>
      <c r="V215" s="15">
        <v>0</v>
      </c>
      <c r="W215" s="15">
        <f>1700+5000+3000+5000+5162+3000+3000+10234+5144+5000</f>
        <v>46240</v>
      </c>
      <c r="X215" s="15">
        <v>0</v>
      </c>
      <c r="Z215" s="15">
        <v>0</v>
      </c>
      <c r="AA215" s="15">
        <v>0</v>
      </c>
      <c r="AB215" s="74">
        <f t="shared" si="171"/>
        <v>23954240</v>
      </c>
      <c r="AC215" s="75">
        <f t="shared" si="172"/>
        <v>50.090454248576897</v>
      </c>
      <c r="AD215" s="75">
        <f t="shared" si="173"/>
        <v>56.855189083506708</v>
      </c>
      <c r="AE215" s="76">
        <f t="shared" si="159"/>
        <v>1.7056556725052012</v>
      </c>
      <c r="AF215" s="77">
        <f t="shared" si="174"/>
        <v>50.243972651458371</v>
      </c>
      <c r="AG215" s="77">
        <f t="shared" si="175"/>
        <v>50.341148546363989</v>
      </c>
      <c r="AH215" s="77">
        <f t="shared" si="176"/>
        <v>9.7175894905618065E-2</v>
      </c>
      <c r="AI215" s="78">
        <f t="shared" si="177"/>
        <v>100</v>
      </c>
      <c r="AJ215" s="79">
        <f t="shared" si="160"/>
        <v>4</v>
      </c>
      <c r="AK215" s="113">
        <v>9</v>
      </c>
      <c r="AL215" s="113">
        <v>8</v>
      </c>
      <c r="AM215" s="113">
        <v>0</v>
      </c>
      <c r="AN215" s="81">
        <f t="shared" si="178"/>
        <v>17</v>
      </c>
      <c r="AO215" s="82">
        <f t="shared" si="179"/>
        <v>0</v>
      </c>
      <c r="AP215" s="83">
        <f t="shared" si="180"/>
        <v>100</v>
      </c>
      <c r="AQ215" s="84">
        <f t="shared" si="161"/>
        <v>2</v>
      </c>
      <c r="AR215" s="118">
        <v>5</v>
      </c>
      <c r="AS215" s="86">
        <f t="shared" si="181"/>
        <v>0.25</v>
      </c>
      <c r="AT215" s="87">
        <f t="shared" si="182"/>
        <v>2.25</v>
      </c>
      <c r="AU215" s="87">
        <f t="shared" si="183"/>
        <v>2</v>
      </c>
      <c r="AV215" s="88">
        <f t="shared" si="184"/>
        <v>33.333333333333329</v>
      </c>
      <c r="AW215" s="78">
        <f t="shared" si="185"/>
        <v>80</v>
      </c>
      <c r="AX215" s="89">
        <f t="shared" si="162"/>
        <v>0.8</v>
      </c>
      <c r="AY215" s="114">
        <v>9</v>
      </c>
      <c r="AZ215" s="114">
        <v>45</v>
      </c>
      <c r="BA215" s="91">
        <f t="shared" si="186"/>
        <v>45</v>
      </c>
      <c r="BB215" s="77">
        <f t="shared" si="187"/>
        <v>100</v>
      </c>
      <c r="BC215" s="78">
        <f t="shared" si="188"/>
        <v>100</v>
      </c>
      <c r="BD215" s="79">
        <f t="shared" si="163"/>
        <v>1</v>
      </c>
      <c r="BE215" s="92">
        <v>30951410</v>
      </c>
      <c r="BF215" s="92">
        <v>4442635</v>
      </c>
      <c r="BG215" s="93">
        <v>0</v>
      </c>
      <c r="BH215" s="94">
        <f t="shared" si="189"/>
        <v>35394045</v>
      </c>
      <c r="BI215" s="77">
        <f t="shared" si="190"/>
        <v>0</v>
      </c>
      <c r="BJ215" s="95" t="str">
        <f t="shared" si="191"/>
        <v>비제조/서비스업</v>
      </c>
      <c r="BK215" s="96">
        <f t="shared" si="192"/>
        <v>1.7464434573900922</v>
      </c>
      <c r="BL215" s="97">
        <f t="shared" si="193"/>
        <v>-1.7464434573900922</v>
      </c>
      <c r="BM215" s="98">
        <f t="shared" si="194"/>
        <v>80</v>
      </c>
      <c r="BN215" s="99">
        <f t="shared" si="195"/>
        <v>1.6</v>
      </c>
      <c r="BO215" s="114">
        <v>0</v>
      </c>
      <c r="BP215" s="101">
        <f t="shared" si="196"/>
        <v>0</v>
      </c>
      <c r="BQ215" s="78">
        <f t="shared" si="197"/>
        <v>25</v>
      </c>
      <c r="BR215" s="79">
        <f t="shared" si="164"/>
        <v>0.5</v>
      </c>
      <c r="BS215" s="102">
        <v>43885542</v>
      </c>
      <c r="BT215" s="102">
        <v>51691177</v>
      </c>
      <c r="BU215" s="103">
        <f t="shared" si="198"/>
        <v>-7805635</v>
      </c>
      <c r="BV215" s="77">
        <f t="shared" si="199"/>
        <v>-1.1072963571528949</v>
      </c>
      <c r="BW215" s="96">
        <f t="shared" si="200"/>
        <v>2.8482825397737606</v>
      </c>
      <c r="BX215" s="96">
        <f t="shared" si="201"/>
        <v>15.646604409811498</v>
      </c>
      <c r="BY215" s="96">
        <f t="shared" si="202"/>
        <v>5.5697595856656807</v>
      </c>
      <c r="BZ215" s="96">
        <f t="shared" si="203"/>
        <v>76.120635718667273</v>
      </c>
      <c r="CA215" s="96">
        <f t="shared" si="204"/>
        <v>40</v>
      </c>
      <c r="CB215" s="104">
        <f t="shared" si="205"/>
        <v>0.8</v>
      </c>
      <c r="CC215" s="105">
        <f t="shared" si="165"/>
        <v>44.572451744048394</v>
      </c>
      <c r="CD215" s="106">
        <f t="shared" si="166"/>
        <v>83.578221704504372</v>
      </c>
      <c r="CE215" s="107">
        <f t="shared" si="167"/>
        <v>1.2536733255675656</v>
      </c>
      <c r="CF215" s="108" t="s">
        <v>2189</v>
      </c>
      <c r="CG215" s="108" t="s">
        <v>2189</v>
      </c>
      <c r="CH215" s="108" t="s">
        <v>2189</v>
      </c>
      <c r="CI215" s="108" t="s">
        <v>2189</v>
      </c>
      <c r="CJ215" s="109"/>
      <c r="CK215" s="116" t="s">
        <v>2203</v>
      </c>
      <c r="CL215" s="116" t="s">
        <v>2204</v>
      </c>
      <c r="CM215" s="111">
        <f t="shared" si="206"/>
        <v>70</v>
      </c>
      <c r="CN215" s="107">
        <f t="shared" si="168"/>
        <v>1.05</v>
      </c>
      <c r="CO215" s="114">
        <v>524260147</v>
      </c>
      <c r="CP215" s="88">
        <f t="shared" si="207"/>
        <v>65.338100202507803</v>
      </c>
      <c r="CQ215" s="78">
        <f t="shared" si="208"/>
        <v>40</v>
      </c>
      <c r="CR215" s="79">
        <f t="shared" si="169"/>
        <v>1.2</v>
      </c>
      <c r="CS215" s="92">
        <f>_xlfn.XLOOKUP(C215, '[1]1-1. 관계사체무보증금액 (환율 등)'!$3:$3, '[1]1-1. 관계사체무보증금액 (환율 등)'!$33:$33)</f>
        <v>0</v>
      </c>
      <c r="CT215" s="77">
        <f t="shared" si="209"/>
        <v>0</v>
      </c>
      <c r="CU215" s="78">
        <f t="shared" si="210"/>
        <v>100</v>
      </c>
      <c r="CV215" s="79">
        <f t="shared" si="170"/>
        <v>2</v>
      </c>
      <c r="CW215" s="112">
        <f t="shared" si="211"/>
        <v>17.909328998072766</v>
      </c>
    </row>
    <row r="216" spans="1:101" x14ac:dyDescent="0.35">
      <c r="A216" s="7" t="s">
        <v>1507</v>
      </c>
      <c r="B216" s="188" t="s">
        <v>1508</v>
      </c>
      <c r="C216" s="21" t="s">
        <v>1509</v>
      </c>
      <c r="D216" s="10" t="s">
        <v>75</v>
      </c>
      <c r="E216" s="11" t="s">
        <v>276</v>
      </c>
      <c r="F216" s="11" t="s">
        <v>1510</v>
      </c>
      <c r="G216" s="12">
        <v>32781</v>
      </c>
      <c r="H216" s="11" t="s">
        <v>24</v>
      </c>
      <c r="I216" s="11" t="s">
        <v>1505</v>
      </c>
      <c r="J216" s="11" t="s">
        <v>1511</v>
      </c>
      <c r="K216" s="11" t="s">
        <v>50</v>
      </c>
      <c r="L216" s="23">
        <v>45482659</v>
      </c>
      <c r="M216" s="14">
        <v>14914195</v>
      </c>
      <c r="N216" s="14">
        <v>30568464</v>
      </c>
      <c r="O216" s="14">
        <v>50246842</v>
      </c>
      <c r="P216" s="14">
        <v>3199040</v>
      </c>
      <c r="Q216" s="14">
        <v>3233292</v>
      </c>
      <c r="R216" s="14">
        <v>3418425</v>
      </c>
      <c r="S216" s="15">
        <v>10000000</v>
      </c>
      <c r="T216" s="15">
        <v>0</v>
      </c>
      <c r="U216" s="15">
        <v>5049883</v>
      </c>
      <c r="V216" s="15">
        <v>0</v>
      </c>
      <c r="W216" s="15">
        <v>0</v>
      </c>
      <c r="X216" s="15">
        <v>0</v>
      </c>
      <c r="Z216" s="15">
        <v>0</v>
      </c>
      <c r="AA216" s="15">
        <v>0</v>
      </c>
      <c r="AB216" s="74">
        <f t="shared" si="171"/>
        <v>5049883</v>
      </c>
      <c r="AC216" s="75">
        <f t="shared" si="172"/>
        <v>50.498829999999998</v>
      </c>
      <c r="AD216" s="75">
        <f t="shared" si="173"/>
        <v>56.502735903337175</v>
      </c>
      <c r="AE216" s="76">
        <f t="shared" si="159"/>
        <v>1.6950820771001152</v>
      </c>
      <c r="AF216" s="77">
        <f t="shared" si="174"/>
        <v>50.498829999999998</v>
      </c>
      <c r="AG216" s="77">
        <f t="shared" si="175"/>
        <v>50.498829999999998</v>
      </c>
      <c r="AH216" s="77">
        <f t="shared" si="176"/>
        <v>0</v>
      </c>
      <c r="AI216" s="78">
        <f t="shared" si="177"/>
        <v>100</v>
      </c>
      <c r="AJ216" s="79">
        <f t="shared" si="160"/>
        <v>4</v>
      </c>
      <c r="AK216" s="113">
        <v>5</v>
      </c>
      <c r="AL216" s="113">
        <v>3</v>
      </c>
      <c r="AM216" s="113">
        <v>2</v>
      </c>
      <c r="AN216" s="81">
        <f t="shared" si="178"/>
        <v>8</v>
      </c>
      <c r="AO216" s="82">
        <f t="shared" si="179"/>
        <v>25</v>
      </c>
      <c r="AP216" s="83">
        <f t="shared" si="180"/>
        <v>60</v>
      </c>
      <c r="AQ216" s="84">
        <f t="shared" si="161"/>
        <v>1.2</v>
      </c>
      <c r="AR216" s="118">
        <v>1</v>
      </c>
      <c r="AS216" s="86">
        <f t="shared" si="181"/>
        <v>0.25</v>
      </c>
      <c r="AT216" s="87">
        <f t="shared" si="182"/>
        <v>1.25</v>
      </c>
      <c r="AU216" s="87">
        <f t="shared" si="183"/>
        <v>1</v>
      </c>
      <c r="AV216" s="88">
        <f t="shared" si="184"/>
        <v>0</v>
      </c>
      <c r="AW216" s="78">
        <f t="shared" si="185"/>
        <v>40</v>
      </c>
      <c r="AX216" s="89">
        <f t="shared" si="162"/>
        <v>0.4</v>
      </c>
      <c r="AY216" s="114">
        <v>10</v>
      </c>
      <c r="AZ216" s="114">
        <v>10</v>
      </c>
      <c r="BA216" s="91">
        <f t="shared" si="186"/>
        <v>10</v>
      </c>
      <c r="BB216" s="77">
        <f t="shared" si="187"/>
        <v>100</v>
      </c>
      <c r="BC216" s="78">
        <f t="shared" si="188"/>
        <v>100</v>
      </c>
      <c r="BD216" s="79">
        <f t="shared" si="163"/>
        <v>1</v>
      </c>
      <c r="BE216" s="92">
        <v>1486713.4240000001</v>
      </c>
      <c r="BF216" s="92">
        <v>223017.978</v>
      </c>
      <c r="BG216" s="114">
        <v>219984.97099999999</v>
      </c>
      <c r="BH216" s="94">
        <f t="shared" si="189"/>
        <v>1709731.4020000002</v>
      </c>
      <c r="BI216" s="77">
        <f t="shared" si="190"/>
        <v>12.866639212607733</v>
      </c>
      <c r="BJ216" s="95" t="str">
        <f t="shared" si="191"/>
        <v>금속/비금속/화학업</v>
      </c>
      <c r="BK216" s="96">
        <f t="shared" si="192"/>
        <v>3.9534118626990469</v>
      </c>
      <c r="BL216" s="97">
        <f t="shared" si="193"/>
        <v>8.913227349908686</v>
      </c>
      <c r="BM216" s="98">
        <f t="shared" si="194"/>
        <v>40</v>
      </c>
      <c r="BN216" s="99">
        <f t="shared" si="195"/>
        <v>0.8</v>
      </c>
      <c r="BO216" s="114">
        <v>407993.98</v>
      </c>
      <c r="BP216" s="101">
        <f t="shared" si="196"/>
        <v>0.81197934787623061</v>
      </c>
      <c r="BQ216" s="78">
        <f t="shared" si="197"/>
        <v>70</v>
      </c>
      <c r="BR216" s="79">
        <f t="shared" si="164"/>
        <v>1.4000000000000001</v>
      </c>
      <c r="BS216" s="102">
        <v>1249696.504</v>
      </c>
      <c r="BT216" s="102">
        <v>32500</v>
      </c>
      <c r="BU216" s="103">
        <f t="shared" si="198"/>
        <v>1217196.504</v>
      </c>
      <c r="BV216" s="77">
        <f t="shared" si="199"/>
        <v>2.4224338397227032</v>
      </c>
      <c r="BW216" s="96">
        <f t="shared" si="200"/>
        <v>5.1474158565187738</v>
      </c>
      <c r="BX216" s="96">
        <f t="shared" si="201"/>
        <v>7.4255269918619797</v>
      </c>
      <c r="BY216" s="96">
        <f t="shared" si="202"/>
        <v>6.6930498535228535</v>
      </c>
      <c r="BZ216" s="96">
        <f t="shared" si="203"/>
        <v>65.804597387054883</v>
      </c>
      <c r="CA216" s="96">
        <f t="shared" si="204"/>
        <v>40</v>
      </c>
      <c r="CB216" s="104">
        <f t="shared" si="205"/>
        <v>0.8</v>
      </c>
      <c r="CC216" s="105">
        <f t="shared" si="165"/>
        <v>48.789481211748161</v>
      </c>
      <c r="CD216" s="106">
        <f t="shared" si="166"/>
        <v>81.988888990547181</v>
      </c>
      <c r="CE216" s="107">
        <f t="shared" si="167"/>
        <v>1.2298333348582078</v>
      </c>
      <c r="CF216" s="108" t="s">
        <v>2189</v>
      </c>
      <c r="CG216" s="108" t="s">
        <v>2189</v>
      </c>
      <c r="CH216" s="108" t="s">
        <v>2189</v>
      </c>
      <c r="CI216" s="108" t="s">
        <v>2189</v>
      </c>
      <c r="CJ216" s="109"/>
      <c r="CK216" s="116" t="s">
        <v>2192</v>
      </c>
      <c r="CL216" s="116" t="s">
        <v>2193</v>
      </c>
      <c r="CM216" s="111">
        <f t="shared" si="206"/>
        <v>25</v>
      </c>
      <c r="CN216" s="107">
        <f t="shared" si="168"/>
        <v>0.375</v>
      </c>
      <c r="CO216" s="114">
        <v>0</v>
      </c>
      <c r="CP216" s="88">
        <f t="shared" si="207"/>
        <v>0</v>
      </c>
      <c r="CQ216" s="78">
        <f t="shared" si="208"/>
        <v>100</v>
      </c>
      <c r="CR216" s="79">
        <f t="shared" si="169"/>
        <v>3</v>
      </c>
      <c r="CS216" s="92">
        <f>_xlfn.XLOOKUP(C216, '[1]1-1. 관계사체무보증금액 (환율 등)'!$3:$3, '[1]1-1. 관계사체무보증금액 (환율 등)'!$33:$33)</f>
        <v>0</v>
      </c>
      <c r="CT216" s="77">
        <f t="shared" si="209"/>
        <v>0</v>
      </c>
      <c r="CU216" s="78">
        <f t="shared" si="210"/>
        <v>100</v>
      </c>
      <c r="CV216" s="79">
        <f t="shared" si="170"/>
        <v>2</v>
      </c>
      <c r="CW216" s="112">
        <f t="shared" si="211"/>
        <v>17.899915411958325</v>
      </c>
    </row>
    <row r="217" spans="1:101" x14ac:dyDescent="0.35">
      <c r="A217" s="7" t="s">
        <v>1077</v>
      </c>
      <c r="B217" s="8" t="s">
        <v>1078</v>
      </c>
      <c r="C217" s="21" t="s">
        <v>1079</v>
      </c>
      <c r="D217" s="10" t="s">
        <v>21</v>
      </c>
      <c r="E217" s="11" t="s">
        <v>303</v>
      </c>
      <c r="F217" s="11" t="s">
        <v>1080</v>
      </c>
      <c r="G217" s="12">
        <v>32756</v>
      </c>
      <c r="H217" s="11" t="s">
        <v>24</v>
      </c>
      <c r="I217" s="11" t="s">
        <v>1081</v>
      </c>
      <c r="J217" s="11" t="s">
        <v>1082</v>
      </c>
      <c r="K217" s="11" t="s">
        <v>87</v>
      </c>
      <c r="L217" s="23">
        <v>49842667</v>
      </c>
      <c r="M217" s="14">
        <v>4029139</v>
      </c>
      <c r="N217" s="14">
        <v>45813528</v>
      </c>
      <c r="O217" s="14">
        <v>28065827</v>
      </c>
      <c r="P217" s="14">
        <v>1582371</v>
      </c>
      <c r="Q217" s="14">
        <v>2149604</v>
      </c>
      <c r="R217" s="14">
        <v>1307423</v>
      </c>
      <c r="S217" s="15">
        <v>28705031</v>
      </c>
      <c r="T217" s="15">
        <v>2050</v>
      </c>
      <c r="U217" s="15">
        <v>9111748</v>
      </c>
      <c r="V217" s="15">
        <v>894786</v>
      </c>
      <c r="W217" s="15">
        <v>0</v>
      </c>
      <c r="X217" s="15">
        <v>0</v>
      </c>
      <c r="Z217" s="15">
        <v>0</v>
      </c>
      <c r="AA217" s="15">
        <v>0</v>
      </c>
      <c r="AB217" s="74">
        <f t="shared" si="171"/>
        <v>10006534</v>
      </c>
      <c r="AC217" s="75">
        <f t="shared" si="172"/>
        <v>34.85986132535443</v>
      </c>
      <c r="AD217" s="75">
        <f t="shared" si="173"/>
        <v>70.000119684676847</v>
      </c>
      <c r="AE217" s="76">
        <f t="shared" si="159"/>
        <v>2.1000035905403052</v>
      </c>
      <c r="AF217" s="77">
        <f t="shared" si="174"/>
        <v>34.862351056846677</v>
      </c>
      <c r="AG217" s="77">
        <f t="shared" si="175"/>
        <v>34.862351056846677</v>
      </c>
      <c r="AH217" s="77">
        <f t="shared" si="176"/>
        <v>0</v>
      </c>
      <c r="AI217" s="78">
        <f t="shared" si="177"/>
        <v>100</v>
      </c>
      <c r="AJ217" s="79">
        <f t="shared" si="160"/>
        <v>4</v>
      </c>
      <c r="AK217" s="113">
        <v>7</v>
      </c>
      <c r="AL217" s="113">
        <v>3</v>
      </c>
      <c r="AM217" s="113">
        <v>2</v>
      </c>
      <c r="AN217" s="81">
        <f t="shared" si="178"/>
        <v>10</v>
      </c>
      <c r="AO217" s="82">
        <f t="shared" si="179"/>
        <v>20</v>
      </c>
      <c r="AP217" s="83">
        <f t="shared" si="180"/>
        <v>60</v>
      </c>
      <c r="AQ217" s="84">
        <f t="shared" si="161"/>
        <v>1.2</v>
      </c>
      <c r="AR217" s="118">
        <v>2</v>
      </c>
      <c r="AS217" s="86">
        <f t="shared" si="181"/>
        <v>0.25</v>
      </c>
      <c r="AT217" s="87">
        <f t="shared" si="182"/>
        <v>1.75</v>
      </c>
      <c r="AU217" s="87">
        <f t="shared" si="183"/>
        <v>1</v>
      </c>
      <c r="AV217" s="88">
        <f t="shared" si="184"/>
        <v>14.285714285714285</v>
      </c>
      <c r="AW217" s="78">
        <f t="shared" si="185"/>
        <v>60</v>
      </c>
      <c r="AX217" s="89">
        <f t="shared" si="162"/>
        <v>0.6</v>
      </c>
      <c r="AY217" s="114">
        <v>19</v>
      </c>
      <c r="AZ217" s="114">
        <v>10</v>
      </c>
      <c r="BA217" s="91">
        <f t="shared" si="186"/>
        <v>38</v>
      </c>
      <c r="BB217" s="77">
        <f t="shared" si="187"/>
        <v>26.315789473684209</v>
      </c>
      <c r="BC217" s="78">
        <f t="shared" si="188"/>
        <v>25</v>
      </c>
      <c r="BD217" s="79">
        <f t="shared" si="163"/>
        <v>0.25</v>
      </c>
      <c r="BE217" s="92">
        <v>1076009</v>
      </c>
      <c r="BF217" s="92">
        <v>101186</v>
      </c>
      <c r="BG217" s="114">
        <v>3869</v>
      </c>
      <c r="BH217" s="94">
        <f t="shared" si="189"/>
        <v>1177195</v>
      </c>
      <c r="BI217" s="77">
        <f t="shared" si="190"/>
        <v>0.32866262598804785</v>
      </c>
      <c r="BJ217" s="95" t="str">
        <f t="shared" si="191"/>
        <v>비제조/서비스업</v>
      </c>
      <c r="BK217" s="96">
        <f t="shared" si="192"/>
        <v>1.7464434573900922</v>
      </c>
      <c r="BL217" s="97">
        <f t="shared" si="193"/>
        <v>-1.4177808314020444</v>
      </c>
      <c r="BM217" s="98">
        <f t="shared" si="194"/>
        <v>80</v>
      </c>
      <c r="BN217" s="99">
        <f t="shared" si="195"/>
        <v>1.6</v>
      </c>
      <c r="BO217" s="114">
        <v>0</v>
      </c>
      <c r="BP217" s="101">
        <f t="shared" si="196"/>
        <v>0</v>
      </c>
      <c r="BQ217" s="78">
        <f t="shared" si="197"/>
        <v>25</v>
      </c>
      <c r="BR217" s="79">
        <f t="shared" si="164"/>
        <v>0.5</v>
      </c>
      <c r="BS217" s="102">
        <v>64798.887000000002</v>
      </c>
      <c r="BT217" s="102">
        <v>7090.91</v>
      </c>
      <c r="BU217" s="103">
        <f t="shared" si="198"/>
        <v>57707.976999999999</v>
      </c>
      <c r="BV217" s="77">
        <f t="shared" si="199"/>
        <v>0.20561652076028258</v>
      </c>
      <c r="BW217" s="96">
        <f t="shared" si="200"/>
        <v>2.8482825397737606</v>
      </c>
      <c r="BX217" s="96">
        <f t="shared" si="201"/>
        <v>6.9836836880485444</v>
      </c>
      <c r="BY217" s="96">
        <f t="shared" si="202"/>
        <v>5.5697595856656807</v>
      </c>
      <c r="BZ217" s="96">
        <f t="shared" si="203"/>
        <v>68.241646696353286</v>
      </c>
      <c r="CA217" s="96">
        <f t="shared" si="204"/>
        <v>40</v>
      </c>
      <c r="CB217" s="104">
        <f t="shared" si="205"/>
        <v>0.8</v>
      </c>
      <c r="CC217" s="105">
        <f t="shared" si="165"/>
        <v>8.7946490390349332</v>
      </c>
      <c r="CD217" s="106">
        <f t="shared" si="166"/>
        <v>97.06231820136874</v>
      </c>
      <c r="CE217" s="107">
        <f t="shared" si="167"/>
        <v>1.455934773020531</v>
      </c>
      <c r="CF217" s="108" t="s">
        <v>2189</v>
      </c>
      <c r="CG217" s="108" t="s">
        <v>2189</v>
      </c>
      <c r="CH217" s="108" t="s">
        <v>2189</v>
      </c>
      <c r="CI217" s="108" t="s">
        <v>2189</v>
      </c>
      <c r="CJ217" s="109"/>
      <c r="CK217" s="116" t="s">
        <v>2192</v>
      </c>
      <c r="CL217" s="116" t="s">
        <v>2193</v>
      </c>
      <c r="CM217" s="111">
        <f t="shared" si="206"/>
        <v>25</v>
      </c>
      <c r="CN217" s="107">
        <f t="shared" si="168"/>
        <v>0.375</v>
      </c>
      <c r="CO217" s="114">
        <v>0</v>
      </c>
      <c r="CP217" s="88">
        <f t="shared" si="207"/>
        <v>0</v>
      </c>
      <c r="CQ217" s="78">
        <f t="shared" si="208"/>
        <v>100</v>
      </c>
      <c r="CR217" s="79">
        <f t="shared" si="169"/>
        <v>3</v>
      </c>
      <c r="CS217" s="92">
        <f>_xlfn.XLOOKUP(C217, '[1]1-1. 관계사체무보증금액 (환율 등)'!$3:$3, '[1]1-1. 관계사체무보증금액 (환율 등)'!$33:$33)</f>
        <v>0</v>
      </c>
      <c r="CT217" s="77">
        <f t="shared" si="209"/>
        <v>0</v>
      </c>
      <c r="CU217" s="78">
        <f t="shared" si="210"/>
        <v>100</v>
      </c>
      <c r="CV217" s="79">
        <f t="shared" si="170"/>
        <v>2</v>
      </c>
      <c r="CW217" s="112">
        <f t="shared" si="211"/>
        <v>17.880938363560837</v>
      </c>
    </row>
    <row r="218" spans="1:101" x14ac:dyDescent="0.35">
      <c r="A218" s="7" t="s">
        <v>426</v>
      </c>
      <c r="B218" s="8" t="s">
        <v>427</v>
      </c>
      <c r="C218" s="21" t="s">
        <v>428</v>
      </c>
      <c r="D218" s="10" t="s">
        <v>141</v>
      </c>
      <c r="E218" s="11" t="s">
        <v>429</v>
      </c>
      <c r="F218" s="11" t="s">
        <v>430</v>
      </c>
      <c r="G218" s="12">
        <v>33130</v>
      </c>
      <c r="H218" s="11" t="s">
        <v>24</v>
      </c>
      <c r="I218" s="11" t="s">
        <v>431</v>
      </c>
      <c r="J218" s="11" t="s">
        <v>432</v>
      </c>
      <c r="K218" s="11" t="s">
        <v>50</v>
      </c>
      <c r="L218" s="23">
        <v>153664335</v>
      </c>
      <c r="M218" s="14">
        <v>48649816</v>
      </c>
      <c r="N218" s="14">
        <v>105014518</v>
      </c>
      <c r="O218" s="14">
        <v>130228176</v>
      </c>
      <c r="P218" s="14">
        <v>4340165</v>
      </c>
      <c r="Q218" s="14">
        <v>4654301</v>
      </c>
      <c r="R218" s="14">
        <v>4153557</v>
      </c>
      <c r="S218" s="15">
        <v>43337615</v>
      </c>
      <c r="T218" s="15">
        <v>864980</v>
      </c>
      <c r="U218" s="15">
        <f>6496572*2</f>
        <v>12993144</v>
      </c>
      <c r="V218" s="15">
        <v>405508</v>
      </c>
      <c r="W218" s="15">
        <v>0</v>
      </c>
      <c r="X218" s="15">
        <v>0</v>
      </c>
      <c r="Z218" s="15">
        <v>0</v>
      </c>
      <c r="AA218" s="15">
        <v>0</v>
      </c>
      <c r="AB218" s="74">
        <f t="shared" si="171"/>
        <v>13398652</v>
      </c>
      <c r="AC218" s="75">
        <f t="shared" si="172"/>
        <v>30.916911325184831</v>
      </c>
      <c r="AD218" s="75">
        <f t="shared" si="173"/>
        <v>73.40312601393714</v>
      </c>
      <c r="AE218" s="76">
        <f t="shared" si="159"/>
        <v>2.2020937804181142</v>
      </c>
      <c r="AF218" s="77">
        <f t="shared" si="174"/>
        <v>31.546552268301696</v>
      </c>
      <c r="AG218" s="77">
        <f t="shared" si="175"/>
        <v>31.546552268301696</v>
      </c>
      <c r="AH218" s="77">
        <f t="shared" si="176"/>
        <v>0</v>
      </c>
      <c r="AI218" s="78">
        <f t="shared" si="177"/>
        <v>100</v>
      </c>
      <c r="AJ218" s="79">
        <f t="shared" si="160"/>
        <v>4</v>
      </c>
      <c r="AK218" s="113">
        <v>7</v>
      </c>
      <c r="AL218" s="113">
        <v>19</v>
      </c>
      <c r="AM218" s="113">
        <v>2</v>
      </c>
      <c r="AN218" s="81">
        <f t="shared" si="178"/>
        <v>26</v>
      </c>
      <c r="AO218" s="82">
        <f t="shared" si="179"/>
        <v>7.6923076923076925</v>
      </c>
      <c r="AP218" s="83">
        <f t="shared" si="180"/>
        <v>100</v>
      </c>
      <c r="AQ218" s="84">
        <f t="shared" si="161"/>
        <v>2</v>
      </c>
      <c r="AR218" s="118">
        <v>2</v>
      </c>
      <c r="AS218" s="86">
        <f t="shared" si="181"/>
        <v>0.25</v>
      </c>
      <c r="AT218" s="87">
        <f t="shared" si="182"/>
        <v>1.75</v>
      </c>
      <c r="AU218" s="87">
        <f t="shared" si="183"/>
        <v>1</v>
      </c>
      <c r="AV218" s="88">
        <f t="shared" si="184"/>
        <v>14.285714285714285</v>
      </c>
      <c r="AW218" s="78">
        <f t="shared" si="185"/>
        <v>60</v>
      </c>
      <c r="AX218" s="89">
        <f t="shared" si="162"/>
        <v>0.6</v>
      </c>
      <c r="AY218" s="114">
        <v>10</v>
      </c>
      <c r="AZ218" s="114">
        <v>10</v>
      </c>
      <c r="BA218" s="91">
        <f t="shared" si="186"/>
        <v>20</v>
      </c>
      <c r="BB218" s="77">
        <f t="shared" si="187"/>
        <v>50</v>
      </c>
      <c r="BC218" s="78">
        <f t="shared" si="188"/>
        <v>25</v>
      </c>
      <c r="BD218" s="79">
        <f t="shared" si="163"/>
        <v>0.25</v>
      </c>
      <c r="BE218" s="92">
        <v>3186085.1060000001</v>
      </c>
      <c r="BF218" s="92">
        <v>308417.06300000002</v>
      </c>
      <c r="BG218" s="114">
        <v>278489.71000000002</v>
      </c>
      <c r="BH218" s="94">
        <f t="shared" si="189"/>
        <v>3494502.1690000002</v>
      </c>
      <c r="BI218" s="77">
        <f t="shared" si="190"/>
        <v>7.9693672097417432</v>
      </c>
      <c r="BJ218" s="95" t="str">
        <f t="shared" si="191"/>
        <v>전기전자/기계업</v>
      </c>
      <c r="BK218" s="96">
        <f t="shared" si="192"/>
        <v>2.4096449716116446</v>
      </c>
      <c r="BL218" s="97">
        <f t="shared" si="193"/>
        <v>5.5597222381300986</v>
      </c>
      <c r="BM218" s="98">
        <f t="shared" si="194"/>
        <v>40</v>
      </c>
      <c r="BN218" s="99">
        <f t="shared" si="195"/>
        <v>0.8</v>
      </c>
      <c r="BO218" s="114">
        <v>4261938</v>
      </c>
      <c r="BP218" s="101">
        <f t="shared" si="196"/>
        <v>3.2726696563729805</v>
      </c>
      <c r="BQ218" s="78">
        <f t="shared" si="197"/>
        <v>85</v>
      </c>
      <c r="BR218" s="79">
        <f t="shared" si="164"/>
        <v>1.7</v>
      </c>
      <c r="BS218" s="102">
        <v>5830919.6830000002</v>
      </c>
      <c r="BT218" s="102">
        <v>472.33300000000003</v>
      </c>
      <c r="BU218" s="103">
        <f t="shared" si="198"/>
        <v>5830447.3500000006</v>
      </c>
      <c r="BV218" s="77">
        <f t="shared" si="199"/>
        <v>4.4771012918126107</v>
      </c>
      <c r="BW218" s="96">
        <f t="shared" si="200"/>
        <v>5.2309968128308295</v>
      </c>
      <c r="BX218" s="96">
        <f t="shared" si="201"/>
        <v>0.56835845661133155</v>
      </c>
      <c r="BY218" s="96">
        <f t="shared" si="202"/>
        <v>7.0695458012309631</v>
      </c>
      <c r="BZ218" s="96">
        <f t="shared" si="203"/>
        <v>54.246266063911882</v>
      </c>
      <c r="CA218" s="96">
        <f t="shared" si="204"/>
        <v>55</v>
      </c>
      <c r="CB218" s="104">
        <f t="shared" si="205"/>
        <v>1.1000000000000001</v>
      </c>
      <c r="CC218" s="105">
        <f t="shared" si="165"/>
        <v>46.326752649571745</v>
      </c>
      <c r="CD218" s="106">
        <f t="shared" si="166"/>
        <v>82.917053021518186</v>
      </c>
      <c r="CE218" s="107">
        <f t="shared" si="167"/>
        <v>1.2437557953227727</v>
      </c>
      <c r="CF218" s="108" t="s">
        <v>2189</v>
      </c>
      <c r="CG218" s="108" t="s">
        <v>2189</v>
      </c>
      <c r="CH218" s="108" t="s">
        <v>2189</v>
      </c>
      <c r="CI218" s="108" t="s">
        <v>2189</v>
      </c>
      <c r="CJ218" s="109"/>
      <c r="CK218" s="116" t="s">
        <v>2192</v>
      </c>
      <c r="CL218" s="116" t="s">
        <v>2193</v>
      </c>
      <c r="CM218" s="111">
        <f t="shared" si="206"/>
        <v>25</v>
      </c>
      <c r="CN218" s="107">
        <f t="shared" si="168"/>
        <v>0.375</v>
      </c>
      <c r="CO218" s="114">
        <v>3857516</v>
      </c>
      <c r="CP218" s="88">
        <f t="shared" si="207"/>
        <v>3.6733168646262797</v>
      </c>
      <c r="CQ218" s="78">
        <f t="shared" si="208"/>
        <v>80</v>
      </c>
      <c r="CR218" s="79">
        <f t="shared" si="169"/>
        <v>2.4</v>
      </c>
      <c r="CS218" s="92">
        <f>_xlfn.XLOOKUP(C218, '[1]1-1. 관계사체무보증금액 (환율 등)'!$3:$3, '[1]1-1. 관계사체무보증금액 (환율 등)'!$33:$33)</f>
        <v>12000000</v>
      </c>
      <c r="CT218" s="77">
        <f t="shared" si="209"/>
        <v>11.426991456552702</v>
      </c>
      <c r="CU218" s="78">
        <f t="shared" si="210"/>
        <v>60</v>
      </c>
      <c r="CV218" s="79">
        <f t="shared" si="170"/>
        <v>1.2</v>
      </c>
      <c r="CW218" s="112">
        <f t="shared" si="211"/>
        <v>17.870849575740884</v>
      </c>
    </row>
    <row r="219" spans="1:101" x14ac:dyDescent="0.35">
      <c r="A219" s="7" t="s">
        <v>1444</v>
      </c>
      <c r="B219" s="188" t="s">
        <v>1445</v>
      </c>
      <c r="C219" s="21" t="s">
        <v>1446</v>
      </c>
      <c r="D219" s="10" t="s">
        <v>21</v>
      </c>
      <c r="E219" s="11" t="s">
        <v>1366</v>
      </c>
      <c r="F219" s="11" t="s">
        <v>1447</v>
      </c>
      <c r="G219" s="12">
        <v>35857</v>
      </c>
      <c r="H219" s="11" t="s">
        <v>24</v>
      </c>
      <c r="I219" s="11" t="s">
        <v>78</v>
      </c>
      <c r="J219" s="11" t="s">
        <v>1448</v>
      </c>
      <c r="K219" s="11" t="s">
        <v>27</v>
      </c>
      <c r="L219" s="23">
        <v>1328473794</v>
      </c>
      <c r="M219" s="14">
        <v>623497507</v>
      </c>
      <c r="N219" s="14">
        <v>704976287</v>
      </c>
      <c r="O219" s="14">
        <v>1280522528</v>
      </c>
      <c r="P219" s="14">
        <v>100830968</v>
      </c>
      <c r="Q219" s="14">
        <v>95133282</v>
      </c>
      <c r="R219" s="14">
        <v>62923623</v>
      </c>
      <c r="S219" s="15">
        <v>115041225</v>
      </c>
      <c r="T219" s="15">
        <v>13762500</v>
      </c>
      <c r="U219" s="15">
        <v>29038075</v>
      </c>
      <c r="V219" s="15">
        <v>0</v>
      </c>
      <c r="W219" s="15">
        <f>12250+7000+5900+9268+2000+3000+3500+75+1000+1000+1000+1265+1000+3400+1000+500+1312</f>
        <v>54470</v>
      </c>
      <c r="X219" s="15">
        <v>0</v>
      </c>
      <c r="Z219" s="15">
        <f>3500000+420649</f>
        <v>3920649</v>
      </c>
      <c r="AA219" s="15">
        <v>0</v>
      </c>
      <c r="AB219" s="74">
        <f t="shared" si="171"/>
        <v>33013194</v>
      </c>
      <c r="AC219" s="75">
        <f t="shared" si="172"/>
        <v>28.696838024803718</v>
      </c>
      <c r="AD219" s="75">
        <f t="shared" si="173"/>
        <v>75.319184673644671</v>
      </c>
      <c r="AE219" s="76">
        <f t="shared" si="159"/>
        <v>2.2595755402093398</v>
      </c>
      <c r="AF219" s="77">
        <f t="shared" si="174"/>
        <v>28.671446051478235</v>
      </c>
      <c r="AG219" s="77">
        <f t="shared" si="175"/>
        <v>32.596375991107706</v>
      </c>
      <c r="AH219" s="77">
        <f t="shared" si="176"/>
        <v>3.9249299396294717</v>
      </c>
      <c r="AI219" s="78">
        <f t="shared" si="177"/>
        <v>100</v>
      </c>
      <c r="AJ219" s="79">
        <f t="shared" si="160"/>
        <v>4</v>
      </c>
      <c r="AK219" s="113">
        <v>6</v>
      </c>
      <c r="AL219" s="113">
        <v>22</v>
      </c>
      <c r="AM219" s="113">
        <v>0</v>
      </c>
      <c r="AN219" s="81">
        <f t="shared" si="178"/>
        <v>28</v>
      </c>
      <c r="AO219" s="82">
        <f t="shared" si="179"/>
        <v>0</v>
      </c>
      <c r="AP219" s="83">
        <f t="shared" si="180"/>
        <v>100</v>
      </c>
      <c r="AQ219" s="84">
        <f t="shared" si="161"/>
        <v>2</v>
      </c>
      <c r="AR219" s="118">
        <v>2</v>
      </c>
      <c r="AS219" s="86">
        <f t="shared" si="181"/>
        <v>0.25</v>
      </c>
      <c r="AT219" s="87">
        <f t="shared" si="182"/>
        <v>1.5</v>
      </c>
      <c r="AU219" s="87">
        <f t="shared" si="183"/>
        <v>1</v>
      </c>
      <c r="AV219" s="88">
        <f t="shared" si="184"/>
        <v>16.666666666666664</v>
      </c>
      <c r="AW219" s="78">
        <f t="shared" si="185"/>
        <v>60</v>
      </c>
      <c r="AX219" s="89">
        <f t="shared" si="162"/>
        <v>0.6</v>
      </c>
      <c r="AY219" s="114">
        <v>7</v>
      </c>
      <c r="AZ219" s="114">
        <v>14</v>
      </c>
      <c r="BA219" s="91">
        <f t="shared" si="186"/>
        <v>14</v>
      </c>
      <c r="BB219" s="77">
        <f t="shared" si="187"/>
        <v>100</v>
      </c>
      <c r="BC219" s="78">
        <f t="shared" si="188"/>
        <v>100</v>
      </c>
      <c r="BD219" s="79">
        <f t="shared" si="163"/>
        <v>1</v>
      </c>
      <c r="BE219" s="92">
        <v>155997836</v>
      </c>
      <c r="BF219" s="92">
        <v>10040548</v>
      </c>
      <c r="BG219" s="114">
        <v>3616082</v>
      </c>
      <c r="BH219" s="94">
        <f t="shared" si="189"/>
        <v>166038384</v>
      </c>
      <c r="BI219" s="77">
        <f t="shared" si="190"/>
        <v>2.1778590666119708</v>
      </c>
      <c r="BJ219" s="95" t="str">
        <f t="shared" si="191"/>
        <v>비제조/서비스업</v>
      </c>
      <c r="BK219" s="96">
        <f t="shared" si="192"/>
        <v>1.7464434573900922</v>
      </c>
      <c r="BL219" s="97">
        <f t="shared" si="193"/>
        <v>0.4314156092218786</v>
      </c>
      <c r="BM219" s="98">
        <f t="shared" si="194"/>
        <v>60</v>
      </c>
      <c r="BN219" s="99">
        <f t="shared" si="195"/>
        <v>1.2</v>
      </c>
      <c r="BO219" s="114">
        <v>0</v>
      </c>
      <c r="BP219" s="101">
        <f t="shared" si="196"/>
        <v>0</v>
      </c>
      <c r="BQ219" s="78">
        <f t="shared" si="197"/>
        <v>25</v>
      </c>
      <c r="BR219" s="79">
        <f t="shared" si="164"/>
        <v>0.5</v>
      </c>
      <c r="BS219" s="102">
        <v>4215502.1189999999</v>
      </c>
      <c r="BT219" s="102">
        <v>147776.935</v>
      </c>
      <c r="BU219" s="103">
        <f t="shared" si="198"/>
        <v>4067725.1839999999</v>
      </c>
      <c r="BV219" s="77">
        <f t="shared" si="199"/>
        <v>0.31766135269429635</v>
      </c>
      <c r="BW219" s="96">
        <f t="shared" si="200"/>
        <v>2.8482825397737606</v>
      </c>
      <c r="BX219" s="96">
        <f t="shared" si="201"/>
        <v>6.4040435924954773</v>
      </c>
      <c r="BY219" s="96">
        <f t="shared" si="202"/>
        <v>5.5697595856656807</v>
      </c>
      <c r="BZ219" s="96">
        <f t="shared" si="203"/>
        <v>67.521159248590635</v>
      </c>
      <c r="CA219" s="96">
        <f t="shared" si="204"/>
        <v>40</v>
      </c>
      <c r="CB219" s="104">
        <f t="shared" si="205"/>
        <v>0.8</v>
      </c>
      <c r="CC219" s="105">
        <f t="shared" si="165"/>
        <v>88.442337493828362</v>
      </c>
      <c r="CD219" s="106">
        <f t="shared" si="166"/>
        <v>67.044345165642582</v>
      </c>
      <c r="CE219" s="107">
        <f t="shared" si="167"/>
        <v>1.0056651774846388</v>
      </c>
      <c r="CF219" s="108" t="s">
        <v>2189</v>
      </c>
      <c r="CG219" s="108" t="s">
        <v>2189</v>
      </c>
      <c r="CH219" s="108" t="s">
        <v>2189</v>
      </c>
      <c r="CI219" s="108" t="s">
        <v>2189</v>
      </c>
      <c r="CJ219" s="109"/>
      <c r="CK219" s="116" t="s">
        <v>2190</v>
      </c>
      <c r="CL219" s="116" t="s">
        <v>2191</v>
      </c>
      <c r="CM219" s="111">
        <f t="shared" si="206"/>
        <v>85</v>
      </c>
      <c r="CN219" s="107">
        <f t="shared" si="168"/>
        <v>1.2749999999999999</v>
      </c>
      <c r="CO219" s="114">
        <v>263738000</v>
      </c>
      <c r="CP219" s="88">
        <f t="shared" si="207"/>
        <v>37.410903723063811</v>
      </c>
      <c r="CQ219" s="78">
        <f t="shared" si="208"/>
        <v>40</v>
      </c>
      <c r="CR219" s="79">
        <f t="shared" si="169"/>
        <v>1.2</v>
      </c>
      <c r="CS219" s="92">
        <f>_xlfn.XLOOKUP(C219, '[1]1-1. 관계사체무보증금액 (환율 등)'!$3:$3, '[1]1-1. 관계사체무보증금액 (환율 등)'!$33:$33)</f>
        <v>12658227.848101264</v>
      </c>
      <c r="CT219" s="77">
        <f t="shared" si="209"/>
        <v>1.7955537060640543</v>
      </c>
      <c r="CU219" s="78">
        <f t="shared" si="210"/>
        <v>100</v>
      </c>
      <c r="CV219" s="79">
        <f t="shared" si="170"/>
        <v>2</v>
      </c>
      <c r="CW219" s="112">
        <f t="shared" si="211"/>
        <v>17.84024071769398</v>
      </c>
    </row>
    <row r="220" spans="1:101" x14ac:dyDescent="0.35">
      <c r="A220" s="7" t="s">
        <v>747</v>
      </c>
      <c r="B220" s="8" t="s">
        <v>748</v>
      </c>
      <c r="C220" s="21" t="s">
        <v>749</v>
      </c>
      <c r="D220" s="10" t="s">
        <v>141</v>
      </c>
      <c r="E220" s="11" t="s">
        <v>750</v>
      </c>
      <c r="F220" s="11" t="s">
        <v>751</v>
      </c>
      <c r="G220" s="12">
        <v>35277</v>
      </c>
      <c r="H220" s="11" t="s">
        <v>24</v>
      </c>
      <c r="I220" s="11" t="s">
        <v>752</v>
      </c>
      <c r="J220" s="11" t="s">
        <v>753</v>
      </c>
      <c r="K220" s="11" t="s">
        <v>27</v>
      </c>
      <c r="L220" s="23">
        <v>217873583</v>
      </c>
      <c r="M220" s="14">
        <v>87027381</v>
      </c>
      <c r="N220" s="14">
        <v>130846203</v>
      </c>
      <c r="O220" s="14">
        <v>151824315</v>
      </c>
      <c r="P220" s="14">
        <v>7759514</v>
      </c>
      <c r="Q220" s="14">
        <v>12802990</v>
      </c>
      <c r="R220" s="14">
        <v>10828940</v>
      </c>
      <c r="S220" s="15">
        <v>28300000</v>
      </c>
      <c r="T220" s="15">
        <v>2403215</v>
      </c>
      <c r="U220" s="15">
        <v>4247495</v>
      </c>
      <c r="V220" s="15">
        <v>4033776</v>
      </c>
      <c r="W220" s="15">
        <v>0</v>
      </c>
      <c r="X220" s="15">
        <v>0</v>
      </c>
      <c r="Z220" s="15">
        <v>0</v>
      </c>
      <c r="AA220" s="15">
        <v>0</v>
      </c>
      <c r="AB220" s="74">
        <f t="shared" si="171"/>
        <v>8281271</v>
      </c>
      <c r="AC220" s="75">
        <f t="shared" si="172"/>
        <v>29.262441696113072</v>
      </c>
      <c r="AD220" s="75">
        <f t="shared" si="173"/>
        <v>74.831034209338554</v>
      </c>
      <c r="AE220" s="76">
        <f t="shared" si="159"/>
        <v>2.2449310262801565</v>
      </c>
      <c r="AF220" s="77">
        <f t="shared" si="174"/>
        <v>31.977988773509917</v>
      </c>
      <c r="AG220" s="77">
        <f t="shared" si="175"/>
        <v>31.977988773509917</v>
      </c>
      <c r="AH220" s="77">
        <f t="shared" si="176"/>
        <v>0</v>
      </c>
      <c r="AI220" s="78">
        <f t="shared" si="177"/>
        <v>100</v>
      </c>
      <c r="AJ220" s="79">
        <f t="shared" si="160"/>
        <v>4</v>
      </c>
      <c r="AK220" s="113">
        <v>7</v>
      </c>
      <c r="AL220" s="113">
        <v>12</v>
      </c>
      <c r="AM220" s="113">
        <v>2</v>
      </c>
      <c r="AN220" s="81">
        <f t="shared" si="178"/>
        <v>19</v>
      </c>
      <c r="AO220" s="82">
        <f t="shared" si="179"/>
        <v>10.526315789473683</v>
      </c>
      <c r="AP220" s="83">
        <f t="shared" si="180"/>
        <v>80</v>
      </c>
      <c r="AQ220" s="84">
        <f t="shared" si="161"/>
        <v>1.6</v>
      </c>
      <c r="AR220" s="118">
        <v>2</v>
      </c>
      <c r="AS220" s="86">
        <f t="shared" si="181"/>
        <v>0.25</v>
      </c>
      <c r="AT220" s="87">
        <f t="shared" si="182"/>
        <v>1.75</v>
      </c>
      <c r="AU220" s="87">
        <f t="shared" si="183"/>
        <v>1</v>
      </c>
      <c r="AV220" s="88">
        <f t="shared" si="184"/>
        <v>14.285714285714285</v>
      </c>
      <c r="AW220" s="78">
        <f t="shared" si="185"/>
        <v>60</v>
      </c>
      <c r="AX220" s="89">
        <f t="shared" si="162"/>
        <v>0.6</v>
      </c>
      <c r="AY220" s="114">
        <v>24</v>
      </c>
      <c r="AZ220" s="114">
        <f>12+14</f>
        <v>26</v>
      </c>
      <c r="BA220" s="91">
        <f t="shared" si="186"/>
        <v>48</v>
      </c>
      <c r="BB220" s="77">
        <f t="shared" si="187"/>
        <v>54.166666666666664</v>
      </c>
      <c r="BC220" s="78">
        <f t="shared" si="188"/>
        <v>25</v>
      </c>
      <c r="BD220" s="79">
        <f t="shared" si="163"/>
        <v>0.25</v>
      </c>
      <c r="BE220" s="92">
        <v>15267446</v>
      </c>
      <c r="BF220" s="92">
        <v>460347</v>
      </c>
      <c r="BG220" s="114">
        <v>952018</v>
      </c>
      <c r="BH220" s="94">
        <f t="shared" si="189"/>
        <v>15727793</v>
      </c>
      <c r="BI220" s="77">
        <f t="shared" si="190"/>
        <v>6.0530933996905985</v>
      </c>
      <c r="BJ220" s="95" t="str">
        <f t="shared" si="191"/>
        <v>전기전자/기계업</v>
      </c>
      <c r="BK220" s="96">
        <f t="shared" si="192"/>
        <v>2.4096449716116446</v>
      </c>
      <c r="BL220" s="97">
        <f t="shared" si="193"/>
        <v>3.6434484280789539</v>
      </c>
      <c r="BM220" s="98">
        <f t="shared" si="194"/>
        <v>40</v>
      </c>
      <c r="BN220" s="99">
        <f t="shared" si="195"/>
        <v>0.8</v>
      </c>
      <c r="BO220" s="114">
        <v>8781501.5920000002</v>
      </c>
      <c r="BP220" s="101">
        <f t="shared" si="196"/>
        <v>5.7839889427460944</v>
      </c>
      <c r="BQ220" s="78">
        <f t="shared" si="197"/>
        <v>100</v>
      </c>
      <c r="BR220" s="79">
        <f t="shared" si="164"/>
        <v>2</v>
      </c>
      <c r="BS220" s="102">
        <v>2461256.0490000001</v>
      </c>
      <c r="BT220" s="102">
        <v>113107.054</v>
      </c>
      <c r="BU220" s="103">
        <f t="shared" si="198"/>
        <v>2348148.9950000001</v>
      </c>
      <c r="BV220" s="77">
        <f t="shared" si="199"/>
        <v>1.5466224859963966</v>
      </c>
      <c r="BW220" s="96">
        <f t="shared" si="200"/>
        <v>5.2309968128308295</v>
      </c>
      <c r="BX220" s="96">
        <f t="shared" si="201"/>
        <v>13.574614180236681</v>
      </c>
      <c r="BY220" s="96">
        <f t="shared" si="202"/>
        <v>7.0695458012309631</v>
      </c>
      <c r="BZ220" s="96">
        <f t="shared" si="203"/>
        <v>69.887282640368824</v>
      </c>
      <c r="CA220" s="96">
        <f t="shared" si="204"/>
        <v>40</v>
      </c>
      <c r="CB220" s="104">
        <f t="shared" si="205"/>
        <v>0.8</v>
      </c>
      <c r="CC220" s="105">
        <f t="shared" si="165"/>
        <v>66.511200940236677</v>
      </c>
      <c r="CD220" s="106">
        <f t="shared" si="166"/>
        <v>75.309848891870601</v>
      </c>
      <c r="CE220" s="107">
        <f t="shared" si="167"/>
        <v>1.129647733378059</v>
      </c>
      <c r="CF220" s="108" t="s">
        <v>2189</v>
      </c>
      <c r="CG220" s="108" t="s">
        <v>2189</v>
      </c>
      <c r="CH220" s="108" t="s">
        <v>2189</v>
      </c>
      <c r="CI220" s="108" t="s">
        <v>2189</v>
      </c>
      <c r="CJ220" s="109"/>
      <c r="CK220" s="116" t="s">
        <v>2217</v>
      </c>
      <c r="CL220" s="116" t="s">
        <v>2209</v>
      </c>
      <c r="CM220" s="111">
        <f t="shared" si="206"/>
        <v>40</v>
      </c>
      <c r="CN220" s="107">
        <f t="shared" si="168"/>
        <v>0.6</v>
      </c>
      <c r="CO220" s="114">
        <v>31385000</v>
      </c>
      <c r="CP220" s="88">
        <f t="shared" si="207"/>
        <v>23.986175586615989</v>
      </c>
      <c r="CQ220" s="78">
        <f t="shared" si="208"/>
        <v>60</v>
      </c>
      <c r="CR220" s="79">
        <f t="shared" si="169"/>
        <v>1.7999999999999998</v>
      </c>
      <c r="CS220" s="92">
        <f>_xlfn.XLOOKUP(C220, '[1]1-1. 관계사체무보증금액 (환율 등)'!$3:$3, '[1]1-1. 관계사체무보증금액 (환율 등)'!$33:$33)</f>
        <v>0</v>
      </c>
      <c r="CT220" s="77">
        <f t="shared" si="209"/>
        <v>0</v>
      </c>
      <c r="CU220" s="78">
        <f t="shared" si="210"/>
        <v>100</v>
      </c>
      <c r="CV220" s="79">
        <f t="shared" si="170"/>
        <v>2</v>
      </c>
      <c r="CW220" s="112">
        <f t="shared" si="211"/>
        <v>17.824578759658216</v>
      </c>
    </row>
    <row r="221" spans="1:101" x14ac:dyDescent="0.35">
      <c r="A221" s="7" t="s">
        <v>180</v>
      </c>
      <c r="B221" s="8" t="s">
        <v>181</v>
      </c>
      <c r="C221" s="21" t="s">
        <v>182</v>
      </c>
      <c r="D221" s="10" t="s">
        <v>31</v>
      </c>
      <c r="E221" s="11" t="s">
        <v>183</v>
      </c>
      <c r="F221" s="11" t="s">
        <v>184</v>
      </c>
      <c r="G221" s="12">
        <v>42670</v>
      </c>
      <c r="H221" s="11" t="s">
        <v>24</v>
      </c>
      <c r="I221" s="11" t="s">
        <v>185</v>
      </c>
      <c r="J221" s="191" t="s">
        <v>186</v>
      </c>
      <c r="K221" s="11" t="s">
        <v>153</v>
      </c>
      <c r="L221" s="23">
        <v>254329814</v>
      </c>
      <c r="M221" s="14">
        <v>113155622</v>
      </c>
      <c r="N221" s="14">
        <v>141174193</v>
      </c>
      <c r="O221" s="14">
        <v>184874804</v>
      </c>
      <c r="P221" s="14">
        <v>26315611</v>
      </c>
      <c r="Q221" s="14">
        <v>24849352</v>
      </c>
      <c r="R221" s="14">
        <v>19163516</v>
      </c>
      <c r="S221" s="15">
        <v>15834554</v>
      </c>
      <c r="T221" s="15">
        <v>350000</v>
      </c>
      <c r="U221" s="15">
        <v>6806168</v>
      </c>
      <c r="V221" s="15">
        <v>0</v>
      </c>
      <c r="W221" s="15">
        <f>10000+2000+2104</f>
        <v>14104</v>
      </c>
      <c r="X221" s="15">
        <v>0</v>
      </c>
      <c r="Z221" s="15">
        <v>0</v>
      </c>
      <c r="AA221" s="15">
        <v>0</v>
      </c>
      <c r="AB221" s="74">
        <f t="shared" si="171"/>
        <v>6820272</v>
      </c>
      <c r="AC221" s="75">
        <f t="shared" si="172"/>
        <v>43.07208147447664</v>
      </c>
      <c r="AD221" s="75">
        <f t="shared" si="173"/>
        <v>62.912472835607048</v>
      </c>
      <c r="AE221" s="76">
        <f t="shared" ref="AE221:AE284" si="212">AD221*0.03</f>
        <v>1.8873741850682113</v>
      </c>
      <c r="AF221" s="77">
        <f t="shared" si="174"/>
        <v>43.95456272101864</v>
      </c>
      <c r="AG221" s="77">
        <f t="shared" si="175"/>
        <v>44.04564703639511</v>
      </c>
      <c r="AH221" s="77">
        <f t="shared" si="176"/>
        <v>9.1084315376470215E-2</v>
      </c>
      <c r="AI221" s="78">
        <f t="shared" si="177"/>
        <v>100</v>
      </c>
      <c r="AJ221" s="79">
        <f t="shared" ref="AJ221:AJ284" si="213">AI221*0.04</f>
        <v>4</v>
      </c>
      <c r="AK221" s="113">
        <v>6</v>
      </c>
      <c r="AL221" s="113">
        <v>8</v>
      </c>
      <c r="AM221" s="80">
        <v>1</v>
      </c>
      <c r="AN221" s="81">
        <f t="shared" si="178"/>
        <v>14</v>
      </c>
      <c r="AO221" s="82">
        <f t="shared" si="179"/>
        <v>7.1428571428571423</v>
      </c>
      <c r="AP221" s="83">
        <f t="shared" si="180"/>
        <v>100</v>
      </c>
      <c r="AQ221" s="84">
        <f t="shared" ref="AQ221:AQ284" si="214">AP221*0.02</f>
        <v>2</v>
      </c>
      <c r="AR221" s="118">
        <v>2</v>
      </c>
      <c r="AS221" s="86">
        <f t="shared" si="181"/>
        <v>0.25</v>
      </c>
      <c r="AT221" s="87">
        <f t="shared" si="182"/>
        <v>1.5</v>
      </c>
      <c r="AU221" s="87">
        <f t="shared" si="183"/>
        <v>1</v>
      </c>
      <c r="AV221" s="88">
        <f t="shared" si="184"/>
        <v>16.666666666666664</v>
      </c>
      <c r="AW221" s="78">
        <f t="shared" si="185"/>
        <v>60</v>
      </c>
      <c r="AX221" s="89">
        <f t="shared" ref="AX221:AX284" si="215">AW221*0.01</f>
        <v>0.6</v>
      </c>
      <c r="AY221" s="114">
        <v>12</v>
      </c>
      <c r="AZ221" s="114">
        <f>2*12-5</f>
        <v>19</v>
      </c>
      <c r="BA221" s="91">
        <f t="shared" si="186"/>
        <v>24</v>
      </c>
      <c r="BB221" s="77">
        <f t="shared" si="187"/>
        <v>79.166666666666657</v>
      </c>
      <c r="BC221" s="78">
        <f t="shared" si="188"/>
        <v>50</v>
      </c>
      <c r="BD221" s="79">
        <f t="shared" ref="BD221:BD284" si="216">BC221*0.01</f>
        <v>0.5</v>
      </c>
      <c r="BE221" s="92">
        <v>3313157</v>
      </c>
      <c r="BF221" s="92">
        <v>318293</v>
      </c>
      <c r="BG221" s="114">
        <v>18555</v>
      </c>
      <c r="BH221" s="94">
        <f t="shared" si="189"/>
        <v>3631450</v>
      </c>
      <c r="BI221" s="77">
        <f t="shared" si="190"/>
        <v>0.51095292514009549</v>
      </c>
      <c r="BJ221" s="95" t="str">
        <f t="shared" si="191"/>
        <v>식약/섬유/종이업</v>
      </c>
      <c r="BK221" s="96">
        <f t="shared" si="192"/>
        <v>2.1999360555264453</v>
      </c>
      <c r="BL221" s="97">
        <f t="shared" si="193"/>
        <v>-1.6889831303863498</v>
      </c>
      <c r="BM221" s="98">
        <f t="shared" si="194"/>
        <v>80</v>
      </c>
      <c r="BN221" s="99">
        <f t="shared" si="195"/>
        <v>1.6</v>
      </c>
      <c r="BO221" s="114">
        <v>6899000</v>
      </c>
      <c r="BP221" s="101">
        <f t="shared" si="196"/>
        <v>3.7317145715540554</v>
      </c>
      <c r="BQ221" s="78">
        <f t="shared" si="197"/>
        <v>85</v>
      </c>
      <c r="BR221" s="79">
        <f t="shared" ref="BR221:BR284" si="217">BQ221*0.02</f>
        <v>1.7</v>
      </c>
      <c r="BS221" s="102">
        <v>7955194.7019999996</v>
      </c>
      <c r="BT221" s="102">
        <v>2000</v>
      </c>
      <c r="BU221" s="103">
        <f t="shared" si="198"/>
        <v>7953194.7019999996</v>
      </c>
      <c r="BV221" s="77">
        <f t="shared" si="199"/>
        <v>4.3019354341005815</v>
      </c>
      <c r="BW221" s="96">
        <f t="shared" si="200"/>
        <v>5.0508176117342298</v>
      </c>
      <c r="BX221" s="96">
        <f t="shared" si="201"/>
        <v>0.56082451597731509</v>
      </c>
      <c r="BY221" s="96">
        <f t="shared" si="202"/>
        <v>6.9871618081220923</v>
      </c>
      <c r="BZ221" s="96">
        <f t="shared" si="203"/>
        <v>54.267680554283849</v>
      </c>
      <c r="CA221" s="96">
        <f t="shared" si="204"/>
        <v>55</v>
      </c>
      <c r="CB221" s="104">
        <f t="shared" si="205"/>
        <v>1.1000000000000001</v>
      </c>
      <c r="CC221" s="105">
        <f t="shared" ref="CC221:CC284" si="218">(M221/N221)*100</f>
        <v>80.153192021434123</v>
      </c>
      <c r="CD221" s="106">
        <f t="shared" ref="CD221:CD284" si="219">IF((100-(75*(CC221-1)/(200-1)))&gt;100, 100, IF((100-(75*(CC221-1)/(200-1)))&lt;25, 25, (100-(75*(CC221-1)/(200-1)))))</f>
        <v>70.168394966796185</v>
      </c>
      <c r="CE221" s="107">
        <f t="shared" ref="CE221:CE284" si="220">CD221*0.015</f>
        <v>1.0525259245019427</v>
      </c>
      <c r="CF221" s="108" t="s">
        <v>2189</v>
      </c>
      <c r="CG221" s="108" t="s">
        <v>2189</v>
      </c>
      <c r="CH221" s="108" t="s">
        <v>2189</v>
      </c>
      <c r="CI221" s="108" t="s">
        <v>2189</v>
      </c>
      <c r="CJ221" s="109"/>
      <c r="CK221" s="116" t="s">
        <v>2211</v>
      </c>
      <c r="CL221" s="116" t="s">
        <v>2193</v>
      </c>
      <c r="CM221" s="111">
        <f t="shared" si="206"/>
        <v>25</v>
      </c>
      <c r="CN221" s="107">
        <f t="shared" ref="CN221:CN284" si="221">CM221*0.015</f>
        <v>0.375</v>
      </c>
      <c r="CO221" s="114">
        <v>14275000</v>
      </c>
      <c r="CP221" s="88">
        <f t="shared" si="207"/>
        <v>10.111621463279766</v>
      </c>
      <c r="CQ221" s="78">
        <f t="shared" si="208"/>
        <v>60</v>
      </c>
      <c r="CR221" s="79">
        <f t="shared" ref="CR221:CR284" si="222">CQ221*0.03</f>
        <v>1.7999999999999998</v>
      </c>
      <c r="CS221" s="92">
        <f>_xlfn.XLOOKUP(C221, '[1]1-1. 관계사체무보증금액 (환율 등)'!$3:$3, '[1]1-1. 관계사체무보증금액 (환율 등)'!$33:$33)</f>
        <v>18778000</v>
      </c>
      <c r="CT221" s="77">
        <f t="shared" si="209"/>
        <v>13.301297922064267</v>
      </c>
      <c r="CU221" s="78">
        <f t="shared" si="210"/>
        <v>60</v>
      </c>
      <c r="CV221" s="79">
        <f t="shared" ref="CV221:CV284" si="223">CU221*0.02</f>
        <v>1.2</v>
      </c>
      <c r="CW221" s="112">
        <f t="shared" si="211"/>
        <v>17.81490010957015</v>
      </c>
    </row>
    <row r="222" spans="1:101" x14ac:dyDescent="0.35">
      <c r="A222" s="7" t="s">
        <v>989</v>
      </c>
      <c r="B222" s="8" t="s">
        <v>990</v>
      </c>
      <c r="C222" s="21" t="s">
        <v>991</v>
      </c>
      <c r="D222" s="10" t="s">
        <v>141</v>
      </c>
      <c r="E222" s="11" t="s">
        <v>356</v>
      </c>
      <c r="F222" s="11" t="s">
        <v>992</v>
      </c>
      <c r="G222" s="12">
        <v>40746</v>
      </c>
      <c r="H222" s="11" t="s">
        <v>24</v>
      </c>
      <c r="I222" s="11" t="s">
        <v>993</v>
      </c>
      <c r="J222" s="11" t="s">
        <v>994</v>
      </c>
      <c r="K222" s="11" t="s">
        <v>453</v>
      </c>
      <c r="L222" s="23">
        <v>293690103</v>
      </c>
      <c r="M222" s="14">
        <v>62909269</v>
      </c>
      <c r="N222" s="14">
        <v>230780834</v>
      </c>
      <c r="O222" s="14">
        <v>364111086</v>
      </c>
      <c r="P222" s="14">
        <v>16532526</v>
      </c>
      <c r="Q222" s="14">
        <v>16979269</v>
      </c>
      <c r="R222" s="14">
        <v>13013318</v>
      </c>
      <c r="S222" s="15">
        <v>40000000</v>
      </c>
      <c r="T222" s="15">
        <v>260044</v>
      </c>
      <c r="U222" s="15">
        <f>60000+19999999</f>
        <v>20059999</v>
      </c>
      <c r="V222" s="15">
        <v>0</v>
      </c>
      <c r="W222" s="15">
        <f>28810+5593</f>
        <v>34403</v>
      </c>
      <c r="X222" s="15">
        <v>0</v>
      </c>
      <c r="Z222" s="15">
        <f>1200000+655490</f>
        <v>1855490</v>
      </c>
      <c r="AA222" s="15">
        <f>17329+9435</f>
        <v>26764</v>
      </c>
      <c r="AB222" s="74">
        <f t="shared" si="171"/>
        <v>21949892</v>
      </c>
      <c r="AC222" s="75">
        <f t="shared" si="172"/>
        <v>54.874730000000007</v>
      </c>
      <c r="AD222" s="75">
        <f t="shared" si="173"/>
        <v>52.726067318757188</v>
      </c>
      <c r="AE222" s="76">
        <f t="shared" si="212"/>
        <v>1.5817820195627157</v>
      </c>
      <c r="AF222" s="77">
        <f t="shared" si="174"/>
        <v>50.512179932552392</v>
      </c>
      <c r="AG222" s="77">
        <f t="shared" si="175"/>
        <v>55.203641147757651</v>
      </c>
      <c r="AH222" s="77">
        <f t="shared" si="176"/>
        <v>4.6914612152052584</v>
      </c>
      <c r="AI222" s="78">
        <f t="shared" si="177"/>
        <v>100</v>
      </c>
      <c r="AJ222" s="79">
        <f t="shared" si="213"/>
        <v>4</v>
      </c>
      <c r="AK222" s="113">
        <v>5</v>
      </c>
      <c r="AL222" s="113">
        <v>5</v>
      </c>
      <c r="AM222" s="113">
        <v>0</v>
      </c>
      <c r="AN222" s="81">
        <f t="shared" si="178"/>
        <v>10</v>
      </c>
      <c r="AO222" s="82">
        <f t="shared" si="179"/>
        <v>0</v>
      </c>
      <c r="AP222" s="83">
        <f t="shared" si="180"/>
        <v>100</v>
      </c>
      <c r="AQ222" s="84">
        <f t="shared" si="214"/>
        <v>2</v>
      </c>
      <c r="AR222" s="118">
        <v>2</v>
      </c>
      <c r="AS222" s="86">
        <f t="shared" si="181"/>
        <v>0.25</v>
      </c>
      <c r="AT222" s="87">
        <f t="shared" si="182"/>
        <v>1.25</v>
      </c>
      <c r="AU222" s="87">
        <f t="shared" si="183"/>
        <v>1</v>
      </c>
      <c r="AV222" s="88">
        <f t="shared" si="184"/>
        <v>20</v>
      </c>
      <c r="AW222" s="78">
        <f t="shared" si="185"/>
        <v>80</v>
      </c>
      <c r="AX222" s="89">
        <f t="shared" si="215"/>
        <v>0.8</v>
      </c>
      <c r="AY222" s="114">
        <v>6</v>
      </c>
      <c r="AZ222" s="114">
        <f>12-3</f>
        <v>9</v>
      </c>
      <c r="BA222" s="91">
        <f t="shared" si="186"/>
        <v>12</v>
      </c>
      <c r="BB222" s="77">
        <f t="shared" si="187"/>
        <v>75</v>
      </c>
      <c r="BC222" s="78">
        <f t="shared" si="188"/>
        <v>50</v>
      </c>
      <c r="BD222" s="79">
        <f t="shared" si="216"/>
        <v>0.5</v>
      </c>
      <c r="BE222" s="92">
        <v>4291772</v>
      </c>
      <c r="BF222" s="92">
        <v>625151</v>
      </c>
      <c r="BG222" s="114">
        <v>174719</v>
      </c>
      <c r="BH222" s="94">
        <f t="shared" si="189"/>
        <v>4916923</v>
      </c>
      <c r="BI222" s="77">
        <f t="shared" si="190"/>
        <v>3.553421519922114</v>
      </c>
      <c r="BJ222" s="95" t="str">
        <f t="shared" si="191"/>
        <v>전기전자/기계업</v>
      </c>
      <c r="BK222" s="96">
        <f t="shared" si="192"/>
        <v>2.4096449716116446</v>
      </c>
      <c r="BL222" s="97">
        <f t="shared" si="193"/>
        <v>1.1437765483104694</v>
      </c>
      <c r="BM222" s="98">
        <f t="shared" si="194"/>
        <v>60</v>
      </c>
      <c r="BN222" s="99">
        <f t="shared" si="195"/>
        <v>1.2</v>
      </c>
      <c r="BO222" s="114">
        <v>253000</v>
      </c>
      <c r="BP222" s="101">
        <f t="shared" si="196"/>
        <v>6.9484289198489271E-2</v>
      </c>
      <c r="BQ222" s="78">
        <f t="shared" si="197"/>
        <v>40</v>
      </c>
      <c r="BR222" s="79">
        <f t="shared" si="217"/>
        <v>0.8</v>
      </c>
      <c r="BS222" s="102">
        <v>11477148.492000001</v>
      </c>
      <c r="BT222" s="102">
        <v>892899.52500000002</v>
      </c>
      <c r="BU222" s="103">
        <f t="shared" si="198"/>
        <v>10584248.967</v>
      </c>
      <c r="BV222" s="77">
        <f t="shared" si="199"/>
        <v>2.9068735817068752</v>
      </c>
      <c r="BW222" s="96">
        <f t="shared" si="200"/>
        <v>5.2309968128308295</v>
      </c>
      <c r="BX222" s="96">
        <f t="shared" si="201"/>
        <v>5.4015487934500497</v>
      </c>
      <c r="BY222" s="96">
        <f t="shared" si="202"/>
        <v>7.0695458012309631</v>
      </c>
      <c r="BZ222" s="96">
        <f t="shared" si="203"/>
        <v>62.882820804671681</v>
      </c>
      <c r="CA222" s="96">
        <f t="shared" si="204"/>
        <v>40</v>
      </c>
      <c r="CB222" s="104">
        <f t="shared" si="205"/>
        <v>0.8</v>
      </c>
      <c r="CC222" s="105">
        <f t="shared" si="218"/>
        <v>27.259312616922077</v>
      </c>
      <c r="CD222" s="106">
        <f t="shared" si="219"/>
        <v>90.103274139350972</v>
      </c>
      <c r="CE222" s="107">
        <f t="shared" si="220"/>
        <v>1.3515491120902645</v>
      </c>
      <c r="CF222" s="108" t="s">
        <v>2189</v>
      </c>
      <c r="CG222" s="108" t="s">
        <v>2189</v>
      </c>
      <c r="CH222" s="108" t="s">
        <v>2189</v>
      </c>
      <c r="CI222" s="108" t="s">
        <v>2189</v>
      </c>
      <c r="CJ222" s="109"/>
      <c r="CK222" s="116" t="s">
        <v>2192</v>
      </c>
      <c r="CL222" s="116" t="s">
        <v>2193</v>
      </c>
      <c r="CM222" s="111">
        <f t="shared" si="206"/>
        <v>25</v>
      </c>
      <c r="CN222" s="107">
        <f t="shared" si="221"/>
        <v>0.375</v>
      </c>
      <c r="CO222" s="114">
        <v>7185000</v>
      </c>
      <c r="CP222" s="88">
        <f t="shared" si="207"/>
        <v>3.1133434590153186</v>
      </c>
      <c r="CQ222" s="78">
        <f t="shared" si="208"/>
        <v>80</v>
      </c>
      <c r="CR222" s="79">
        <f t="shared" si="222"/>
        <v>2.4</v>
      </c>
      <c r="CS222" s="92">
        <f>_xlfn.XLOOKUP(C222, '[1]1-1. 관계사체무보증금액 (환율 등)'!$3:$3, '[1]1-1. 관계사체무보증금액 (환율 등)'!$33:$33)</f>
        <v>0</v>
      </c>
      <c r="CT222" s="77">
        <f t="shared" si="209"/>
        <v>0</v>
      </c>
      <c r="CU222" s="78">
        <f t="shared" si="210"/>
        <v>100</v>
      </c>
      <c r="CV222" s="79">
        <f t="shared" si="223"/>
        <v>2</v>
      </c>
      <c r="CW222" s="112">
        <f t="shared" si="211"/>
        <v>17.808331131652981</v>
      </c>
    </row>
    <row r="223" spans="1:101" x14ac:dyDescent="0.35">
      <c r="A223" s="7" t="s">
        <v>1133</v>
      </c>
      <c r="B223" s="8" t="s">
        <v>1134</v>
      </c>
      <c r="C223" s="21" t="s">
        <v>1135</v>
      </c>
      <c r="D223" s="10" t="s">
        <v>31</v>
      </c>
      <c r="E223" s="11" t="s">
        <v>1136</v>
      </c>
      <c r="F223" s="11" t="s">
        <v>1137</v>
      </c>
      <c r="G223" s="12">
        <v>27941</v>
      </c>
      <c r="H223" s="11" t="s">
        <v>24</v>
      </c>
      <c r="I223" s="11" t="s">
        <v>1138</v>
      </c>
      <c r="J223" s="11" t="s">
        <v>1139</v>
      </c>
      <c r="K223" s="11" t="s">
        <v>27</v>
      </c>
      <c r="L223" s="23">
        <v>692320507</v>
      </c>
      <c r="M223" s="14">
        <v>130333252</v>
      </c>
      <c r="N223" s="14">
        <v>561987255</v>
      </c>
      <c r="O223" s="14">
        <v>383845600</v>
      </c>
      <c r="P223" s="14">
        <v>10768868</v>
      </c>
      <c r="Q223" s="14">
        <v>19845163</v>
      </c>
      <c r="R223" s="14">
        <v>15665849</v>
      </c>
      <c r="S223" s="15">
        <v>16000000</v>
      </c>
      <c r="T223" s="15">
        <v>215000</v>
      </c>
      <c r="U223" s="15">
        <f>100000+6429287</f>
        <v>6529287</v>
      </c>
      <c r="V223" s="15">
        <f>29838+246784+441917+436899+1605493</f>
        <v>2760931</v>
      </c>
      <c r="W223" s="15">
        <f>6157+4483+8899</f>
        <v>19539</v>
      </c>
      <c r="X223" s="15">
        <v>1226034</v>
      </c>
      <c r="Y223" s="24" t="s">
        <v>2092</v>
      </c>
      <c r="Z223" s="15">
        <v>0</v>
      </c>
      <c r="AA223" s="15">
        <v>0</v>
      </c>
      <c r="AB223" s="74">
        <f t="shared" si="171"/>
        <v>10535791</v>
      </c>
      <c r="AC223" s="75">
        <f t="shared" si="172"/>
        <v>65.848693749999995</v>
      </c>
      <c r="AD223" s="75">
        <f t="shared" si="173"/>
        <v>43.254867304372851</v>
      </c>
      <c r="AE223" s="76">
        <f t="shared" si="212"/>
        <v>1.2976460191311856</v>
      </c>
      <c r="AF223" s="77">
        <f t="shared" si="174"/>
        <v>58.854722838137477</v>
      </c>
      <c r="AG223" s="77">
        <f t="shared" si="175"/>
        <v>66.745587583148563</v>
      </c>
      <c r="AH223" s="77">
        <f t="shared" si="176"/>
        <v>7.8908647450110863</v>
      </c>
      <c r="AI223" s="78">
        <f t="shared" si="177"/>
        <v>100</v>
      </c>
      <c r="AJ223" s="79">
        <f t="shared" si="213"/>
        <v>4</v>
      </c>
      <c r="AK223" s="113">
        <v>7</v>
      </c>
      <c r="AL223" s="113">
        <v>10</v>
      </c>
      <c r="AM223" s="80">
        <v>1</v>
      </c>
      <c r="AN223" s="81">
        <f t="shared" si="178"/>
        <v>17</v>
      </c>
      <c r="AO223" s="82">
        <f t="shared" si="179"/>
        <v>5.8823529411764701</v>
      </c>
      <c r="AP223" s="83">
        <f t="shared" si="180"/>
        <v>100</v>
      </c>
      <c r="AQ223" s="84">
        <f t="shared" si="214"/>
        <v>2</v>
      </c>
      <c r="AR223" s="118">
        <v>2</v>
      </c>
      <c r="AS223" s="86">
        <f t="shared" si="181"/>
        <v>0.25</v>
      </c>
      <c r="AT223" s="87">
        <f t="shared" si="182"/>
        <v>1.75</v>
      </c>
      <c r="AU223" s="87">
        <f t="shared" si="183"/>
        <v>1</v>
      </c>
      <c r="AV223" s="88">
        <f t="shared" si="184"/>
        <v>14.285714285714285</v>
      </c>
      <c r="AW223" s="78">
        <f t="shared" si="185"/>
        <v>60</v>
      </c>
      <c r="AX223" s="89">
        <f t="shared" si="215"/>
        <v>0.6</v>
      </c>
      <c r="AY223" s="114">
        <v>22</v>
      </c>
      <c r="AZ223" s="114">
        <f>22*2-8</f>
        <v>36</v>
      </c>
      <c r="BA223" s="91">
        <f t="shared" si="186"/>
        <v>44</v>
      </c>
      <c r="BB223" s="77">
        <f t="shared" si="187"/>
        <v>81.818181818181827</v>
      </c>
      <c r="BC223" s="78">
        <f t="shared" si="188"/>
        <v>75</v>
      </c>
      <c r="BD223" s="79">
        <f t="shared" si="216"/>
        <v>0.75</v>
      </c>
      <c r="BE223" s="92">
        <v>9828126</v>
      </c>
      <c r="BF223" s="92">
        <v>1076837</v>
      </c>
      <c r="BG223" s="114">
        <v>176417</v>
      </c>
      <c r="BH223" s="94">
        <f t="shared" si="189"/>
        <v>10904963</v>
      </c>
      <c r="BI223" s="77">
        <f t="shared" si="190"/>
        <v>1.6177679832567977</v>
      </c>
      <c r="BJ223" s="95" t="str">
        <f t="shared" si="191"/>
        <v>식약/섬유/종이업</v>
      </c>
      <c r="BK223" s="96">
        <f t="shared" si="192"/>
        <v>2.1999360555264453</v>
      </c>
      <c r="BL223" s="97">
        <f t="shared" si="193"/>
        <v>-0.58216807226964762</v>
      </c>
      <c r="BM223" s="98">
        <f t="shared" si="194"/>
        <v>80</v>
      </c>
      <c r="BN223" s="99">
        <f t="shared" si="195"/>
        <v>1.6</v>
      </c>
      <c r="BO223" s="114">
        <v>0</v>
      </c>
      <c r="BP223" s="101">
        <f t="shared" si="196"/>
        <v>0</v>
      </c>
      <c r="BQ223" s="78">
        <f t="shared" si="197"/>
        <v>25</v>
      </c>
      <c r="BR223" s="79">
        <f t="shared" si="217"/>
        <v>0.5</v>
      </c>
      <c r="BS223" s="102">
        <v>19474469.973999999</v>
      </c>
      <c r="BT223" s="102">
        <v>6363.6360000000004</v>
      </c>
      <c r="BU223" s="103">
        <f t="shared" si="198"/>
        <v>19468106.338</v>
      </c>
      <c r="BV223" s="77">
        <f t="shared" si="199"/>
        <v>5.0718586686938707</v>
      </c>
      <c r="BW223" s="96">
        <f t="shared" si="200"/>
        <v>5.0508176117342298</v>
      </c>
      <c r="BX223" s="96">
        <f t="shared" si="201"/>
        <v>4.4272607797885146E-4</v>
      </c>
      <c r="BY223" s="96">
        <f t="shared" si="202"/>
        <v>6.9871618081220923</v>
      </c>
      <c r="BZ223" s="96">
        <f t="shared" si="203"/>
        <v>49.879863172071268</v>
      </c>
      <c r="CA223" s="96">
        <f t="shared" si="204"/>
        <v>55</v>
      </c>
      <c r="CB223" s="104">
        <f t="shared" si="205"/>
        <v>1.1000000000000001</v>
      </c>
      <c r="CC223" s="105">
        <f t="shared" si="218"/>
        <v>23.191496042023228</v>
      </c>
      <c r="CD223" s="106">
        <f t="shared" si="219"/>
        <v>91.636370838433464</v>
      </c>
      <c r="CE223" s="107">
        <f t="shared" si="220"/>
        <v>1.374545562576502</v>
      </c>
      <c r="CF223" s="108" t="s">
        <v>2189</v>
      </c>
      <c r="CG223" s="108" t="s">
        <v>2189</v>
      </c>
      <c r="CH223" s="108" t="s">
        <v>2189</v>
      </c>
      <c r="CI223" s="108" t="s">
        <v>2189</v>
      </c>
      <c r="CJ223" s="109"/>
      <c r="CK223" s="116" t="s">
        <v>2192</v>
      </c>
      <c r="CL223" s="116" t="s">
        <v>2193</v>
      </c>
      <c r="CM223" s="111">
        <f t="shared" si="206"/>
        <v>25</v>
      </c>
      <c r="CN223" s="107">
        <f t="shared" si="221"/>
        <v>0.375</v>
      </c>
      <c r="CO223" s="114">
        <f>16534000-468000--1382000-591000-8302000-1062000</f>
        <v>7493000</v>
      </c>
      <c r="CP223" s="88">
        <f t="shared" si="207"/>
        <v>1.3333042579408674</v>
      </c>
      <c r="CQ223" s="78">
        <f t="shared" si="208"/>
        <v>100</v>
      </c>
      <c r="CR223" s="79">
        <f t="shared" si="222"/>
        <v>3</v>
      </c>
      <c r="CS223" s="92">
        <f>_xlfn.XLOOKUP(C223, '[1]1-1. 관계사체무보증금액 (환율 등)'!$3:$3, '[1]1-1. 관계사체무보증금액 (환율 등)'!$33:$33)</f>
        <v>75853164.556962013</v>
      </c>
      <c r="CT223" s="77">
        <f t="shared" si="209"/>
        <v>13.497310460708226</v>
      </c>
      <c r="CU223" s="78">
        <f t="shared" si="210"/>
        <v>60</v>
      </c>
      <c r="CV223" s="79">
        <f t="shared" si="223"/>
        <v>1.2</v>
      </c>
      <c r="CW223" s="112">
        <f t="shared" si="211"/>
        <v>17.797191581707686</v>
      </c>
    </row>
    <row r="224" spans="1:101" x14ac:dyDescent="0.35">
      <c r="A224" s="7" t="s">
        <v>1512</v>
      </c>
      <c r="B224" s="8" t="s">
        <v>1513</v>
      </c>
      <c r="C224" s="21" t="s">
        <v>1514</v>
      </c>
      <c r="D224" s="10" t="s">
        <v>21</v>
      </c>
      <c r="E224" s="11" t="s">
        <v>91</v>
      </c>
      <c r="F224" s="11" t="s">
        <v>1515</v>
      </c>
      <c r="G224" s="12">
        <v>28301</v>
      </c>
      <c r="H224" s="11" t="s">
        <v>24</v>
      </c>
      <c r="I224" s="11" t="s">
        <v>1516</v>
      </c>
      <c r="J224" s="11" t="s">
        <v>1517</v>
      </c>
      <c r="K224" s="11" t="s">
        <v>87</v>
      </c>
      <c r="L224" s="23">
        <v>451746879</v>
      </c>
      <c r="M224" s="14">
        <v>227013990</v>
      </c>
      <c r="N224" s="14">
        <v>224732889</v>
      </c>
      <c r="O224" s="14">
        <v>628936049</v>
      </c>
      <c r="P224" s="14">
        <v>50682533</v>
      </c>
      <c r="Q224" s="14">
        <v>53220599</v>
      </c>
      <c r="R224" s="14">
        <v>49560577</v>
      </c>
      <c r="S224" s="15">
        <v>145471745</v>
      </c>
      <c r="T224" s="15">
        <v>58131</v>
      </c>
      <c r="U224" s="15">
        <v>70661330</v>
      </c>
      <c r="V224" s="15">
        <v>0</v>
      </c>
      <c r="W224" s="15">
        <v>0</v>
      </c>
      <c r="X224" s="15">
        <v>0</v>
      </c>
      <c r="Z224" s="15">
        <v>0</v>
      </c>
      <c r="AA224" s="15">
        <v>0</v>
      </c>
      <c r="AB224" s="74">
        <f t="shared" si="171"/>
        <v>70661330</v>
      </c>
      <c r="AC224" s="75">
        <f t="shared" si="172"/>
        <v>48.573920660675377</v>
      </c>
      <c r="AD224" s="75">
        <f t="shared" si="173"/>
        <v>58.164050062708249</v>
      </c>
      <c r="AE224" s="76">
        <f t="shared" si="212"/>
        <v>1.7449215018812474</v>
      </c>
      <c r="AF224" s="77">
        <f t="shared" si="174"/>
        <v>48.593338722741599</v>
      </c>
      <c r="AG224" s="77">
        <f t="shared" si="175"/>
        <v>48.593338722741599</v>
      </c>
      <c r="AH224" s="77">
        <f t="shared" si="176"/>
        <v>0</v>
      </c>
      <c r="AI224" s="78">
        <f t="shared" si="177"/>
        <v>100</v>
      </c>
      <c r="AJ224" s="79">
        <f t="shared" si="213"/>
        <v>4</v>
      </c>
      <c r="AK224" s="113">
        <v>5</v>
      </c>
      <c r="AL224" s="113">
        <v>6</v>
      </c>
      <c r="AM224" s="113">
        <v>0</v>
      </c>
      <c r="AN224" s="81">
        <f t="shared" si="178"/>
        <v>11</v>
      </c>
      <c r="AO224" s="82">
        <f t="shared" si="179"/>
        <v>0</v>
      </c>
      <c r="AP224" s="83">
        <f t="shared" si="180"/>
        <v>100</v>
      </c>
      <c r="AQ224" s="84">
        <f t="shared" si="214"/>
        <v>2</v>
      </c>
      <c r="AR224" s="118">
        <v>1</v>
      </c>
      <c r="AS224" s="86">
        <f t="shared" si="181"/>
        <v>0.25</v>
      </c>
      <c r="AT224" s="87">
        <f t="shared" si="182"/>
        <v>1.25</v>
      </c>
      <c r="AU224" s="87">
        <f t="shared" si="183"/>
        <v>1</v>
      </c>
      <c r="AV224" s="88">
        <f t="shared" si="184"/>
        <v>0</v>
      </c>
      <c r="AW224" s="78">
        <f t="shared" si="185"/>
        <v>40</v>
      </c>
      <c r="AX224" s="89">
        <f t="shared" si="215"/>
        <v>0.4</v>
      </c>
      <c r="AY224" s="114">
        <v>5</v>
      </c>
      <c r="AZ224" s="114">
        <v>5</v>
      </c>
      <c r="BA224" s="91">
        <f t="shared" si="186"/>
        <v>5</v>
      </c>
      <c r="BB224" s="77">
        <f t="shared" si="187"/>
        <v>100</v>
      </c>
      <c r="BC224" s="78">
        <f t="shared" si="188"/>
        <v>100</v>
      </c>
      <c r="BD224" s="79">
        <f t="shared" si="216"/>
        <v>1</v>
      </c>
      <c r="BE224" s="92">
        <v>9536799</v>
      </c>
      <c r="BF224" s="92">
        <v>985890</v>
      </c>
      <c r="BG224" s="114">
        <v>563191</v>
      </c>
      <c r="BH224" s="94">
        <f t="shared" si="189"/>
        <v>10522689</v>
      </c>
      <c r="BI224" s="77">
        <f t="shared" si="190"/>
        <v>5.3521585594708734</v>
      </c>
      <c r="BJ224" s="95" t="str">
        <f t="shared" si="191"/>
        <v>비제조/서비스업</v>
      </c>
      <c r="BK224" s="96">
        <f t="shared" si="192"/>
        <v>1.7464434573900922</v>
      </c>
      <c r="BL224" s="97">
        <f t="shared" si="193"/>
        <v>3.6057151020807812</v>
      </c>
      <c r="BM224" s="98">
        <f t="shared" si="194"/>
        <v>40</v>
      </c>
      <c r="BN224" s="99">
        <f t="shared" si="195"/>
        <v>0.8</v>
      </c>
      <c r="BO224" s="114">
        <v>0</v>
      </c>
      <c r="BP224" s="101">
        <f t="shared" si="196"/>
        <v>0</v>
      </c>
      <c r="BQ224" s="78">
        <f t="shared" si="197"/>
        <v>25</v>
      </c>
      <c r="BR224" s="79">
        <f t="shared" si="217"/>
        <v>0.5</v>
      </c>
      <c r="BS224" s="102">
        <v>416505.27299999999</v>
      </c>
      <c r="BT224" s="102">
        <v>0</v>
      </c>
      <c r="BU224" s="103">
        <f t="shared" si="198"/>
        <v>416505.27299999999</v>
      </c>
      <c r="BV224" s="77">
        <f t="shared" si="199"/>
        <v>6.6223787563495187E-2</v>
      </c>
      <c r="BW224" s="96">
        <f t="shared" si="200"/>
        <v>2.8482825397737606</v>
      </c>
      <c r="BX224" s="96">
        <f t="shared" si="201"/>
        <v>7.7398509007497385</v>
      </c>
      <c r="BY224" s="96">
        <f t="shared" si="202"/>
        <v>5.5697595856656807</v>
      </c>
      <c r="BZ224" s="96">
        <f t="shared" si="203"/>
        <v>69.128412030573116</v>
      </c>
      <c r="CA224" s="96">
        <f t="shared" si="204"/>
        <v>40</v>
      </c>
      <c r="CB224" s="104">
        <f t="shared" si="205"/>
        <v>0.8</v>
      </c>
      <c r="CC224" s="105">
        <f t="shared" si="218"/>
        <v>101.01502766691172</v>
      </c>
      <c r="CD224" s="106">
        <f t="shared" si="219"/>
        <v>62.305894095385028</v>
      </c>
      <c r="CE224" s="107">
        <f t="shared" si="220"/>
        <v>0.93458841143077542</v>
      </c>
      <c r="CF224" s="108" t="s">
        <v>2189</v>
      </c>
      <c r="CG224" s="108" t="s">
        <v>2189</v>
      </c>
      <c r="CH224" s="108" t="s">
        <v>2189</v>
      </c>
      <c r="CI224" s="108" t="s">
        <v>2189</v>
      </c>
      <c r="CJ224" s="109"/>
      <c r="CK224" s="116" t="s">
        <v>2231</v>
      </c>
      <c r="CL224" s="116" t="s">
        <v>2209</v>
      </c>
      <c r="CM224" s="111">
        <f t="shared" si="206"/>
        <v>40</v>
      </c>
      <c r="CN224" s="107">
        <f t="shared" si="221"/>
        <v>0.6</v>
      </c>
      <c r="CO224" s="114">
        <v>0</v>
      </c>
      <c r="CP224" s="88">
        <f t="shared" si="207"/>
        <v>0</v>
      </c>
      <c r="CQ224" s="78">
        <f t="shared" si="208"/>
        <v>100</v>
      </c>
      <c r="CR224" s="79">
        <f t="shared" si="222"/>
        <v>3</v>
      </c>
      <c r="CS224" s="92">
        <f>_xlfn.XLOOKUP(C224, '[1]1-1. 관계사체무보증금액 (환율 등)'!$3:$3, '[1]1-1. 관계사체무보증금액 (환율 등)'!$33:$33)</f>
        <v>0</v>
      </c>
      <c r="CT224" s="77">
        <f t="shared" si="209"/>
        <v>0</v>
      </c>
      <c r="CU224" s="78">
        <f t="shared" si="210"/>
        <v>100</v>
      </c>
      <c r="CV224" s="79">
        <f t="shared" si="223"/>
        <v>2</v>
      </c>
      <c r="CW224" s="112">
        <f t="shared" si="211"/>
        <v>17.779509913312026</v>
      </c>
    </row>
    <row r="225" spans="1:101" x14ac:dyDescent="0.35">
      <c r="A225" s="7" t="s">
        <v>650</v>
      </c>
      <c r="B225" s="8" t="s">
        <v>651</v>
      </c>
      <c r="C225" s="21" t="s">
        <v>652</v>
      </c>
      <c r="D225" s="10" t="s">
        <v>75</v>
      </c>
      <c r="E225" s="11" t="s">
        <v>76</v>
      </c>
      <c r="F225" s="11" t="s">
        <v>653</v>
      </c>
      <c r="G225" s="12">
        <v>35423</v>
      </c>
      <c r="H225" s="11" t="s">
        <v>24</v>
      </c>
      <c r="I225" s="11" t="s">
        <v>654</v>
      </c>
      <c r="J225" s="11" t="s">
        <v>655</v>
      </c>
      <c r="K225" s="11" t="s">
        <v>153</v>
      </c>
      <c r="L225" s="23">
        <v>92085226</v>
      </c>
      <c r="M225" s="14">
        <v>42058880</v>
      </c>
      <c r="N225" s="14">
        <v>50026346</v>
      </c>
      <c r="O225" s="14">
        <v>193400697</v>
      </c>
      <c r="P225" s="14">
        <v>13461075</v>
      </c>
      <c r="Q225" s="14">
        <v>12948368</v>
      </c>
      <c r="R225" s="14">
        <v>10621743</v>
      </c>
      <c r="S225" s="15">
        <v>3610000</v>
      </c>
      <c r="T225" s="15">
        <v>107084</v>
      </c>
      <c r="U225" s="15">
        <f>112000+1480000</f>
        <v>1592000</v>
      </c>
      <c r="V225" s="15">
        <v>0</v>
      </c>
      <c r="W225" s="15">
        <f>8115+10000+6000+500+1560+1224+3370+81</f>
        <v>30850</v>
      </c>
      <c r="X225" s="15">
        <v>0</v>
      </c>
      <c r="Z225" s="15">
        <v>300000</v>
      </c>
      <c r="AA225" s="15">
        <v>0</v>
      </c>
      <c r="AB225" s="74">
        <f t="shared" si="171"/>
        <v>1922850</v>
      </c>
      <c r="AC225" s="75">
        <f t="shared" si="172"/>
        <v>53.26454293628808</v>
      </c>
      <c r="AD225" s="75">
        <f t="shared" si="173"/>
        <v>54.115756959475192</v>
      </c>
      <c r="AE225" s="76">
        <f t="shared" si="212"/>
        <v>1.6234727087842558</v>
      </c>
      <c r="AF225" s="77">
        <f t="shared" si="174"/>
        <v>45.44784973433562</v>
      </c>
      <c r="AG225" s="77">
        <f t="shared" si="175"/>
        <v>54.892837852806068</v>
      </c>
      <c r="AH225" s="77">
        <f t="shared" si="176"/>
        <v>9.4449881184704481</v>
      </c>
      <c r="AI225" s="78">
        <f t="shared" si="177"/>
        <v>100</v>
      </c>
      <c r="AJ225" s="79">
        <f t="shared" si="213"/>
        <v>4</v>
      </c>
      <c r="AK225" s="113">
        <v>7</v>
      </c>
      <c r="AL225" s="113">
        <v>3</v>
      </c>
      <c r="AM225" s="113">
        <v>1</v>
      </c>
      <c r="AN225" s="81">
        <f t="shared" si="178"/>
        <v>10</v>
      </c>
      <c r="AO225" s="82">
        <f t="shared" si="179"/>
        <v>10</v>
      </c>
      <c r="AP225" s="83">
        <f t="shared" si="180"/>
        <v>80</v>
      </c>
      <c r="AQ225" s="84">
        <f t="shared" si="214"/>
        <v>1.6</v>
      </c>
      <c r="AR225" s="118">
        <v>2</v>
      </c>
      <c r="AS225" s="86">
        <f t="shared" si="181"/>
        <v>0.25</v>
      </c>
      <c r="AT225" s="87">
        <f t="shared" si="182"/>
        <v>1.75</v>
      </c>
      <c r="AU225" s="87">
        <f t="shared" si="183"/>
        <v>1</v>
      </c>
      <c r="AV225" s="88">
        <f t="shared" si="184"/>
        <v>14.285714285714285</v>
      </c>
      <c r="AW225" s="78">
        <f t="shared" si="185"/>
        <v>60</v>
      </c>
      <c r="AX225" s="89">
        <f t="shared" si="215"/>
        <v>0.6</v>
      </c>
      <c r="AY225" s="114">
        <v>12</v>
      </c>
      <c r="AZ225" s="114">
        <f>24-10</f>
        <v>14</v>
      </c>
      <c r="BA225" s="91">
        <f t="shared" si="186"/>
        <v>24</v>
      </c>
      <c r="BB225" s="77">
        <f t="shared" si="187"/>
        <v>58.333333333333336</v>
      </c>
      <c r="BC225" s="78">
        <f t="shared" si="188"/>
        <v>25</v>
      </c>
      <c r="BD225" s="79">
        <f t="shared" si="216"/>
        <v>0.25</v>
      </c>
      <c r="BE225" s="92">
        <v>11646184</v>
      </c>
      <c r="BF225" s="92">
        <f>763058+86640</f>
        <v>849698</v>
      </c>
      <c r="BG225" s="114">
        <v>763058</v>
      </c>
      <c r="BH225" s="94">
        <f t="shared" si="189"/>
        <v>12495882</v>
      </c>
      <c r="BI225" s="77">
        <f t="shared" si="190"/>
        <v>6.1064757173603272</v>
      </c>
      <c r="BJ225" s="95" t="str">
        <f t="shared" si="191"/>
        <v>금속/비금속/화학업</v>
      </c>
      <c r="BK225" s="96">
        <f t="shared" si="192"/>
        <v>3.9534118626990469</v>
      </c>
      <c r="BL225" s="97">
        <f t="shared" si="193"/>
        <v>2.1530638546612804</v>
      </c>
      <c r="BM225" s="98">
        <f t="shared" si="194"/>
        <v>40</v>
      </c>
      <c r="BN225" s="99">
        <f t="shared" si="195"/>
        <v>0.8</v>
      </c>
      <c r="BO225" s="114">
        <v>644903</v>
      </c>
      <c r="BP225" s="101">
        <f t="shared" si="196"/>
        <v>0.33345433082901454</v>
      </c>
      <c r="BQ225" s="78">
        <f t="shared" si="197"/>
        <v>55</v>
      </c>
      <c r="BR225" s="79">
        <f t="shared" si="217"/>
        <v>1.1000000000000001</v>
      </c>
      <c r="BS225" s="102">
        <v>16883812.436999999</v>
      </c>
      <c r="BT225" s="102">
        <v>15281.817999999999</v>
      </c>
      <c r="BU225" s="103">
        <f t="shared" si="198"/>
        <v>16868530.618999999</v>
      </c>
      <c r="BV225" s="77">
        <f t="shared" si="199"/>
        <v>8.7220629918412342</v>
      </c>
      <c r="BW225" s="96">
        <f t="shared" si="200"/>
        <v>5.1474158565187738</v>
      </c>
      <c r="BX225" s="96">
        <f t="shared" si="201"/>
        <v>12.778102142069073</v>
      </c>
      <c r="BY225" s="96">
        <f t="shared" si="202"/>
        <v>6.6930498535228535</v>
      </c>
      <c r="BZ225" s="96">
        <f t="shared" si="203"/>
        <v>29.66419008622395</v>
      </c>
      <c r="CA225" s="96">
        <f t="shared" si="204"/>
        <v>70</v>
      </c>
      <c r="CB225" s="104">
        <f t="shared" si="205"/>
        <v>1.4000000000000001</v>
      </c>
      <c r="CC225" s="105">
        <f t="shared" si="218"/>
        <v>84.073460012450241</v>
      </c>
      <c r="CD225" s="106">
        <f t="shared" si="219"/>
        <v>68.690907030483572</v>
      </c>
      <c r="CE225" s="107">
        <f t="shared" si="220"/>
        <v>1.0303636054572536</v>
      </c>
      <c r="CF225" s="108" t="s">
        <v>2189</v>
      </c>
      <c r="CG225" s="108" t="s">
        <v>2189</v>
      </c>
      <c r="CH225" s="108" t="s">
        <v>2189</v>
      </c>
      <c r="CI225" s="108" t="s">
        <v>2189</v>
      </c>
      <c r="CJ225" s="109"/>
      <c r="CK225" s="116" t="s">
        <v>2192</v>
      </c>
      <c r="CL225" s="116" t="s">
        <v>2193</v>
      </c>
      <c r="CM225" s="111">
        <f t="shared" si="206"/>
        <v>25</v>
      </c>
      <c r="CN225" s="107">
        <f t="shared" si="221"/>
        <v>0.375</v>
      </c>
      <c r="CO225" s="114">
        <v>0</v>
      </c>
      <c r="CP225" s="88">
        <f t="shared" si="207"/>
        <v>0</v>
      </c>
      <c r="CQ225" s="78">
        <f t="shared" si="208"/>
        <v>100</v>
      </c>
      <c r="CR225" s="79">
        <f t="shared" si="222"/>
        <v>3</v>
      </c>
      <c r="CS225" s="92">
        <f>_xlfn.XLOOKUP(C225, '[1]1-1. 관계사체무보증금액 (환율 등)'!$3:$3, '[1]1-1. 관계사체무보증금액 (환율 등)'!$33:$33)</f>
        <v>0</v>
      </c>
      <c r="CT225" s="77">
        <f t="shared" si="209"/>
        <v>0</v>
      </c>
      <c r="CU225" s="78">
        <f t="shared" si="210"/>
        <v>100</v>
      </c>
      <c r="CV225" s="79">
        <f t="shared" si="223"/>
        <v>2</v>
      </c>
      <c r="CW225" s="112">
        <f t="shared" si="211"/>
        <v>17.778836314241509</v>
      </c>
    </row>
    <row r="226" spans="1:101" x14ac:dyDescent="0.35">
      <c r="A226" s="7" t="s">
        <v>1022</v>
      </c>
      <c r="B226" s="8" t="s">
        <v>1023</v>
      </c>
      <c r="C226" s="21" t="s">
        <v>1024</v>
      </c>
      <c r="D226" s="10" t="s">
        <v>141</v>
      </c>
      <c r="E226" s="11" t="s">
        <v>241</v>
      </c>
      <c r="F226" s="11" t="s">
        <v>1025</v>
      </c>
      <c r="G226" s="12">
        <v>31740</v>
      </c>
      <c r="H226" s="11" t="s">
        <v>24</v>
      </c>
      <c r="I226" s="11" t="s">
        <v>1026</v>
      </c>
      <c r="J226" s="11" t="s">
        <v>1027</v>
      </c>
      <c r="K226" s="11" t="s">
        <v>280</v>
      </c>
      <c r="L226" s="23">
        <v>110962184</v>
      </c>
      <c r="M226" s="14">
        <v>49075760</v>
      </c>
      <c r="N226" s="14">
        <v>61886424</v>
      </c>
      <c r="O226" s="14">
        <v>192666638</v>
      </c>
      <c r="P226" s="14">
        <v>14593397</v>
      </c>
      <c r="Q226" s="14">
        <v>13329040</v>
      </c>
      <c r="R226" s="14">
        <v>11131018</v>
      </c>
      <c r="S226" s="15">
        <v>6613820</v>
      </c>
      <c r="T226" s="15">
        <v>0</v>
      </c>
      <c r="U226" s="15">
        <v>1356580</v>
      </c>
      <c r="V226" s="15">
        <v>166280</v>
      </c>
      <c r="W226" s="15">
        <f>300+521</f>
        <v>821</v>
      </c>
      <c r="X226" s="15">
        <v>0</v>
      </c>
      <c r="Z226" s="15">
        <v>165780</v>
      </c>
      <c r="AA226" s="15">
        <v>165780</v>
      </c>
      <c r="AB226" s="74">
        <f t="shared" si="171"/>
        <v>1689461</v>
      </c>
      <c r="AC226" s="75">
        <f t="shared" si="172"/>
        <v>25.544405502417668</v>
      </c>
      <c r="AD226" s="75">
        <f t="shared" si="173"/>
        <v>78.0399262061988</v>
      </c>
      <c r="AE226" s="76">
        <f t="shared" si="212"/>
        <v>2.3411977861859641</v>
      </c>
      <c r="AF226" s="77">
        <f t="shared" si="174"/>
        <v>23.617409321282125</v>
      </c>
      <c r="AG226" s="77">
        <f t="shared" si="175"/>
        <v>23.63014187256903</v>
      </c>
      <c r="AH226" s="77">
        <f t="shared" si="176"/>
        <v>1.2732551286905647E-2</v>
      </c>
      <c r="AI226" s="78">
        <f t="shared" si="177"/>
        <v>100</v>
      </c>
      <c r="AJ226" s="79">
        <f t="shared" si="213"/>
        <v>4</v>
      </c>
      <c r="AK226" s="113">
        <v>10</v>
      </c>
      <c r="AL226" s="113">
        <v>3</v>
      </c>
      <c r="AM226" s="113">
        <v>1</v>
      </c>
      <c r="AN226" s="81">
        <f t="shared" si="178"/>
        <v>13</v>
      </c>
      <c r="AO226" s="82">
        <f t="shared" si="179"/>
        <v>7.6923076923076925</v>
      </c>
      <c r="AP226" s="83">
        <f t="shared" si="180"/>
        <v>100</v>
      </c>
      <c r="AQ226" s="84">
        <f t="shared" si="214"/>
        <v>2</v>
      </c>
      <c r="AR226" s="118">
        <v>2</v>
      </c>
      <c r="AS226" s="86">
        <f t="shared" si="181"/>
        <v>0.25</v>
      </c>
      <c r="AT226" s="87">
        <f t="shared" si="182"/>
        <v>2.5</v>
      </c>
      <c r="AU226" s="87">
        <f t="shared" si="183"/>
        <v>2</v>
      </c>
      <c r="AV226" s="88">
        <f t="shared" si="184"/>
        <v>0</v>
      </c>
      <c r="AW226" s="78">
        <f t="shared" si="185"/>
        <v>40</v>
      </c>
      <c r="AX226" s="89">
        <f t="shared" si="215"/>
        <v>0.4</v>
      </c>
      <c r="AY226" s="114">
        <v>8</v>
      </c>
      <c r="AZ226" s="114">
        <v>16</v>
      </c>
      <c r="BA226" s="91">
        <f t="shared" si="186"/>
        <v>16</v>
      </c>
      <c r="BB226" s="77">
        <f t="shared" si="187"/>
        <v>100</v>
      </c>
      <c r="BC226" s="78">
        <f t="shared" si="188"/>
        <v>100</v>
      </c>
      <c r="BD226" s="79">
        <f t="shared" si="216"/>
        <v>1</v>
      </c>
      <c r="BE226" s="92">
        <v>7233201</v>
      </c>
      <c r="BF226" s="92">
        <v>632944</v>
      </c>
      <c r="BG226" s="114">
        <v>119637</v>
      </c>
      <c r="BH226" s="94">
        <f t="shared" si="189"/>
        <v>7866145</v>
      </c>
      <c r="BI226" s="77">
        <f t="shared" si="190"/>
        <v>1.5209101790012769</v>
      </c>
      <c r="BJ226" s="95" t="str">
        <f t="shared" si="191"/>
        <v>전기전자/기계업</v>
      </c>
      <c r="BK226" s="96">
        <f t="shared" si="192"/>
        <v>2.4096449716116446</v>
      </c>
      <c r="BL226" s="97">
        <f t="shared" si="193"/>
        <v>-0.8887347926103677</v>
      </c>
      <c r="BM226" s="98">
        <f t="shared" si="194"/>
        <v>80</v>
      </c>
      <c r="BN226" s="99">
        <f t="shared" si="195"/>
        <v>1.6</v>
      </c>
      <c r="BO226" s="114">
        <v>1627905</v>
      </c>
      <c r="BP226" s="101">
        <f t="shared" si="196"/>
        <v>0.84493351672021189</v>
      </c>
      <c r="BQ226" s="78">
        <f t="shared" si="197"/>
        <v>70</v>
      </c>
      <c r="BR226" s="79">
        <f t="shared" si="217"/>
        <v>1.4000000000000001</v>
      </c>
      <c r="BS226" s="102">
        <v>3230962.3059999999</v>
      </c>
      <c r="BT226" s="102">
        <v>603200</v>
      </c>
      <c r="BU226" s="103">
        <f t="shared" si="198"/>
        <v>2627762.3059999999</v>
      </c>
      <c r="BV226" s="77">
        <f t="shared" si="199"/>
        <v>1.3638906731740448</v>
      </c>
      <c r="BW226" s="96">
        <f t="shared" si="200"/>
        <v>5.2309968128308295</v>
      </c>
      <c r="BX226" s="96">
        <f t="shared" si="201"/>
        <v>14.954509895371197</v>
      </c>
      <c r="BY226" s="96">
        <f t="shared" si="202"/>
        <v>7.0695458012309631</v>
      </c>
      <c r="BZ226" s="96">
        <f t="shared" si="203"/>
        <v>70.781377217776367</v>
      </c>
      <c r="CA226" s="96">
        <f t="shared" si="204"/>
        <v>40</v>
      </c>
      <c r="CB226" s="104">
        <f t="shared" si="205"/>
        <v>0.8</v>
      </c>
      <c r="CC226" s="105">
        <f t="shared" si="218"/>
        <v>79.299718464909191</v>
      </c>
      <c r="CD226" s="106">
        <f t="shared" si="219"/>
        <v>70.490055854933729</v>
      </c>
      <c r="CE226" s="107">
        <f t="shared" si="220"/>
        <v>1.057350837824006</v>
      </c>
      <c r="CF226" s="108" t="s">
        <v>2189</v>
      </c>
      <c r="CG226" s="108" t="s">
        <v>2189</v>
      </c>
      <c r="CH226" s="108" t="s">
        <v>2189</v>
      </c>
      <c r="CI226" s="108" t="s">
        <v>2189</v>
      </c>
      <c r="CJ226" s="109"/>
      <c r="CK226" s="116" t="s">
        <v>2192</v>
      </c>
      <c r="CL226" s="116" t="s">
        <v>2193</v>
      </c>
      <c r="CM226" s="111">
        <f t="shared" si="206"/>
        <v>25</v>
      </c>
      <c r="CN226" s="107">
        <f t="shared" si="221"/>
        <v>0.375</v>
      </c>
      <c r="CO226" s="114">
        <f>32034000-382000</f>
        <v>31652000</v>
      </c>
      <c r="CP226" s="88">
        <f t="shared" si="207"/>
        <v>51.145304501678758</v>
      </c>
      <c r="CQ226" s="78">
        <f t="shared" si="208"/>
        <v>40</v>
      </c>
      <c r="CR226" s="79">
        <f t="shared" si="222"/>
        <v>1.2</v>
      </c>
      <c r="CS226" s="92">
        <f>_xlfn.XLOOKUP(C226, '[1]1-1. 관계사체무보증금액 (환율 등)'!$3:$3, '[1]1-1. 관계사체무보증금액 (환율 등)'!$33:$33)</f>
        <v>6119544.3037974685</v>
      </c>
      <c r="CT226" s="77">
        <f t="shared" si="209"/>
        <v>9.8883469237089372</v>
      </c>
      <c r="CU226" s="78">
        <f t="shared" si="210"/>
        <v>80</v>
      </c>
      <c r="CV226" s="79">
        <f t="shared" si="223"/>
        <v>1.6</v>
      </c>
      <c r="CW226" s="112">
        <f t="shared" si="211"/>
        <v>17.773548624009972</v>
      </c>
    </row>
    <row r="227" spans="1:101" x14ac:dyDescent="0.35">
      <c r="A227" s="7" t="s">
        <v>1755</v>
      </c>
      <c r="B227" s="8" t="s">
        <v>1756</v>
      </c>
      <c r="C227" s="21" t="s">
        <v>1757</v>
      </c>
      <c r="D227" s="10" t="s">
        <v>31</v>
      </c>
      <c r="E227" s="11" t="s">
        <v>1129</v>
      </c>
      <c r="F227" s="11" t="s">
        <v>1758</v>
      </c>
      <c r="G227" s="12">
        <v>27208</v>
      </c>
      <c r="H227" s="11" t="s">
        <v>24</v>
      </c>
      <c r="I227" s="11" t="s">
        <v>1759</v>
      </c>
      <c r="J227" s="11" t="s">
        <v>1760</v>
      </c>
      <c r="K227" s="11" t="s">
        <v>27</v>
      </c>
      <c r="L227" s="23">
        <v>339571178</v>
      </c>
      <c r="M227" s="14">
        <v>63823811</v>
      </c>
      <c r="N227" s="14">
        <v>275747368</v>
      </c>
      <c r="O227" s="14">
        <v>336657527</v>
      </c>
      <c r="P227" s="14">
        <v>25257329</v>
      </c>
      <c r="Q227" s="14">
        <v>26498807</v>
      </c>
      <c r="R227" s="14">
        <v>20001837</v>
      </c>
      <c r="S227" s="15">
        <v>4000000</v>
      </c>
      <c r="T227" s="15">
        <v>172600</v>
      </c>
      <c r="U227" s="15">
        <v>1440000</v>
      </c>
      <c r="V227" s="15">
        <v>229000</v>
      </c>
      <c r="W227" s="15">
        <v>0</v>
      </c>
      <c r="X227" s="15">
        <v>0</v>
      </c>
      <c r="Z227" s="15">
        <v>0</v>
      </c>
      <c r="AA227" s="15">
        <v>0</v>
      </c>
      <c r="AB227" s="74">
        <f t="shared" si="171"/>
        <v>1669000</v>
      </c>
      <c r="AC227" s="75">
        <f t="shared" si="172"/>
        <v>41.725000000000001</v>
      </c>
      <c r="AD227" s="75">
        <f t="shared" si="173"/>
        <v>64.075086306098967</v>
      </c>
      <c r="AE227" s="76">
        <f t="shared" si="212"/>
        <v>1.9222525891829689</v>
      </c>
      <c r="AF227" s="77">
        <f t="shared" si="174"/>
        <v>43.606625907927054</v>
      </c>
      <c r="AG227" s="77">
        <f t="shared" si="175"/>
        <v>43.606625907927054</v>
      </c>
      <c r="AH227" s="77">
        <f t="shared" si="176"/>
        <v>0</v>
      </c>
      <c r="AI227" s="78">
        <f t="shared" si="177"/>
        <v>100</v>
      </c>
      <c r="AJ227" s="79">
        <f t="shared" si="213"/>
        <v>4</v>
      </c>
      <c r="AK227" s="113">
        <v>5</v>
      </c>
      <c r="AL227" s="113">
        <v>7</v>
      </c>
      <c r="AM227" s="113">
        <v>1</v>
      </c>
      <c r="AN227" s="81">
        <f t="shared" si="178"/>
        <v>12</v>
      </c>
      <c r="AO227" s="82">
        <f t="shared" si="179"/>
        <v>8.3333333333333321</v>
      </c>
      <c r="AP227" s="83">
        <f t="shared" si="180"/>
        <v>100</v>
      </c>
      <c r="AQ227" s="84">
        <f t="shared" si="214"/>
        <v>2</v>
      </c>
      <c r="AR227" s="118">
        <v>1</v>
      </c>
      <c r="AS227" s="86">
        <f t="shared" si="181"/>
        <v>0.25</v>
      </c>
      <c r="AT227" s="87">
        <f t="shared" si="182"/>
        <v>1.25</v>
      </c>
      <c r="AU227" s="87">
        <f t="shared" si="183"/>
        <v>1</v>
      </c>
      <c r="AV227" s="88">
        <f t="shared" si="184"/>
        <v>0</v>
      </c>
      <c r="AW227" s="78">
        <f t="shared" si="185"/>
        <v>40</v>
      </c>
      <c r="AX227" s="89">
        <f t="shared" si="215"/>
        <v>0.4</v>
      </c>
      <c r="AY227" s="114">
        <v>3</v>
      </c>
      <c r="AZ227" s="114">
        <v>3</v>
      </c>
      <c r="BA227" s="91">
        <f t="shared" si="186"/>
        <v>3</v>
      </c>
      <c r="BB227" s="77">
        <f t="shared" si="187"/>
        <v>100</v>
      </c>
      <c r="BC227" s="78">
        <f t="shared" si="188"/>
        <v>100</v>
      </c>
      <c r="BD227" s="79">
        <f t="shared" si="216"/>
        <v>1</v>
      </c>
      <c r="BE227" s="92">
        <v>3656517</v>
      </c>
      <c r="BF227" s="92">
        <v>313308</v>
      </c>
      <c r="BG227" s="114">
        <v>528981</v>
      </c>
      <c r="BH227" s="94">
        <f t="shared" si="189"/>
        <v>3969825</v>
      </c>
      <c r="BI227" s="77">
        <f t="shared" si="190"/>
        <v>13.325045814362094</v>
      </c>
      <c r="BJ227" s="95" t="str">
        <f t="shared" si="191"/>
        <v>식약/섬유/종이업</v>
      </c>
      <c r="BK227" s="96">
        <f t="shared" si="192"/>
        <v>2.1999360555264453</v>
      </c>
      <c r="BL227" s="97">
        <f t="shared" si="193"/>
        <v>11.125109758835649</v>
      </c>
      <c r="BM227" s="98">
        <f t="shared" si="194"/>
        <v>20</v>
      </c>
      <c r="BN227" s="99">
        <f t="shared" si="195"/>
        <v>0.4</v>
      </c>
      <c r="BO227" s="114">
        <v>0</v>
      </c>
      <c r="BP227" s="101">
        <f t="shared" si="196"/>
        <v>0</v>
      </c>
      <c r="BQ227" s="78">
        <f t="shared" si="197"/>
        <v>25</v>
      </c>
      <c r="BR227" s="79">
        <f t="shared" si="217"/>
        <v>0.5</v>
      </c>
      <c r="BS227" s="102">
        <v>3246137.2930000001</v>
      </c>
      <c r="BT227" s="102">
        <v>1710</v>
      </c>
      <c r="BU227" s="103">
        <f t="shared" si="198"/>
        <v>3244427.2930000001</v>
      </c>
      <c r="BV227" s="77">
        <f t="shared" si="199"/>
        <v>0.96371743769150897</v>
      </c>
      <c r="BW227" s="96">
        <f t="shared" si="200"/>
        <v>5.0508176117342298</v>
      </c>
      <c r="BX227" s="96">
        <f t="shared" si="201"/>
        <v>16.704387832660039</v>
      </c>
      <c r="BY227" s="96">
        <f t="shared" si="202"/>
        <v>6.9871618081220923</v>
      </c>
      <c r="BZ227" s="96">
        <f t="shared" si="203"/>
        <v>72.070740063236499</v>
      </c>
      <c r="CA227" s="96">
        <f t="shared" si="204"/>
        <v>40</v>
      </c>
      <c r="CB227" s="104">
        <f t="shared" si="205"/>
        <v>0.8</v>
      </c>
      <c r="CC227" s="105">
        <f t="shared" si="218"/>
        <v>23.145755284235385</v>
      </c>
      <c r="CD227" s="106">
        <f t="shared" si="219"/>
        <v>91.65360981749923</v>
      </c>
      <c r="CE227" s="107">
        <f t="shared" si="220"/>
        <v>1.3748041472624883</v>
      </c>
      <c r="CF227" s="108" t="s">
        <v>2189</v>
      </c>
      <c r="CG227" s="108" t="s">
        <v>2189</v>
      </c>
      <c r="CH227" s="108" t="s">
        <v>2189</v>
      </c>
      <c r="CI227" s="108" t="s">
        <v>2189</v>
      </c>
      <c r="CJ227" s="109"/>
      <c r="CK227" s="116" t="s">
        <v>2199</v>
      </c>
      <c r="CL227" s="116" t="s">
        <v>2193</v>
      </c>
      <c r="CM227" s="111">
        <f t="shared" si="206"/>
        <v>25</v>
      </c>
      <c r="CN227" s="107">
        <f t="shared" si="221"/>
        <v>0.375</v>
      </c>
      <c r="CO227" s="114">
        <v>1980000</v>
      </c>
      <c r="CP227" s="88">
        <f t="shared" si="207"/>
        <v>0.71804855812803259</v>
      </c>
      <c r="CQ227" s="78">
        <f t="shared" si="208"/>
        <v>100</v>
      </c>
      <c r="CR227" s="79">
        <f t="shared" si="222"/>
        <v>3</v>
      </c>
      <c r="CS227" s="92">
        <f>_xlfn.XLOOKUP(C227, '[1]1-1. 관계사체무보증금액 (환율 등)'!$3:$3, '[1]1-1. 관계사체무보증금액 (환율 등)'!$33:$33)</f>
        <v>0</v>
      </c>
      <c r="CT227" s="77">
        <f t="shared" si="209"/>
        <v>0</v>
      </c>
      <c r="CU227" s="78">
        <f t="shared" si="210"/>
        <v>100</v>
      </c>
      <c r="CV227" s="79">
        <f t="shared" si="223"/>
        <v>2</v>
      </c>
      <c r="CW227" s="112">
        <f t="shared" si="211"/>
        <v>17.772056736445457</v>
      </c>
    </row>
    <row r="228" spans="1:101" x14ac:dyDescent="0.35">
      <c r="A228" s="7" t="s">
        <v>1542</v>
      </c>
      <c r="B228" s="8" t="s">
        <v>1543</v>
      </c>
      <c r="C228" s="21" t="s">
        <v>1544</v>
      </c>
      <c r="D228" s="22" t="s">
        <v>21</v>
      </c>
      <c r="E228" s="11" t="s">
        <v>39</v>
      </c>
      <c r="F228" s="11" t="s">
        <v>1545</v>
      </c>
      <c r="G228" s="12">
        <v>28762</v>
      </c>
      <c r="H228" s="11" t="s">
        <v>24</v>
      </c>
      <c r="I228" s="11" t="s">
        <v>1546</v>
      </c>
      <c r="J228" s="11" t="s">
        <v>1547</v>
      </c>
      <c r="K228" s="11" t="s">
        <v>27</v>
      </c>
      <c r="L228" s="23">
        <v>501506960</v>
      </c>
      <c r="M228" s="14">
        <v>297824193</v>
      </c>
      <c r="N228" s="14">
        <v>203682767</v>
      </c>
      <c r="O228" s="14">
        <v>628065353</v>
      </c>
      <c r="P228" s="14">
        <v>22866089</v>
      </c>
      <c r="Q228" s="14">
        <v>14957802</v>
      </c>
      <c r="R228" s="14">
        <v>12222578</v>
      </c>
      <c r="S228" s="15">
        <v>30000000</v>
      </c>
      <c r="T228" s="15">
        <v>94250</v>
      </c>
      <c r="U228" s="15">
        <v>33930</v>
      </c>
      <c r="V228" s="15">
        <f>6995240-33930</f>
        <v>6961310</v>
      </c>
      <c r="W228" s="15">
        <f>2087500+20000+200</f>
        <v>2107700</v>
      </c>
      <c r="X228" s="15">
        <v>0</v>
      </c>
      <c r="Z228" s="15">
        <v>0</v>
      </c>
      <c r="AA228" s="15">
        <v>0</v>
      </c>
      <c r="AB228" s="74">
        <f t="shared" si="171"/>
        <v>9102940</v>
      </c>
      <c r="AC228" s="75">
        <f t="shared" si="172"/>
        <v>30.343133333333334</v>
      </c>
      <c r="AD228" s="75">
        <f t="shared" si="173"/>
        <v>73.898331415420017</v>
      </c>
      <c r="AE228" s="76">
        <f t="shared" si="212"/>
        <v>2.2169499424626005</v>
      </c>
      <c r="AF228" s="77">
        <f t="shared" si="174"/>
        <v>23.390953244777343</v>
      </c>
      <c r="AG228" s="77">
        <f t="shared" si="175"/>
        <v>30.438761776581423</v>
      </c>
      <c r="AH228" s="77">
        <f t="shared" si="176"/>
        <v>7.0478085318040797</v>
      </c>
      <c r="AI228" s="78">
        <f t="shared" si="177"/>
        <v>100</v>
      </c>
      <c r="AJ228" s="79">
        <f t="shared" si="213"/>
        <v>4</v>
      </c>
      <c r="AK228" s="113">
        <v>7</v>
      </c>
      <c r="AL228" s="113">
        <v>11</v>
      </c>
      <c r="AM228" s="113">
        <v>2</v>
      </c>
      <c r="AN228" s="81">
        <f t="shared" si="178"/>
        <v>18</v>
      </c>
      <c r="AO228" s="82">
        <f t="shared" si="179"/>
        <v>11.111111111111111</v>
      </c>
      <c r="AP228" s="83">
        <f t="shared" si="180"/>
        <v>80</v>
      </c>
      <c r="AQ228" s="84">
        <f t="shared" si="214"/>
        <v>1.6</v>
      </c>
      <c r="AR228" s="118">
        <v>2</v>
      </c>
      <c r="AS228" s="86">
        <f t="shared" si="181"/>
        <v>0.25</v>
      </c>
      <c r="AT228" s="87">
        <f t="shared" si="182"/>
        <v>1.75</v>
      </c>
      <c r="AU228" s="87">
        <f t="shared" si="183"/>
        <v>1</v>
      </c>
      <c r="AV228" s="88">
        <f t="shared" si="184"/>
        <v>14.285714285714285</v>
      </c>
      <c r="AW228" s="78">
        <f t="shared" si="185"/>
        <v>60</v>
      </c>
      <c r="AX228" s="89">
        <f t="shared" si="215"/>
        <v>0.6</v>
      </c>
      <c r="AY228" s="114">
        <v>3</v>
      </c>
      <c r="AZ228" s="114">
        <v>6</v>
      </c>
      <c r="BA228" s="91">
        <f t="shared" si="186"/>
        <v>6</v>
      </c>
      <c r="BB228" s="77">
        <f t="shared" si="187"/>
        <v>100</v>
      </c>
      <c r="BC228" s="78">
        <f t="shared" si="188"/>
        <v>100</v>
      </c>
      <c r="BD228" s="79">
        <f t="shared" si="216"/>
        <v>1</v>
      </c>
      <c r="BE228" s="92">
        <v>24510215</v>
      </c>
      <c r="BF228" s="92">
        <v>2202791</v>
      </c>
      <c r="BG228" s="114">
        <v>433819</v>
      </c>
      <c r="BH228" s="94">
        <f t="shared" si="189"/>
        <v>26713006</v>
      </c>
      <c r="BI228" s="77">
        <f t="shared" si="190"/>
        <v>1.6239991860144829</v>
      </c>
      <c r="BJ228" s="95" t="str">
        <f t="shared" si="191"/>
        <v>비제조/서비스업</v>
      </c>
      <c r="BK228" s="96">
        <f t="shared" si="192"/>
        <v>1.7464434573900922</v>
      </c>
      <c r="BL228" s="97">
        <f t="shared" si="193"/>
        <v>-0.12244427137560931</v>
      </c>
      <c r="BM228" s="98">
        <f t="shared" si="194"/>
        <v>80</v>
      </c>
      <c r="BN228" s="99">
        <f t="shared" si="195"/>
        <v>1.6</v>
      </c>
      <c r="BO228" s="114">
        <v>0</v>
      </c>
      <c r="BP228" s="101">
        <f t="shared" si="196"/>
        <v>0</v>
      </c>
      <c r="BQ228" s="78">
        <f t="shared" si="197"/>
        <v>25</v>
      </c>
      <c r="BR228" s="79">
        <f t="shared" si="217"/>
        <v>0.5</v>
      </c>
      <c r="BS228" s="102">
        <v>44247609.713</v>
      </c>
      <c r="BT228" s="102">
        <v>102699.95699999999</v>
      </c>
      <c r="BU228" s="103">
        <f t="shared" si="198"/>
        <v>44144909.755999997</v>
      </c>
      <c r="BV228" s="77">
        <f t="shared" si="199"/>
        <v>7.02871278365199</v>
      </c>
      <c r="BW228" s="96">
        <f t="shared" si="200"/>
        <v>2.8482825397737606</v>
      </c>
      <c r="BX228" s="96">
        <f t="shared" si="201"/>
        <v>17.475997023931789</v>
      </c>
      <c r="BY228" s="96">
        <f t="shared" si="202"/>
        <v>5.5697595856656807</v>
      </c>
      <c r="BZ228" s="96">
        <f t="shared" si="203"/>
        <v>22.645921078535778</v>
      </c>
      <c r="CA228" s="96">
        <f t="shared" si="204"/>
        <v>70</v>
      </c>
      <c r="CB228" s="104">
        <f t="shared" si="205"/>
        <v>1.4000000000000001</v>
      </c>
      <c r="CC228" s="105">
        <f t="shared" si="218"/>
        <v>146.21963231675855</v>
      </c>
      <c r="CD228" s="106">
        <f t="shared" si="219"/>
        <v>45.268982795191498</v>
      </c>
      <c r="CE228" s="107">
        <f t="shared" si="220"/>
        <v>0.67903474192787239</v>
      </c>
      <c r="CF228" s="108" t="s">
        <v>2189</v>
      </c>
      <c r="CG228" s="108" t="s">
        <v>2189</v>
      </c>
      <c r="CH228" s="108" t="s">
        <v>2189</v>
      </c>
      <c r="CI228" s="108" t="s">
        <v>2189</v>
      </c>
      <c r="CJ228" s="109"/>
      <c r="CK228" s="116" t="s">
        <v>2199</v>
      </c>
      <c r="CL228" s="116" t="s">
        <v>2193</v>
      </c>
      <c r="CM228" s="111">
        <f t="shared" si="206"/>
        <v>25</v>
      </c>
      <c r="CN228" s="107">
        <f t="shared" si="221"/>
        <v>0.375</v>
      </c>
      <c r="CO228" s="114">
        <v>44413324</v>
      </c>
      <c r="CP228" s="88">
        <f t="shared" si="207"/>
        <v>21.80514564592497</v>
      </c>
      <c r="CQ228" s="78">
        <f t="shared" si="208"/>
        <v>60</v>
      </c>
      <c r="CR228" s="79">
        <f t="shared" si="222"/>
        <v>1.7999999999999998</v>
      </c>
      <c r="CS228" s="92">
        <f>_xlfn.XLOOKUP(C228, '[1]1-1. 관계사체무보증금액 (환율 등)'!$3:$3, '[1]1-1. 관계사체무보증금액 (환율 등)'!$33:$33)</f>
        <v>0</v>
      </c>
      <c r="CT228" s="77">
        <f t="shared" si="209"/>
        <v>0</v>
      </c>
      <c r="CU228" s="78">
        <f t="shared" si="210"/>
        <v>100</v>
      </c>
      <c r="CV228" s="79">
        <f t="shared" si="223"/>
        <v>2</v>
      </c>
      <c r="CW228" s="112">
        <f t="shared" si="211"/>
        <v>17.77098468439047</v>
      </c>
    </row>
    <row r="229" spans="1:101" x14ac:dyDescent="0.35">
      <c r="A229" s="7" t="s">
        <v>353</v>
      </c>
      <c r="B229" s="8" t="s">
        <v>354</v>
      </c>
      <c r="C229" s="21" t="s">
        <v>355</v>
      </c>
      <c r="D229" s="22" t="s">
        <v>141</v>
      </c>
      <c r="E229" s="11" t="s">
        <v>356</v>
      </c>
      <c r="F229" s="11" t="s">
        <v>357</v>
      </c>
      <c r="G229" s="12">
        <v>27949</v>
      </c>
      <c r="H229" s="11" t="s">
        <v>24</v>
      </c>
      <c r="I229" s="11" t="s">
        <v>358</v>
      </c>
      <c r="J229" s="11" t="s">
        <v>359</v>
      </c>
      <c r="K229" s="11" t="s">
        <v>102</v>
      </c>
      <c r="L229" s="23">
        <v>913694578</v>
      </c>
      <c r="M229" s="14">
        <v>256815975</v>
      </c>
      <c r="N229" s="14">
        <v>656878603</v>
      </c>
      <c r="O229" s="14">
        <v>320369756</v>
      </c>
      <c r="P229" s="14">
        <v>25070424</v>
      </c>
      <c r="Q229" s="14">
        <v>28857902</v>
      </c>
      <c r="R229" s="14">
        <v>22824949</v>
      </c>
      <c r="S229" s="15">
        <v>33252697</v>
      </c>
      <c r="T229" s="15">
        <v>10858846</v>
      </c>
      <c r="U229" s="15">
        <v>14055889</v>
      </c>
      <c r="V229" s="15">
        <v>0</v>
      </c>
      <c r="W229" s="15">
        <v>0</v>
      </c>
      <c r="X229" s="15">
        <v>1000000</v>
      </c>
      <c r="Y229" s="24" t="s">
        <v>2061</v>
      </c>
      <c r="Z229" s="15">
        <v>0</v>
      </c>
      <c r="AA229" s="15">
        <v>0</v>
      </c>
      <c r="AB229" s="74">
        <f t="shared" si="171"/>
        <v>15055889</v>
      </c>
      <c r="AC229" s="75">
        <f t="shared" si="172"/>
        <v>45.277196613555887</v>
      </c>
      <c r="AD229" s="75">
        <f t="shared" si="173"/>
        <v>61.009323981395958</v>
      </c>
      <c r="AE229" s="76">
        <f t="shared" si="212"/>
        <v>1.8302797194418787</v>
      </c>
      <c r="AF229" s="77">
        <f t="shared" si="174"/>
        <v>62.766734493321408</v>
      </c>
      <c r="AG229" s="77">
        <f t="shared" si="175"/>
        <v>67.232246030394677</v>
      </c>
      <c r="AH229" s="77">
        <f t="shared" si="176"/>
        <v>4.4655115370732688</v>
      </c>
      <c r="AI229" s="78">
        <f t="shared" si="177"/>
        <v>100</v>
      </c>
      <c r="AJ229" s="79">
        <f t="shared" si="213"/>
        <v>4</v>
      </c>
      <c r="AK229" s="113">
        <v>5</v>
      </c>
      <c r="AL229" s="113">
        <v>7</v>
      </c>
      <c r="AM229" s="113">
        <v>0</v>
      </c>
      <c r="AN229" s="81">
        <f t="shared" si="178"/>
        <v>12</v>
      </c>
      <c r="AO229" s="82">
        <f t="shared" si="179"/>
        <v>0</v>
      </c>
      <c r="AP229" s="83">
        <f t="shared" si="180"/>
        <v>100</v>
      </c>
      <c r="AQ229" s="84">
        <f t="shared" si="214"/>
        <v>2</v>
      </c>
      <c r="AR229" s="118">
        <v>1</v>
      </c>
      <c r="AS229" s="86">
        <f t="shared" si="181"/>
        <v>0.25</v>
      </c>
      <c r="AT229" s="87">
        <f t="shared" si="182"/>
        <v>1.25</v>
      </c>
      <c r="AU229" s="87">
        <f t="shared" si="183"/>
        <v>1</v>
      </c>
      <c r="AV229" s="88">
        <f t="shared" si="184"/>
        <v>0</v>
      </c>
      <c r="AW229" s="78">
        <f t="shared" si="185"/>
        <v>40</v>
      </c>
      <c r="AX229" s="89">
        <f t="shared" si="215"/>
        <v>0.4</v>
      </c>
      <c r="AY229" s="114">
        <v>14</v>
      </c>
      <c r="AZ229" s="114">
        <v>14</v>
      </c>
      <c r="BA229" s="91">
        <f t="shared" si="186"/>
        <v>14</v>
      </c>
      <c r="BB229" s="77">
        <f t="shared" si="187"/>
        <v>100</v>
      </c>
      <c r="BC229" s="78">
        <f t="shared" si="188"/>
        <v>100</v>
      </c>
      <c r="BD229" s="79">
        <f t="shared" si="216"/>
        <v>1</v>
      </c>
      <c r="BE229" s="92">
        <v>4807476</v>
      </c>
      <c r="BF229" s="92">
        <v>504311</v>
      </c>
      <c r="BG229" s="114">
        <v>265271</v>
      </c>
      <c r="BH229" s="94">
        <f t="shared" si="189"/>
        <v>5311787</v>
      </c>
      <c r="BI229" s="77">
        <f t="shared" si="190"/>
        <v>4.9940067250437563</v>
      </c>
      <c r="BJ229" s="95" t="str">
        <f t="shared" si="191"/>
        <v>전기전자/기계업</v>
      </c>
      <c r="BK229" s="96">
        <f t="shared" si="192"/>
        <v>2.4096449716116446</v>
      </c>
      <c r="BL229" s="97">
        <f t="shared" si="193"/>
        <v>2.5843617534321117</v>
      </c>
      <c r="BM229" s="98">
        <f t="shared" si="194"/>
        <v>40</v>
      </c>
      <c r="BN229" s="99">
        <f t="shared" si="195"/>
        <v>0.8</v>
      </c>
      <c r="BO229" s="114">
        <f>(15635-12036)*1000</f>
        <v>3599000</v>
      </c>
      <c r="BP229" s="101">
        <f t="shared" si="196"/>
        <v>1.1233894375472822</v>
      </c>
      <c r="BQ229" s="78">
        <f t="shared" si="197"/>
        <v>70</v>
      </c>
      <c r="BR229" s="79">
        <f t="shared" si="217"/>
        <v>1.4000000000000001</v>
      </c>
      <c r="BS229" s="102">
        <f>(1023277480+2981858000+353669074+1907094578+292927164+1280559899)/1000</f>
        <v>7839386.1950000003</v>
      </c>
      <c r="BT229" s="102">
        <f>(282473920+70227273+2295500)/1000</f>
        <v>354996.69300000003</v>
      </c>
      <c r="BU229" s="103">
        <f t="shared" si="198"/>
        <v>7484389.5020000003</v>
      </c>
      <c r="BV229" s="77">
        <f t="shared" si="199"/>
        <v>2.3361723014827902</v>
      </c>
      <c r="BW229" s="96">
        <f t="shared" si="200"/>
        <v>5.2309968128308295</v>
      </c>
      <c r="BX229" s="96">
        <f t="shared" si="201"/>
        <v>8.3800089515014147</v>
      </c>
      <c r="BY229" s="96">
        <f t="shared" si="202"/>
        <v>7.0695458012309631</v>
      </c>
      <c r="BZ229" s="96">
        <f t="shared" si="203"/>
        <v>65.890559946726384</v>
      </c>
      <c r="CA229" s="96">
        <f t="shared" si="204"/>
        <v>40</v>
      </c>
      <c r="CB229" s="104">
        <f t="shared" si="205"/>
        <v>0.8</v>
      </c>
      <c r="CC229" s="105">
        <f t="shared" si="218"/>
        <v>39.096413527112553</v>
      </c>
      <c r="CD229" s="106">
        <f t="shared" si="219"/>
        <v>85.642055203349543</v>
      </c>
      <c r="CE229" s="107">
        <f t="shared" si="220"/>
        <v>1.2846308280502432</v>
      </c>
      <c r="CF229" s="108" t="s">
        <v>2189</v>
      </c>
      <c r="CG229" s="108" t="s">
        <v>2189</v>
      </c>
      <c r="CH229" s="108" t="s">
        <v>2189</v>
      </c>
      <c r="CI229" s="108" t="s">
        <v>2189</v>
      </c>
      <c r="CJ229" s="109"/>
      <c r="CK229" s="116" t="s">
        <v>2207</v>
      </c>
      <c r="CL229" s="116" t="s">
        <v>2204</v>
      </c>
      <c r="CM229" s="111">
        <f t="shared" si="206"/>
        <v>70</v>
      </c>
      <c r="CN229" s="107">
        <f t="shared" si="221"/>
        <v>1.05</v>
      </c>
      <c r="CO229" s="114">
        <f>10922000+10432000+13460000</f>
        <v>34814000</v>
      </c>
      <c r="CP229" s="88">
        <f t="shared" si="207"/>
        <v>5.2999138411576485</v>
      </c>
      <c r="CQ229" s="78">
        <f t="shared" si="208"/>
        <v>80</v>
      </c>
      <c r="CR229" s="79">
        <f t="shared" si="222"/>
        <v>2.4</v>
      </c>
      <c r="CS229" s="92">
        <f>_xlfn.XLOOKUP(C229, '[1]1-1. 관계사체무보증금액 (환율 등)'!$3:$3, '[1]1-1. 관계사체무보증금액 (환율 등)'!$33:$33)</f>
        <v>396958575.83544302</v>
      </c>
      <c r="CT229" s="77">
        <f t="shared" si="209"/>
        <v>60.431040685830197</v>
      </c>
      <c r="CU229" s="78">
        <f t="shared" si="210"/>
        <v>40</v>
      </c>
      <c r="CV229" s="79">
        <f t="shared" si="223"/>
        <v>0.8</v>
      </c>
      <c r="CW229" s="112">
        <f t="shared" si="211"/>
        <v>17.764910547492125</v>
      </c>
    </row>
    <row r="230" spans="1:101" x14ac:dyDescent="0.35">
      <c r="A230" s="7" t="s">
        <v>28</v>
      </c>
      <c r="B230" s="8" t="s">
        <v>29</v>
      </c>
      <c r="C230" s="9" t="s">
        <v>30</v>
      </c>
      <c r="D230" s="10" t="s">
        <v>31</v>
      </c>
      <c r="E230" s="11" t="s">
        <v>32</v>
      </c>
      <c r="F230" s="11" t="s">
        <v>33</v>
      </c>
      <c r="G230" s="12">
        <v>27547</v>
      </c>
      <c r="H230" s="11" t="s">
        <v>24</v>
      </c>
      <c r="I230" s="11" t="s">
        <v>34</v>
      </c>
      <c r="J230" s="11" t="s">
        <v>35</v>
      </c>
      <c r="K230" s="11" t="s">
        <v>27</v>
      </c>
      <c r="L230" s="195">
        <v>657344581</v>
      </c>
      <c r="M230" s="197">
        <v>145796846</v>
      </c>
      <c r="N230" s="197">
        <v>511547734</v>
      </c>
      <c r="O230" s="197">
        <v>168169259</v>
      </c>
      <c r="P230" s="197">
        <v>24457946</v>
      </c>
      <c r="Q230" s="197">
        <v>48325988</v>
      </c>
      <c r="R230" s="14">
        <v>35650140</v>
      </c>
      <c r="S230" s="18">
        <v>624615</v>
      </c>
      <c r="T230" s="18">
        <v>8</v>
      </c>
      <c r="U230" s="19">
        <v>115140</v>
      </c>
      <c r="V230" s="19">
        <f>46328+28126+21560+23065+20</f>
        <v>119099</v>
      </c>
      <c r="W230" s="19">
        <f>25621+560+20+32+195+25</f>
        <v>26453</v>
      </c>
      <c r="X230" s="19">
        <v>31230</v>
      </c>
      <c r="Y230" s="20" t="s">
        <v>2049</v>
      </c>
      <c r="Z230" s="19">
        <f>65873+1906+18739+16002+34+128</f>
        <v>102682</v>
      </c>
      <c r="AA230" s="19">
        <v>0</v>
      </c>
      <c r="AB230" s="74">
        <f t="shared" si="171"/>
        <v>394604</v>
      </c>
      <c r="AC230" s="75">
        <f t="shared" si="172"/>
        <v>63.175556142583829</v>
      </c>
      <c r="AD230" s="75">
        <f t="shared" si="173"/>
        <v>45.561948093282084</v>
      </c>
      <c r="AE230" s="76">
        <f t="shared" si="212"/>
        <v>1.3668584427984625</v>
      </c>
      <c r="AF230" s="77">
        <f t="shared" si="174"/>
        <v>37.501821145136063</v>
      </c>
      <c r="AG230" s="77">
        <f t="shared" si="175"/>
        <v>63.17636529849969</v>
      </c>
      <c r="AH230" s="77">
        <f t="shared" si="176"/>
        <v>25.674544153363627</v>
      </c>
      <c r="AI230" s="78">
        <f t="shared" si="177"/>
        <v>80</v>
      </c>
      <c r="AJ230" s="79">
        <f t="shared" si="213"/>
        <v>3.2</v>
      </c>
      <c r="AK230" s="113">
        <v>6</v>
      </c>
      <c r="AL230" s="113">
        <v>6</v>
      </c>
      <c r="AM230" s="80">
        <v>5</v>
      </c>
      <c r="AN230" s="81">
        <f t="shared" si="178"/>
        <v>12</v>
      </c>
      <c r="AO230" s="82">
        <f t="shared" si="179"/>
        <v>41.666666666666671</v>
      </c>
      <c r="AP230" s="83">
        <f t="shared" si="180"/>
        <v>40</v>
      </c>
      <c r="AQ230" s="84">
        <f t="shared" si="214"/>
        <v>0.8</v>
      </c>
      <c r="AR230" s="114">
        <v>3</v>
      </c>
      <c r="AS230" s="86">
        <f t="shared" si="181"/>
        <v>0.25</v>
      </c>
      <c r="AT230" s="87">
        <f t="shared" si="182"/>
        <v>1.5</v>
      </c>
      <c r="AU230" s="87">
        <f t="shared" si="183"/>
        <v>1</v>
      </c>
      <c r="AV230" s="88">
        <f t="shared" si="184"/>
        <v>33.333333333333329</v>
      </c>
      <c r="AW230" s="78">
        <f t="shared" si="185"/>
        <v>80</v>
      </c>
      <c r="AX230" s="89">
        <f t="shared" si="215"/>
        <v>0.8</v>
      </c>
      <c r="AY230" s="114">
        <v>8</v>
      </c>
      <c r="AZ230" s="114">
        <f>3*5+2*3</f>
        <v>21</v>
      </c>
      <c r="BA230" s="91">
        <f t="shared" si="186"/>
        <v>24</v>
      </c>
      <c r="BB230" s="77">
        <f t="shared" si="187"/>
        <v>87.5</v>
      </c>
      <c r="BC230" s="78">
        <f t="shared" si="188"/>
        <v>75</v>
      </c>
      <c r="BD230" s="79">
        <f t="shared" si="216"/>
        <v>0.75</v>
      </c>
      <c r="BE230" s="92">
        <v>19793252.743999999</v>
      </c>
      <c r="BF230" s="92">
        <v>1476274.3330000001</v>
      </c>
      <c r="BG230" s="114">
        <v>72540.59</v>
      </c>
      <c r="BH230" s="94">
        <f t="shared" si="189"/>
        <v>21269527.077</v>
      </c>
      <c r="BI230" s="77">
        <f t="shared" si="190"/>
        <v>0.3410540805039452</v>
      </c>
      <c r="BJ230" s="95" t="str">
        <f t="shared" si="191"/>
        <v>식약/섬유/종이업</v>
      </c>
      <c r="BK230" s="96">
        <f t="shared" si="192"/>
        <v>2.1999360555264453</v>
      </c>
      <c r="BL230" s="97">
        <f t="shared" si="193"/>
        <v>-1.8588819750225001</v>
      </c>
      <c r="BM230" s="98">
        <f t="shared" si="194"/>
        <v>80</v>
      </c>
      <c r="BN230" s="99">
        <f t="shared" si="195"/>
        <v>1.6</v>
      </c>
      <c r="BO230" s="115">
        <v>1294493</v>
      </c>
      <c r="BP230" s="101">
        <f t="shared" si="196"/>
        <v>0.76975602300774837</v>
      </c>
      <c r="BQ230" s="78">
        <f t="shared" si="197"/>
        <v>70</v>
      </c>
      <c r="BR230" s="79">
        <f t="shared" si="217"/>
        <v>1.4000000000000001</v>
      </c>
      <c r="BS230" s="102">
        <v>9625686.4230000004</v>
      </c>
      <c r="BT230" s="102">
        <v>852363.58700000006</v>
      </c>
      <c r="BU230" s="103">
        <f t="shared" si="198"/>
        <v>8773322.8360000011</v>
      </c>
      <c r="BV230" s="77">
        <f t="shared" si="199"/>
        <v>5.2169599177457284</v>
      </c>
      <c r="BW230" s="96">
        <f t="shared" si="200"/>
        <v>5.0508176117342298</v>
      </c>
      <c r="BX230" s="96">
        <f t="shared" si="201"/>
        <v>2.7603265846818444E-2</v>
      </c>
      <c r="BY230" s="96">
        <f t="shared" si="202"/>
        <v>6.9871618081220923</v>
      </c>
      <c r="BZ230" s="96">
        <f t="shared" si="203"/>
        <v>49.051475451127089</v>
      </c>
      <c r="CA230" s="96">
        <f t="shared" si="204"/>
        <v>55</v>
      </c>
      <c r="CB230" s="104">
        <f t="shared" si="205"/>
        <v>1.1000000000000001</v>
      </c>
      <c r="CC230" s="105">
        <f t="shared" si="218"/>
        <v>28.501122438751725</v>
      </c>
      <c r="CD230" s="106">
        <f t="shared" si="219"/>
        <v>89.635255362279509</v>
      </c>
      <c r="CE230" s="107">
        <f t="shared" si="220"/>
        <v>1.3445288304341925</v>
      </c>
      <c r="CF230" s="108" t="s">
        <v>2189</v>
      </c>
      <c r="CG230" s="108" t="s">
        <v>2189</v>
      </c>
      <c r="CH230" s="108" t="s">
        <v>2189</v>
      </c>
      <c r="CI230" s="108" t="s">
        <v>2189</v>
      </c>
      <c r="CJ230" s="109"/>
      <c r="CK230" s="116" t="s">
        <v>2192</v>
      </c>
      <c r="CL230" s="116" t="s">
        <v>2193</v>
      </c>
      <c r="CM230" s="111">
        <f t="shared" si="206"/>
        <v>25</v>
      </c>
      <c r="CN230" s="107">
        <f t="shared" si="221"/>
        <v>0.375</v>
      </c>
      <c r="CO230" s="114">
        <v>50000</v>
      </c>
      <c r="CP230" s="88">
        <f t="shared" si="207"/>
        <v>9.7742589159822181E-3</v>
      </c>
      <c r="CQ230" s="78">
        <f t="shared" si="208"/>
        <v>100</v>
      </c>
      <c r="CR230" s="79">
        <f t="shared" si="222"/>
        <v>3</v>
      </c>
      <c r="CS230" s="92">
        <f>_xlfn.XLOOKUP(C230, '[1]1-1. 관계사체무보증금액 (환율 등)'!$3:$3, '[1]1-1. 관계사체무보증금액 (환율 등)'!$33:$33)</f>
        <v>15189873.417721517</v>
      </c>
      <c r="CT230" s="77">
        <f t="shared" si="209"/>
        <v>2.9693951137161165</v>
      </c>
      <c r="CU230" s="78">
        <f t="shared" si="210"/>
        <v>100</v>
      </c>
      <c r="CV230" s="79">
        <f t="shared" si="223"/>
        <v>2</v>
      </c>
      <c r="CW230" s="112">
        <f t="shared" si="211"/>
        <v>17.736387273232655</v>
      </c>
    </row>
    <row r="231" spans="1:101" x14ac:dyDescent="0.35">
      <c r="A231" s="7" t="s">
        <v>1322</v>
      </c>
      <c r="B231" s="8" t="s">
        <v>1323</v>
      </c>
      <c r="C231" s="21" t="s">
        <v>1324</v>
      </c>
      <c r="D231" s="10" t="s">
        <v>75</v>
      </c>
      <c r="E231" s="11" t="s">
        <v>76</v>
      </c>
      <c r="F231" s="11" t="s">
        <v>1325</v>
      </c>
      <c r="G231" s="12">
        <v>38324</v>
      </c>
      <c r="H231" s="11" t="s">
        <v>24</v>
      </c>
      <c r="I231" s="11" t="s">
        <v>1326</v>
      </c>
      <c r="J231" s="11" t="s">
        <v>1327</v>
      </c>
      <c r="K231" s="11" t="s">
        <v>27</v>
      </c>
      <c r="L231" s="23">
        <v>1081099768</v>
      </c>
      <c r="M231" s="14">
        <v>439582782</v>
      </c>
      <c r="N231" s="14">
        <v>641516987</v>
      </c>
      <c r="O231" s="14">
        <v>792569992</v>
      </c>
      <c r="P231" s="14">
        <v>95951025</v>
      </c>
      <c r="Q231" s="14">
        <v>117596454</v>
      </c>
      <c r="R231" s="14">
        <v>117383163</v>
      </c>
      <c r="S231" s="15">
        <v>6767600</v>
      </c>
      <c r="T231" s="15">
        <v>128671</v>
      </c>
      <c r="U231" s="15">
        <f>1695734+631920+223449</f>
        <v>2551103</v>
      </c>
      <c r="V231" s="15">
        <f>69173+244310+38063+42250+79553+47275</f>
        <v>520624</v>
      </c>
      <c r="W231" s="15">
        <f>761+2085</f>
        <v>2846</v>
      </c>
      <c r="X231" s="15">
        <v>0</v>
      </c>
      <c r="Z231" s="15">
        <v>0</v>
      </c>
      <c r="AA231" s="15">
        <v>0</v>
      </c>
      <c r="AB231" s="74">
        <f t="shared" si="171"/>
        <v>3074573</v>
      </c>
      <c r="AC231" s="75">
        <f t="shared" si="172"/>
        <v>45.430773095336605</v>
      </c>
      <c r="AD231" s="75">
        <f t="shared" si="173"/>
        <v>60.876778111044359</v>
      </c>
      <c r="AE231" s="76">
        <f t="shared" si="212"/>
        <v>1.8263033433313307</v>
      </c>
      <c r="AF231" s="77">
        <f t="shared" si="174"/>
        <v>46.268411667002312</v>
      </c>
      <c r="AG231" s="77">
        <f t="shared" si="175"/>
        <v>46.31128002724536</v>
      </c>
      <c r="AH231" s="77">
        <f t="shared" si="176"/>
        <v>4.2868360243048187E-2</v>
      </c>
      <c r="AI231" s="78">
        <f t="shared" si="177"/>
        <v>100</v>
      </c>
      <c r="AJ231" s="79">
        <f t="shared" si="213"/>
        <v>4</v>
      </c>
      <c r="AK231" s="113">
        <v>5</v>
      </c>
      <c r="AL231" s="113">
        <v>8</v>
      </c>
      <c r="AM231" s="113">
        <v>3</v>
      </c>
      <c r="AN231" s="81">
        <f t="shared" si="178"/>
        <v>13</v>
      </c>
      <c r="AO231" s="82">
        <f t="shared" si="179"/>
        <v>23.076923076923077</v>
      </c>
      <c r="AP231" s="83">
        <f t="shared" si="180"/>
        <v>60</v>
      </c>
      <c r="AQ231" s="84">
        <f t="shared" si="214"/>
        <v>1.2</v>
      </c>
      <c r="AR231" s="118">
        <v>1</v>
      </c>
      <c r="AS231" s="86">
        <f t="shared" si="181"/>
        <v>0.25</v>
      </c>
      <c r="AT231" s="87">
        <f t="shared" si="182"/>
        <v>1.25</v>
      </c>
      <c r="AU231" s="87">
        <f t="shared" si="183"/>
        <v>1</v>
      </c>
      <c r="AV231" s="88">
        <f t="shared" si="184"/>
        <v>0</v>
      </c>
      <c r="AW231" s="78">
        <f t="shared" si="185"/>
        <v>40</v>
      </c>
      <c r="AX231" s="89">
        <f t="shared" si="215"/>
        <v>0.4</v>
      </c>
      <c r="AY231" s="114">
        <v>16</v>
      </c>
      <c r="AZ231" s="114">
        <v>16</v>
      </c>
      <c r="BA231" s="91">
        <f t="shared" si="186"/>
        <v>16</v>
      </c>
      <c r="BB231" s="77">
        <f t="shared" si="187"/>
        <v>100</v>
      </c>
      <c r="BC231" s="78">
        <f t="shared" si="188"/>
        <v>100</v>
      </c>
      <c r="BD231" s="79">
        <f t="shared" si="216"/>
        <v>1</v>
      </c>
      <c r="BE231" s="92">
        <f>6205362+8278496</f>
        <v>14483858</v>
      </c>
      <c r="BF231" s="92">
        <v>4730072</v>
      </c>
      <c r="BG231" s="114">
        <v>481627</v>
      </c>
      <c r="BH231" s="94">
        <f t="shared" si="189"/>
        <v>19213930</v>
      </c>
      <c r="BI231" s="77">
        <f t="shared" si="190"/>
        <v>2.5066553276711216</v>
      </c>
      <c r="BJ231" s="95" t="str">
        <f t="shared" si="191"/>
        <v>금속/비금속/화학업</v>
      </c>
      <c r="BK231" s="96">
        <f t="shared" si="192"/>
        <v>3.9534118626990469</v>
      </c>
      <c r="BL231" s="97">
        <f t="shared" si="193"/>
        <v>-1.4467565350279252</v>
      </c>
      <c r="BM231" s="98">
        <f t="shared" si="194"/>
        <v>80</v>
      </c>
      <c r="BN231" s="99">
        <f t="shared" si="195"/>
        <v>1.6</v>
      </c>
      <c r="BO231" s="114">
        <v>1547669</v>
      </c>
      <c r="BP231" s="101">
        <f t="shared" si="196"/>
        <v>0.19527221767437292</v>
      </c>
      <c r="BQ231" s="78">
        <f t="shared" si="197"/>
        <v>55</v>
      </c>
      <c r="BR231" s="79">
        <f t="shared" si="217"/>
        <v>1.1000000000000001</v>
      </c>
      <c r="BS231" s="102">
        <v>32238473.291000001</v>
      </c>
      <c r="BT231" s="102">
        <v>345909.09700000001</v>
      </c>
      <c r="BU231" s="103">
        <f t="shared" si="198"/>
        <v>31892564.194000002</v>
      </c>
      <c r="BV231" s="77">
        <f t="shared" si="199"/>
        <v>4.0239429344935385</v>
      </c>
      <c r="BW231" s="96">
        <f t="shared" si="200"/>
        <v>5.1474158565187738</v>
      </c>
      <c r="BX231" s="96">
        <f t="shared" si="201"/>
        <v>1.2621914065239204</v>
      </c>
      <c r="BY231" s="96">
        <f t="shared" si="202"/>
        <v>6.6930498535228535</v>
      </c>
      <c r="BZ231" s="96">
        <f t="shared" si="203"/>
        <v>56.665197250599121</v>
      </c>
      <c r="CA231" s="96">
        <f t="shared" si="204"/>
        <v>55</v>
      </c>
      <c r="CB231" s="104">
        <f t="shared" si="205"/>
        <v>1.1000000000000001</v>
      </c>
      <c r="CC231" s="105">
        <f t="shared" si="218"/>
        <v>68.522391598026374</v>
      </c>
      <c r="CD231" s="106">
        <f t="shared" si="219"/>
        <v>74.551862463055386</v>
      </c>
      <c r="CE231" s="107">
        <f t="shared" si="220"/>
        <v>1.1182779369458307</v>
      </c>
      <c r="CF231" s="108" t="s">
        <v>2189</v>
      </c>
      <c r="CG231" s="108" t="s">
        <v>2189</v>
      </c>
      <c r="CH231" s="108" t="s">
        <v>2189</v>
      </c>
      <c r="CI231" s="108" t="s">
        <v>2189</v>
      </c>
      <c r="CJ231" s="109"/>
      <c r="CK231" s="116" t="s">
        <v>2199</v>
      </c>
      <c r="CL231" s="116" t="s">
        <v>2193</v>
      </c>
      <c r="CM231" s="111">
        <f t="shared" si="206"/>
        <v>25</v>
      </c>
      <c r="CN231" s="107">
        <f t="shared" si="221"/>
        <v>0.375</v>
      </c>
      <c r="CO231" s="114">
        <v>42000000</v>
      </c>
      <c r="CP231" s="88">
        <f t="shared" si="207"/>
        <v>6.5469817403291923</v>
      </c>
      <c r="CQ231" s="78">
        <f t="shared" si="208"/>
        <v>80</v>
      </c>
      <c r="CR231" s="79">
        <f t="shared" si="222"/>
        <v>2.4</v>
      </c>
      <c r="CS231" s="92">
        <f>_xlfn.XLOOKUP(C231, '[1]1-1. 관계사체무보증금액 (환율 등)'!$3:$3, '[1]1-1. 관계사체무보증금액 (환율 등)'!$33:$33)</f>
        <v>19636363.63636364</v>
      </c>
      <c r="CT231" s="77">
        <f t="shared" si="209"/>
        <v>3.0609265279461164</v>
      </c>
      <c r="CU231" s="78">
        <f t="shared" si="210"/>
        <v>80</v>
      </c>
      <c r="CV231" s="79">
        <f t="shared" si="223"/>
        <v>1.6</v>
      </c>
      <c r="CW231" s="112">
        <f t="shared" si="211"/>
        <v>17.719581280277161</v>
      </c>
    </row>
    <row r="232" spans="1:101" x14ac:dyDescent="0.35">
      <c r="A232" s="7" t="s">
        <v>668</v>
      </c>
      <c r="B232" s="8" t="s">
        <v>669</v>
      </c>
      <c r="C232" s="21" t="s">
        <v>670</v>
      </c>
      <c r="D232" s="10" t="s">
        <v>21</v>
      </c>
      <c r="E232" s="11" t="s">
        <v>449</v>
      </c>
      <c r="F232" s="11" t="s">
        <v>671</v>
      </c>
      <c r="G232" s="12">
        <v>42566</v>
      </c>
      <c r="H232" s="11" t="s">
        <v>24</v>
      </c>
      <c r="I232" s="11" t="s">
        <v>672</v>
      </c>
      <c r="J232" s="11" t="s">
        <v>673</v>
      </c>
      <c r="K232" s="11" t="s">
        <v>27</v>
      </c>
      <c r="L232" s="23">
        <v>1605210800</v>
      </c>
      <c r="M232" s="14">
        <v>74995068</v>
      </c>
      <c r="N232" s="14">
        <v>1530215732</v>
      </c>
      <c r="O232" s="14">
        <v>516898546</v>
      </c>
      <c r="P232" s="14">
        <v>34700109</v>
      </c>
      <c r="Q232" s="14">
        <v>126366266</v>
      </c>
      <c r="R232" s="14">
        <v>167855852</v>
      </c>
      <c r="S232" s="15">
        <v>99700000</v>
      </c>
      <c r="T232" s="15">
        <v>1027477</v>
      </c>
      <c r="U232" s="15">
        <v>16888000</v>
      </c>
      <c r="V232" s="15">
        <f>18565437+12550000+3600000+2005935+3750000+3600000+2564160+2271000+87000</f>
        <v>48993532</v>
      </c>
      <c r="W232" s="15">
        <f>50000+300000+7915+8138+10150*2+8660+11495+15000+27408+10000+10635+12758+5126+44630+15839+45100+24708+4000*2+9069+21500</f>
        <v>656281</v>
      </c>
      <c r="X232" s="15">
        <v>0</v>
      </c>
      <c r="Z232" s="15">
        <v>0</v>
      </c>
      <c r="AA232" s="15">
        <v>0</v>
      </c>
      <c r="AB232" s="74">
        <f t="shared" si="171"/>
        <v>66537813</v>
      </c>
      <c r="AC232" s="75">
        <f t="shared" si="172"/>
        <v>66.738027081243729</v>
      </c>
      <c r="AD232" s="75">
        <f t="shared" si="173"/>
        <v>42.487318399386886</v>
      </c>
      <c r="AE232" s="76">
        <f t="shared" si="212"/>
        <v>1.2746195519816066</v>
      </c>
      <c r="AF232" s="77">
        <f t="shared" si="174"/>
        <v>66.767859984688954</v>
      </c>
      <c r="AG232" s="77">
        <f t="shared" si="175"/>
        <v>67.432970169415853</v>
      </c>
      <c r="AH232" s="77">
        <f t="shared" si="176"/>
        <v>0.66511018472689898</v>
      </c>
      <c r="AI232" s="78">
        <f t="shared" si="177"/>
        <v>100</v>
      </c>
      <c r="AJ232" s="79">
        <f t="shared" si="213"/>
        <v>4</v>
      </c>
      <c r="AK232" s="113">
        <v>5</v>
      </c>
      <c r="AL232" s="113">
        <v>9</v>
      </c>
      <c r="AM232" s="113">
        <v>1</v>
      </c>
      <c r="AN232" s="81">
        <f t="shared" si="178"/>
        <v>14</v>
      </c>
      <c r="AO232" s="82">
        <f t="shared" si="179"/>
        <v>7.1428571428571423</v>
      </c>
      <c r="AP232" s="83">
        <f t="shared" si="180"/>
        <v>100</v>
      </c>
      <c r="AQ232" s="84">
        <f t="shared" si="214"/>
        <v>2</v>
      </c>
      <c r="AR232" s="118">
        <v>1</v>
      </c>
      <c r="AS232" s="86">
        <f t="shared" si="181"/>
        <v>0.25</v>
      </c>
      <c r="AT232" s="87">
        <f t="shared" si="182"/>
        <v>1.25</v>
      </c>
      <c r="AU232" s="87">
        <f t="shared" si="183"/>
        <v>1</v>
      </c>
      <c r="AV232" s="88">
        <f t="shared" si="184"/>
        <v>0</v>
      </c>
      <c r="AW232" s="78">
        <f t="shared" si="185"/>
        <v>40</v>
      </c>
      <c r="AX232" s="89">
        <f t="shared" si="215"/>
        <v>0.4</v>
      </c>
      <c r="AY232" s="114">
        <v>9</v>
      </c>
      <c r="AZ232" s="114">
        <v>8</v>
      </c>
      <c r="BA232" s="91">
        <f t="shared" si="186"/>
        <v>9</v>
      </c>
      <c r="BB232" s="77">
        <f t="shared" si="187"/>
        <v>88.888888888888886</v>
      </c>
      <c r="BC232" s="78">
        <f t="shared" si="188"/>
        <v>75</v>
      </c>
      <c r="BD232" s="79">
        <f t="shared" si="216"/>
        <v>0.75</v>
      </c>
      <c r="BE232" s="92">
        <f>9598218+2804697</f>
        <v>12402915</v>
      </c>
      <c r="BF232" s="92">
        <v>773963</v>
      </c>
      <c r="BG232" s="114">
        <v>240697</v>
      </c>
      <c r="BH232" s="94">
        <f t="shared" si="189"/>
        <v>13176878</v>
      </c>
      <c r="BI232" s="77">
        <f t="shared" si="190"/>
        <v>1.8266618238402148</v>
      </c>
      <c r="BJ232" s="95" t="str">
        <f t="shared" si="191"/>
        <v>비제조/서비스업</v>
      </c>
      <c r="BK232" s="96">
        <f t="shared" si="192"/>
        <v>1.7464434573900922</v>
      </c>
      <c r="BL232" s="97">
        <f t="shared" si="193"/>
        <v>8.0218366450122591E-2</v>
      </c>
      <c r="BM232" s="98">
        <f t="shared" si="194"/>
        <v>60</v>
      </c>
      <c r="BN232" s="99">
        <f t="shared" si="195"/>
        <v>1.2</v>
      </c>
      <c r="BO232" s="114">
        <v>587849</v>
      </c>
      <c r="BP232" s="101">
        <f t="shared" si="196"/>
        <v>0.11372618564107938</v>
      </c>
      <c r="BQ232" s="78">
        <f t="shared" si="197"/>
        <v>55</v>
      </c>
      <c r="BR232" s="79">
        <f t="shared" si="217"/>
        <v>1.1000000000000001</v>
      </c>
      <c r="BS232" s="102">
        <v>2200384.7749999999</v>
      </c>
      <c r="BT232" s="102">
        <v>74414.69</v>
      </c>
      <c r="BU232" s="103">
        <f t="shared" si="198"/>
        <v>2125970.085</v>
      </c>
      <c r="BV232" s="77">
        <f t="shared" si="199"/>
        <v>0.41129349297879431</v>
      </c>
      <c r="BW232" s="96">
        <f t="shared" si="200"/>
        <v>2.8482825397737606</v>
      </c>
      <c r="BX232" s="96">
        <f t="shared" si="201"/>
        <v>5.9389156141986383</v>
      </c>
      <c r="BY232" s="96">
        <f t="shared" si="202"/>
        <v>5.5697595856656807</v>
      </c>
      <c r="BZ232" s="96">
        <f t="shared" si="203"/>
        <v>66.913988125984474</v>
      </c>
      <c r="CA232" s="96">
        <f t="shared" si="204"/>
        <v>40</v>
      </c>
      <c r="CB232" s="104">
        <f t="shared" si="205"/>
        <v>0.8</v>
      </c>
      <c r="CC232" s="105">
        <f t="shared" si="218"/>
        <v>4.9009473913838963</v>
      </c>
      <c r="CD232" s="106">
        <f t="shared" si="219"/>
        <v>98.529793696714606</v>
      </c>
      <c r="CE232" s="107">
        <f t="shared" si="220"/>
        <v>1.4779469054507191</v>
      </c>
      <c r="CF232" s="108" t="s">
        <v>2189</v>
      </c>
      <c r="CG232" s="108" t="s">
        <v>2189</v>
      </c>
      <c r="CH232" s="108" t="s">
        <v>2189</v>
      </c>
      <c r="CI232" s="108" t="s">
        <v>2189</v>
      </c>
      <c r="CJ232" s="109"/>
      <c r="CK232" s="116" t="s">
        <v>2214</v>
      </c>
      <c r="CL232" s="116" t="s">
        <v>2198</v>
      </c>
      <c r="CM232" s="111">
        <f t="shared" si="206"/>
        <v>100</v>
      </c>
      <c r="CN232" s="107">
        <f t="shared" si="221"/>
        <v>1.5</v>
      </c>
      <c r="CO232" s="114">
        <v>854787956</v>
      </c>
      <c r="CP232" s="88">
        <f t="shared" si="207"/>
        <v>55.860617436130241</v>
      </c>
      <c r="CQ232" s="78">
        <f t="shared" si="208"/>
        <v>40</v>
      </c>
      <c r="CR232" s="79">
        <f t="shared" si="222"/>
        <v>1.2</v>
      </c>
      <c r="CS232" s="92">
        <f>_xlfn.XLOOKUP(C232, '[1]1-1. 관계사체무보증금액 (환율 등)'!$3:$3, '[1]1-1. 관계사체무보증금액 (환율 등)'!$33:$33)</f>
        <v>0</v>
      </c>
      <c r="CT232" s="77">
        <f t="shared" si="209"/>
        <v>0</v>
      </c>
      <c r="CU232" s="78">
        <f t="shared" si="210"/>
        <v>100</v>
      </c>
      <c r="CV232" s="79">
        <f t="shared" si="223"/>
        <v>2</v>
      </c>
      <c r="CW232" s="112">
        <f t="shared" si="211"/>
        <v>17.702566457432326</v>
      </c>
    </row>
    <row r="233" spans="1:101" x14ac:dyDescent="0.35">
      <c r="A233" s="7" t="s">
        <v>1065</v>
      </c>
      <c r="B233" s="8" t="s">
        <v>1066</v>
      </c>
      <c r="C233" s="21" t="s">
        <v>1067</v>
      </c>
      <c r="D233" s="10" t="s">
        <v>141</v>
      </c>
      <c r="E233" s="11" t="s">
        <v>98</v>
      </c>
      <c r="F233" s="11" t="s">
        <v>1068</v>
      </c>
      <c r="G233" s="12">
        <v>32109</v>
      </c>
      <c r="H233" s="11" t="s">
        <v>24</v>
      </c>
      <c r="I233" s="11" t="s">
        <v>1069</v>
      </c>
      <c r="J233" s="11" t="s">
        <v>1070</v>
      </c>
      <c r="K233" s="11" t="s">
        <v>27</v>
      </c>
      <c r="L233" s="23">
        <v>1482320425</v>
      </c>
      <c r="M233" s="14">
        <v>264349343</v>
      </c>
      <c r="N233" s="14">
        <v>1217971082</v>
      </c>
      <c r="O233" s="14">
        <v>1278383546</v>
      </c>
      <c r="P233" s="14">
        <v>73366427</v>
      </c>
      <c r="Q233" s="14">
        <v>70696990</v>
      </c>
      <c r="R233" s="14">
        <v>48458346</v>
      </c>
      <c r="S233" s="15">
        <v>14000000</v>
      </c>
      <c r="T233" s="15">
        <v>721769</v>
      </c>
      <c r="U233" s="15">
        <f>133879+5312352</f>
        <v>5446231</v>
      </c>
      <c r="V233" s="15">
        <f>123550+123549</f>
        <v>247099</v>
      </c>
      <c r="W233" s="15">
        <f>1910+2010+610+710+2974+210+1010+110+1210+710+710+360+210+800+150+2974+1110</f>
        <v>17778</v>
      </c>
      <c r="X233" s="15">
        <v>0</v>
      </c>
      <c r="Z233" s="15">
        <v>115900</v>
      </c>
      <c r="AA233" s="15">
        <v>115900</v>
      </c>
      <c r="AB233" s="74">
        <f t="shared" si="171"/>
        <v>5827008</v>
      </c>
      <c r="AC233" s="75">
        <f t="shared" si="172"/>
        <v>41.621485714285718</v>
      </c>
      <c r="AD233" s="75">
        <f t="shared" si="173"/>
        <v>64.164425447969748</v>
      </c>
      <c r="AE233" s="76">
        <f t="shared" si="212"/>
        <v>1.9249327634390925</v>
      </c>
      <c r="AF233" s="77">
        <f t="shared" si="174"/>
        <v>43.254724410136774</v>
      </c>
      <c r="AG233" s="77">
        <f t="shared" si="175"/>
        <v>43.389791671399237</v>
      </c>
      <c r="AH233" s="77">
        <f t="shared" si="176"/>
        <v>0.13506726126246349</v>
      </c>
      <c r="AI233" s="78">
        <f t="shared" si="177"/>
        <v>100</v>
      </c>
      <c r="AJ233" s="79">
        <f t="shared" si="213"/>
        <v>4</v>
      </c>
      <c r="AK233" s="113">
        <v>8</v>
      </c>
      <c r="AL233" s="113">
        <v>12</v>
      </c>
      <c r="AM233" s="113">
        <v>1</v>
      </c>
      <c r="AN233" s="81">
        <f t="shared" si="178"/>
        <v>20</v>
      </c>
      <c r="AO233" s="82">
        <f t="shared" si="179"/>
        <v>5</v>
      </c>
      <c r="AP233" s="83">
        <f t="shared" si="180"/>
        <v>100</v>
      </c>
      <c r="AQ233" s="84">
        <f t="shared" si="214"/>
        <v>2</v>
      </c>
      <c r="AR233" s="118">
        <v>3</v>
      </c>
      <c r="AS233" s="86">
        <f t="shared" si="181"/>
        <v>0.25</v>
      </c>
      <c r="AT233" s="87">
        <f t="shared" si="182"/>
        <v>2</v>
      </c>
      <c r="AU233" s="87">
        <f t="shared" si="183"/>
        <v>2</v>
      </c>
      <c r="AV233" s="88">
        <f t="shared" si="184"/>
        <v>12.5</v>
      </c>
      <c r="AW233" s="78">
        <f t="shared" si="185"/>
        <v>60</v>
      </c>
      <c r="AX233" s="89">
        <f t="shared" si="215"/>
        <v>0.6</v>
      </c>
      <c r="AY233" s="114">
        <v>11</v>
      </c>
      <c r="AZ233" s="114">
        <v>33</v>
      </c>
      <c r="BA233" s="91">
        <f t="shared" si="186"/>
        <v>33</v>
      </c>
      <c r="BB233" s="77">
        <f t="shared" si="187"/>
        <v>100</v>
      </c>
      <c r="BC233" s="78">
        <f t="shared" si="188"/>
        <v>100</v>
      </c>
      <c r="BD233" s="79">
        <f t="shared" si="216"/>
        <v>1</v>
      </c>
      <c r="BE233" s="92">
        <v>19476003</v>
      </c>
      <c r="BF233" s="92">
        <v>1462286</v>
      </c>
      <c r="BG233" s="114">
        <v>1581458</v>
      </c>
      <c r="BH233" s="94">
        <f t="shared" si="189"/>
        <v>20938289</v>
      </c>
      <c r="BI233" s="77">
        <f t="shared" si="190"/>
        <v>7.5529476166844383</v>
      </c>
      <c r="BJ233" s="95" t="str">
        <f t="shared" si="191"/>
        <v>전기전자/기계업</v>
      </c>
      <c r="BK233" s="96">
        <f t="shared" si="192"/>
        <v>2.4096449716116446</v>
      </c>
      <c r="BL233" s="97">
        <f t="shared" si="193"/>
        <v>5.1433026450727937</v>
      </c>
      <c r="BM233" s="98">
        <f t="shared" si="194"/>
        <v>40</v>
      </c>
      <c r="BN233" s="99">
        <f t="shared" si="195"/>
        <v>0.8</v>
      </c>
      <c r="BO233" s="114">
        <v>6851493</v>
      </c>
      <c r="BP233" s="101">
        <f t="shared" si="196"/>
        <v>0.53594971723767793</v>
      </c>
      <c r="BQ233" s="78">
        <f t="shared" si="197"/>
        <v>70</v>
      </c>
      <c r="BR233" s="79">
        <f t="shared" si="217"/>
        <v>1.4000000000000001</v>
      </c>
      <c r="BS233" s="102">
        <v>38776663</v>
      </c>
      <c r="BT233" s="102">
        <v>534130</v>
      </c>
      <c r="BU233" s="103">
        <f t="shared" si="198"/>
        <v>38242533</v>
      </c>
      <c r="BV233" s="77">
        <f t="shared" si="199"/>
        <v>2.991475689722308</v>
      </c>
      <c r="BW233" s="96">
        <f t="shared" si="200"/>
        <v>5.2309968128308295</v>
      </c>
      <c r="BX233" s="96">
        <f t="shared" si="201"/>
        <v>5.0154548608492533</v>
      </c>
      <c r="BY233" s="96">
        <f t="shared" si="202"/>
        <v>7.0695458012309631</v>
      </c>
      <c r="BZ233" s="96">
        <f t="shared" si="203"/>
        <v>62.429636131156961</v>
      </c>
      <c r="CA233" s="96">
        <f t="shared" si="204"/>
        <v>40</v>
      </c>
      <c r="CB233" s="104">
        <f t="shared" si="205"/>
        <v>0.8</v>
      </c>
      <c r="CC233" s="105">
        <f t="shared" si="218"/>
        <v>21.704073841056925</v>
      </c>
      <c r="CD233" s="106">
        <f t="shared" si="219"/>
        <v>92.196957095079043</v>
      </c>
      <c r="CE233" s="107">
        <f t="shared" si="220"/>
        <v>1.3829543564261857</v>
      </c>
      <c r="CF233" s="108" t="s">
        <v>2189</v>
      </c>
      <c r="CG233" s="108" t="s">
        <v>2189</v>
      </c>
      <c r="CH233" s="108" t="s">
        <v>2189</v>
      </c>
      <c r="CI233" s="108" t="s">
        <v>2189</v>
      </c>
      <c r="CJ233" s="109"/>
      <c r="CK233" s="116" t="s">
        <v>2192</v>
      </c>
      <c r="CL233" s="116" t="s">
        <v>2193</v>
      </c>
      <c r="CM233" s="111">
        <f t="shared" si="206"/>
        <v>25</v>
      </c>
      <c r="CN233" s="107">
        <f t="shared" si="221"/>
        <v>0.375</v>
      </c>
      <c r="CO233" s="114">
        <v>186991000</v>
      </c>
      <c r="CP233" s="88">
        <f t="shared" si="207"/>
        <v>15.352663356583699</v>
      </c>
      <c r="CQ233" s="78">
        <f t="shared" si="208"/>
        <v>60</v>
      </c>
      <c r="CR233" s="79">
        <f t="shared" si="222"/>
        <v>1.7999999999999998</v>
      </c>
      <c r="CS233" s="92">
        <f>_xlfn.XLOOKUP(C233, '[1]1-1. 관계사체무보증금액 (환율 등)'!$3:$3, '[1]1-1. 관계사체무보증금액 (환율 등)'!$33:$33)</f>
        <v>96446450</v>
      </c>
      <c r="CT233" s="77">
        <f t="shared" si="209"/>
        <v>7.9186157557721053</v>
      </c>
      <c r="CU233" s="78">
        <f t="shared" si="210"/>
        <v>80</v>
      </c>
      <c r="CV233" s="79">
        <f t="shared" si="223"/>
        <v>1.6</v>
      </c>
      <c r="CW233" s="112">
        <f t="shared" si="211"/>
        <v>17.682887119865281</v>
      </c>
    </row>
    <row r="234" spans="1:101" x14ac:dyDescent="0.35">
      <c r="A234" s="7" t="s">
        <v>1847</v>
      </c>
      <c r="B234" s="8" t="s">
        <v>1848</v>
      </c>
      <c r="C234" s="21" t="s">
        <v>1849</v>
      </c>
      <c r="D234" s="22" t="s">
        <v>21</v>
      </c>
      <c r="E234" s="11" t="s">
        <v>83</v>
      </c>
      <c r="F234" s="11" t="s">
        <v>1850</v>
      </c>
      <c r="G234" s="12">
        <v>27948</v>
      </c>
      <c r="H234" s="11" t="s">
        <v>24</v>
      </c>
      <c r="I234" s="11" t="s">
        <v>1851</v>
      </c>
      <c r="J234" s="11" t="s">
        <v>1852</v>
      </c>
      <c r="K234" s="11" t="s">
        <v>50</v>
      </c>
      <c r="L234" s="23">
        <v>1997213424</v>
      </c>
      <c r="M234" s="14">
        <v>1274120644</v>
      </c>
      <c r="N234" s="14">
        <v>723092780</v>
      </c>
      <c r="O234" s="14">
        <v>1190595681</v>
      </c>
      <c r="P234" s="14">
        <v>36051365</v>
      </c>
      <c r="Q234" s="14">
        <v>66290683</v>
      </c>
      <c r="R234" s="14">
        <v>50369228</v>
      </c>
      <c r="S234" s="15">
        <v>11570702</v>
      </c>
      <c r="T234" s="15">
        <v>0</v>
      </c>
      <c r="U234" s="15">
        <v>4253640</v>
      </c>
      <c r="V234" s="15">
        <v>0</v>
      </c>
      <c r="W234" s="15">
        <f>5000+767+11931+767</f>
        <v>18465</v>
      </c>
      <c r="X234" s="15">
        <v>0</v>
      </c>
      <c r="Z234" s="15">
        <v>0</v>
      </c>
      <c r="AA234" s="15">
        <v>0</v>
      </c>
      <c r="AB234" s="74">
        <f t="shared" si="171"/>
        <v>4272105</v>
      </c>
      <c r="AC234" s="75">
        <f t="shared" si="172"/>
        <v>36.921744246805424</v>
      </c>
      <c r="AD234" s="75">
        <f t="shared" si="173"/>
        <v>68.220588969960801</v>
      </c>
      <c r="AE234" s="76">
        <f t="shared" si="212"/>
        <v>2.0466176690988238</v>
      </c>
      <c r="AF234" s="77">
        <f t="shared" si="174"/>
        <v>36.762160152426361</v>
      </c>
      <c r="AG234" s="77">
        <f t="shared" si="175"/>
        <v>36.921744246805424</v>
      </c>
      <c r="AH234" s="77">
        <f t="shared" si="176"/>
        <v>0.1595840943790634</v>
      </c>
      <c r="AI234" s="78">
        <f t="shared" si="177"/>
        <v>100</v>
      </c>
      <c r="AJ234" s="79">
        <f t="shared" si="213"/>
        <v>4</v>
      </c>
      <c r="AK234" s="113">
        <v>6</v>
      </c>
      <c r="AL234" s="113">
        <v>21</v>
      </c>
      <c r="AM234" s="113">
        <v>1</v>
      </c>
      <c r="AN234" s="81">
        <f t="shared" si="178"/>
        <v>27</v>
      </c>
      <c r="AO234" s="82">
        <f t="shared" si="179"/>
        <v>3.7037037037037033</v>
      </c>
      <c r="AP234" s="83">
        <f t="shared" si="180"/>
        <v>100</v>
      </c>
      <c r="AQ234" s="84">
        <f t="shared" si="214"/>
        <v>2</v>
      </c>
      <c r="AR234" s="118">
        <v>2</v>
      </c>
      <c r="AS234" s="86">
        <f t="shared" si="181"/>
        <v>0.25</v>
      </c>
      <c r="AT234" s="87">
        <f t="shared" si="182"/>
        <v>1.5</v>
      </c>
      <c r="AU234" s="87">
        <f t="shared" si="183"/>
        <v>1</v>
      </c>
      <c r="AV234" s="88">
        <f t="shared" si="184"/>
        <v>16.666666666666664</v>
      </c>
      <c r="AW234" s="78">
        <f t="shared" si="185"/>
        <v>60</v>
      </c>
      <c r="AX234" s="89">
        <f t="shared" si="215"/>
        <v>0.6</v>
      </c>
      <c r="AY234" s="114">
        <v>30</v>
      </c>
      <c r="AZ234" s="114">
        <v>60</v>
      </c>
      <c r="BA234" s="91">
        <f t="shared" si="186"/>
        <v>60</v>
      </c>
      <c r="BB234" s="77">
        <f t="shared" si="187"/>
        <v>100</v>
      </c>
      <c r="BC234" s="78">
        <f t="shared" si="188"/>
        <v>100</v>
      </c>
      <c r="BD234" s="79">
        <f t="shared" si="216"/>
        <v>1</v>
      </c>
      <c r="BE234" s="92">
        <f>(18808+2280)*1000</f>
        <v>21088000</v>
      </c>
      <c r="BF234" s="92">
        <v>2312000</v>
      </c>
      <c r="BG234" s="114">
        <v>487000</v>
      </c>
      <c r="BH234" s="94">
        <f t="shared" si="189"/>
        <v>23400000</v>
      </c>
      <c r="BI234" s="77">
        <f t="shared" si="190"/>
        <v>2.0811965811965814</v>
      </c>
      <c r="BJ234" s="95" t="str">
        <f t="shared" si="191"/>
        <v>비제조/서비스업</v>
      </c>
      <c r="BK234" s="96">
        <f t="shared" si="192"/>
        <v>1.7464434573900922</v>
      </c>
      <c r="BL234" s="97">
        <f t="shared" si="193"/>
        <v>0.33475312380648914</v>
      </c>
      <c r="BM234" s="98">
        <f t="shared" si="194"/>
        <v>60</v>
      </c>
      <c r="BN234" s="99">
        <f t="shared" si="195"/>
        <v>1.2</v>
      </c>
      <c r="BO234" s="114">
        <v>0</v>
      </c>
      <c r="BP234" s="101">
        <f t="shared" si="196"/>
        <v>0</v>
      </c>
      <c r="BQ234" s="78">
        <f t="shared" si="197"/>
        <v>25</v>
      </c>
      <c r="BR234" s="79">
        <f t="shared" si="217"/>
        <v>0.5</v>
      </c>
      <c r="BS234" s="102">
        <v>486482.43199999997</v>
      </c>
      <c r="BT234" s="102">
        <v>8986.9320000000007</v>
      </c>
      <c r="BU234" s="103">
        <f t="shared" si="198"/>
        <v>477495.5</v>
      </c>
      <c r="BV234" s="77">
        <f t="shared" si="199"/>
        <v>4.0105596519461925E-2</v>
      </c>
      <c r="BW234" s="96">
        <f t="shared" si="200"/>
        <v>2.8482825397737606</v>
      </c>
      <c r="BX234" s="96">
        <f t="shared" si="201"/>
        <v>7.8858577446250564</v>
      </c>
      <c r="BY234" s="96">
        <f t="shared" si="202"/>
        <v>5.5697595856656807</v>
      </c>
      <c r="BZ234" s="96">
        <f t="shared" si="203"/>
        <v>69.293353446944167</v>
      </c>
      <c r="CA234" s="96">
        <f t="shared" si="204"/>
        <v>40</v>
      </c>
      <c r="CB234" s="104">
        <f t="shared" si="205"/>
        <v>0.8</v>
      </c>
      <c r="CC234" s="105">
        <f t="shared" si="218"/>
        <v>176.2043100471837</v>
      </c>
      <c r="CD234" s="106">
        <f t="shared" si="219"/>
        <v>33.96822485658906</v>
      </c>
      <c r="CE234" s="107">
        <f t="shared" si="220"/>
        <v>0.50952337284883586</v>
      </c>
      <c r="CF234" s="108" t="s">
        <v>2189</v>
      </c>
      <c r="CG234" s="108" t="s">
        <v>2189</v>
      </c>
      <c r="CH234" s="108" t="s">
        <v>2189</v>
      </c>
      <c r="CI234" s="108" t="s">
        <v>2189</v>
      </c>
      <c r="CJ234" s="109"/>
      <c r="CK234" s="116" t="s">
        <v>2210</v>
      </c>
      <c r="CL234" s="116" t="s">
        <v>2209</v>
      </c>
      <c r="CM234" s="111">
        <f t="shared" si="206"/>
        <v>40</v>
      </c>
      <c r="CN234" s="107">
        <f t="shared" si="221"/>
        <v>0.6</v>
      </c>
      <c r="CO234" s="114">
        <v>65178000</v>
      </c>
      <c r="CP234" s="88">
        <f t="shared" si="207"/>
        <v>9.0137810531035871</v>
      </c>
      <c r="CQ234" s="78">
        <f t="shared" si="208"/>
        <v>80</v>
      </c>
      <c r="CR234" s="79">
        <f t="shared" si="222"/>
        <v>2.4</v>
      </c>
      <c r="CS234" s="92">
        <f>_xlfn.XLOOKUP(C234, '[1]1-1. 관계사체무보증금액 (환율 등)'!$3:$3, '[1]1-1. 관계사체무보증금액 (환율 등)'!$33:$33)</f>
        <v>0</v>
      </c>
      <c r="CT234" s="77">
        <f t="shared" si="209"/>
        <v>0</v>
      </c>
      <c r="CU234" s="78">
        <f t="shared" si="210"/>
        <v>100</v>
      </c>
      <c r="CV234" s="79">
        <f t="shared" si="223"/>
        <v>2</v>
      </c>
      <c r="CW234" s="112">
        <f t="shared" si="211"/>
        <v>17.656141041947659</v>
      </c>
    </row>
    <row r="235" spans="1:101" x14ac:dyDescent="0.35">
      <c r="A235" s="7" t="s">
        <v>643</v>
      </c>
      <c r="B235" s="8" t="s">
        <v>644</v>
      </c>
      <c r="C235" s="21" t="s">
        <v>645</v>
      </c>
      <c r="D235" s="10" t="s">
        <v>21</v>
      </c>
      <c r="E235" s="11" t="s">
        <v>646</v>
      </c>
      <c r="F235" s="11" t="s">
        <v>647</v>
      </c>
      <c r="G235" s="12">
        <v>40402</v>
      </c>
      <c r="H235" s="11" t="s">
        <v>24</v>
      </c>
      <c r="I235" s="11" t="s">
        <v>648</v>
      </c>
      <c r="J235" s="11" t="s">
        <v>649</v>
      </c>
      <c r="K235" s="11" t="s">
        <v>27</v>
      </c>
      <c r="L235" s="23">
        <v>495800634</v>
      </c>
      <c r="M235" s="14">
        <v>219426512</v>
      </c>
      <c r="N235" s="14">
        <v>276374122</v>
      </c>
      <c r="O235" s="14">
        <v>550919165</v>
      </c>
      <c r="P235" s="14">
        <v>10121946</v>
      </c>
      <c r="Q235" s="14">
        <v>5248704</v>
      </c>
      <c r="R235" s="14">
        <v>3912437</v>
      </c>
      <c r="S235" s="15">
        <v>33720000</v>
      </c>
      <c r="T235" s="15">
        <v>424175</v>
      </c>
      <c r="U235" s="15">
        <v>6574118</v>
      </c>
      <c r="V235" s="15">
        <f>1767730+306134+305198+83660+29040+28840+22000+18940+11980+10000</f>
        <v>2583522</v>
      </c>
      <c r="W235" s="15">
        <f>3555560+2230500+220000+130000+108500+59000+25000+59500+48814+57461</f>
        <v>6494335</v>
      </c>
      <c r="X235" s="15">
        <v>0</v>
      </c>
      <c r="Z235" s="15">
        <f>528090</f>
        <v>528090</v>
      </c>
      <c r="AA235" s="15">
        <v>0</v>
      </c>
      <c r="AB235" s="74">
        <f t="shared" si="171"/>
        <v>16180065</v>
      </c>
      <c r="AC235" s="75">
        <f t="shared" si="172"/>
        <v>47.983585409252669</v>
      </c>
      <c r="AD235" s="75">
        <f t="shared" si="173"/>
        <v>58.673545389022436</v>
      </c>
      <c r="AE235" s="76">
        <f t="shared" si="212"/>
        <v>1.7602063616706731</v>
      </c>
      <c r="AF235" s="77">
        <f t="shared" si="174"/>
        <v>27.503868728286506</v>
      </c>
      <c r="AG235" s="77">
        <f t="shared" si="175"/>
        <v>48.594876384651833</v>
      </c>
      <c r="AH235" s="77">
        <f t="shared" si="176"/>
        <v>21.091007656365328</v>
      </c>
      <c r="AI235" s="78">
        <f t="shared" si="177"/>
        <v>80</v>
      </c>
      <c r="AJ235" s="79">
        <f t="shared" si="213"/>
        <v>3.2</v>
      </c>
      <c r="AK235" s="113">
        <v>8</v>
      </c>
      <c r="AL235" s="113">
        <v>10</v>
      </c>
      <c r="AM235" s="113">
        <v>3</v>
      </c>
      <c r="AN235" s="81">
        <f t="shared" si="178"/>
        <v>18</v>
      </c>
      <c r="AO235" s="82">
        <f t="shared" si="179"/>
        <v>16.666666666666664</v>
      </c>
      <c r="AP235" s="83">
        <f t="shared" si="180"/>
        <v>80</v>
      </c>
      <c r="AQ235" s="84">
        <f t="shared" si="214"/>
        <v>1.6</v>
      </c>
      <c r="AR235" s="118">
        <v>3</v>
      </c>
      <c r="AS235" s="86">
        <f t="shared" si="181"/>
        <v>0.25</v>
      </c>
      <c r="AT235" s="87">
        <f t="shared" si="182"/>
        <v>2</v>
      </c>
      <c r="AU235" s="87">
        <f t="shared" si="183"/>
        <v>2</v>
      </c>
      <c r="AV235" s="88">
        <f t="shared" si="184"/>
        <v>12.5</v>
      </c>
      <c r="AW235" s="78">
        <f t="shared" si="185"/>
        <v>60</v>
      </c>
      <c r="AX235" s="89">
        <f t="shared" si="215"/>
        <v>0.6</v>
      </c>
      <c r="AY235" s="114">
        <v>7</v>
      </c>
      <c r="AZ235" s="114">
        <f>21-7</f>
        <v>14</v>
      </c>
      <c r="BA235" s="91">
        <f t="shared" si="186"/>
        <v>21</v>
      </c>
      <c r="BB235" s="77">
        <f t="shared" si="187"/>
        <v>66.666666666666657</v>
      </c>
      <c r="BC235" s="78">
        <f t="shared" si="188"/>
        <v>25</v>
      </c>
      <c r="BD235" s="79">
        <f t="shared" si="216"/>
        <v>0.25</v>
      </c>
      <c r="BE235" s="92">
        <v>183417546</v>
      </c>
      <c r="BF235" s="92">
        <v>13724230</v>
      </c>
      <c r="BG235" s="114">
        <v>832821</v>
      </c>
      <c r="BH235" s="94">
        <f t="shared" si="189"/>
        <v>197141776</v>
      </c>
      <c r="BI235" s="77">
        <f t="shared" si="190"/>
        <v>0.42244775151056768</v>
      </c>
      <c r="BJ235" s="95" t="str">
        <f t="shared" si="191"/>
        <v>비제조/서비스업</v>
      </c>
      <c r="BK235" s="96">
        <f t="shared" si="192"/>
        <v>1.7464434573900922</v>
      </c>
      <c r="BL235" s="97">
        <f t="shared" si="193"/>
        <v>-1.3239957058795246</v>
      </c>
      <c r="BM235" s="98">
        <f t="shared" si="194"/>
        <v>80</v>
      </c>
      <c r="BN235" s="99">
        <f t="shared" si="195"/>
        <v>1.6</v>
      </c>
      <c r="BO235" s="114">
        <v>17963000</v>
      </c>
      <c r="BP235" s="101">
        <f t="shared" si="196"/>
        <v>3.2605509376316579</v>
      </c>
      <c r="BQ235" s="78">
        <f t="shared" si="197"/>
        <v>85</v>
      </c>
      <c r="BR235" s="79">
        <f t="shared" si="217"/>
        <v>1.7</v>
      </c>
      <c r="BS235" s="102">
        <v>2818600.301</v>
      </c>
      <c r="BT235" s="102">
        <v>0</v>
      </c>
      <c r="BU235" s="103">
        <f t="shared" si="198"/>
        <v>2818600.301</v>
      </c>
      <c r="BV235" s="77">
        <f t="shared" si="199"/>
        <v>0.51161776174550033</v>
      </c>
      <c r="BW235" s="96">
        <f t="shared" si="200"/>
        <v>2.8482825397737606</v>
      </c>
      <c r="BX235" s="96">
        <f t="shared" si="201"/>
        <v>5.4600022848778593</v>
      </c>
      <c r="BY235" s="96">
        <f t="shared" si="202"/>
        <v>5.5697595856656807</v>
      </c>
      <c r="BZ235" s="96">
        <f t="shared" si="203"/>
        <v>66.258450304053326</v>
      </c>
      <c r="CA235" s="96">
        <f t="shared" si="204"/>
        <v>40</v>
      </c>
      <c r="CB235" s="104">
        <f t="shared" si="205"/>
        <v>0.8</v>
      </c>
      <c r="CC235" s="105">
        <f t="shared" si="218"/>
        <v>79.394738701331818</v>
      </c>
      <c r="CD235" s="106">
        <f t="shared" si="219"/>
        <v>70.454244208040777</v>
      </c>
      <c r="CE235" s="107">
        <f t="shared" si="220"/>
        <v>1.0568136631206115</v>
      </c>
      <c r="CF235" s="108" t="s">
        <v>2189</v>
      </c>
      <c r="CG235" s="108" t="s">
        <v>2189</v>
      </c>
      <c r="CH235" s="108" t="s">
        <v>2189</v>
      </c>
      <c r="CI235" s="108" t="s">
        <v>2189</v>
      </c>
      <c r="CJ235" s="109"/>
      <c r="CK235" s="116" t="s">
        <v>2221</v>
      </c>
      <c r="CL235" s="116" t="s">
        <v>2191</v>
      </c>
      <c r="CM235" s="111">
        <f t="shared" si="206"/>
        <v>85</v>
      </c>
      <c r="CN235" s="107">
        <f t="shared" si="221"/>
        <v>1.2749999999999999</v>
      </c>
      <c r="CO235" s="114">
        <f>75936000-17319000-350000-13396000-142000</f>
        <v>44729000</v>
      </c>
      <c r="CP235" s="88">
        <f t="shared" si="207"/>
        <v>16.184221473528552</v>
      </c>
      <c r="CQ235" s="78">
        <f t="shared" si="208"/>
        <v>60</v>
      </c>
      <c r="CR235" s="79">
        <f t="shared" si="222"/>
        <v>1.7999999999999998</v>
      </c>
      <c r="CS235" s="92">
        <f>_xlfn.XLOOKUP(C235, '[1]1-1. 관계사체무보증금액 (환율 등)'!$3:$3, '[1]1-1. 관계사체무보증금액 (환율 등)'!$33:$33)</f>
        <v>229506.32911392403</v>
      </c>
      <c r="CT235" s="77">
        <f t="shared" si="209"/>
        <v>8.3041902567825815E-2</v>
      </c>
      <c r="CU235" s="78">
        <f t="shared" si="210"/>
        <v>100</v>
      </c>
      <c r="CV235" s="79">
        <f t="shared" si="223"/>
        <v>2</v>
      </c>
      <c r="CW235" s="112">
        <f t="shared" si="211"/>
        <v>17.642020024791282</v>
      </c>
    </row>
    <row r="236" spans="1:101" x14ac:dyDescent="0.35">
      <c r="A236" s="7" t="s">
        <v>562</v>
      </c>
      <c r="B236" s="8" t="s">
        <v>563</v>
      </c>
      <c r="C236" s="21" t="s">
        <v>564</v>
      </c>
      <c r="D236" s="10" t="s">
        <v>31</v>
      </c>
      <c r="E236" s="11" t="s">
        <v>183</v>
      </c>
      <c r="F236" s="11" t="s">
        <v>565</v>
      </c>
      <c r="G236" s="12">
        <v>26841</v>
      </c>
      <c r="H236" s="11" t="s">
        <v>24</v>
      </c>
      <c r="I236" s="11" t="s">
        <v>566</v>
      </c>
      <c r="J236" s="191" t="s">
        <v>567</v>
      </c>
      <c r="K236" s="11" t="s">
        <v>50</v>
      </c>
      <c r="L236" s="23">
        <v>467020461</v>
      </c>
      <c r="M236" s="14">
        <v>22242291</v>
      </c>
      <c r="N236" s="14">
        <v>444778170</v>
      </c>
      <c r="O236" s="14">
        <v>102401976</v>
      </c>
      <c r="P236" s="14">
        <v>54478995</v>
      </c>
      <c r="Q236" s="14">
        <v>56254195</v>
      </c>
      <c r="R236" s="14">
        <v>53906527</v>
      </c>
      <c r="S236" s="15">
        <v>58141980</v>
      </c>
      <c r="T236" s="15">
        <v>16560640</v>
      </c>
      <c r="U236" s="15">
        <v>6748615</v>
      </c>
      <c r="V236" s="15">
        <f>4054715+3153310+64625+10090+9835</f>
        <v>7292575</v>
      </c>
      <c r="W236" s="15">
        <f>42314+31461+8555+1810</f>
        <v>84140</v>
      </c>
      <c r="X236" s="15">
        <v>5802425</v>
      </c>
      <c r="Y236" s="24" t="s">
        <v>2070</v>
      </c>
      <c r="Z236" s="15">
        <v>0</v>
      </c>
      <c r="AA236" s="15">
        <v>0</v>
      </c>
      <c r="AB236" s="74">
        <f t="shared" si="171"/>
        <v>19927755</v>
      </c>
      <c r="AC236" s="75">
        <f t="shared" si="172"/>
        <v>34.274297160158632</v>
      </c>
      <c r="AD236" s="75">
        <f t="shared" si="173"/>
        <v>70.505497272590361</v>
      </c>
      <c r="AE236" s="76">
        <f t="shared" si="212"/>
        <v>2.1151649181777108</v>
      </c>
      <c r="AF236" s="77">
        <f t="shared" si="174"/>
        <v>33.768007476430533</v>
      </c>
      <c r="AG236" s="77">
        <f t="shared" si="175"/>
        <v>47.924754228699697</v>
      </c>
      <c r="AH236" s="77">
        <f t="shared" si="176"/>
        <v>14.156746752269164</v>
      </c>
      <c r="AI236" s="78">
        <f t="shared" si="177"/>
        <v>80</v>
      </c>
      <c r="AJ236" s="79">
        <f t="shared" si="213"/>
        <v>3.2</v>
      </c>
      <c r="AK236" s="113">
        <v>5</v>
      </c>
      <c r="AL236" s="113">
        <v>3</v>
      </c>
      <c r="AM236" s="113">
        <v>1</v>
      </c>
      <c r="AN236" s="81">
        <f t="shared" si="178"/>
        <v>8</v>
      </c>
      <c r="AO236" s="82">
        <f t="shared" si="179"/>
        <v>12.5</v>
      </c>
      <c r="AP236" s="83">
        <f t="shared" si="180"/>
        <v>80</v>
      </c>
      <c r="AQ236" s="84">
        <f t="shared" si="214"/>
        <v>1.6</v>
      </c>
      <c r="AR236" s="118">
        <v>2</v>
      </c>
      <c r="AS236" s="86">
        <f t="shared" si="181"/>
        <v>0.25</v>
      </c>
      <c r="AT236" s="87">
        <f t="shared" si="182"/>
        <v>1.25</v>
      </c>
      <c r="AU236" s="87">
        <f t="shared" si="183"/>
        <v>1</v>
      </c>
      <c r="AV236" s="88">
        <f t="shared" si="184"/>
        <v>20</v>
      </c>
      <c r="AW236" s="78">
        <f t="shared" si="185"/>
        <v>80</v>
      </c>
      <c r="AX236" s="89">
        <f t="shared" si="215"/>
        <v>0.8</v>
      </c>
      <c r="AY236" s="114">
        <v>5</v>
      </c>
      <c r="AZ236" s="114">
        <v>5</v>
      </c>
      <c r="BA236" s="91">
        <f t="shared" si="186"/>
        <v>10</v>
      </c>
      <c r="BB236" s="77">
        <f t="shared" si="187"/>
        <v>50</v>
      </c>
      <c r="BC236" s="78">
        <f t="shared" si="188"/>
        <v>25</v>
      </c>
      <c r="BD236" s="79">
        <f t="shared" si="216"/>
        <v>0.25</v>
      </c>
      <c r="BE236" s="92">
        <v>9110111</v>
      </c>
      <c r="BF236" s="92">
        <v>706133</v>
      </c>
      <c r="BG236" s="114">
        <v>299054</v>
      </c>
      <c r="BH236" s="94">
        <f t="shared" si="189"/>
        <v>9816244</v>
      </c>
      <c r="BI236" s="77">
        <f t="shared" si="190"/>
        <v>3.046521663479433</v>
      </c>
      <c r="BJ236" s="95" t="str">
        <f t="shared" si="191"/>
        <v>식약/섬유/종이업</v>
      </c>
      <c r="BK236" s="96">
        <f t="shared" si="192"/>
        <v>2.1999360555264453</v>
      </c>
      <c r="BL236" s="97">
        <f t="shared" si="193"/>
        <v>0.84658560795298765</v>
      </c>
      <c r="BM236" s="98">
        <f t="shared" si="194"/>
        <v>60</v>
      </c>
      <c r="BN236" s="99">
        <f t="shared" si="195"/>
        <v>1.2</v>
      </c>
      <c r="BO236" s="114">
        <v>16815849</v>
      </c>
      <c r="BP236" s="101">
        <f t="shared" si="196"/>
        <v>16.421410657153725</v>
      </c>
      <c r="BQ236" s="78">
        <f t="shared" si="197"/>
        <v>100</v>
      </c>
      <c r="BR236" s="79">
        <f t="shared" si="217"/>
        <v>2</v>
      </c>
      <c r="BS236" s="102">
        <v>1662383.138</v>
      </c>
      <c r="BT236" s="102">
        <v>12666.804</v>
      </c>
      <c r="BU236" s="103">
        <f t="shared" si="198"/>
        <v>1649716.334</v>
      </c>
      <c r="BV236" s="77">
        <f t="shared" si="199"/>
        <v>1.6110200197699309</v>
      </c>
      <c r="BW236" s="96">
        <f t="shared" si="200"/>
        <v>5.0508176117342298</v>
      </c>
      <c r="BX236" s="96">
        <f t="shared" si="201"/>
        <v>11.83220747368339</v>
      </c>
      <c r="BY236" s="96">
        <f t="shared" si="202"/>
        <v>6.9871618081220923</v>
      </c>
      <c r="BZ236" s="96">
        <f t="shared" si="203"/>
        <v>68.874726197171697</v>
      </c>
      <c r="CA236" s="96">
        <f t="shared" si="204"/>
        <v>40</v>
      </c>
      <c r="CB236" s="104">
        <f t="shared" si="205"/>
        <v>0.8</v>
      </c>
      <c r="CC236" s="105">
        <f t="shared" si="218"/>
        <v>5.0007604914602712</v>
      </c>
      <c r="CD236" s="106">
        <f t="shared" si="219"/>
        <v>98.49217569417327</v>
      </c>
      <c r="CE236" s="107">
        <f t="shared" si="220"/>
        <v>1.477382635412599</v>
      </c>
      <c r="CF236" s="108" t="s">
        <v>2189</v>
      </c>
      <c r="CG236" s="108" t="s">
        <v>2189</v>
      </c>
      <c r="CH236" s="108" t="s">
        <v>2189</v>
      </c>
      <c r="CI236" s="108" t="s">
        <v>2189</v>
      </c>
      <c r="CJ236" s="109"/>
      <c r="CK236" s="116" t="s">
        <v>2199</v>
      </c>
      <c r="CL236" s="116" t="s">
        <v>2193</v>
      </c>
      <c r="CM236" s="111">
        <f t="shared" si="206"/>
        <v>25</v>
      </c>
      <c r="CN236" s="107">
        <f t="shared" si="221"/>
        <v>0.375</v>
      </c>
      <c r="CO236" s="114">
        <v>118613791</v>
      </c>
      <c r="CP236" s="88">
        <f t="shared" si="207"/>
        <v>26.668078381634601</v>
      </c>
      <c r="CQ236" s="78">
        <f t="shared" si="208"/>
        <v>60</v>
      </c>
      <c r="CR236" s="79">
        <f t="shared" si="222"/>
        <v>1.7999999999999998</v>
      </c>
      <c r="CS236" s="92">
        <f>_xlfn.XLOOKUP(C236, '[1]1-1. 관계사체무보증금액 (환율 등)'!$3:$3, '[1]1-1. 관계사체무보증금액 (환율 등)'!$33:$33)</f>
        <v>0</v>
      </c>
      <c r="CT236" s="77">
        <f t="shared" si="209"/>
        <v>0</v>
      </c>
      <c r="CU236" s="78">
        <f t="shared" si="210"/>
        <v>100</v>
      </c>
      <c r="CV236" s="79">
        <f t="shared" si="223"/>
        <v>2</v>
      </c>
      <c r="CW236" s="112">
        <f t="shared" si="211"/>
        <v>17.61754755359031</v>
      </c>
    </row>
    <row r="237" spans="1:101" x14ac:dyDescent="0.35">
      <c r="A237" s="7" t="s">
        <v>741</v>
      </c>
      <c r="B237" s="8" t="s">
        <v>742</v>
      </c>
      <c r="C237" s="21" t="s">
        <v>743</v>
      </c>
      <c r="D237" s="10" t="s">
        <v>75</v>
      </c>
      <c r="E237" s="11" t="s">
        <v>114</v>
      </c>
      <c r="F237" s="11" t="s">
        <v>744</v>
      </c>
      <c r="G237" s="12">
        <v>36390</v>
      </c>
      <c r="H237" s="11" t="s">
        <v>24</v>
      </c>
      <c r="I237" s="11" t="s">
        <v>745</v>
      </c>
      <c r="J237" s="11" t="s">
        <v>746</v>
      </c>
      <c r="K237" s="11" t="s">
        <v>102</v>
      </c>
      <c r="L237" s="23">
        <v>306956323</v>
      </c>
      <c r="M237" s="14">
        <v>41595074</v>
      </c>
      <c r="N237" s="14">
        <v>265361249</v>
      </c>
      <c r="O237" s="14">
        <v>240604203</v>
      </c>
      <c r="P237" s="14">
        <v>24501432</v>
      </c>
      <c r="Q237" s="14">
        <v>44413864</v>
      </c>
      <c r="R237" s="14">
        <v>37642494</v>
      </c>
      <c r="S237" s="15">
        <v>11400000</v>
      </c>
      <c r="T237" s="15">
        <v>2211909</v>
      </c>
      <c r="U237" s="15">
        <v>1983500</v>
      </c>
      <c r="V237" s="15">
        <f>97650+700000+1140000+12500+80000+27400+8500+10000*2</f>
        <v>2086050</v>
      </c>
      <c r="W237" s="15">
        <f>103038+809090+42860+39060+80000+7000*3+8500*4+25000</f>
        <v>1154048</v>
      </c>
      <c r="X237" s="15">
        <v>0</v>
      </c>
      <c r="Z237" s="15">
        <v>0</v>
      </c>
      <c r="AA237" s="15">
        <v>0</v>
      </c>
      <c r="AB237" s="74">
        <f t="shared" si="171"/>
        <v>5223598</v>
      </c>
      <c r="AC237" s="75">
        <f t="shared" si="172"/>
        <v>45.821035087719295</v>
      </c>
      <c r="AD237" s="75">
        <f t="shared" si="173"/>
        <v>60.539958209678403</v>
      </c>
      <c r="AE237" s="76">
        <f t="shared" si="212"/>
        <v>1.8161987462903519</v>
      </c>
      <c r="AF237" s="77">
        <f t="shared" si="174"/>
        <v>44.291572645503834</v>
      </c>
      <c r="AG237" s="77">
        <f t="shared" si="175"/>
        <v>56.851831354304174</v>
      </c>
      <c r="AH237" s="77">
        <f t="shared" si="176"/>
        <v>12.56025870880034</v>
      </c>
      <c r="AI237" s="78">
        <f t="shared" si="177"/>
        <v>80</v>
      </c>
      <c r="AJ237" s="79">
        <f t="shared" si="213"/>
        <v>3.2</v>
      </c>
      <c r="AK237" s="113">
        <v>5</v>
      </c>
      <c r="AL237" s="113">
        <v>4</v>
      </c>
      <c r="AM237" s="113">
        <v>2</v>
      </c>
      <c r="AN237" s="81">
        <f t="shared" si="178"/>
        <v>9</v>
      </c>
      <c r="AO237" s="82">
        <f t="shared" si="179"/>
        <v>22.222222222222221</v>
      </c>
      <c r="AP237" s="83">
        <f t="shared" si="180"/>
        <v>60</v>
      </c>
      <c r="AQ237" s="84">
        <f t="shared" si="214"/>
        <v>1.2</v>
      </c>
      <c r="AR237" s="118">
        <v>1</v>
      </c>
      <c r="AS237" s="86">
        <f t="shared" si="181"/>
        <v>0.25</v>
      </c>
      <c r="AT237" s="87">
        <f t="shared" si="182"/>
        <v>1.25</v>
      </c>
      <c r="AU237" s="87">
        <f t="shared" si="183"/>
        <v>1</v>
      </c>
      <c r="AV237" s="88">
        <f t="shared" si="184"/>
        <v>0</v>
      </c>
      <c r="AW237" s="78">
        <f t="shared" si="185"/>
        <v>40</v>
      </c>
      <c r="AX237" s="89">
        <f t="shared" si="215"/>
        <v>0.4</v>
      </c>
      <c r="AY237" s="114">
        <v>10</v>
      </c>
      <c r="AZ237" s="114">
        <v>10</v>
      </c>
      <c r="BA237" s="91">
        <f t="shared" si="186"/>
        <v>10</v>
      </c>
      <c r="BB237" s="77">
        <f t="shared" si="187"/>
        <v>100</v>
      </c>
      <c r="BC237" s="78">
        <f t="shared" si="188"/>
        <v>100</v>
      </c>
      <c r="BD237" s="79">
        <f t="shared" si="216"/>
        <v>1</v>
      </c>
      <c r="BE237" s="92">
        <v>4324000</v>
      </c>
      <c r="BF237" s="92">
        <v>417000</v>
      </c>
      <c r="BG237" s="114">
        <v>105000</v>
      </c>
      <c r="BH237" s="94">
        <f t="shared" si="189"/>
        <v>4741000</v>
      </c>
      <c r="BI237" s="77">
        <f t="shared" si="190"/>
        <v>2.2147226323560432</v>
      </c>
      <c r="BJ237" s="95" t="str">
        <f t="shared" si="191"/>
        <v>금속/비금속/화학업</v>
      </c>
      <c r="BK237" s="96">
        <f t="shared" si="192"/>
        <v>3.9534118626990469</v>
      </c>
      <c r="BL237" s="97">
        <f t="shared" si="193"/>
        <v>-1.7386892303430037</v>
      </c>
      <c r="BM237" s="98">
        <f t="shared" si="194"/>
        <v>80</v>
      </c>
      <c r="BN237" s="99">
        <f t="shared" si="195"/>
        <v>1.6</v>
      </c>
      <c r="BO237" s="114">
        <v>99000</v>
      </c>
      <c r="BP237" s="101">
        <f t="shared" si="196"/>
        <v>4.1146413389960612E-2</v>
      </c>
      <c r="BQ237" s="78">
        <f t="shared" si="197"/>
        <v>40</v>
      </c>
      <c r="BR237" s="79">
        <f t="shared" si="217"/>
        <v>0.8</v>
      </c>
      <c r="BS237" s="102">
        <v>7660832.3119999999</v>
      </c>
      <c r="BT237" s="102">
        <v>2000</v>
      </c>
      <c r="BU237" s="103">
        <f t="shared" si="198"/>
        <v>7658832.3119999999</v>
      </c>
      <c r="BV237" s="77">
        <f t="shared" si="199"/>
        <v>3.1831664686256542</v>
      </c>
      <c r="BW237" s="96">
        <f t="shared" si="200"/>
        <v>5.1474158565187738</v>
      </c>
      <c r="BX237" s="96">
        <f t="shared" si="201"/>
        <v>3.8582756578384947</v>
      </c>
      <c r="BY237" s="96">
        <f t="shared" si="202"/>
        <v>6.6930498535228535</v>
      </c>
      <c r="BZ237" s="96">
        <f t="shared" si="203"/>
        <v>61.542082290798703</v>
      </c>
      <c r="CA237" s="96">
        <f t="shared" si="204"/>
        <v>40</v>
      </c>
      <c r="CB237" s="104">
        <f t="shared" si="205"/>
        <v>0.8</v>
      </c>
      <c r="CC237" s="105">
        <f t="shared" si="218"/>
        <v>15.674886275501365</v>
      </c>
      <c r="CD237" s="106">
        <f t="shared" si="219"/>
        <v>94.469263966519591</v>
      </c>
      <c r="CE237" s="107">
        <f t="shared" si="220"/>
        <v>1.4170389594977939</v>
      </c>
      <c r="CF237" s="108" t="s">
        <v>2189</v>
      </c>
      <c r="CG237" s="108" t="s">
        <v>2189</v>
      </c>
      <c r="CH237" s="108" t="s">
        <v>2189</v>
      </c>
      <c r="CI237" s="108" t="s">
        <v>2189</v>
      </c>
      <c r="CJ237" s="109"/>
      <c r="CK237" s="116" t="s">
        <v>2192</v>
      </c>
      <c r="CL237" s="116" t="s">
        <v>2193</v>
      </c>
      <c r="CM237" s="111">
        <f t="shared" si="206"/>
        <v>25</v>
      </c>
      <c r="CN237" s="107">
        <f t="shared" si="221"/>
        <v>0.375</v>
      </c>
      <c r="CO237" s="114">
        <v>0</v>
      </c>
      <c r="CP237" s="88">
        <f t="shared" si="207"/>
        <v>0</v>
      </c>
      <c r="CQ237" s="78">
        <f t="shared" si="208"/>
        <v>100</v>
      </c>
      <c r="CR237" s="79">
        <f t="shared" si="222"/>
        <v>3</v>
      </c>
      <c r="CS237" s="92">
        <f>_xlfn.XLOOKUP(C237, '[1]1-1. 관계사체무보증금액 (환율 등)'!$3:$3, '[1]1-1. 관계사체무보증금액 (환율 등)'!$33:$33)</f>
        <v>0</v>
      </c>
      <c r="CT237" s="77">
        <f t="shared" si="209"/>
        <v>0</v>
      </c>
      <c r="CU237" s="78">
        <f t="shared" si="210"/>
        <v>100</v>
      </c>
      <c r="CV237" s="79">
        <f t="shared" si="223"/>
        <v>2</v>
      </c>
      <c r="CW237" s="112">
        <f t="shared" si="211"/>
        <v>17.608237705788149</v>
      </c>
    </row>
    <row r="238" spans="1:101" x14ac:dyDescent="0.35">
      <c r="A238" s="7" t="s">
        <v>556</v>
      </c>
      <c r="B238" s="8" t="s">
        <v>557</v>
      </c>
      <c r="C238" s="21" t="s">
        <v>558</v>
      </c>
      <c r="D238" s="10" t="s">
        <v>21</v>
      </c>
      <c r="E238" s="11" t="s">
        <v>83</v>
      </c>
      <c r="F238" s="11" t="s">
        <v>559</v>
      </c>
      <c r="G238" s="12">
        <v>36973</v>
      </c>
      <c r="H238" s="11" t="s">
        <v>24</v>
      </c>
      <c r="I238" s="11" t="s">
        <v>560</v>
      </c>
      <c r="J238" s="11" t="s">
        <v>561</v>
      </c>
      <c r="K238" s="11" t="s">
        <v>27</v>
      </c>
      <c r="L238" s="23">
        <v>9668849513</v>
      </c>
      <c r="M238" s="14">
        <v>6674852812</v>
      </c>
      <c r="N238" s="14">
        <v>2993996701</v>
      </c>
      <c r="O238" s="14">
        <v>9318914840</v>
      </c>
      <c r="P238" s="14">
        <v>433402928</v>
      </c>
      <c r="Q238" s="14">
        <v>364861645</v>
      </c>
      <c r="R238" s="14">
        <v>254741243</v>
      </c>
      <c r="S238" s="15">
        <v>415622638</v>
      </c>
      <c r="T238" s="15">
        <v>4736918</v>
      </c>
      <c r="U238" s="15">
        <f>168744967</f>
        <v>168744967</v>
      </c>
      <c r="V238" s="15">
        <v>0</v>
      </c>
      <c r="W238" s="15">
        <f>12404+8035+8832+6933+295+264+2935+9475+5298+9951+306+3616+7300+2897+4126+2830+3792+5024+2795+6286+4020+200+1367+2979+2365+8664+21+2513+1871+2550+93+618+120+400+3000+1591+3061+702+3100+4708+824+447+2186+1140+300+2032+3416+1000</f>
        <v>158682</v>
      </c>
      <c r="X238" s="15">
        <v>0</v>
      </c>
      <c r="Z238" s="15">
        <v>42186242</v>
      </c>
      <c r="AA238" s="15">
        <v>0</v>
      </c>
      <c r="AB238" s="74">
        <f t="shared" si="171"/>
        <v>211089891</v>
      </c>
      <c r="AC238" s="75">
        <f t="shared" si="172"/>
        <v>50.788833836332081</v>
      </c>
      <c r="AD238" s="75">
        <f t="shared" si="173"/>
        <v>56.252444905352064</v>
      </c>
      <c r="AE238" s="76">
        <f t="shared" si="212"/>
        <v>1.6875733471605618</v>
      </c>
      <c r="AF238" s="77">
        <f t="shared" si="174"/>
        <v>41.068588852394292</v>
      </c>
      <c r="AG238" s="77">
        <f t="shared" si="175"/>
        <v>51.374355623748613</v>
      </c>
      <c r="AH238" s="77">
        <f t="shared" si="176"/>
        <v>10.305766771354321</v>
      </c>
      <c r="AI238" s="78">
        <f t="shared" si="177"/>
        <v>80</v>
      </c>
      <c r="AJ238" s="79">
        <f t="shared" si="213"/>
        <v>3.2</v>
      </c>
      <c r="AK238" s="113">
        <v>6</v>
      </c>
      <c r="AL238" s="113">
        <v>97</v>
      </c>
      <c r="AM238" s="113">
        <v>0</v>
      </c>
      <c r="AN238" s="81">
        <f t="shared" si="178"/>
        <v>103</v>
      </c>
      <c r="AO238" s="82">
        <f t="shared" si="179"/>
        <v>0</v>
      </c>
      <c r="AP238" s="83">
        <f t="shared" si="180"/>
        <v>100</v>
      </c>
      <c r="AQ238" s="84">
        <f t="shared" si="214"/>
        <v>2</v>
      </c>
      <c r="AR238" s="118">
        <v>5</v>
      </c>
      <c r="AS238" s="86">
        <f t="shared" si="181"/>
        <v>0.5</v>
      </c>
      <c r="AT238" s="87">
        <f t="shared" si="182"/>
        <v>3</v>
      </c>
      <c r="AU238" s="87">
        <f t="shared" si="183"/>
        <v>3</v>
      </c>
      <c r="AV238" s="88">
        <f t="shared" si="184"/>
        <v>33.333333333333329</v>
      </c>
      <c r="AW238" s="78">
        <f t="shared" si="185"/>
        <v>80</v>
      </c>
      <c r="AX238" s="89">
        <f t="shared" si="215"/>
        <v>0.8</v>
      </c>
      <c r="AY238" s="114">
        <v>15</v>
      </c>
      <c r="AZ238" s="114">
        <f>15*5-10-2-4-1-5</f>
        <v>53</v>
      </c>
      <c r="BA238" s="91">
        <f t="shared" si="186"/>
        <v>75</v>
      </c>
      <c r="BB238" s="77">
        <f t="shared" si="187"/>
        <v>70.666666666666671</v>
      </c>
      <c r="BC238" s="78">
        <f t="shared" si="188"/>
        <v>50</v>
      </c>
      <c r="BD238" s="79">
        <f t="shared" si="216"/>
        <v>0.5</v>
      </c>
      <c r="BE238" s="92">
        <v>201601000</v>
      </c>
      <c r="BF238" s="92">
        <v>17705000</v>
      </c>
      <c r="BG238" s="93">
        <v>0</v>
      </c>
      <c r="BH238" s="94">
        <f t="shared" si="189"/>
        <v>219306000</v>
      </c>
      <c r="BI238" s="77">
        <f t="shared" si="190"/>
        <v>0</v>
      </c>
      <c r="BJ238" s="95" t="str">
        <f t="shared" si="191"/>
        <v>비제조/서비스업</v>
      </c>
      <c r="BK238" s="96">
        <f t="shared" si="192"/>
        <v>1.7464434573900922</v>
      </c>
      <c r="BL238" s="97">
        <f t="shared" si="193"/>
        <v>-1.7464434573900922</v>
      </c>
      <c r="BM238" s="98">
        <f t="shared" si="194"/>
        <v>80</v>
      </c>
      <c r="BN238" s="99">
        <f t="shared" si="195"/>
        <v>1.6</v>
      </c>
      <c r="BO238" s="114">
        <v>64861000</v>
      </c>
      <c r="BP238" s="101">
        <f t="shared" si="196"/>
        <v>0.69601451578454376</v>
      </c>
      <c r="BQ238" s="78">
        <f t="shared" si="197"/>
        <v>70</v>
      </c>
      <c r="BR238" s="79">
        <f t="shared" si="217"/>
        <v>1.4000000000000001</v>
      </c>
      <c r="BS238" s="102">
        <v>30884918.147</v>
      </c>
      <c r="BT238" s="102">
        <v>6902012.5619999999</v>
      </c>
      <c r="BU238" s="103">
        <f t="shared" si="198"/>
        <v>23982905.585000001</v>
      </c>
      <c r="BV238" s="77">
        <f t="shared" si="199"/>
        <v>0.2573572781463469</v>
      </c>
      <c r="BW238" s="96">
        <f t="shared" si="200"/>
        <v>2.8482825397737606</v>
      </c>
      <c r="BX238" s="96">
        <f t="shared" si="201"/>
        <v>6.7128937113390812</v>
      </c>
      <c r="BY238" s="96">
        <f t="shared" si="202"/>
        <v>5.5697595856656807</v>
      </c>
      <c r="BZ238" s="96">
        <f t="shared" si="203"/>
        <v>67.909772352519155</v>
      </c>
      <c r="CA238" s="96">
        <f t="shared" si="204"/>
        <v>40</v>
      </c>
      <c r="CB238" s="104">
        <f t="shared" si="205"/>
        <v>0.8</v>
      </c>
      <c r="CC238" s="105">
        <f t="shared" si="218"/>
        <v>222.94122133703715</v>
      </c>
      <c r="CD238" s="106">
        <f t="shared" si="219"/>
        <v>25</v>
      </c>
      <c r="CE238" s="107">
        <f t="shared" si="220"/>
        <v>0.375</v>
      </c>
      <c r="CF238" s="108" t="s">
        <v>2189</v>
      </c>
      <c r="CG238" s="108" t="s">
        <v>2189</v>
      </c>
      <c r="CH238" s="108" t="s">
        <v>2189</v>
      </c>
      <c r="CI238" s="108" t="s">
        <v>2189</v>
      </c>
      <c r="CJ238" s="109"/>
      <c r="CK238" s="116" t="s">
        <v>2202</v>
      </c>
      <c r="CL238" s="116" t="s">
        <v>2196</v>
      </c>
      <c r="CM238" s="111">
        <f t="shared" si="206"/>
        <v>55</v>
      </c>
      <c r="CN238" s="107">
        <f t="shared" si="221"/>
        <v>0.82499999999999996</v>
      </c>
      <c r="CO238" s="114">
        <v>288762000</v>
      </c>
      <c r="CP238" s="88">
        <f t="shared" si="207"/>
        <v>9.6447000059670405</v>
      </c>
      <c r="CQ238" s="78">
        <f t="shared" si="208"/>
        <v>80</v>
      </c>
      <c r="CR238" s="79">
        <f t="shared" si="222"/>
        <v>2.4</v>
      </c>
      <c r="CS238" s="92">
        <f>_xlfn.XLOOKUP(C238, '[1]1-1. 관계사체무보증금액 (환율 등)'!$3:$3, '[1]1-1. 관계사체무보증금액 (환율 등)'!$33:$33)</f>
        <v>0</v>
      </c>
      <c r="CT238" s="77">
        <f t="shared" si="209"/>
        <v>0</v>
      </c>
      <c r="CU238" s="78">
        <f t="shared" si="210"/>
        <v>100</v>
      </c>
      <c r="CV238" s="79">
        <f t="shared" si="223"/>
        <v>2</v>
      </c>
      <c r="CW238" s="112">
        <f t="shared" si="211"/>
        <v>17.587573347160564</v>
      </c>
    </row>
    <row r="239" spans="1:101" x14ac:dyDescent="0.35">
      <c r="A239" s="7" t="s">
        <v>1210</v>
      </c>
      <c r="B239" s="8" t="s">
        <v>1211</v>
      </c>
      <c r="C239" s="21" t="s">
        <v>1212</v>
      </c>
      <c r="D239" s="10" t="s">
        <v>31</v>
      </c>
      <c r="E239" s="11" t="s">
        <v>1129</v>
      </c>
      <c r="F239" s="11" t="s">
        <v>1213</v>
      </c>
      <c r="G239" s="12">
        <v>32492</v>
      </c>
      <c r="H239" s="11" t="s">
        <v>24</v>
      </c>
      <c r="I239" s="11" t="s">
        <v>1214</v>
      </c>
      <c r="J239" s="11" t="s">
        <v>1215</v>
      </c>
      <c r="K239" s="11" t="s">
        <v>27</v>
      </c>
      <c r="L239" s="23">
        <v>790607841</v>
      </c>
      <c r="M239" s="14">
        <v>88403731</v>
      </c>
      <c r="N239" s="14">
        <v>702204110</v>
      </c>
      <c r="O239" s="14">
        <v>598684604</v>
      </c>
      <c r="P239" s="14">
        <v>76947409</v>
      </c>
      <c r="Q239" s="14">
        <v>87571953</v>
      </c>
      <c r="R239" s="14">
        <v>64953978</v>
      </c>
      <c r="S239" s="15">
        <v>8956502</v>
      </c>
      <c r="T239" s="15">
        <v>0</v>
      </c>
      <c r="U239" s="15">
        <v>4226310</v>
      </c>
      <c r="V239" s="15">
        <f>71000+55120+6660+6580</f>
        <v>139360</v>
      </c>
      <c r="W239" s="15">
        <v>0</v>
      </c>
      <c r="X239" s="15">
        <v>0</v>
      </c>
      <c r="Z239" s="15">
        <v>91000</v>
      </c>
      <c r="AA239" s="15">
        <v>0</v>
      </c>
      <c r="AB239" s="74">
        <f t="shared" si="171"/>
        <v>4456670</v>
      </c>
      <c r="AC239" s="75">
        <f t="shared" si="172"/>
        <v>49.759046556345318</v>
      </c>
      <c r="AD239" s="75">
        <f t="shared" si="173"/>
        <v>57.141214134339485</v>
      </c>
      <c r="AE239" s="76">
        <f t="shared" si="212"/>
        <v>1.7142364240301844</v>
      </c>
      <c r="AF239" s="77">
        <f t="shared" si="174"/>
        <v>48.743024899676236</v>
      </c>
      <c r="AG239" s="77">
        <f t="shared" si="175"/>
        <v>49.759046556345318</v>
      </c>
      <c r="AH239" s="77">
        <f t="shared" si="176"/>
        <v>1.0160216566690821</v>
      </c>
      <c r="AI239" s="78">
        <f t="shared" si="177"/>
        <v>100</v>
      </c>
      <c r="AJ239" s="79">
        <f t="shared" si="213"/>
        <v>4</v>
      </c>
      <c r="AK239" s="113">
        <v>8</v>
      </c>
      <c r="AL239" s="113">
        <v>10</v>
      </c>
      <c r="AM239" s="80">
        <v>1</v>
      </c>
      <c r="AN239" s="81">
        <f t="shared" si="178"/>
        <v>18</v>
      </c>
      <c r="AO239" s="82">
        <f t="shared" si="179"/>
        <v>5.5555555555555554</v>
      </c>
      <c r="AP239" s="83">
        <f t="shared" si="180"/>
        <v>100</v>
      </c>
      <c r="AQ239" s="84">
        <f t="shared" si="214"/>
        <v>2</v>
      </c>
      <c r="AR239" s="118">
        <v>2</v>
      </c>
      <c r="AS239" s="86">
        <f t="shared" si="181"/>
        <v>0.25</v>
      </c>
      <c r="AT239" s="87">
        <f t="shared" si="182"/>
        <v>2</v>
      </c>
      <c r="AU239" s="87">
        <f t="shared" si="183"/>
        <v>2</v>
      </c>
      <c r="AV239" s="88">
        <f t="shared" si="184"/>
        <v>0</v>
      </c>
      <c r="AW239" s="78">
        <f t="shared" si="185"/>
        <v>40</v>
      </c>
      <c r="AX239" s="89">
        <f t="shared" si="215"/>
        <v>0.4</v>
      </c>
      <c r="AY239" s="114">
        <v>5</v>
      </c>
      <c r="AZ239" s="114">
        <v>10</v>
      </c>
      <c r="BA239" s="91">
        <f t="shared" si="186"/>
        <v>10</v>
      </c>
      <c r="BB239" s="77">
        <f t="shared" si="187"/>
        <v>100</v>
      </c>
      <c r="BC239" s="78">
        <f t="shared" si="188"/>
        <v>100</v>
      </c>
      <c r="BD239" s="79">
        <f t="shared" si="216"/>
        <v>1</v>
      </c>
      <c r="BE239" s="92">
        <v>7292925.767</v>
      </c>
      <c r="BF239" s="92">
        <v>744653.2</v>
      </c>
      <c r="BG239" s="114">
        <v>176974.041</v>
      </c>
      <c r="BH239" s="94">
        <f t="shared" si="189"/>
        <v>8037578.9670000002</v>
      </c>
      <c r="BI239" s="77">
        <f t="shared" si="190"/>
        <v>2.2018326877608891</v>
      </c>
      <c r="BJ239" s="95" t="str">
        <f t="shared" si="191"/>
        <v>식약/섬유/종이업</v>
      </c>
      <c r="BK239" s="96">
        <f t="shared" si="192"/>
        <v>2.1999360555264453</v>
      </c>
      <c r="BL239" s="97">
        <f t="shared" si="193"/>
        <v>1.8966322344438069E-3</v>
      </c>
      <c r="BM239" s="98">
        <f t="shared" si="194"/>
        <v>60</v>
      </c>
      <c r="BN239" s="99">
        <f t="shared" si="195"/>
        <v>1.2</v>
      </c>
      <c r="BO239" s="114">
        <v>415000</v>
      </c>
      <c r="BP239" s="101">
        <f t="shared" si="196"/>
        <v>6.9318635760341016E-2</v>
      </c>
      <c r="BQ239" s="78">
        <f t="shared" si="197"/>
        <v>40</v>
      </c>
      <c r="BR239" s="79">
        <f t="shared" si="217"/>
        <v>0.8</v>
      </c>
      <c r="BS239" s="102">
        <v>21057624.973999999</v>
      </c>
      <c r="BT239" s="102">
        <f>(372702460+1839000000)/1000</f>
        <v>2211702.46</v>
      </c>
      <c r="BU239" s="103">
        <f t="shared" si="198"/>
        <v>18845922.513999999</v>
      </c>
      <c r="BV239" s="77">
        <f t="shared" si="199"/>
        <v>3.1478882850977739</v>
      </c>
      <c r="BW239" s="96">
        <f t="shared" si="200"/>
        <v>5.0508176117342298</v>
      </c>
      <c r="BX239" s="96">
        <f t="shared" si="201"/>
        <v>3.6211400221730758</v>
      </c>
      <c r="BY239" s="96">
        <f t="shared" si="202"/>
        <v>6.9871618081220923</v>
      </c>
      <c r="BZ239" s="96">
        <f t="shared" si="203"/>
        <v>60.732221192241951</v>
      </c>
      <c r="CA239" s="96">
        <f t="shared" si="204"/>
        <v>40</v>
      </c>
      <c r="CB239" s="104">
        <f t="shared" si="205"/>
        <v>0.8</v>
      </c>
      <c r="CC239" s="105">
        <f t="shared" si="218"/>
        <v>12.589463624757194</v>
      </c>
      <c r="CD239" s="106">
        <f t="shared" si="219"/>
        <v>95.632111699212118</v>
      </c>
      <c r="CE239" s="107">
        <f t="shared" si="220"/>
        <v>1.4344816754881817</v>
      </c>
      <c r="CF239" s="108" t="s">
        <v>2189</v>
      </c>
      <c r="CG239" s="108" t="s">
        <v>2189</v>
      </c>
      <c r="CH239" s="108" t="s">
        <v>2189</v>
      </c>
      <c r="CI239" s="108" t="s">
        <v>2189</v>
      </c>
      <c r="CJ239" s="109"/>
      <c r="CK239" s="116" t="s">
        <v>2199</v>
      </c>
      <c r="CL239" s="116" t="s">
        <v>2193</v>
      </c>
      <c r="CM239" s="111">
        <f t="shared" si="206"/>
        <v>25</v>
      </c>
      <c r="CN239" s="107">
        <f t="shared" si="221"/>
        <v>0.375</v>
      </c>
      <c r="CO239" s="114">
        <v>220501000</v>
      </c>
      <c r="CP239" s="88">
        <f t="shared" si="207"/>
        <v>31.401268784940605</v>
      </c>
      <c r="CQ239" s="78">
        <f t="shared" si="208"/>
        <v>60</v>
      </c>
      <c r="CR239" s="79">
        <f t="shared" si="222"/>
        <v>1.7999999999999998</v>
      </c>
      <c r="CS239" s="92">
        <f>_xlfn.XLOOKUP(C239, '[1]1-1. 관계사체무보증금액 (환율 등)'!$3:$3, '[1]1-1. 관계사체무보증금액 (환율 등)'!$33:$33)</f>
        <v>0</v>
      </c>
      <c r="CT239" s="77">
        <f t="shared" si="209"/>
        <v>0</v>
      </c>
      <c r="CU239" s="78">
        <f t="shared" si="210"/>
        <v>100</v>
      </c>
      <c r="CV239" s="79">
        <f t="shared" si="223"/>
        <v>2</v>
      </c>
      <c r="CW239" s="112">
        <f t="shared" si="211"/>
        <v>17.523718099518369</v>
      </c>
    </row>
    <row r="240" spans="1:101" x14ac:dyDescent="0.35">
      <c r="A240" s="7" t="s">
        <v>1308</v>
      </c>
      <c r="B240" s="8" t="s">
        <v>1309</v>
      </c>
      <c r="C240" s="21" t="s">
        <v>1310</v>
      </c>
      <c r="D240" s="22" t="s">
        <v>21</v>
      </c>
      <c r="E240" s="11" t="s">
        <v>1311</v>
      </c>
      <c r="F240" s="11" t="s">
        <v>1312</v>
      </c>
      <c r="G240" s="12">
        <v>39233</v>
      </c>
      <c r="H240" s="11" t="s">
        <v>24</v>
      </c>
      <c r="I240" s="11" t="s">
        <v>1313</v>
      </c>
      <c r="J240" s="11" t="s">
        <v>1314</v>
      </c>
      <c r="K240" s="11" t="s">
        <v>50</v>
      </c>
      <c r="L240" s="23">
        <v>675351513</v>
      </c>
      <c r="M240" s="14">
        <v>277354565</v>
      </c>
      <c r="N240" s="14">
        <v>397996948</v>
      </c>
      <c r="O240" s="14">
        <v>731149922</v>
      </c>
      <c r="P240" s="14">
        <v>30772712</v>
      </c>
      <c r="Q240" s="14">
        <v>12835237</v>
      </c>
      <c r="R240" s="14">
        <v>6907900</v>
      </c>
      <c r="S240" s="15">
        <v>115505985</v>
      </c>
      <c r="T240" s="15">
        <v>2822896</v>
      </c>
      <c r="U240" s="15">
        <f>67890914+859809+859809</f>
        <v>69610532</v>
      </c>
      <c r="V240" s="15">
        <f>177275+1570</f>
        <v>178845</v>
      </c>
      <c r="W240" s="15">
        <f>71206+36161+40416+26133+15750+1001</f>
        <v>190667</v>
      </c>
      <c r="X240" s="15">
        <v>0</v>
      </c>
      <c r="Z240" s="15">
        <v>0</v>
      </c>
      <c r="AA240" s="15">
        <v>0</v>
      </c>
      <c r="AB240" s="74">
        <f t="shared" si="171"/>
        <v>69980044</v>
      </c>
      <c r="AC240" s="75">
        <f t="shared" si="172"/>
        <v>60.585643246105377</v>
      </c>
      <c r="AD240" s="75">
        <f t="shared" si="173"/>
        <v>47.797200880806635</v>
      </c>
      <c r="AE240" s="76">
        <f t="shared" si="212"/>
        <v>1.433916026424199</v>
      </c>
      <c r="AF240" s="77">
        <f t="shared" si="174"/>
        <v>61.934206471744844</v>
      </c>
      <c r="AG240" s="77">
        <f t="shared" si="175"/>
        <v>62.103412873248445</v>
      </c>
      <c r="AH240" s="77">
        <f t="shared" si="176"/>
        <v>0.169206401503601</v>
      </c>
      <c r="AI240" s="78">
        <f t="shared" si="177"/>
        <v>100</v>
      </c>
      <c r="AJ240" s="79">
        <f t="shared" si="213"/>
        <v>4</v>
      </c>
      <c r="AK240" s="113">
        <v>5</v>
      </c>
      <c r="AL240" s="113">
        <v>9</v>
      </c>
      <c r="AM240" s="113">
        <v>2</v>
      </c>
      <c r="AN240" s="81">
        <f t="shared" si="178"/>
        <v>14</v>
      </c>
      <c r="AO240" s="82">
        <f t="shared" si="179"/>
        <v>14.285714285714285</v>
      </c>
      <c r="AP240" s="83">
        <f t="shared" si="180"/>
        <v>80</v>
      </c>
      <c r="AQ240" s="84">
        <f t="shared" si="214"/>
        <v>1.6</v>
      </c>
      <c r="AR240" s="118">
        <v>3</v>
      </c>
      <c r="AS240" s="86">
        <f t="shared" si="181"/>
        <v>0.25</v>
      </c>
      <c r="AT240" s="87">
        <f t="shared" si="182"/>
        <v>1.25</v>
      </c>
      <c r="AU240" s="87">
        <f t="shared" si="183"/>
        <v>1</v>
      </c>
      <c r="AV240" s="88">
        <f t="shared" si="184"/>
        <v>40</v>
      </c>
      <c r="AW240" s="78">
        <f t="shared" si="185"/>
        <v>100</v>
      </c>
      <c r="AX240" s="89">
        <f t="shared" si="215"/>
        <v>1</v>
      </c>
      <c r="AY240" s="114">
        <v>6</v>
      </c>
      <c r="AZ240" s="114">
        <v>18</v>
      </c>
      <c r="BA240" s="91">
        <f t="shared" si="186"/>
        <v>18</v>
      </c>
      <c r="BB240" s="77">
        <f t="shared" si="187"/>
        <v>100</v>
      </c>
      <c r="BC240" s="78">
        <f t="shared" si="188"/>
        <v>100</v>
      </c>
      <c r="BD240" s="79">
        <f t="shared" si="216"/>
        <v>1</v>
      </c>
      <c r="BE240" s="92">
        <v>75651644</v>
      </c>
      <c r="BF240" s="92">
        <v>6588206</v>
      </c>
      <c r="BG240" s="114">
        <v>884217</v>
      </c>
      <c r="BH240" s="94">
        <f t="shared" si="189"/>
        <v>82239850</v>
      </c>
      <c r="BI240" s="77">
        <f t="shared" si="190"/>
        <v>1.0751685466352383</v>
      </c>
      <c r="BJ240" s="95" t="str">
        <f t="shared" si="191"/>
        <v>비제조/서비스업</v>
      </c>
      <c r="BK240" s="96">
        <f t="shared" si="192"/>
        <v>1.7464434573900922</v>
      </c>
      <c r="BL240" s="97">
        <f t="shared" si="193"/>
        <v>-0.6712749107548539</v>
      </c>
      <c r="BM240" s="98">
        <f t="shared" si="194"/>
        <v>80</v>
      </c>
      <c r="BN240" s="99">
        <f t="shared" si="195"/>
        <v>1.6</v>
      </c>
      <c r="BO240" s="114">
        <v>0</v>
      </c>
      <c r="BP240" s="101">
        <f t="shared" si="196"/>
        <v>0</v>
      </c>
      <c r="BQ240" s="78">
        <f t="shared" si="197"/>
        <v>25</v>
      </c>
      <c r="BR240" s="79">
        <f t="shared" si="217"/>
        <v>0.5</v>
      </c>
      <c r="BS240" s="102">
        <v>15087319.045</v>
      </c>
      <c r="BT240" s="102">
        <v>925544.13500000001</v>
      </c>
      <c r="BU240" s="103">
        <f t="shared" si="198"/>
        <v>14161774.91</v>
      </c>
      <c r="BV240" s="77">
        <f t="shared" si="199"/>
        <v>1.936918063433781</v>
      </c>
      <c r="BW240" s="96">
        <f t="shared" si="200"/>
        <v>2.8482825397737606</v>
      </c>
      <c r="BX240" s="96">
        <f t="shared" si="201"/>
        <v>0.83058520873444508</v>
      </c>
      <c r="BY240" s="96">
        <f t="shared" si="202"/>
        <v>5.5697595856656807</v>
      </c>
      <c r="BZ240" s="96">
        <f t="shared" si="203"/>
        <v>56.498770656045224</v>
      </c>
      <c r="CA240" s="96">
        <f t="shared" si="204"/>
        <v>55</v>
      </c>
      <c r="CB240" s="104">
        <f t="shared" si="205"/>
        <v>1.1000000000000001</v>
      </c>
      <c r="CC240" s="105">
        <f t="shared" si="218"/>
        <v>69.687611021579997</v>
      </c>
      <c r="CD240" s="106">
        <f t="shared" si="219"/>
        <v>74.112709413977385</v>
      </c>
      <c r="CE240" s="107">
        <f t="shared" si="220"/>
        <v>1.1116906412096608</v>
      </c>
      <c r="CF240" s="108" t="s">
        <v>2189</v>
      </c>
      <c r="CG240" s="108" t="s">
        <v>2189</v>
      </c>
      <c r="CH240" s="108" t="s">
        <v>2189</v>
      </c>
      <c r="CI240" s="108" t="s">
        <v>2189</v>
      </c>
      <c r="CJ240" s="109"/>
      <c r="CK240" s="116" t="s">
        <v>2199</v>
      </c>
      <c r="CL240" s="116" t="s">
        <v>2193</v>
      </c>
      <c r="CM240" s="111">
        <f t="shared" si="206"/>
        <v>25</v>
      </c>
      <c r="CN240" s="107">
        <f t="shared" si="221"/>
        <v>0.375</v>
      </c>
      <c r="CO240" s="114">
        <f>16000000+8170000+53947000+6660000</f>
        <v>84777000</v>
      </c>
      <c r="CP240" s="88">
        <f t="shared" si="207"/>
        <v>21.300917111555336</v>
      </c>
      <c r="CQ240" s="78">
        <f t="shared" si="208"/>
        <v>60</v>
      </c>
      <c r="CR240" s="79">
        <f t="shared" si="222"/>
        <v>1.7999999999999998</v>
      </c>
      <c r="CS240" s="92">
        <f>_xlfn.XLOOKUP(C240, '[1]1-1. 관계사체무보증금액 (환율 등)'!$3:$3, '[1]1-1. 관계사체무보증금액 (환율 등)'!$33:$33)</f>
        <v>0</v>
      </c>
      <c r="CT240" s="77">
        <f t="shared" si="209"/>
        <v>0</v>
      </c>
      <c r="CU240" s="78">
        <f t="shared" si="210"/>
        <v>100</v>
      </c>
      <c r="CV240" s="79">
        <f t="shared" si="223"/>
        <v>2</v>
      </c>
      <c r="CW240" s="112">
        <f t="shared" si="211"/>
        <v>17.52060666763386</v>
      </c>
    </row>
    <row r="241" spans="1:101" x14ac:dyDescent="0.35">
      <c r="A241" s="7" t="s">
        <v>387</v>
      </c>
      <c r="B241" s="8" t="s">
        <v>388</v>
      </c>
      <c r="C241" s="21" t="s">
        <v>389</v>
      </c>
      <c r="D241" s="10" t="s">
        <v>21</v>
      </c>
      <c r="E241" s="11" t="s">
        <v>390</v>
      </c>
      <c r="F241" s="11" t="s">
        <v>391</v>
      </c>
      <c r="G241" s="12">
        <v>42867</v>
      </c>
      <c r="H241" s="11" t="s">
        <v>24</v>
      </c>
      <c r="I241" s="11" t="s">
        <v>392</v>
      </c>
      <c r="J241" s="11" t="s">
        <v>393</v>
      </c>
      <c r="K241" s="11" t="s">
        <v>394</v>
      </c>
      <c r="L241" s="23">
        <v>1064615087</v>
      </c>
      <c r="M241" s="14">
        <v>672093137</v>
      </c>
      <c r="N241" s="14">
        <v>392521950</v>
      </c>
      <c r="O241" s="14">
        <v>2304288140</v>
      </c>
      <c r="P241" s="14">
        <v>25053659</v>
      </c>
      <c r="Q241" s="14">
        <v>30627192</v>
      </c>
      <c r="R241" s="14">
        <v>23488574</v>
      </c>
      <c r="S241" s="15">
        <v>5895406</v>
      </c>
      <c r="T241" s="15">
        <v>4979</v>
      </c>
      <c r="U241" s="15">
        <f>2183789+77655</f>
        <v>2261444</v>
      </c>
      <c r="V241" s="15">
        <f>146991+20000*3+5000*2</f>
        <v>216991</v>
      </c>
      <c r="W241" s="15">
        <v>0</v>
      </c>
      <c r="X241" s="15">
        <v>0</v>
      </c>
      <c r="Z241" s="15">
        <f>456207+101525+29130</f>
        <v>586862</v>
      </c>
      <c r="AA241" s="15">
        <v>0</v>
      </c>
      <c r="AB241" s="74">
        <f t="shared" si="171"/>
        <v>3065297</v>
      </c>
      <c r="AC241" s="75">
        <f t="shared" si="172"/>
        <v>51.994671783419157</v>
      </c>
      <c r="AD241" s="75">
        <f t="shared" si="173"/>
        <v>55.211733213389685</v>
      </c>
      <c r="AE241" s="76">
        <f t="shared" si="212"/>
        <v>1.6563519964016904</v>
      </c>
      <c r="AF241" s="77">
        <f t="shared" si="174"/>
        <v>42.075642394006415</v>
      </c>
      <c r="AG241" s="77">
        <f t="shared" si="175"/>
        <v>52.038621308777792</v>
      </c>
      <c r="AH241" s="77">
        <f t="shared" si="176"/>
        <v>9.9629789147713765</v>
      </c>
      <c r="AI241" s="78">
        <f t="shared" si="177"/>
        <v>100</v>
      </c>
      <c r="AJ241" s="79">
        <f t="shared" si="213"/>
        <v>4</v>
      </c>
      <c r="AK241" s="113">
        <v>5</v>
      </c>
      <c r="AL241" s="113">
        <v>4</v>
      </c>
      <c r="AM241" s="113">
        <v>1</v>
      </c>
      <c r="AN241" s="81">
        <f t="shared" si="178"/>
        <v>9</v>
      </c>
      <c r="AO241" s="82">
        <f t="shared" si="179"/>
        <v>11.111111111111111</v>
      </c>
      <c r="AP241" s="83">
        <f t="shared" si="180"/>
        <v>80</v>
      </c>
      <c r="AQ241" s="84">
        <f t="shared" si="214"/>
        <v>1.6</v>
      </c>
      <c r="AR241" s="118">
        <v>1</v>
      </c>
      <c r="AS241" s="86">
        <f t="shared" si="181"/>
        <v>0.25</v>
      </c>
      <c r="AT241" s="87">
        <f t="shared" si="182"/>
        <v>1.25</v>
      </c>
      <c r="AU241" s="87">
        <f t="shared" si="183"/>
        <v>1</v>
      </c>
      <c r="AV241" s="88">
        <f t="shared" si="184"/>
        <v>0</v>
      </c>
      <c r="AW241" s="78">
        <f t="shared" si="185"/>
        <v>40</v>
      </c>
      <c r="AX241" s="89">
        <f t="shared" si="215"/>
        <v>0.4</v>
      </c>
      <c r="AY241" s="114">
        <v>3</v>
      </c>
      <c r="AZ241" s="114">
        <v>3</v>
      </c>
      <c r="BA241" s="91">
        <f t="shared" si="186"/>
        <v>3</v>
      </c>
      <c r="BB241" s="77">
        <f t="shared" si="187"/>
        <v>100</v>
      </c>
      <c r="BC241" s="78">
        <f t="shared" si="188"/>
        <v>100</v>
      </c>
      <c r="BD241" s="79">
        <f t="shared" si="216"/>
        <v>1</v>
      </c>
      <c r="BE241" s="92">
        <v>27598502</v>
      </c>
      <c r="BF241" s="92">
        <v>2170286</v>
      </c>
      <c r="BG241" s="93">
        <v>0</v>
      </c>
      <c r="BH241" s="94">
        <f t="shared" si="189"/>
        <v>29768788</v>
      </c>
      <c r="BI241" s="77">
        <f t="shared" si="190"/>
        <v>0</v>
      </c>
      <c r="BJ241" s="95" t="str">
        <f t="shared" si="191"/>
        <v>비제조/서비스업</v>
      </c>
      <c r="BK241" s="96">
        <f t="shared" si="192"/>
        <v>1.7464434573900922</v>
      </c>
      <c r="BL241" s="97">
        <f t="shared" si="193"/>
        <v>-1.7464434573900922</v>
      </c>
      <c r="BM241" s="98">
        <f t="shared" si="194"/>
        <v>80</v>
      </c>
      <c r="BN241" s="99">
        <f t="shared" si="195"/>
        <v>1.6</v>
      </c>
      <c r="BO241" s="114">
        <v>0</v>
      </c>
      <c r="BP241" s="101">
        <f t="shared" si="196"/>
        <v>0</v>
      </c>
      <c r="BQ241" s="78">
        <f t="shared" si="197"/>
        <v>25</v>
      </c>
      <c r="BR241" s="79">
        <f t="shared" si="217"/>
        <v>0.5</v>
      </c>
      <c r="BS241" s="102">
        <v>26842613.916999999</v>
      </c>
      <c r="BT241" s="102">
        <v>308877.06</v>
      </c>
      <c r="BU241" s="103">
        <f t="shared" si="198"/>
        <v>26533736.857000001</v>
      </c>
      <c r="BV241" s="77">
        <f t="shared" si="199"/>
        <v>1.1514938777144423</v>
      </c>
      <c r="BW241" s="96">
        <f t="shared" si="200"/>
        <v>2.8482825397737606</v>
      </c>
      <c r="BX241" s="96">
        <f t="shared" si="201"/>
        <v>2.8790917636930513</v>
      </c>
      <c r="BY241" s="96">
        <f t="shared" si="202"/>
        <v>5.5697595856656807</v>
      </c>
      <c r="BZ241" s="96">
        <f t="shared" si="203"/>
        <v>61.968099361638586</v>
      </c>
      <c r="CA241" s="96">
        <f t="shared" si="204"/>
        <v>40</v>
      </c>
      <c r="CB241" s="104">
        <f t="shared" si="205"/>
        <v>0.8</v>
      </c>
      <c r="CC241" s="105">
        <f t="shared" si="218"/>
        <v>171.22434477868055</v>
      </c>
      <c r="CD241" s="106">
        <f t="shared" si="219"/>
        <v>35.845096188939493</v>
      </c>
      <c r="CE241" s="107">
        <f t="shared" si="220"/>
        <v>0.53767644283409233</v>
      </c>
      <c r="CF241" s="108" t="s">
        <v>2189</v>
      </c>
      <c r="CG241" s="108" t="s">
        <v>2189</v>
      </c>
      <c r="CH241" s="108" t="s">
        <v>2189</v>
      </c>
      <c r="CI241" s="108" t="s">
        <v>2189</v>
      </c>
      <c r="CJ241" s="109"/>
      <c r="CK241" s="116" t="s">
        <v>2199</v>
      </c>
      <c r="CL241" s="116" t="s">
        <v>2193</v>
      </c>
      <c r="CM241" s="111">
        <f t="shared" si="206"/>
        <v>25</v>
      </c>
      <c r="CN241" s="107">
        <f t="shared" si="221"/>
        <v>0.375</v>
      </c>
      <c r="CO241" s="114">
        <f>14028000-800000-1028000-10932000</f>
        <v>1268000</v>
      </c>
      <c r="CP241" s="88">
        <f t="shared" si="207"/>
        <v>0.32303925933314048</v>
      </c>
      <c r="CQ241" s="78">
        <f t="shared" si="208"/>
        <v>100</v>
      </c>
      <c r="CR241" s="79">
        <f t="shared" si="222"/>
        <v>3</v>
      </c>
      <c r="CS241" s="92">
        <f>_xlfn.XLOOKUP(C241, '[1]1-1. 관계사체무보증금액 (환율 등)'!$3:$3, '[1]1-1. 관계사체무보증금액 (환율 등)'!$33:$33)</f>
        <v>707000</v>
      </c>
      <c r="CT241" s="77">
        <f t="shared" si="209"/>
        <v>0.18011731573227943</v>
      </c>
      <c r="CU241" s="78">
        <f t="shared" si="210"/>
        <v>100</v>
      </c>
      <c r="CV241" s="79">
        <f t="shared" si="223"/>
        <v>2</v>
      </c>
      <c r="CW241" s="112">
        <f t="shared" si="211"/>
        <v>17.469028439235785</v>
      </c>
    </row>
    <row r="242" spans="1:101" x14ac:dyDescent="0.35">
      <c r="A242" s="7" t="s">
        <v>2031</v>
      </c>
      <c r="B242" s="8" t="s">
        <v>2032</v>
      </c>
      <c r="C242" s="21" t="s">
        <v>2033</v>
      </c>
      <c r="D242" s="22" t="s">
        <v>75</v>
      </c>
      <c r="E242" s="11" t="s">
        <v>76</v>
      </c>
      <c r="F242" s="11" t="s">
        <v>2034</v>
      </c>
      <c r="G242" s="12">
        <v>39073</v>
      </c>
      <c r="H242" s="11" t="s">
        <v>24</v>
      </c>
      <c r="I242" s="11" t="s">
        <v>2035</v>
      </c>
      <c r="J242" s="11" t="s">
        <v>2036</v>
      </c>
      <c r="K242" s="11" t="s">
        <v>50</v>
      </c>
      <c r="L242" s="23">
        <v>554634238</v>
      </c>
      <c r="M242" s="14">
        <v>196390631</v>
      </c>
      <c r="N242" s="14">
        <v>358243607</v>
      </c>
      <c r="O242" s="14">
        <v>413339538</v>
      </c>
      <c r="P242" s="14">
        <v>76175846</v>
      </c>
      <c r="Q242" s="14">
        <v>71041699</v>
      </c>
      <c r="R242" s="14">
        <v>55937358</v>
      </c>
      <c r="S242" s="15">
        <v>94352104</v>
      </c>
      <c r="T242" s="15">
        <v>94</v>
      </c>
      <c r="U242" s="15">
        <f>21026085</f>
        <v>21026085</v>
      </c>
      <c r="V242" s="15">
        <f>11656975+78997+75848+45200+87000+13370</f>
        <v>11957390</v>
      </c>
      <c r="W242" s="15">
        <f>60000</f>
        <v>60000</v>
      </c>
      <c r="X242" s="15">
        <v>0</v>
      </c>
      <c r="Z242" s="15">
        <f>6297329+4141992+388824+292833+368873+454419+73684</f>
        <v>12017954</v>
      </c>
      <c r="AA242" s="15">
        <f>368873+195734+73684</f>
        <v>638291</v>
      </c>
      <c r="AB242" s="74">
        <f t="shared" si="171"/>
        <v>45061429</v>
      </c>
      <c r="AC242" s="75">
        <f t="shared" si="172"/>
        <v>47.758796136650012</v>
      </c>
      <c r="AD242" s="75">
        <f t="shared" si="173"/>
        <v>58.867552241096078</v>
      </c>
      <c r="AE242" s="76">
        <f t="shared" si="212"/>
        <v>1.7660265672328823</v>
      </c>
      <c r="AF242" s="77">
        <f t="shared" si="174"/>
        <v>35.195994089189867</v>
      </c>
      <c r="AG242" s="77">
        <f t="shared" si="175"/>
        <v>47.403025377746452</v>
      </c>
      <c r="AH242" s="77">
        <f t="shared" si="176"/>
        <v>12.207031288556585</v>
      </c>
      <c r="AI242" s="78">
        <f t="shared" si="177"/>
        <v>80</v>
      </c>
      <c r="AJ242" s="79">
        <f t="shared" si="213"/>
        <v>3.2</v>
      </c>
      <c r="AK242" s="113">
        <v>5</v>
      </c>
      <c r="AL242" s="113">
        <v>11</v>
      </c>
      <c r="AM242" s="113">
        <v>2</v>
      </c>
      <c r="AN242" s="81">
        <f t="shared" si="178"/>
        <v>16</v>
      </c>
      <c r="AO242" s="82">
        <f t="shared" si="179"/>
        <v>12.5</v>
      </c>
      <c r="AP242" s="83">
        <f t="shared" si="180"/>
        <v>80</v>
      </c>
      <c r="AQ242" s="84">
        <f t="shared" si="214"/>
        <v>1.6</v>
      </c>
      <c r="AR242" s="118">
        <v>1</v>
      </c>
      <c r="AS242" s="86">
        <f t="shared" si="181"/>
        <v>0.25</v>
      </c>
      <c r="AT242" s="87">
        <f t="shared" si="182"/>
        <v>1.25</v>
      </c>
      <c r="AU242" s="87">
        <f t="shared" si="183"/>
        <v>1</v>
      </c>
      <c r="AV242" s="88">
        <f t="shared" si="184"/>
        <v>0</v>
      </c>
      <c r="AW242" s="78">
        <f t="shared" si="185"/>
        <v>40</v>
      </c>
      <c r="AX242" s="89">
        <f t="shared" si="215"/>
        <v>0.4</v>
      </c>
      <c r="AY242" s="114">
        <v>19</v>
      </c>
      <c r="AZ242" s="114">
        <v>19</v>
      </c>
      <c r="BA242" s="91">
        <f t="shared" si="186"/>
        <v>19</v>
      </c>
      <c r="BB242" s="77">
        <f t="shared" si="187"/>
        <v>100</v>
      </c>
      <c r="BC242" s="78">
        <f t="shared" si="188"/>
        <v>100</v>
      </c>
      <c r="BD242" s="79">
        <f t="shared" si="216"/>
        <v>1</v>
      </c>
      <c r="BE242" s="92">
        <v>8427666</v>
      </c>
      <c r="BF242" s="92">
        <v>657310</v>
      </c>
      <c r="BG242" s="93">
        <v>0</v>
      </c>
      <c r="BH242" s="94">
        <f t="shared" si="189"/>
        <v>9084976</v>
      </c>
      <c r="BI242" s="77">
        <f t="shared" si="190"/>
        <v>0</v>
      </c>
      <c r="BJ242" s="95" t="str">
        <f t="shared" si="191"/>
        <v>금속/비금속/화학업</v>
      </c>
      <c r="BK242" s="96">
        <f t="shared" si="192"/>
        <v>3.9534118626990469</v>
      </c>
      <c r="BL242" s="97">
        <f t="shared" si="193"/>
        <v>-3.9534118626990469</v>
      </c>
      <c r="BM242" s="98">
        <f t="shared" si="194"/>
        <v>100</v>
      </c>
      <c r="BN242" s="99">
        <f t="shared" si="195"/>
        <v>2</v>
      </c>
      <c r="BO242" s="114">
        <f>10076000-1645000</f>
        <v>8431000</v>
      </c>
      <c r="BP242" s="101">
        <f t="shared" si="196"/>
        <v>2.0397274455752648</v>
      </c>
      <c r="BQ242" s="78">
        <f t="shared" si="197"/>
        <v>85</v>
      </c>
      <c r="BR242" s="79">
        <f t="shared" si="217"/>
        <v>1.7</v>
      </c>
      <c r="BS242" s="102">
        <v>105524446.617</v>
      </c>
      <c r="BT242" s="102">
        <v>860819.98199999996</v>
      </c>
      <c r="BU242" s="103">
        <f t="shared" si="198"/>
        <v>104663626.63500001</v>
      </c>
      <c r="BV242" s="77">
        <f t="shared" si="199"/>
        <v>25.321465045765841</v>
      </c>
      <c r="BW242" s="96">
        <f t="shared" si="200"/>
        <v>5.1474158565187738</v>
      </c>
      <c r="BX242" s="96">
        <f t="shared" si="201"/>
        <v>406.99226069016026</v>
      </c>
      <c r="BY242" s="96">
        <f t="shared" si="202"/>
        <v>6.6930498535228535</v>
      </c>
      <c r="BZ242" s="96">
        <f t="shared" si="203"/>
        <v>0.12883793511470065</v>
      </c>
      <c r="CA242" s="96">
        <f t="shared" si="204"/>
        <v>100</v>
      </c>
      <c r="CB242" s="104">
        <f t="shared" si="205"/>
        <v>2</v>
      </c>
      <c r="CC242" s="105">
        <f t="shared" si="218"/>
        <v>54.820414701775825</v>
      </c>
      <c r="CD242" s="106">
        <f t="shared" si="219"/>
        <v>79.715924107370924</v>
      </c>
      <c r="CE242" s="107">
        <f t="shared" si="220"/>
        <v>1.1957388616105638</v>
      </c>
      <c r="CF242" s="108" t="s">
        <v>2189</v>
      </c>
      <c r="CG242" s="108" t="s">
        <v>2189</v>
      </c>
      <c r="CH242" s="108" t="s">
        <v>2189</v>
      </c>
      <c r="CI242" s="108" t="s">
        <v>2189</v>
      </c>
      <c r="CJ242" s="109"/>
      <c r="CK242" s="116" t="s">
        <v>2208</v>
      </c>
      <c r="CL242" s="116" t="s">
        <v>2209</v>
      </c>
      <c r="CM242" s="111">
        <f t="shared" si="206"/>
        <v>40</v>
      </c>
      <c r="CN242" s="107">
        <f t="shared" si="221"/>
        <v>0.6</v>
      </c>
      <c r="CO242" s="114">
        <f>39996508+519000+92271447</f>
        <v>132786955</v>
      </c>
      <c r="CP242" s="88">
        <f t="shared" si="207"/>
        <v>37.066105969617489</v>
      </c>
      <c r="CQ242" s="78">
        <f t="shared" si="208"/>
        <v>40</v>
      </c>
      <c r="CR242" s="79">
        <f t="shared" si="222"/>
        <v>1.2</v>
      </c>
      <c r="CS242" s="92">
        <f>_xlfn.XLOOKUP(C242, '[1]1-1. 관계사체무보증금액 (환율 등)'!$3:$3, '[1]1-1. 관계사체무보증금액 (환율 등)'!$33:$33)</f>
        <v>219843068.20358908</v>
      </c>
      <c r="CT242" s="77">
        <f t="shared" si="209"/>
        <v>61.366920136997472</v>
      </c>
      <c r="CU242" s="78">
        <f t="shared" si="210"/>
        <v>40</v>
      </c>
      <c r="CV242" s="79">
        <f t="shared" si="223"/>
        <v>0.8</v>
      </c>
      <c r="CW242" s="112">
        <f t="shared" si="211"/>
        <v>17.461765428843446</v>
      </c>
    </row>
    <row r="243" spans="1:101" x14ac:dyDescent="0.35">
      <c r="A243" s="7" t="s">
        <v>838</v>
      </c>
      <c r="B243" s="8" t="s">
        <v>839</v>
      </c>
      <c r="C243" s="21" t="s">
        <v>840</v>
      </c>
      <c r="D243" s="10" t="s">
        <v>31</v>
      </c>
      <c r="E243" s="11" t="s">
        <v>841</v>
      </c>
      <c r="F243" s="11" t="s">
        <v>842</v>
      </c>
      <c r="G243" s="12">
        <v>32658</v>
      </c>
      <c r="H243" s="11" t="s">
        <v>843</v>
      </c>
      <c r="I243" s="11" t="s">
        <v>844</v>
      </c>
      <c r="J243" s="11" t="s">
        <v>845</v>
      </c>
      <c r="K243" s="11" t="s">
        <v>27</v>
      </c>
      <c r="L243" s="23">
        <v>241989773</v>
      </c>
      <c r="M243" s="14">
        <v>40624252</v>
      </c>
      <c r="N243" s="14">
        <v>201365521</v>
      </c>
      <c r="O243" s="14">
        <v>93315362</v>
      </c>
      <c r="P243" s="14">
        <v>2071431</v>
      </c>
      <c r="Q243" s="14">
        <v>7052481</v>
      </c>
      <c r="R243" s="14">
        <v>5569068</v>
      </c>
      <c r="S243" s="15">
        <v>42314090</v>
      </c>
      <c r="T243" s="15">
        <v>5916881</v>
      </c>
      <c r="U243" s="15">
        <v>15682097</v>
      </c>
      <c r="V243" s="15">
        <f>77360+6000+1103+169074</f>
        <v>253537</v>
      </c>
      <c r="W243" s="15">
        <f>8539+6853+6794+2116+853+1000</f>
        <v>26155</v>
      </c>
      <c r="X243" s="15">
        <v>0</v>
      </c>
      <c r="Z243" s="15">
        <v>568145</v>
      </c>
      <c r="AA243" s="15">
        <v>0</v>
      </c>
      <c r="AB243" s="74">
        <f t="shared" si="171"/>
        <v>16529934</v>
      </c>
      <c r="AC243" s="75">
        <f t="shared" si="172"/>
        <v>39.064845775957842</v>
      </c>
      <c r="AD243" s="75">
        <f t="shared" si="173"/>
        <v>66.370961643304526</v>
      </c>
      <c r="AE243" s="76">
        <f t="shared" si="212"/>
        <v>1.9911288492991357</v>
      </c>
      <c r="AF243" s="77">
        <f t="shared" si="174"/>
        <v>43.782571350457118</v>
      </c>
      <c r="AG243" s="77">
        <f t="shared" si="175"/>
        <v>45.41538885577738</v>
      </c>
      <c r="AH243" s="77">
        <f t="shared" si="176"/>
        <v>1.6328175053202614</v>
      </c>
      <c r="AI243" s="78">
        <f t="shared" si="177"/>
        <v>100</v>
      </c>
      <c r="AJ243" s="79">
        <f t="shared" si="213"/>
        <v>4</v>
      </c>
      <c r="AK243" s="113">
        <v>8</v>
      </c>
      <c r="AL243" s="113">
        <v>3</v>
      </c>
      <c r="AM243" s="113">
        <v>1</v>
      </c>
      <c r="AN243" s="81">
        <f t="shared" si="178"/>
        <v>11</v>
      </c>
      <c r="AO243" s="82">
        <f t="shared" si="179"/>
        <v>9.0909090909090917</v>
      </c>
      <c r="AP243" s="83">
        <f t="shared" si="180"/>
        <v>100</v>
      </c>
      <c r="AQ243" s="84">
        <f t="shared" si="214"/>
        <v>2</v>
      </c>
      <c r="AR243" s="118">
        <v>1</v>
      </c>
      <c r="AS243" s="86">
        <f t="shared" si="181"/>
        <v>0.25</v>
      </c>
      <c r="AT243" s="87">
        <f t="shared" si="182"/>
        <v>2</v>
      </c>
      <c r="AU243" s="87">
        <f t="shared" si="183"/>
        <v>2</v>
      </c>
      <c r="AV243" s="88">
        <f t="shared" si="184"/>
        <v>-12.5</v>
      </c>
      <c r="AW243" s="78">
        <f t="shared" si="185"/>
        <v>20</v>
      </c>
      <c r="AX243" s="89">
        <f t="shared" si="215"/>
        <v>0.2</v>
      </c>
      <c r="AY243" s="114">
        <v>13</v>
      </c>
      <c r="AZ243" s="114">
        <v>13</v>
      </c>
      <c r="BA243" s="91">
        <f t="shared" si="186"/>
        <v>13</v>
      </c>
      <c r="BB243" s="77">
        <f t="shared" si="187"/>
        <v>100</v>
      </c>
      <c r="BC243" s="78">
        <f t="shared" si="188"/>
        <v>100</v>
      </c>
      <c r="BD243" s="79">
        <f t="shared" si="216"/>
        <v>1</v>
      </c>
      <c r="BE243" s="92">
        <v>3671895</v>
      </c>
      <c r="BF243" s="92">
        <v>463624</v>
      </c>
      <c r="BG243" s="114">
        <v>131388</v>
      </c>
      <c r="BH243" s="94">
        <f t="shared" si="189"/>
        <v>4135519</v>
      </c>
      <c r="BI243" s="77">
        <f t="shared" si="190"/>
        <v>3.1770619358779397</v>
      </c>
      <c r="BJ243" s="95" t="str">
        <f t="shared" si="191"/>
        <v>식약/섬유/종이업</v>
      </c>
      <c r="BK243" s="96">
        <f t="shared" si="192"/>
        <v>2.1999360555264453</v>
      </c>
      <c r="BL243" s="97">
        <f t="shared" si="193"/>
        <v>0.97712588035149439</v>
      </c>
      <c r="BM243" s="98">
        <f t="shared" si="194"/>
        <v>60</v>
      </c>
      <c r="BN243" s="99">
        <f t="shared" si="195"/>
        <v>1.2</v>
      </c>
      <c r="BO243" s="114">
        <v>224303</v>
      </c>
      <c r="BP243" s="101">
        <f t="shared" si="196"/>
        <v>0.24037092627899789</v>
      </c>
      <c r="BQ243" s="78">
        <f t="shared" si="197"/>
        <v>55</v>
      </c>
      <c r="BR243" s="79">
        <f t="shared" si="217"/>
        <v>1.1000000000000001</v>
      </c>
      <c r="BS243" s="102">
        <v>2012981.5079999999</v>
      </c>
      <c r="BT243" s="102">
        <v>12875.555</v>
      </c>
      <c r="BU243" s="103">
        <f t="shared" si="198"/>
        <v>2000105.953</v>
      </c>
      <c r="BV243" s="77">
        <f t="shared" si="199"/>
        <v>2.1433833723969267</v>
      </c>
      <c r="BW243" s="96">
        <f t="shared" si="200"/>
        <v>5.0508176117342298</v>
      </c>
      <c r="BX243" s="96">
        <f t="shared" si="201"/>
        <v>8.4531738560708831</v>
      </c>
      <c r="BY243" s="96">
        <f t="shared" si="202"/>
        <v>6.9871618081220923</v>
      </c>
      <c r="BZ243" s="96">
        <f t="shared" si="203"/>
        <v>66.133557553785167</v>
      </c>
      <c r="CA243" s="96">
        <f t="shared" si="204"/>
        <v>40</v>
      </c>
      <c r="CB243" s="104">
        <f t="shared" si="205"/>
        <v>0.8</v>
      </c>
      <c r="CC243" s="105">
        <f t="shared" si="218"/>
        <v>20.174383279846602</v>
      </c>
      <c r="CD243" s="106">
        <f t="shared" si="219"/>
        <v>92.773473638248774</v>
      </c>
      <c r="CE243" s="107">
        <f t="shared" si="220"/>
        <v>1.3916021045737315</v>
      </c>
      <c r="CF243" s="108" t="s">
        <v>2189</v>
      </c>
      <c r="CG243" s="108" t="s">
        <v>2189</v>
      </c>
      <c r="CH243" s="108" t="s">
        <v>2189</v>
      </c>
      <c r="CI243" s="108" t="s">
        <v>2189</v>
      </c>
      <c r="CJ243" s="109"/>
      <c r="CK243" s="116" t="s">
        <v>2199</v>
      </c>
      <c r="CL243" s="116" t="s">
        <v>2193</v>
      </c>
      <c r="CM243" s="111">
        <f t="shared" si="206"/>
        <v>25</v>
      </c>
      <c r="CN243" s="107">
        <f t="shared" si="221"/>
        <v>0.375</v>
      </c>
      <c r="CO243" s="114">
        <f>25361000+2269000</f>
        <v>27630000</v>
      </c>
      <c r="CP243" s="88">
        <f t="shared" si="207"/>
        <v>13.721316272411899</v>
      </c>
      <c r="CQ243" s="78">
        <f t="shared" si="208"/>
        <v>60</v>
      </c>
      <c r="CR243" s="79">
        <f t="shared" si="222"/>
        <v>1.7999999999999998</v>
      </c>
      <c r="CS243" s="92">
        <f>_xlfn.XLOOKUP(C243, '[1]1-1. 관계사체무보증금액 (환율 등)'!$3:$3, '[1]1-1. 관계사체무보증금액 (환율 등)'!$33:$33)</f>
        <v>6329113.9240506319</v>
      </c>
      <c r="CT243" s="77">
        <f t="shared" si="209"/>
        <v>3.1430971363020141</v>
      </c>
      <c r="CU243" s="78">
        <f t="shared" si="210"/>
        <v>80</v>
      </c>
      <c r="CV243" s="79">
        <f t="shared" si="223"/>
        <v>1.6</v>
      </c>
      <c r="CW243" s="112">
        <f t="shared" si="211"/>
        <v>17.457730953872868</v>
      </c>
    </row>
    <row r="244" spans="1:101" x14ac:dyDescent="0.35">
      <c r="A244" s="7" t="s">
        <v>1548</v>
      </c>
      <c r="B244" s="8" t="s">
        <v>1549</v>
      </c>
      <c r="C244" s="21" t="s">
        <v>1550</v>
      </c>
      <c r="D244" s="22" t="s">
        <v>21</v>
      </c>
      <c r="E244" s="11" t="s">
        <v>1551</v>
      </c>
      <c r="F244" s="11" t="s">
        <v>1552</v>
      </c>
      <c r="G244" s="12">
        <v>44482</v>
      </c>
      <c r="H244" s="11" t="s">
        <v>24</v>
      </c>
      <c r="I244" s="11" t="s">
        <v>1553</v>
      </c>
      <c r="J244" s="11" t="s">
        <v>1554</v>
      </c>
      <c r="K244" s="11" t="s">
        <v>27</v>
      </c>
      <c r="L244" s="23">
        <v>534356691</v>
      </c>
      <c r="M244" s="14">
        <v>288535624</v>
      </c>
      <c r="N244" s="14">
        <v>245821067</v>
      </c>
      <c r="O244" s="14">
        <v>2177261974</v>
      </c>
      <c r="P244" s="14">
        <v>50047663</v>
      </c>
      <c r="Q244" s="14">
        <v>39570210</v>
      </c>
      <c r="R244" s="14">
        <v>30363689</v>
      </c>
      <c r="S244" s="15">
        <v>48086533</v>
      </c>
      <c r="T244" s="15">
        <v>0</v>
      </c>
      <c r="U244" s="15">
        <v>34622302</v>
      </c>
      <c r="V244" s="15">
        <v>0</v>
      </c>
      <c r="W244" s="15">
        <f>10000+138+2000</f>
        <v>12138</v>
      </c>
      <c r="X244" s="15">
        <v>0</v>
      </c>
      <c r="Z244" s="15">
        <v>0</v>
      </c>
      <c r="AA244" s="15">
        <v>0</v>
      </c>
      <c r="AB244" s="74">
        <f t="shared" si="171"/>
        <v>34634440</v>
      </c>
      <c r="AC244" s="75">
        <f t="shared" si="172"/>
        <v>72.0252383344002</v>
      </c>
      <c r="AD244" s="75">
        <f t="shared" si="173"/>
        <v>37.92413262278464</v>
      </c>
      <c r="AE244" s="76">
        <f t="shared" si="212"/>
        <v>1.1377239786835391</v>
      </c>
      <c r="AF244" s="77">
        <f t="shared" si="174"/>
        <v>71.999996339931599</v>
      </c>
      <c r="AG244" s="77">
        <f t="shared" si="175"/>
        <v>72.0252383344002</v>
      </c>
      <c r="AH244" s="77">
        <f t="shared" si="176"/>
        <v>2.5241994468601092E-2</v>
      </c>
      <c r="AI244" s="78">
        <f t="shared" si="177"/>
        <v>100</v>
      </c>
      <c r="AJ244" s="79">
        <f t="shared" si="213"/>
        <v>4</v>
      </c>
      <c r="AK244" s="113">
        <v>8</v>
      </c>
      <c r="AL244" s="113">
        <v>10</v>
      </c>
      <c r="AM244" s="113">
        <v>0</v>
      </c>
      <c r="AN244" s="81">
        <f t="shared" si="178"/>
        <v>18</v>
      </c>
      <c r="AO244" s="82">
        <f t="shared" si="179"/>
        <v>0</v>
      </c>
      <c r="AP244" s="83">
        <f t="shared" si="180"/>
        <v>100</v>
      </c>
      <c r="AQ244" s="84">
        <f t="shared" si="214"/>
        <v>2</v>
      </c>
      <c r="AR244" s="118">
        <v>3</v>
      </c>
      <c r="AS244" s="86">
        <f t="shared" si="181"/>
        <v>0.25</v>
      </c>
      <c r="AT244" s="87">
        <f t="shared" si="182"/>
        <v>2</v>
      </c>
      <c r="AU244" s="87">
        <f t="shared" si="183"/>
        <v>2</v>
      </c>
      <c r="AV244" s="88">
        <f t="shared" si="184"/>
        <v>12.5</v>
      </c>
      <c r="AW244" s="78">
        <f t="shared" si="185"/>
        <v>60</v>
      </c>
      <c r="AX244" s="89">
        <f t="shared" si="215"/>
        <v>0.6</v>
      </c>
      <c r="AY244" s="114">
        <v>11</v>
      </c>
      <c r="AZ244" s="114">
        <v>33</v>
      </c>
      <c r="BA244" s="91">
        <f t="shared" si="186"/>
        <v>33</v>
      </c>
      <c r="BB244" s="77">
        <f t="shared" si="187"/>
        <v>100</v>
      </c>
      <c r="BC244" s="78">
        <f t="shared" si="188"/>
        <v>100</v>
      </c>
      <c r="BD244" s="79">
        <f t="shared" si="216"/>
        <v>1</v>
      </c>
      <c r="BE244" s="92">
        <v>63365779</v>
      </c>
      <c r="BF244" s="92">
        <v>4742777</v>
      </c>
      <c r="BG244" s="114">
        <v>1809531</v>
      </c>
      <c r="BH244" s="94">
        <f t="shared" si="189"/>
        <v>68108556</v>
      </c>
      <c r="BI244" s="77">
        <f t="shared" si="190"/>
        <v>2.6568335995847567</v>
      </c>
      <c r="BJ244" s="95" t="str">
        <f t="shared" si="191"/>
        <v>비제조/서비스업</v>
      </c>
      <c r="BK244" s="96">
        <f t="shared" si="192"/>
        <v>1.7464434573900922</v>
      </c>
      <c r="BL244" s="97">
        <f t="shared" si="193"/>
        <v>0.91039014219466452</v>
      </c>
      <c r="BM244" s="98">
        <f t="shared" si="194"/>
        <v>60</v>
      </c>
      <c r="BN244" s="99">
        <f t="shared" si="195"/>
        <v>1.2</v>
      </c>
      <c r="BO244" s="114">
        <v>0</v>
      </c>
      <c r="BP244" s="101">
        <f t="shared" si="196"/>
        <v>0</v>
      </c>
      <c r="BQ244" s="78">
        <f t="shared" si="197"/>
        <v>25</v>
      </c>
      <c r="BR244" s="79">
        <f t="shared" si="217"/>
        <v>0.5</v>
      </c>
      <c r="BS244" s="102">
        <v>4318691.665</v>
      </c>
      <c r="BT244" s="102">
        <v>20823.182000000001</v>
      </c>
      <c r="BU244" s="103">
        <f t="shared" si="198"/>
        <v>4297868.483</v>
      </c>
      <c r="BV244" s="77">
        <f t="shared" si="199"/>
        <v>0.19739785723185557</v>
      </c>
      <c r="BW244" s="96">
        <f t="shared" si="200"/>
        <v>2.8482825397737606</v>
      </c>
      <c r="BX244" s="96">
        <f t="shared" si="201"/>
        <v>7.0271896001352951</v>
      </c>
      <c r="BY244" s="96">
        <f t="shared" si="202"/>
        <v>5.5697595856656807</v>
      </c>
      <c r="BZ244" s="96">
        <f t="shared" si="203"/>
        <v>68.294228893027736</v>
      </c>
      <c r="CA244" s="96">
        <f t="shared" si="204"/>
        <v>40</v>
      </c>
      <c r="CB244" s="104">
        <f t="shared" si="205"/>
        <v>0.8</v>
      </c>
      <c r="CC244" s="105">
        <f t="shared" si="218"/>
        <v>117.37628004031077</v>
      </c>
      <c r="CD244" s="106">
        <f t="shared" si="219"/>
        <v>56.13959294963162</v>
      </c>
      <c r="CE244" s="107">
        <f t="shared" si="220"/>
        <v>0.84209389424447423</v>
      </c>
      <c r="CF244" s="108" t="s">
        <v>2189</v>
      </c>
      <c r="CG244" s="108" t="s">
        <v>2189</v>
      </c>
      <c r="CH244" s="108" t="s">
        <v>2189</v>
      </c>
      <c r="CI244" s="108" t="s">
        <v>2189</v>
      </c>
      <c r="CJ244" s="109"/>
      <c r="CK244" s="116" t="s">
        <v>2199</v>
      </c>
      <c r="CL244" s="116" t="s">
        <v>2193</v>
      </c>
      <c r="CM244" s="111">
        <f t="shared" si="206"/>
        <v>25</v>
      </c>
      <c r="CN244" s="107">
        <f t="shared" si="221"/>
        <v>0.375</v>
      </c>
      <c r="CO244" s="114">
        <v>0</v>
      </c>
      <c r="CP244" s="88">
        <f t="shared" si="207"/>
        <v>0</v>
      </c>
      <c r="CQ244" s="78">
        <f t="shared" si="208"/>
        <v>100</v>
      </c>
      <c r="CR244" s="79">
        <f t="shared" si="222"/>
        <v>3</v>
      </c>
      <c r="CS244" s="92">
        <f>_xlfn.XLOOKUP(C244, '[1]1-1. 관계사체무보증금액 (환율 등)'!$3:$3, '[1]1-1. 관계사체무보증금액 (환율 등)'!$33:$33)</f>
        <v>0</v>
      </c>
      <c r="CT244" s="77">
        <f t="shared" si="209"/>
        <v>0</v>
      </c>
      <c r="CU244" s="78">
        <f t="shared" si="210"/>
        <v>100</v>
      </c>
      <c r="CV244" s="79">
        <f t="shared" si="223"/>
        <v>2</v>
      </c>
      <c r="CW244" s="112">
        <f t="shared" si="211"/>
        <v>17.454817872928011</v>
      </c>
    </row>
    <row r="245" spans="1:101" x14ac:dyDescent="0.35">
      <c r="A245" s="7" t="s">
        <v>1357</v>
      </c>
      <c r="B245" s="8" t="s">
        <v>1358</v>
      </c>
      <c r="C245" s="21" t="s">
        <v>1359</v>
      </c>
      <c r="D245" s="10" t="s">
        <v>75</v>
      </c>
      <c r="E245" s="11" t="s">
        <v>106</v>
      </c>
      <c r="F245" s="11" t="s">
        <v>1360</v>
      </c>
      <c r="G245" s="12">
        <v>34929</v>
      </c>
      <c r="H245" s="11" t="s">
        <v>24</v>
      </c>
      <c r="I245" s="11" t="s">
        <v>1361</v>
      </c>
      <c r="J245" s="11" t="s">
        <v>1362</v>
      </c>
      <c r="K245" s="11" t="s">
        <v>50</v>
      </c>
      <c r="L245" s="23">
        <v>337212432</v>
      </c>
      <c r="M245" s="14">
        <v>209999598</v>
      </c>
      <c r="N245" s="14">
        <v>127212835</v>
      </c>
      <c r="O245" s="14">
        <v>429618752</v>
      </c>
      <c r="P245" s="14">
        <v>13690371</v>
      </c>
      <c r="Q245" s="14">
        <v>5164140</v>
      </c>
      <c r="R245" s="14">
        <v>5720773</v>
      </c>
      <c r="S245" s="15">
        <v>33442000</v>
      </c>
      <c r="T245" s="15">
        <v>1211</v>
      </c>
      <c r="U245" s="15">
        <v>8248217</v>
      </c>
      <c r="V245" s="15">
        <f>17025140-170000-15000-50000-8248217</f>
        <v>8541923</v>
      </c>
      <c r="W245" s="15">
        <f>50000+15000</f>
        <v>65000</v>
      </c>
      <c r="X245" s="15">
        <v>0</v>
      </c>
      <c r="Z245" s="15">
        <v>170000</v>
      </c>
      <c r="AA245" s="15">
        <v>0</v>
      </c>
      <c r="AB245" s="74">
        <f t="shared" si="171"/>
        <v>17025140</v>
      </c>
      <c r="AC245" s="75">
        <f t="shared" si="172"/>
        <v>50.909455176125832</v>
      </c>
      <c r="AD245" s="75">
        <f t="shared" si="173"/>
        <v>56.148341332457569</v>
      </c>
      <c r="AE245" s="76">
        <f t="shared" si="212"/>
        <v>1.6844502399737271</v>
      </c>
      <c r="AF245" s="77">
        <f t="shared" si="174"/>
        <v>50.208564157980838</v>
      </c>
      <c r="AG245" s="77">
        <f t="shared" si="175"/>
        <v>50.911298773482883</v>
      </c>
      <c r="AH245" s="77">
        <f t="shared" si="176"/>
        <v>0.7027346155020453</v>
      </c>
      <c r="AI245" s="78">
        <f t="shared" si="177"/>
        <v>100</v>
      </c>
      <c r="AJ245" s="79">
        <f t="shared" si="213"/>
        <v>4</v>
      </c>
      <c r="AK245" s="113">
        <v>9</v>
      </c>
      <c r="AL245" s="113">
        <v>2</v>
      </c>
      <c r="AM245" s="113">
        <v>1</v>
      </c>
      <c r="AN245" s="81">
        <f t="shared" si="178"/>
        <v>11</v>
      </c>
      <c r="AO245" s="82">
        <f t="shared" si="179"/>
        <v>9.0909090909090917</v>
      </c>
      <c r="AP245" s="83">
        <f t="shared" si="180"/>
        <v>100</v>
      </c>
      <c r="AQ245" s="84">
        <f t="shared" si="214"/>
        <v>2</v>
      </c>
      <c r="AR245" s="118">
        <v>3</v>
      </c>
      <c r="AS245" s="86">
        <f t="shared" si="181"/>
        <v>0.25</v>
      </c>
      <c r="AT245" s="87">
        <f t="shared" si="182"/>
        <v>2.25</v>
      </c>
      <c r="AU245" s="87">
        <f t="shared" si="183"/>
        <v>2</v>
      </c>
      <c r="AV245" s="88">
        <f t="shared" si="184"/>
        <v>11.111111111111111</v>
      </c>
      <c r="AW245" s="78">
        <f t="shared" si="185"/>
        <v>60</v>
      </c>
      <c r="AX245" s="89">
        <f t="shared" si="215"/>
        <v>0.6</v>
      </c>
      <c r="AY245" s="114">
        <v>31</v>
      </c>
      <c r="AZ245" s="114">
        <f>31*3-20</f>
        <v>73</v>
      </c>
      <c r="BA245" s="91">
        <f t="shared" si="186"/>
        <v>93</v>
      </c>
      <c r="BB245" s="77">
        <f t="shared" si="187"/>
        <v>78.494623655913969</v>
      </c>
      <c r="BC245" s="78">
        <f t="shared" si="188"/>
        <v>50</v>
      </c>
      <c r="BD245" s="79">
        <f t="shared" si="216"/>
        <v>0.5</v>
      </c>
      <c r="BE245" s="92">
        <v>1898143</v>
      </c>
      <c r="BF245" s="92">
        <v>130556</v>
      </c>
      <c r="BG245" s="114">
        <v>237422</v>
      </c>
      <c r="BH245" s="94">
        <f t="shared" si="189"/>
        <v>2028699</v>
      </c>
      <c r="BI245" s="77">
        <f t="shared" si="190"/>
        <v>11.703165427695286</v>
      </c>
      <c r="BJ245" s="95" t="str">
        <f t="shared" si="191"/>
        <v>금속/비금속/화학업</v>
      </c>
      <c r="BK245" s="96">
        <f t="shared" si="192"/>
        <v>3.9534118626990469</v>
      </c>
      <c r="BL245" s="97">
        <f t="shared" si="193"/>
        <v>7.7497535649962384</v>
      </c>
      <c r="BM245" s="98">
        <f t="shared" si="194"/>
        <v>40</v>
      </c>
      <c r="BN245" s="99">
        <f t="shared" si="195"/>
        <v>0.8</v>
      </c>
      <c r="BO245" s="114">
        <v>534919</v>
      </c>
      <c r="BP245" s="101">
        <f t="shared" si="196"/>
        <v>0.1245101610462292</v>
      </c>
      <c r="BQ245" s="78">
        <f t="shared" si="197"/>
        <v>55</v>
      </c>
      <c r="BR245" s="79">
        <f t="shared" si="217"/>
        <v>1.1000000000000001</v>
      </c>
      <c r="BS245" s="102">
        <v>5091157.7960000001</v>
      </c>
      <c r="BT245" s="102">
        <v>0</v>
      </c>
      <c r="BU245" s="103">
        <f t="shared" si="198"/>
        <v>5091157.7960000001</v>
      </c>
      <c r="BV245" s="77">
        <f t="shared" si="199"/>
        <v>1.1850408699106318</v>
      </c>
      <c r="BW245" s="96">
        <f t="shared" si="200"/>
        <v>5.1474158565187738</v>
      </c>
      <c r="BX245" s="96">
        <f t="shared" si="201"/>
        <v>15.700415534497873</v>
      </c>
      <c r="BY245" s="96">
        <f t="shared" si="202"/>
        <v>6.6930498535228535</v>
      </c>
      <c r="BZ245" s="96">
        <f t="shared" si="203"/>
        <v>72.307918165331373</v>
      </c>
      <c r="CA245" s="96">
        <f t="shared" si="204"/>
        <v>40</v>
      </c>
      <c r="CB245" s="104">
        <f t="shared" si="205"/>
        <v>0.8</v>
      </c>
      <c r="CC245" s="105">
        <f t="shared" si="218"/>
        <v>165.07736660377077</v>
      </c>
      <c r="CD245" s="106">
        <f t="shared" si="219"/>
        <v>38.161796506116545</v>
      </c>
      <c r="CE245" s="107">
        <f t="shared" si="220"/>
        <v>0.57242694759174817</v>
      </c>
      <c r="CF245" s="108" t="s">
        <v>2189</v>
      </c>
      <c r="CG245" s="108" t="s">
        <v>2189</v>
      </c>
      <c r="CH245" s="108" t="s">
        <v>2189</v>
      </c>
      <c r="CI245" s="108" t="s">
        <v>2189</v>
      </c>
      <c r="CJ245" s="109"/>
      <c r="CK245" s="116" t="s">
        <v>2192</v>
      </c>
      <c r="CL245" s="116" t="s">
        <v>2193</v>
      </c>
      <c r="CM245" s="111">
        <f t="shared" si="206"/>
        <v>25</v>
      </c>
      <c r="CN245" s="107">
        <f t="shared" si="221"/>
        <v>0.375</v>
      </c>
      <c r="CO245" s="114">
        <v>0</v>
      </c>
      <c r="CP245" s="88">
        <f t="shared" si="207"/>
        <v>0</v>
      </c>
      <c r="CQ245" s="78">
        <f t="shared" si="208"/>
        <v>100</v>
      </c>
      <c r="CR245" s="79">
        <f t="shared" si="222"/>
        <v>3</v>
      </c>
      <c r="CS245" s="92">
        <f>_xlfn.XLOOKUP(C245, '[1]1-1. 관계사체무보증금액 (환율 등)'!$3:$3, '[1]1-1. 관계사체무보증금액 (환율 등)'!$33:$33)</f>
        <v>0</v>
      </c>
      <c r="CT245" s="77">
        <f t="shared" si="209"/>
        <v>0</v>
      </c>
      <c r="CU245" s="78">
        <f t="shared" si="210"/>
        <v>100</v>
      </c>
      <c r="CV245" s="79">
        <f t="shared" si="223"/>
        <v>2</v>
      </c>
      <c r="CW245" s="112">
        <f t="shared" si="211"/>
        <v>17.431877187565476</v>
      </c>
    </row>
    <row r="246" spans="1:101" x14ac:dyDescent="0.35">
      <c r="A246" s="7" t="s">
        <v>598</v>
      </c>
      <c r="B246" s="8" t="s">
        <v>599</v>
      </c>
      <c r="C246" s="21" t="s">
        <v>600</v>
      </c>
      <c r="D246" s="22" t="s">
        <v>75</v>
      </c>
      <c r="E246" s="11" t="s">
        <v>114</v>
      </c>
      <c r="F246" s="11" t="s">
        <v>601</v>
      </c>
      <c r="G246" s="12">
        <v>38656</v>
      </c>
      <c r="H246" s="11" t="s">
        <v>24</v>
      </c>
      <c r="I246" s="11" t="s">
        <v>602</v>
      </c>
      <c r="J246" s="11" t="s">
        <v>603</v>
      </c>
      <c r="K246" s="11" t="s">
        <v>110</v>
      </c>
      <c r="L246" s="23">
        <v>970387263</v>
      </c>
      <c r="M246" s="14">
        <v>262154054</v>
      </c>
      <c r="N246" s="14">
        <v>708233209</v>
      </c>
      <c r="O246" s="14">
        <v>1283527751</v>
      </c>
      <c r="P246" s="14">
        <v>140978130</v>
      </c>
      <c r="Q246" s="14">
        <v>164027486</v>
      </c>
      <c r="R246" s="14">
        <v>128769206</v>
      </c>
      <c r="S246" s="15">
        <v>24646734</v>
      </c>
      <c r="T246" s="15">
        <v>6079741</v>
      </c>
      <c r="U246" s="15">
        <v>5265299</v>
      </c>
      <c r="V246" s="15">
        <f>443641+1272745+947247+271180+427335+222475+10875+103010+220449+428592+428592+428592+49500+37679+3480</f>
        <v>5295392</v>
      </c>
      <c r="W246" s="15">
        <v>0</v>
      </c>
      <c r="X246" s="15">
        <v>624430</v>
      </c>
      <c r="Y246" s="24" t="s">
        <v>2071</v>
      </c>
      <c r="Z246" s="15">
        <v>0</v>
      </c>
      <c r="AA246" s="15">
        <v>0</v>
      </c>
      <c r="AB246" s="74">
        <f t="shared" si="171"/>
        <v>11185121</v>
      </c>
      <c r="AC246" s="75">
        <f t="shared" si="172"/>
        <v>45.381757274614962</v>
      </c>
      <c r="AD246" s="75">
        <f t="shared" si="173"/>
        <v>60.91908175378456</v>
      </c>
      <c r="AE246" s="76">
        <f t="shared" si="212"/>
        <v>1.8275724526135368</v>
      </c>
      <c r="AF246" s="77">
        <f t="shared" si="174"/>
        <v>56.878844086384902</v>
      </c>
      <c r="AG246" s="77">
        <f t="shared" si="175"/>
        <v>60.241962713079069</v>
      </c>
      <c r="AH246" s="77">
        <f t="shared" si="176"/>
        <v>3.3631186266941668</v>
      </c>
      <c r="AI246" s="78">
        <f t="shared" si="177"/>
        <v>100</v>
      </c>
      <c r="AJ246" s="79">
        <f t="shared" si="213"/>
        <v>4</v>
      </c>
      <c r="AK246" s="113">
        <v>5</v>
      </c>
      <c r="AL246" s="113">
        <v>5</v>
      </c>
      <c r="AM246" s="113">
        <v>2</v>
      </c>
      <c r="AN246" s="81">
        <f t="shared" si="178"/>
        <v>10</v>
      </c>
      <c r="AO246" s="82">
        <f t="shared" si="179"/>
        <v>20</v>
      </c>
      <c r="AP246" s="83">
        <f t="shared" si="180"/>
        <v>60</v>
      </c>
      <c r="AQ246" s="84">
        <f t="shared" si="214"/>
        <v>1.2</v>
      </c>
      <c r="AR246" s="118">
        <v>1</v>
      </c>
      <c r="AS246" s="86">
        <f t="shared" si="181"/>
        <v>0.25</v>
      </c>
      <c r="AT246" s="87">
        <f t="shared" si="182"/>
        <v>1.25</v>
      </c>
      <c r="AU246" s="87">
        <f t="shared" si="183"/>
        <v>1</v>
      </c>
      <c r="AV246" s="88">
        <f t="shared" si="184"/>
        <v>0</v>
      </c>
      <c r="AW246" s="78">
        <f t="shared" si="185"/>
        <v>40</v>
      </c>
      <c r="AX246" s="89">
        <f t="shared" si="215"/>
        <v>0.4</v>
      </c>
      <c r="AY246" s="114">
        <v>21</v>
      </c>
      <c r="AZ246" s="114">
        <v>21</v>
      </c>
      <c r="BA246" s="91">
        <f t="shared" si="186"/>
        <v>21</v>
      </c>
      <c r="BB246" s="77">
        <f t="shared" si="187"/>
        <v>100</v>
      </c>
      <c r="BC246" s="78">
        <f t="shared" si="188"/>
        <v>100</v>
      </c>
      <c r="BD246" s="79">
        <f t="shared" si="216"/>
        <v>1</v>
      </c>
      <c r="BE246" s="92">
        <v>12437859</v>
      </c>
      <c r="BF246" s="92">
        <v>765263</v>
      </c>
      <c r="BG246" s="114">
        <v>797448</v>
      </c>
      <c r="BH246" s="94">
        <f t="shared" si="189"/>
        <v>13203122</v>
      </c>
      <c r="BI246" s="77">
        <f t="shared" si="190"/>
        <v>6.0398442126036551</v>
      </c>
      <c r="BJ246" s="95" t="str">
        <f t="shared" si="191"/>
        <v>금속/비금속/화학업</v>
      </c>
      <c r="BK246" s="96">
        <f t="shared" si="192"/>
        <v>3.9534118626990469</v>
      </c>
      <c r="BL246" s="97">
        <f t="shared" si="193"/>
        <v>2.0864323499046082</v>
      </c>
      <c r="BM246" s="98">
        <f t="shared" si="194"/>
        <v>40</v>
      </c>
      <c r="BN246" s="99">
        <f t="shared" si="195"/>
        <v>0.8</v>
      </c>
      <c r="BO246" s="114">
        <v>0</v>
      </c>
      <c r="BP246" s="101">
        <f t="shared" si="196"/>
        <v>0</v>
      </c>
      <c r="BQ246" s="78">
        <f t="shared" si="197"/>
        <v>25</v>
      </c>
      <c r="BR246" s="79">
        <f t="shared" si="217"/>
        <v>0.5</v>
      </c>
      <c r="BS246" s="102">
        <v>16527704.039999999</v>
      </c>
      <c r="BT246" s="102">
        <v>88585.273000000001</v>
      </c>
      <c r="BU246" s="103">
        <f t="shared" si="198"/>
        <v>16439118.766999999</v>
      </c>
      <c r="BV246" s="77">
        <f t="shared" si="199"/>
        <v>1.280776263247307</v>
      </c>
      <c r="BW246" s="96">
        <f t="shared" si="200"/>
        <v>5.1474158565187738</v>
      </c>
      <c r="BX246" s="96">
        <f t="shared" si="201"/>
        <v>14.950901744254534</v>
      </c>
      <c r="BY246" s="96">
        <f t="shared" si="202"/>
        <v>6.6930498535228535</v>
      </c>
      <c r="BZ246" s="96">
        <f t="shared" si="203"/>
        <v>71.826992382410026</v>
      </c>
      <c r="CA246" s="96">
        <f t="shared" si="204"/>
        <v>40</v>
      </c>
      <c r="CB246" s="104">
        <f t="shared" si="205"/>
        <v>0.8</v>
      </c>
      <c r="CC246" s="105">
        <f t="shared" si="218"/>
        <v>37.015216268967698</v>
      </c>
      <c r="CD246" s="106">
        <f t="shared" si="219"/>
        <v>86.426426029283533</v>
      </c>
      <c r="CE246" s="107">
        <f t="shared" si="220"/>
        <v>1.296396390439253</v>
      </c>
      <c r="CF246" s="108" t="s">
        <v>2189</v>
      </c>
      <c r="CG246" s="108" t="s">
        <v>2189</v>
      </c>
      <c r="CH246" s="108" t="s">
        <v>2189</v>
      </c>
      <c r="CI246" s="108" t="s">
        <v>2189</v>
      </c>
      <c r="CJ246" s="109"/>
      <c r="CK246" s="116" t="s">
        <v>2208</v>
      </c>
      <c r="CL246" s="116" t="s">
        <v>2209</v>
      </c>
      <c r="CM246" s="111">
        <f t="shared" si="206"/>
        <v>40</v>
      </c>
      <c r="CN246" s="107">
        <f t="shared" si="221"/>
        <v>0.6</v>
      </c>
      <c r="CO246" s="114">
        <v>0</v>
      </c>
      <c r="CP246" s="88">
        <f t="shared" si="207"/>
        <v>0</v>
      </c>
      <c r="CQ246" s="78">
        <f t="shared" si="208"/>
        <v>100</v>
      </c>
      <c r="CR246" s="79">
        <f t="shared" si="222"/>
        <v>3</v>
      </c>
      <c r="CS246" s="92">
        <f>_xlfn.XLOOKUP(C246, '[1]1-1. 관계사체무보증금액 (환율 등)'!$3:$3, '[1]1-1. 관계사체무보증금액 (환율 등)'!$33:$33)</f>
        <v>0</v>
      </c>
      <c r="CT246" s="77">
        <f t="shared" si="209"/>
        <v>0</v>
      </c>
      <c r="CU246" s="78">
        <f t="shared" si="210"/>
        <v>100</v>
      </c>
      <c r="CV246" s="79">
        <f t="shared" si="223"/>
        <v>2</v>
      </c>
      <c r="CW246" s="112">
        <f t="shared" si="211"/>
        <v>17.423968843052791</v>
      </c>
    </row>
    <row r="247" spans="1:101" x14ac:dyDescent="0.35">
      <c r="A247" s="7" t="s">
        <v>1234</v>
      </c>
      <c r="B247" s="8" t="s">
        <v>1235</v>
      </c>
      <c r="C247" s="21" t="s">
        <v>1236</v>
      </c>
      <c r="D247" s="10" t="s">
        <v>75</v>
      </c>
      <c r="E247" s="11" t="s">
        <v>76</v>
      </c>
      <c r="F247" s="11" t="s">
        <v>1237</v>
      </c>
      <c r="G247" s="12">
        <v>41169</v>
      </c>
      <c r="H247" s="11" t="s">
        <v>24</v>
      </c>
      <c r="I247" s="11" t="s">
        <v>1238</v>
      </c>
      <c r="J247" s="11" t="s">
        <v>1239</v>
      </c>
      <c r="K247" s="11" t="s">
        <v>27</v>
      </c>
      <c r="L247" s="23">
        <v>1062980988</v>
      </c>
      <c r="M247" s="14">
        <v>365498356</v>
      </c>
      <c r="N247" s="14">
        <v>697482632</v>
      </c>
      <c r="O247" s="14">
        <v>1712779790</v>
      </c>
      <c r="P247" s="14">
        <v>90523569</v>
      </c>
      <c r="Q247" s="14">
        <v>88392901</v>
      </c>
      <c r="R247" s="14">
        <v>56304809</v>
      </c>
      <c r="S247" s="15">
        <v>48648709</v>
      </c>
      <c r="T247" s="15">
        <v>476432</v>
      </c>
      <c r="U247" s="15">
        <f>315493+30274778</f>
        <v>30590271</v>
      </c>
      <c r="V247" s="15">
        <f>286652+231367+90309+1061812</f>
        <v>1670140</v>
      </c>
      <c r="W247" s="15">
        <v>0</v>
      </c>
      <c r="X247" s="15">
        <v>0</v>
      </c>
      <c r="Z247" s="15">
        <v>0</v>
      </c>
      <c r="AA247" s="15">
        <v>0</v>
      </c>
      <c r="AB247" s="74">
        <f t="shared" si="171"/>
        <v>32260411</v>
      </c>
      <c r="AC247" s="75">
        <f t="shared" si="172"/>
        <v>66.312984790613868</v>
      </c>
      <c r="AD247" s="75">
        <f t="shared" si="173"/>
        <v>42.854155819378136</v>
      </c>
      <c r="AE247" s="76">
        <f t="shared" si="212"/>
        <v>1.285624674581344</v>
      </c>
      <c r="AF247" s="77">
        <f t="shared" si="174"/>
        <v>66.96883147126303</v>
      </c>
      <c r="AG247" s="77">
        <f t="shared" si="175"/>
        <v>66.96883147126303</v>
      </c>
      <c r="AH247" s="77">
        <f t="shared" si="176"/>
        <v>0</v>
      </c>
      <c r="AI247" s="78">
        <f t="shared" si="177"/>
        <v>100</v>
      </c>
      <c r="AJ247" s="79">
        <f t="shared" si="213"/>
        <v>4</v>
      </c>
      <c r="AK247" s="113">
        <v>8</v>
      </c>
      <c r="AL247" s="113">
        <v>9</v>
      </c>
      <c r="AM247" s="113">
        <v>1</v>
      </c>
      <c r="AN247" s="81">
        <f t="shared" si="178"/>
        <v>17</v>
      </c>
      <c r="AO247" s="82">
        <f t="shared" si="179"/>
        <v>5.8823529411764701</v>
      </c>
      <c r="AP247" s="83">
        <f t="shared" si="180"/>
        <v>100</v>
      </c>
      <c r="AQ247" s="84">
        <f t="shared" si="214"/>
        <v>2</v>
      </c>
      <c r="AR247" s="118">
        <v>3</v>
      </c>
      <c r="AS247" s="86">
        <f t="shared" si="181"/>
        <v>0.25</v>
      </c>
      <c r="AT247" s="87">
        <f t="shared" si="182"/>
        <v>2</v>
      </c>
      <c r="AU247" s="87">
        <f t="shared" si="183"/>
        <v>2</v>
      </c>
      <c r="AV247" s="88">
        <f t="shared" si="184"/>
        <v>12.5</v>
      </c>
      <c r="AW247" s="78">
        <f t="shared" si="185"/>
        <v>60</v>
      </c>
      <c r="AX247" s="89">
        <f t="shared" si="215"/>
        <v>0.6</v>
      </c>
      <c r="AY247" s="114">
        <v>12</v>
      </c>
      <c r="AZ247" s="114">
        <f>12*3-4-1</f>
        <v>31</v>
      </c>
      <c r="BA247" s="91">
        <f t="shared" si="186"/>
        <v>36</v>
      </c>
      <c r="BB247" s="77">
        <f t="shared" si="187"/>
        <v>86.111111111111114</v>
      </c>
      <c r="BC247" s="78">
        <f t="shared" si="188"/>
        <v>75</v>
      </c>
      <c r="BD247" s="79">
        <f t="shared" si="216"/>
        <v>0.75</v>
      </c>
      <c r="BE247" s="92">
        <v>16722562</v>
      </c>
      <c r="BF247" s="92">
        <v>1325645</v>
      </c>
      <c r="BG247" s="114">
        <v>587789</v>
      </c>
      <c r="BH247" s="94">
        <f t="shared" si="189"/>
        <v>18048207</v>
      </c>
      <c r="BI247" s="77">
        <f t="shared" si="190"/>
        <v>3.2567722655219988</v>
      </c>
      <c r="BJ247" s="95" t="str">
        <f t="shared" si="191"/>
        <v>금속/비금속/화학업</v>
      </c>
      <c r="BK247" s="96">
        <f t="shared" si="192"/>
        <v>3.9534118626990469</v>
      </c>
      <c r="BL247" s="97">
        <f t="shared" si="193"/>
        <v>-0.69663959717704804</v>
      </c>
      <c r="BM247" s="98">
        <f t="shared" si="194"/>
        <v>80</v>
      </c>
      <c r="BN247" s="99">
        <f t="shared" si="195"/>
        <v>1.6</v>
      </c>
      <c r="BO247" s="114">
        <v>19323000</v>
      </c>
      <c r="BP247" s="101">
        <f t="shared" si="196"/>
        <v>1.1281660440423578</v>
      </c>
      <c r="BQ247" s="78">
        <f t="shared" si="197"/>
        <v>70</v>
      </c>
      <c r="BR247" s="79">
        <f t="shared" si="217"/>
        <v>1.4000000000000001</v>
      </c>
      <c r="BS247" s="102">
        <v>36655415.68</v>
      </c>
      <c r="BT247" s="102">
        <v>488824.59399999998</v>
      </c>
      <c r="BU247" s="103">
        <f t="shared" si="198"/>
        <v>36166591.086000003</v>
      </c>
      <c r="BV247" s="77">
        <f t="shared" si="199"/>
        <v>2.1115727367380952</v>
      </c>
      <c r="BW247" s="96">
        <f t="shared" si="200"/>
        <v>5.1474158565187738</v>
      </c>
      <c r="BX247" s="96">
        <f t="shared" si="201"/>
        <v>9.2163434479196837</v>
      </c>
      <c r="BY247" s="96">
        <f t="shared" si="202"/>
        <v>6.6930498535228535</v>
      </c>
      <c r="BZ247" s="96">
        <f t="shared" si="203"/>
        <v>67.49349389077156</v>
      </c>
      <c r="CA247" s="96">
        <f t="shared" si="204"/>
        <v>40</v>
      </c>
      <c r="CB247" s="104">
        <f t="shared" si="205"/>
        <v>0.8</v>
      </c>
      <c r="CC247" s="105">
        <f t="shared" si="218"/>
        <v>52.402502833934363</v>
      </c>
      <c r="CD247" s="106">
        <f t="shared" si="219"/>
        <v>80.627197424396599</v>
      </c>
      <c r="CE247" s="107">
        <f t="shared" si="220"/>
        <v>1.209407961365949</v>
      </c>
      <c r="CF247" s="108" t="s">
        <v>2189</v>
      </c>
      <c r="CG247" s="108" t="s">
        <v>2189</v>
      </c>
      <c r="CH247" s="108" t="s">
        <v>2189</v>
      </c>
      <c r="CI247" s="108" t="s">
        <v>2189</v>
      </c>
      <c r="CJ247" s="109"/>
      <c r="CK247" s="116" t="s">
        <v>2199</v>
      </c>
      <c r="CL247" s="116" t="s">
        <v>2193</v>
      </c>
      <c r="CM247" s="111">
        <f t="shared" si="206"/>
        <v>25</v>
      </c>
      <c r="CN247" s="107">
        <f t="shared" si="221"/>
        <v>0.375</v>
      </c>
      <c r="CO247" s="114">
        <f>253993000-12431000-15000-2587000-2520000</f>
        <v>236440000</v>
      </c>
      <c r="CP247" s="88">
        <f t="shared" si="207"/>
        <v>33.899051983849255</v>
      </c>
      <c r="CQ247" s="78">
        <f t="shared" si="208"/>
        <v>60</v>
      </c>
      <c r="CR247" s="79">
        <f t="shared" si="222"/>
        <v>1.7999999999999998</v>
      </c>
      <c r="CS247" s="92">
        <f>_xlfn.XLOOKUP(C247, '[1]1-1. 관계사체무보증금액 (환율 등)'!$3:$3, '[1]1-1. 관계사체무보증금액 (환율 등)'!$33:$33)</f>
        <v>61070195.627157651</v>
      </c>
      <c r="CT247" s="77">
        <f t="shared" si="209"/>
        <v>8.7558016250586217</v>
      </c>
      <c r="CU247" s="78">
        <f t="shared" si="210"/>
        <v>80</v>
      </c>
      <c r="CV247" s="79">
        <f t="shared" si="223"/>
        <v>1.6</v>
      </c>
      <c r="CW247" s="112">
        <f t="shared" si="211"/>
        <v>17.420032635947294</v>
      </c>
    </row>
    <row r="248" spans="1:101" x14ac:dyDescent="0.35">
      <c r="A248" s="7" t="s">
        <v>1222</v>
      </c>
      <c r="B248" s="8" t="s">
        <v>1223</v>
      </c>
      <c r="C248" s="21" t="s">
        <v>1224</v>
      </c>
      <c r="D248" s="22" t="s">
        <v>75</v>
      </c>
      <c r="E248" s="11" t="s">
        <v>1187</v>
      </c>
      <c r="F248" s="11" t="s">
        <v>1225</v>
      </c>
      <c r="G248" s="12">
        <v>31439</v>
      </c>
      <c r="H248" s="11" t="s">
        <v>24</v>
      </c>
      <c r="I248" s="11" t="s">
        <v>1226</v>
      </c>
      <c r="J248" s="11" t="s">
        <v>1227</v>
      </c>
      <c r="K248" s="11" t="s">
        <v>27</v>
      </c>
      <c r="L248" s="23">
        <v>3153017076</v>
      </c>
      <c r="M248" s="14">
        <v>1770069189</v>
      </c>
      <c r="N248" s="14">
        <v>1382947887</v>
      </c>
      <c r="O248" s="14">
        <v>1806485573</v>
      </c>
      <c r="P248" s="14">
        <v>305824732</v>
      </c>
      <c r="Q248" s="14">
        <v>260984230</v>
      </c>
      <c r="R248" s="14">
        <v>190493378</v>
      </c>
      <c r="S248" s="15">
        <v>30892606</v>
      </c>
      <c r="T248" s="15">
        <v>705630</v>
      </c>
      <c r="U248" s="15">
        <f>2449512+13743443</f>
        <v>16192955</v>
      </c>
      <c r="V248" s="15">
        <f>17600+337314</f>
        <v>354914</v>
      </c>
      <c r="W248" s="15">
        <f>62136+15806+3375+31856+31705+759+759+406</f>
        <v>146802</v>
      </c>
      <c r="X248" s="15">
        <v>300000</v>
      </c>
      <c r="Y248" s="24" t="s">
        <v>2096</v>
      </c>
      <c r="Z248" s="15">
        <v>0</v>
      </c>
      <c r="AA248" s="15">
        <v>0</v>
      </c>
      <c r="AB248" s="74">
        <f t="shared" si="171"/>
        <v>16994671</v>
      </c>
      <c r="AC248" s="75">
        <f t="shared" si="172"/>
        <v>55.012099011653468</v>
      </c>
      <c r="AD248" s="75">
        <f t="shared" si="173"/>
        <v>52.607509483613235</v>
      </c>
      <c r="AE248" s="76">
        <f t="shared" si="212"/>
        <v>1.5782252845083971</v>
      </c>
      <c r="AF248" s="77">
        <f t="shared" si="174"/>
        <v>54.817908888919511</v>
      </c>
      <c r="AG248" s="77">
        <f t="shared" si="175"/>
        <v>56.298024022015326</v>
      </c>
      <c r="AH248" s="77">
        <f t="shared" si="176"/>
        <v>1.4801151330958149</v>
      </c>
      <c r="AI248" s="78">
        <f t="shared" si="177"/>
        <v>100</v>
      </c>
      <c r="AJ248" s="79">
        <f t="shared" si="213"/>
        <v>4</v>
      </c>
      <c r="AK248" s="113">
        <v>10</v>
      </c>
      <c r="AL248" s="113">
        <v>6</v>
      </c>
      <c r="AM248" s="113">
        <v>1</v>
      </c>
      <c r="AN248" s="81">
        <f t="shared" si="178"/>
        <v>16</v>
      </c>
      <c r="AO248" s="82">
        <f t="shared" si="179"/>
        <v>6.25</v>
      </c>
      <c r="AP248" s="83">
        <f t="shared" si="180"/>
        <v>100</v>
      </c>
      <c r="AQ248" s="84">
        <f t="shared" si="214"/>
        <v>2</v>
      </c>
      <c r="AR248" s="118">
        <v>6</v>
      </c>
      <c r="AS248" s="86">
        <f t="shared" si="181"/>
        <v>0.5</v>
      </c>
      <c r="AT248" s="87">
        <f t="shared" si="182"/>
        <v>5</v>
      </c>
      <c r="AU248" s="87">
        <f t="shared" si="183"/>
        <v>5</v>
      </c>
      <c r="AV248" s="88">
        <f t="shared" si="184"/>
        <v>10</v>
      </c>
      <c r="AW248" s="78">
        <f t="shared" si="185"/>
        <v>60</v>
      </c>
      <c r="AX248" s="89">
        <f t="shared" si="215"/>
        <v>0.6</v>
      </c>
      <c r="AY248" s="114">
        <v>17</v>
      </c>
      <c r="AZ248" s="114">
        <f>17*6-5-10</f>
        <v>87</v>
      </c>
      <c r="BA248" s="91">
        <f t="shared" si="186"/>
        <v>102</v>
      </c>
      <c r="BB248" s="77">
        <f t="shared" si="187"/>
        <v>85.294117647058826</v>
      </c>
      <c r="BC248" s="78">
        <f t="shared" si="188"/>
        <v>75</v>
      </c>
      <c r="BD248" s="79">
        <f t="shared" si="216"/>
        <v>0.75</v>
      </c>
      <c r="BE248" s="92">
        <v>26548957</v>
      </c>
      <c r="BF248" s="92">
        <v>2742563</v>
      </c>
      <c r="BG248" s="114">
        <v>2096664</v>
      </c>
      <c r="BH248" s="94">
        <f t="shared" si="189"/>
        <v>29291520</v>
      </c>
      <c r="BI248" s="77">
        <f t="shared" si="190"/>
        <v>7.1579214735186154</v>
      </c>
      <c r="BJ248" s="95" t="str">
        <f t="shared" si="191"/>
        <v>금속/비금속/화학업</v>
      </c>
      <c r="BK248" s="96">
        <f t="shared" si="192"/>
        <v>3.9534118626990469</v>
      </c>
      <c r="BL248" s="97">
        <f t="shared" si="193"/>
        <v>3.2045096108195685</v>
      </c>
      <c r="BM248" s="98">
        <f t="shared" si="194"/>
        <v>40</v>
      </c>
      <c r="BN248" s="99">
        <f t="shared" si="195"/>
        <v>0.8</v>
      </c>
      <c r="BO248" s="114">
        <v>2890000</v>
      </c>
      <c r="BP248" s="101">
        <f t="shared" si="196"/>
        <v>0.15997913535509867</v>
      </c>
      <c r="BQ248" s="78">
        <f t="shared" si="197"/>
        <v>55</v>
      </c>
      <c r="BR248" s="79">
        <f t="shared" si="217"/>
        <v>1.1000000000000001</v>
      </c>
      <c r="BS248" s="102">
        <v>8978610.6899999995</v>
      </c>
      <c r="BT248" s="102">
        <v>72756.618000000002</v>
      </c>
      <c r="BU248" s="103">
        <f t="shared" si="198"/>
        <v>8905854.0719999988</v>
      </c>
      <c r="BV248" s="77">
        <f t="shared" si="199"/>
        <v>0.49299336817897732</v>
      </c>
      <c r="BW248" s="96">
        <f t="shared" si="200"/>
        <v>5.1474158565187738</v>
      </c>
      <c r="BX248" s="96">
        <f t="shared" si="201"/>
        <v>21.663648699963222</v>
      </c>
      <c r="BY248" s="96">
        <f t="shared" si="202"/>
        <v>6.6930498535228535</v>
      </c>
      <c r="BZ248" s="96">
        <f t="shared" si="203"/>
        <v>75.660120899540701</v>
      </c>
      <c r="CA248" s="96">
        <f t="shared" si="204"/>
        <v>40</v>
      </c>
      <c r="CB248" s="104">
        <f t="shared" si="205"/>
        <v>0.8</v>
      </c>
      <c r="CC248" s="105">
        <f t="shared" si="218"/>
        <v>127.99247214150449</v>
      </c>
      <c r="CD248" s="106">
        <f t="shared" si="219"/>
        <v>52.138515524558606</v>
      </c>
      <c r="CE248" s="107">
        <f t="shared" si="220"/>
        <v>0.78207773286837912</v>
      </c>
      <c r="CF248" s="108" t="s">
        <v>2189</v>
      </c>
      <c r="CG248" s="108" t="s">
        <v>2189</v>
      </c>
      <c r="CH248" s="108" t="s">
        <v>2189</v>
      </c>
      <c r="CI248" s="108" t="s">
        <v>2189</v>
      </c>
      <c r="CJ248" s="109"/>
      <c r="CK248" s="116" t="s">
        <v>2217</v>
      </c>
      <c r="CL248" s="116" t="s">
        <v>2209</v>
      </c>
      <c r="CM248" s="111">
        <f t="shared" si="206"/>
        <v>40</v>
      </c>
      <c r="CN248" s="107">
        <f t="shared" si="221"/>
        <v>0.6</v>
      </c>
      <c r="CO248" s="114">
        <v>106936000</v>
      </c>
      <c r="CP248" s="88">
        <f t="shared" si="207"/>
        <v>7.7324677961636015</v>
      </c>
      <c r="CQ248" s="78">
        <f t="shared" si="208"/>
        <v>80</v>
      </c>
      <c r="CR248" s="79">
        <f t="shared" si="222"/>
        <v>2.4</v>
      </c>
      <c r="CS248" s="92">
        <f>_xlfn.XLOOKUP(C248, '[1]1-1. 관계사체무보증금액 (환율 등)'!$3:$3, '[1]1-1. 관계사체무보증금액 (환율 등)'!$33:$33)</f>
        <v>7850000</v>
      </c>
      <c r="CT248" s="77">
        <f t="shared" si="209"/>
        <v>0.56762804107021281</v>
      </c>
      <c r="CU248" s="78">
        <f t="shared" si="210"/>
        <v>100</v>
      </c>
      <c r="CV248" s="79">
        <f t="shared" si="223"/>
        <v>2</v>
      </c>
      <c r="CW248" s="112">
        <f t="shared" si="211"/>
        <v>17.410303017376776</v>
      </c>
    </row>
    <row r="249" spans="1:101" x14ac:dyDescent="0.35">
      <c r="A249" s="7" t="s">
        <v>288</v>
      </c>
      <c r="B249" s="8" t="s">
        <v>289</v>
      </c>
      <c r="C249" s="21" t="s">
        <v>290</v>
      </c>
      <c r="D249" s="22" t="s">
        <v>75</v>
      </c>
      <c r="E249" s="11" t="s">
        <v>114</v>
      </c>
      <c r="F249" s="11" t="s">
        <v>291</v>
      </c>
      <c r="G249" s="12">
        <v>32470</v>
      </c>
      <c r="H249" s="11" t="s">
        <v>24</v>
      </c>
      <c r="I249" s="11" t="s">
        <v>292</v>
      </c>
      <c r="J249" s="11" t="s">
        <v>293</v>
      </c>
      <c r="K249" s="11" t="s">
        <v>50</v>
      </c>
      <c r="L249" s="23">
        <v>88291972</v>
      </c>
      <c r="M249" s="14">
        <v>36836002</v>
      </c>
      <c r="N249" s="14">
        <v>51455970</v>
      </c>
      <c r="O249" s="14">
        <v>125263993</v>
      </c>
      <c r="P249" s="14">
        <v>14179053</v>
      </c>
      <c r="Q249" s="14">
        <v>13787797</v>
      </c>
      <c r="R249" s="14">
        <v>10819014</v>
      </c>
      <c r="S249" s="15">
        <v>1214878</v>
      </c>
      <c r="T249" s="15">
        <v>557609</v>
      </c>
      <c r="U249" s="15">
        <v>557609</v>
      </c>
      <c r="V249" s="15">
        <f>4000+7441+1441+707</f>
        <v>13589</v>
      </c>
      <c r="W249" s="15">
        <v>0</v>
      </c>
      <c r="X249" s="15">
        <v>0</v>
      </c>
      <c r="Z249" s="15">
        <v>0</v>
      </c>
      <c r="AA249" s="15">
        <v>0</v>
      </c>
      <c r="AB249" s="74">
        <f t="shared" si="171"/>
        <v>571198</v>
      </c>
      <c r="AC249" s="75">
        <f t="shared" si="172"/>
        <v>47.016902108689102</v>
      </c>
      <c r="AD249" s="75">
        <f t="shared" si="173"/>
        <v>59.507852035078457</v>
      </c>
      <c r="AE249" s="76">
        <f t="shared" si="212"/>
        <v>1.7852355610523536</v>
      </c>
      <c r="AF249" s="77">
        <f t="shared" si="174"/>
        <v>86.904752848529299</v>
      </c>
      <c r="AG249" s="77">
        <f t="shared" si="175"/>
        <v>86.904752848529299</v>
      </c>
      <c r="AH249" s="77">
        <f t="shared" si="176"/>
        <v>0</v>
      </c>
      <c r="AI249" s="78">
        <f t="shared" si="177"/>
        <v>100</v>
      </c>
      <c r="AJ249" s="79">
        <f t="shared" si="213"/>
        <v>4</v>
      </c>
      <c r="AK249" s="113">
        <v>4</v>
      </c>
      <c r="AL249" s="113">
        <v>0</v>
      </c>
      <c r="AM249" s="113">
        <v>1</v>
      </c>
      <c r="AN249" s="81">
        <f t="shared" si="178"/>
        <v>4</v>
      </c>
      <c r="AO249" s="82">
        <f t="shared" si="179"/>
        <v>25</v>
      </c>
      <c r="AP249" s="83">
        <f t="shared" si="180"/>
        <v>60</v>
      </c>
      <c r="AQ249" s="84">
        <f t="shared" si="214"/>
        <v>1.2</v>
      </c>
      <c r="AR249" s="118">
        <v>2</v>
      </c>
      <c r="AS249" s="86">
        <f t="shared" si="181"/>
        <v>0.25</v>
      </c>
      <c r="AT249" s="87">
        <f t="shared" si="182"/>
        <v>1</v>
      </c>
      <c r="AU249" s="87">
        <f t="shared" si="183"/>
        <v>1</v>
      </c>
      <c r="AV249" s="88">
        <f t="shared" si="184"/>
        <v>25</v>
      </c>
      <c r="AW249" s="78">
        <f t="shared" si="185"/>
        <v>80</v>
      </c>
      <c r="AX249" s="89">
        <f t="shared" si="215"/>
        <v>0.8</v>
      </c>
      <c r="AY249" s="114">
        <v>11</v>
      </c>
      <c r="AZ249" s="114">
        <v>22</v>
      </c>
      <c r="BA249" s="91">
        <f t="shared" si="186"/>
        <v>22</v>
      </c>
      <c r="BB249" s="77">
        <f t="shared" si="187"/>
        <v>100</v>
      </c>
      <c r="BC249" s="78">
        <f t="shared" si="188"/>
        <v>100</v>
      </c>
      <c r="BD249" s="79">
        <f t="shared" si="216"/>
        <v>1</v>
      </c>
      <c r="BE249" s="92">
        <v>986702</v>
      </c>
      <c r="BF249" s="92">
        <v>52771</v>
      </c>
      <c r="BG249" s="114">
        <v>120568</v>
      </c>
      <c r="BH249" s="94">
        <f t="shared" si="189"/>
        <v>1039473</v>
      </c>
      <c r="BI249" s="77">
        <f t="shared" si="190"/>
        <v>11.59895447019788</v>
      </c>
      <c r="BJ249" s="95" t="str">
        <f t="shared" si="191"/>
        <v>금속/비금속/화학업</v>
      </c>
      <c r="BK249" s="96">
        <f t="shared" si="192"/>
        <v>3.9534118626990469</v>
      </c>
      <c r="BL249" s="97">
        <f t="shared" si="193"/>
        <v>7.6455426074988324</v>
      </c>
      <c r="BM249" s="98">
        <f t="shared" si="194"/>
        <v>40</v>
      </c>
      <c r="BN249" s="99">
        <f t="shared" si="195"/>
        <v>0.8</v>
      </c>
      <c r="BO249" s="114">
        <v>0</v>
      </c>
      <c r="BP249" s="101">
        <f t="shared" si="196"/>
        <v>0</v>
      </c>
      <c r="BQ249" s="78">
        <f t="shared" si="197"/>
        <v>25</v>
      </c>
      <c r="BR249" s="79">
        <f t="shared" si="217"/>
        <v>0.5</v>
      </c>
      <c r="BS249" s="102">
        <v>1846808</v>
      </c>
      <c r="BT249" s="102">
        <v>2339</v>
      </c>
      <c r="BU249" s="103">
        <f t="shared" si="198"/>
        <v>1844469</v>
      </c>
      <c r="BV249" s="77">
        <f t="shared" si="199"/>
        <v>1.4724654354583764</v>
      </c>
      <c r="BW249" s="96">
        <f t="shared" si="200"/>
        <v>5.1474158565187738</v>
      </c>
      <c r="BX249" s="96">
        <f t="shared" si="201"/>
        <v>13.50526059725199</v>
      </c>
      <c r="BY249" s="96">
        <f t="shared" si="202"/>
        <v>6.6930498535228535</v>
      </c>
      <c r="BZ249" s="96">
        <f t="shared" si="203"/>
        <v>70.852116767511319</v>
      </c>
      <c r="CA249" s="96">
        <f t="shared" si="204"/>
        <v>40</v>
      </c>
      <c r="CB249" s="104">
        <f t="shared" si="205"/>
        <v>0.8</v>
      </c>
      <c r="CC249" s="105">
        <f t="shared" si="218"/>
        <v>71.587421245775758</v>
      </c>
      <c r="CD249" s="106">
        <f t="shared" si="219"/>
        <v>73.396700535511656</v>
      </c>
      <c r="CE249" s="107">
        <f t="shared" si="220"/>
        <v>1.1009505080326747</v>
      </c>
      <c r="CF249" s="108" t="s">
        <v>2189</v>
      </c>
      <c r="CG249" s="108" t="s">
        <v>2189</v>
      </c>
      <c r="CH249" s="108" t="s">
        <v>2189</v>
      </c>
      <c r="CI249" s="108" t="s">
        <v>2189</v>
      </c>
      <c r="CJ249" s="109"/>
      <c r="CK249" s="116" t="s">
        <v>2192</v>
      </c>
      <c r="CL249" s="116" t="s">
        <v>2193</v>
      </c>
      <c r="CM249" s="111">
        <f t="shared" si="206"/>
        <v>25</v>
      </c>
      <c r="CN249" s="107">
        <f t="shared" si="221"/>
        <v>0.375</v>
      </c>
      <c r="CO249" s="114">
        <v>0</v>
      </c>
      <c r="CP249" s="88">
        <f t="shared" si="207"/>
        <v>0</v>
      </c>
      <c r="CQ249" s="78">
        <f t="shared" si="208"/>
        <v>100</v>
      </c>
      <c r="CR249" s="79">
        <f t="shared" si="222"/>
        <v>3</v>
      </c>
      <c r="CS249" s="92">
        <f>_xlfn.XLOOKUP(C249, '[1]1-1. 관계사체무보증금액 (환율 등)'!$3:$3, '[1]1-1. 관계사체무보증금액 (환율 등)'!$33:$33)</f>
        <v>0</v>
      </c>
      <c r="CT249" s="77">
        <f t="shared" si="209"/>
        <v>0</v>
      </c>
      <c r="CU249" s="78">
        <f t="shared" si="210"/>
        <v>100</v>
      </c>
      <c r="CV249" s="79">
        <f t="shared" si="223"/>
        <v>2</v>
      </c>
      <c r="CW249" s="112">
        <f t="shared" si="211"/>
        <v>17.361186069085029</v>
      </c>
    </row>
    <row r="250" spans="1:101" x14ac:dyDescent="0.35">
      <c r="A250" s="7" t="s">
        <v>2025</v>
      </c>
      <c r="B250" s="8" t="s">
        <v>2026</v>
      </c>
      <c r="C250" s="21" t="s">
        <v>2027</v>
      </c>
      <c r="D250" s="10" t="s">
        <v>75</v>
      </c>
      <c r="E250" s="11" t="s">
        <v>613</v>
      </c>
      <c r="F250" s="11" t="s">
        <v>2028</v>
      </c>
      <c r="G250" s="12">
        <v>43294</v>
      </c>
      <c r="H250" s="11" t="s">
        <v>24</v>
      </c>
      <c r="I250" s="11" t="s">
        <v>2029</v>
      </c>
      <c r="J250" s="11" t="s">
        <v>2030</v>
      </c>
      <c r="K250" s="11" t="s">
        <v>27</v>
      </c>
      <c r="L250" s="23">
        <v>1677616350</v>
      </c>
      <c r="M250" s="14">
        <v>845718444</v>
      </c>
      <c r="N250" s="14">
        <v>831897906</v>
      </c>
      <c r="O250" s="14">
        <v>5364505670</v>
      </c>
      <c r="P250" s="14">
        <v>178825560</v>
      </c>
      <c r="Q250" s="14">
        <v>303615954</v>
      </c>
      <c r="R250" s="14">
        <v>289706110</v>
      </c>
      <c r="S250" s="15">
        <v>4327682</v>
      </c>
      <c r="T250" s="15">
        <v>11992</v>
      </c>
      <c r="U250" s="15">
        <f>879290+631617</f>
        <v>1510907</v>
      </c>
      <c r="V250" s="15">
        <f>1933736-U250-W250</f>
        <v>422354</v>
      </c>
      <c r="W250" s="15">
        <f>445+14+3+13</f>
        <v>475</v>
      </c>
      <c r="X250" s="15">
        <v>0</v>
      </c>
      <c r="Z250" s="15">
        <v>0</v>
      </c>
      <c r="AA250" s="15">
        <v>0</v>
      </c>
      <c r="AB250" s="74">
        <f t="shared" si="171"/>
        <v>1933736</v>
      </c>
      <c r="AC250" s="75">
        <f t="shared" si="172"/>
        <v>44.682950364652484</v>
      </c>
      <c r="AD250" s="75">
        <f t="shared" si="173"/>
        <v>61.522194737066329</v>
      </c>
      <c r="AE250" s="76">
        <f t="shared" si="212"/>
        <v>1.8456658421119898</v>
      </c>
      <c r="AF250" s="77">
        <f t="shared" si="174"/>
        <v>44.796104446797614</v>
      </c>
      <c r="AG250" s="77">
        <f t="shared" si="175"/>
        <v>44.807110798041563</v>
      </c>
      <c r="AH250" s="77">
        <f t="shared" si="176"/>
        <v>1.1006351243949553E-2</v>
      </c>
      <c r="AI250" s="78">
        <f t="shared" si="177"/>
        <v>100</v>
      </c>
      <c r="AJ250" s="79">
        <f t="shared" si="213"/>
        <v>4</v>
      </c>
      <c r="AK250" s="113">
        <v>6</v>
      </c>
      <c r="AL250" s="113">
        <v>42</v>
      </c>
      <c r="AM250" s="113">
        <v>1</v>
      </c>
      <c r="AN250" s="81">
        <f t="shared" si="178"/>
        <v>48</v>
      </c>
      <c r="AO250" s="82">
        <f t="shared" si="179"/>
        <v>2.083333333333333</v>
      </c>
      <c r="AP250" s="83">
        <f t="shared" si="180"/>
        <v>100</v>
      </c>
      <c r="AQ250" s="84">
        <f t="shared" si="214"/>
        <v>2</v>
      </c>
      <c r="AR250" s="118">
        <v>3</v>
      </c>
      <c r="AS250" s="86">
        <f t="shared" si="181"/>
        <v>0.25</v>
      </c>
      <c r="AT250" s="87">
        <f t="shared" si="182"/>
        <v>1.5</v>
      </c>
      <c r="AU250" s="87">
        <f t="shared" si="183"/>
        <v>1</v>
      </c>
      <c r="AV250" s="88">
        <f t="shared" si="184"/>
        <v>33.333333333333329</v>
      </c>
      <c r="AW250" s="78">
        <f t="shared" si="185"/>
        <v>80</v>
      </c>
      <c r="AX250" s="89">
        <f t="shared" si="215"/>
        <v>0.8</v>
      </c>
      <c r="AY250" s="114">
        <v>6</v>
      </c>
      <c r="AZ250" s="114">
        <v>18</v>
      </c>
      <c r="BA250" s="91">
        <f t="shared" si="186"/>
        <v>18</v>
      </c>
      <c r="BB250" s="77">
        <f t="shared" si="187"/>
        <v>100</v>
      </c>
      <c r="BC250" s="78">
        <f t="shared" si="188"/>
        <v>100</v>
      </c>
      <c r="BD250" s="79">
        <f t="shared" si="216"/>
        <v>1</v>
      </c>
      <c r="BE250" s="92">
        <f>38613000+4064000</f>
        <v>42677000</v>
      </c>
      <c r="BF250" s="92">
        <v>9256000</v>
      </c>
      <c r="BG250" s="93">
        <v>0</v>
      </c>
      <c r="BH250" s="94">
        <f t="shared" si="189"/>
        <v>51933000</v>
      </c>
      <c r="BI250" s="77">
        <f t="shared" si="190"/>
        <v>0</v>
      </c>
      <c r="BJ250" s="95" t="str">
        <f t="shared" si="191"/>
        <v>금속/비금속/화학업</v>
      </c>
      <c r="BK250" s="96">
        <f t="shared" si="192"/>
        <v>3.9534118626990469</v>
      </c>
      <c r="BL250" s="97">
        <f t="shared" si="193"/>
        <v>-3.9534118626990469</v>
      </c>
      <c r="BM250" s="98">
        <f t="shared" si="194"/>
        <v>100</v>
      </c>
      <c r="BN250" s="99">
        <f t="shared" si="195"/>
        <v>2</v>
      </c>
      <c r="BO250" s="114">
        <v>21187000</v>
      </c>
      <c r="BP250" s="101">
        <f t="shared" si="196"/>
        <v>0.39494785360157891</v>
      </c>
      <c r="BQ250" s="78">
        <f t="shared" si="197"/>
        <v>55</v>
      </c>
      <c r="BR250" s="79">
        <f t="shared" si="217"/>
        <v>1.1000000000000001</v>
      </c>
      <c r="BS250" s="102">
        <v>44306707.652000003</v>
      </c>
      <c r="BT250" s="102">
        <v>333577.32</v>
      </c>
      <c r="BU250" s="103">
        <f t="shared" si="198"/>
        <v>43973130.332000002</v>
      </c>
      <c r="BV250" s="77">
        <f t="shared" si="199"/>
        <v>0.81970517018765698</v>
      </c>
      <c r="BW250" s="96">
        <f t="shared" si="200"/>
        <v>5.1474158565187738</v>
      </c>
      <c r="BX250" s="96">
        <f t="shared" si="201"/>
        <v>18.729079784584549</v>
      </c>
      <c r="BY250" s="96">
        <f t="shared" si="202"/>
        <v>6.6930498535228535</v>
      </c>
      <c r="BZ250" s="96">
        <f t="shared" si="203"/>
        <v>74.105382869183231</v>
      </c>
      <c r="CA250" s="96">
        <f t="shared" si="204"/>
        <v>40</v>
      </c>
      <c r="CB250" s="104">
        <f t="shared" si="205"/>
        <v>0.8</v>
      </c>
      <c r="CC250" s="105">
        <f t="shared" si="218"/>
        <v>101.66132621567148</v>
      </c>
      <c r="CD250" s="106">
        <f t="shared" si="219"/>
        <v>62.062314240324817</v>
      </c>
      <c r="CE250" s="107">
        <f t="shared" si="220"/>
        <v>0.93093471360487223</v>
      </c>
      <c r="CF250" s="108" t="s">
        <v>2189</v>
      </c>
      <c r="CG250" s="108" t="s">
        <v>2189</v>
      </c>
      <c r="CH250" s="108" t="s">
        <v>2189</v>
      </c>
      <c r="CI250" s="108" t="s">
        <v>2189</v>
      </c>
      <c r="CJ250" s="109"/>
      <c r="CK250" s="116" t="s">
        <v>2224</v>
      </c>
      <c r="CL250" s="116" t="s">
        <v>2191</v>
      </c>
      <c r="CM250" s="111">
        <f t="shared" si="206"/>
        <v>85</v>
      </c>
      <c r="CN250" s="107">
        <f t="shared" si="221"/>
        <v>1.2749999999999999</v>
      </c>
      <c r="CO250" s="114">
        <f>499932000-8615000-200000-500000-673000-9993000</f>
        <v>479951000</v>
      </c>
      <c r="CP250" s="88">
        <f t="shared" si="207"/>
        <v>57.693497788417325</v>
      </c>
      <c r="CQ250" s="78">
        <f t="shared" si="208"/>
        <v>40</v>
      </c>
      <c r="CR250" s="79">
        <f t="shared" si="222"/>
        <v>1.2</v>
      </c>
      <c r="CS250" s="92">
        <f>_xlfn.XLOOKUP(C250, '[1]1-1. 관계사체무보증금액 (환율 등)'!$3:$3, '[1]1-1. 관계사체무보증금액 (환율 등)'!$33:$33)</f>
        <v>1189834000</v>
      </c>
      <c r="CT250" s="77">
        <f t="shared" si="209"/>
        <v>143.02644488204783</v>
      </c>
      <c r="CU250" s="78">
        <f t="shared" si="210"/>
        <v>20</v>
      </c>
      <c r="CV250" s="79">
        <f t="shared" si="223"/>
        <v>0.4</v>
      </c>
      <c r="CW250" s="112">
        <f t="shared" si="211"/>
        <v>17.35160055571686</v>
      </c>
    </row>
    <row r="251" spans="1:101" x14ac:dyDescent="0.35">
      <c r="A251" s="7" t="s">
        <v>401</v>
      </c>
      <c r="B251" s="8" t="s">
        <v>402</v>
      </c>
      <c r="C251" s="21" t="s">
        <v>403</v>
      </c>
      <c r="D251" s="10" t="s">
        <v>31</v>
      </c>
      <c r="E251" s="11" t="s">
        <v>404</v>
      </c>
      <c r="F251" s="11" t="s">
        <v>405</v>
      </c>
      <c r="G251" s="12">
        <v>33252</v>
      </c>
      <c r="H251" s="11" t="s">
        <v>24</v>
      </c>
      <c r="I251" s="11" t="s">
        <v>406</v>
      </c>
      <c r="J251" s="11" t="s">
        <v>407</v>
      </c>
      <c r="K251" s="11" t="s">
        <v>110</v>
      </c>
      <c r="L251" s="23">
        <v>252929703</v>
      </c>
      <c r="M251" s="14">
        <v>156846243</v>
      </c>
      <c r="N251" s="14">
        <v>96083460</v>
      </c>
      <c r="O251" s="14">
        <v>272260521</v>
      </c>
      <c r="P251" s="14">
        <v>5775173</v>
      </c>
      <c r="Q251" s="14">
        <v>1931650</v>
      </c>
      <c r="R251" s="14">
        <v>1853171</v>
      </c>
      <c r="S251" s="15">
        <v>24939425</v>
      </c>
      <c r="T251" s="15">
        <v>268005</v>
      </c>
      <c r="U251" s="15">
        <v>11818500</v>
      </c>
      <c r="V251" s="15">
        <v>0</v>
      </c>
      <c r="W251" s="15">
        <v>2010</v>
      </c>
      <c r="X251" s="15">
        <v>0</v>
      </c>
      <c r="Z251" s="15">
        <v>0</v>
      </c>
      <c r="AA251" s="15">
        <v>0</v>
      </c>
      <c r="AB251" s="74">
        <f t="shared" si="171"/>
        <v>11820510</v>
      </c>
      <c r="AC251" s="75">
        <f t="shared" si="172"/>
        <v>47.396882646652841</v>
      </c>
      <c r="AD251" s="75">
        <f t="shared" si="173"/>
        <v>59.179905655938285</v>
      </c>
      <c r="AE251" s="76">
        <f t="shared" si="212"/>
        <v>1.7753971696781485</v>
      </c>
      <c r="AF251" s="77">
        <f t="shared" si="174"/>
        <v>47.903606683360742</v>
      </c>
      <c r="AG251" s="77">
        <f t="shared" si="175"/>
        <v>47.911753762045315</v>
      </c>
      <c r="AH251" s="77">
        <f t="shared" si="176"/>
        <v>8.1470786845727616E-3</v>
      </c>
      <c r="AI251" s="78">
        <f t="shared" si="177"/>
        <v>100</v>
      </c>
      <c r="AJ251" s="79">
        <f t="shared" si="213"/>
        <v>4</v>
      </c>
      <c r="AK251" s="113">
        <v>7</v>
      </c>
      <c r="AL251" s="113">
        <v>7</v>
      </c>
      <c r="AM251" s="113">
        <v>0</v>
      </c>
      <c r="AN251" s="81">
        <f t="shared" si="178"/>
        <v>14</v>
      </c>
      <c r="AO251" s="82">
        <f t="shared" si="179"/>
        <v>0</v>
      </c>
      <c r="AP251" s="83">
        <f t="shared" si="180"/>
        <v>100</v>
      </c>
      <c r="AQ251" s="84">
        <f t="shared" si="214"/>
        <v>2</v>
      </c>
      <c r="AR251" s="118">
        <v>3</v>
      </c>
      <c r="AS251" s="86">
        <f t="shared" si="181"/>
        <v>0.25</v>
      </c>
      <c r="AT251" s="87">
        <f t="shared" si="182"/>
        <v>1.75</v>
      </c>
      <c r="AU251" s="87">
        <f t="shared" si="183"/>
        <v>1</v>
      </c>
      <c r="AV251" s="88">
        <f t="shared" si="184"/>
        <v>28.571428571428569</v>
      </c>
      <c r="AW251" s="78">
        <f t="shared" si="185"/>
        <v>80</v>
      </c>
      <c r="AX251" s="89">
        <f t="shared" si="215"/>
        <v>0.8</v>
      </c>
      <c r="AY251" s="114">
        <v>24</v>
      </c>
      <c r="AZ251" s="114">
        <f>24*3</f>
        <v>72</v>
      </c>
      <c r="BA251" s="91">
        <f t="shared" si="186"/>
        <v>72</v>
      </c>
      <c r="BB251" s="77">
        <f t="shared" si="187"/>
        <v>100</v>
      </c>
      <c r="BC251" s="78">
        <f t="shared" si="188"/>
        <v>100</v>
      </c>
      <c r="BD251" s="79">
        <f t="shared" si="216"/>
        <v>1</v>
      </c>
      <c r="BE251" s="92">
        <v>6106597</v>
      </c>
      <c r="BF251" s="92">
        <v>691565</v>
      </c>
      <c r="BG251" s="114">
        <v>449043</v>
      </c>
      <c r="BH251" s="94">
        <f t="shared" si="189"/>
        <v>6798162</v>
      </c>
      <c r="BI251" s="77">
        <f t="shared" si="190"/>
        <v>6.6053589190725379</v>
      </c>
      <c r="BJ251" s="95" t="str">
        <f t="shared" si="191"/>
        <v>식약/섬유/종이업</v>
      </c>
      <c r="BK251" s="96">
        <f t="shared" si="192"/>
        <v>2.1999360555264453</v>
      </c>
      <c r="BL251" s="97">
        <f t="shared" si="193"/>
        <v>4.405422863546093</v>
      </c>
      <c r="BM251" s="98">
        <f t="shared" si="194"/>
        <v>40</v>
      </c>
      <c r="BN251" s="99">
        <f t="shared" si="195"/>
        <v>0.8</v>
      </c>
      <c r="BO251" s="114">
        <v>691000</v>
      </c>
      <c r="BP251" s="101">
        <f t="shared" si="196"/>
        <v>0.25380102758269529</v>
      </c>
      <c r="BQ251" s="78">
        <f t="shared" si="197"/>
        <v>55</v>
      </c>
      <c r="BR251" s="79">
        <f t="shared" si="217"/>
        <v>1.1000000000000001</v>
      </c>
      <c r="BS251" s="102">
        <v>12492849.416999999</v>
      </c>
      <c r="BT251" s="102">
        <v>233346.87100000001</v>
      </c>
      <c r="BU251" s="103">
        <f t="shared" si="198"/>
        <v>12259502.546</v>
      </c>
      <c r="BV251" s="77">
        <f t="shared" si="199"/>
        <v>4.5028572269572642</v>
      </c>
      <c r="BW251" s="96">
        <f t="shared" si="200"/>
        <v>5.0508176117342298</v>
      </c>
      <c r="BX251" s="96">
        <f t="shared" si="201"/>
        <v>0.30026058328492022</v>
      </c>
      <c r="BY251" s="96">
        <f t="shared" si="202"/>
        <v>6.9871618081220923</v>
      </c>
      <c r="BZ251" s="96">
        <f t="shared" si="203"/>
        <v>53.125456332851243</v>
      </c>
      <c r="CA251" s="96">
        <f t="shared" si="204"/>
        <v>55</v>
      </c>
      <c r="CB251" s="104">
        <f t="shared" si="205"/>
        <v>1.1000000000000001</v>
      </c>
      <c r="CC251" s="105">
        <f t="shared" si="218"/>
        <v>163.2395867093046</v>
      </c>
      <c r="CD251" s="106">
        <f t="shared" si="219"/>
        <v>38.854427119608815</v>
      </c>
      <c r="CE251" s="107">
        <f t="shared" si="220"/>
        <v>0.58281640679413216</v>
      </c>
      <c r="CF251" s="108" t="s">
        <v>2189</v>
      </c>
      <c r="CG251" s="108" t="s">
        <v>2189</v>
      </c>
      <c r="CH251" s="108" t="s">
        <v>2189</v>
      </c>
      <c r="CI251" s="108" t="s">
        <v>2189</v>
      </c>
      <c r="CJ251" s="109"/>
      <c r="CK251" s="116" t="s">
        <v>2192</v>
      </c>
      <c r="CL251" s="116" t="s">
        <v>2193</v>
      </c>
      <c r="CM251" s="111">
        <f t="shared" si="206"/>
        <v>25</v>
      </c>
      <c r="CN251" s="107">
        <f t="shared" si="221"/>
        <v>0.375</v>
      </c>
      <c r="CO251" s="114">
        <f>1102000+11040000+1000000+900000+37000+834000+5252000+5379000</f>
        <v>25544000</v>
      </c>
      <c r="CP251" s="88">
        <f t="shared" si="207"/>
        <v>26.585220806994254</v>
      </c>
      <c r="CQ251" s="78">
        <f t="shared" si="208"/>
        <v>60</v>
      </c>
      <c r="CR251" s="79">
        <f t="shared" si="222"/>
        <v>1.7999999999999998</v>
      </c>
      <c r="CS251" s="92">
        <f>_xlfn.XLOOKUP(C251, '[1]1-1. 관계사체무보증금액 (환율 등)'!$3:$3, '[1]1-1. 관계사체무보증금액 (환율 등)'!$33:$33)</f>
        <v>0</v>
      </c>
      <c r="CT251" s="77">
        <f t="shared" si="209"/>
        <v>0</v>
      </c>
      <c r="CU251" s="78">
        <f t="shared" si="210"/>
        <v>100</v>
      </c>
      <c r="CV251" s="79">
        <f t="shared" si="223"/>
        <v>2</v>
      </c>
      <c r="CW251" s="112">
        <f t="shared" si="211"/>
        <v>17.333213576472282</v>
      </c>
    </row>
    <row r="252" spans="1:101" x14ac:dyDescent="0.35">
      <c r="A252" s="7" t="s">
        <v>1184</v>
      </c>
      <c r="B252" s="188" t="s">
        <v>1185</v>
      </c>
      <c r="C252" s="21" t="s">
        <v>1186</v>
      </c>
      <c r="D252" s="10" t="s">
        <v>75</v>
      </c>
      <c r="E252" s="11" t="s">
        <v>1187</v>
      </c>
      <c r="F252" s="11" t="s">
        <v>1188</v>
      </c>
      <c r="G252" s="12">
        <v>27517</v>
      </c>
      <c r="H252" s="11" t="s">
        <v>24</v>
      </c>
      <c r="I252" s="11" t="s">
        <v>1189</v>
      </c>
      <c r="J252" s="11" t="s">
        <v>1190</v>
      </c>
      <c r="K252" s="11" t="s">
        <v>27</v>
      </c>
      <c r="L252" s="23">
        <v>3324252824</v>
      </c>
      <c r="M252" s="14">
        <v>1744378392</v>
      </c>
      <c r="N252" s="14">
        <v>1579874432</v>
      </c>
      <c r="O252" s="14">
        <v>1329446841</v>
      </c>
      <c r="P252" s="14">
        <v>132736708</v>
      </c>
      <c r="Q252" s="14">
        <v>169634745</v>
      </c>
      <c r="R252" s="14">
        <v>144326674</v>
      </c>
      <c r="S252" s="15">
        <v>503859595</v>
      </c>
      <c r="T252" s="15">
        <v>1577790</v>
      </c>
      <c r="U252" s="15">
        <v>391388365</v>
      </c>
      <c r="V252" s="15">
        <v>0</v>
      </c>
      <c r="W252" s="15">
        <f>446429+219871+160634+155304+169643+99286+92164+26786+74919+73136+28586+26786+69086+26786+3140</f>
        <v>1672556</v>
      </c>
      <c r="X252" s="15">
        <v>0</v>
      </c>
      <c r="Z252" s="15">
        <v>0</v>
      </c>
      <c r="AA252" s="15">
        <v>0</v>
      </c>
      <c r="AB252" s="74">
        <f t="shared" si="171"/>
        <v>393060921</v>
      </c>
      <c r="AC252" s="75">
        <f t="shared" si="172"/>
        <v>78.010010110058531</v>
      </c>
      <c r="AD252" s="75">
        <f t="shared" si="173"/>
        <v>32.75890957129586</v>
      </c>
      <c r="AE252" s="76">
        <f t="shared" si="212"/>
        <v>0.98276728713887573</v>
      </c>
      <c r="AF252" s="77">
        <f t="shared" si="174"/>
        <v>77.922067075473706</v>
      </c>
      <c r="AG252" s="77">
        <f t="shared" si="175"/>
        <v>78.255058631876977</v>
      </c>
      <c r="AH252" s="77">
        <f t="shared" si="176"/>
        <v>0.33299155640327172</v>
      </c>
      <c r="AI252" s="78">
        <f t="shared" si="177"/>
        <v>100</v>
      </c>
      <c r="AJ252" s="79">
        <f t="shared" si="213"/>
        <v>4</v>
      </c>
      <c r="AK252" s="113">
        <v>14</v>
      </c>
      <c r="AL252" s="113">
        <v>10</v>
      </c>
      <c r="AM252" s="80">
        <v>1</v>
      </c>
      <c r="AN252" s="81">
        <f t="shared" si="178"/>
        <v>24</v>
      </c>
      <c r="AO252" s="82">
        <f t="shared" si="179"/>
        <v>4.1666666666666661</v>
      </c>
      <c r="AP252" s="83">
        <f t="shared" si="180"/>
        <v>100</v>
      </c>
      <c r="AQ252" s="84">
        <f t="shared" si="214"/>
        <v>2</v>
      </c>
      <c r="AR252" s="118">
        <v>4</v>
      </c>
      <c r="AS252" s="86">
        <f t="shared" si="181"/>
        <v>0.5</v>
      </c>
      <c r="AT252" s="87">
        <f t="shared" si="182"/>
        <v>7</v>
      </c>
      <c r="AU252" s="87">
        <f t="shared" si="183"/>
        <v>7</v>
      </c>
      <c r="AV252" s="88">
        <f t="shared" si="184"/>
        <v>-21.428571428571427</v>
      </c>
      <c r="AW252" s="78">
        <f t="shared" si="185"/>
        <v>20</v>
      </c>
      <c r="AX252" s="89">
        <f t="shared" si="215"/>
        <v>0.2</v>
      </c>
      <c r="AY252" s="114">
        <v>7</v>
      </c>
      <c r="AZ252" s="114">
        <v>28</v>
      </c>
      <c r="BA252" s="91">
        <f t="shared" si="186"/>
        <v>28</v>
      </c>
      <c r="BB252" s="77">
        <f t="shared" si="187"/>
        <v>100</v>
      </c>
      <c r="BC252" s="78">
        <f t="shared" si="188"/>
        <v>100</v>
      </c>
      <c r="BD252" s="79">
        <f t="shared" si="216"/>
        <v>1</v>
      </c>
      <c r="BE252" s="92">
        <v>17523496</v>
      </c>
      <c r="BF252" s="92">
        <v>3642519</v>
      </c>
      <c r="BG252" s="114">
        <v>1826921</v>
      </c>
      <c r="BH252" s="94">
        <f t="shared" si="189"/>
        <v>21166015</v>
      </c>
      <c r="BI252" s="77">
        <f t="shared" si="190"/>
        <v>8.6313885726718045</v>
      </c>
      <c r="BJ252" s="95" t="str">
        <f t="shared" si="191"/>
        <v>금속/비금속/화학업</v>
      </c>
      <c r="BK252" s="96">
        <f t="shared" si="192"/>
        <v>3.9534118626990469</v>
      </c>
      <c r="BL252" s="97">
        <f t="shared" si="193"/>
        <v>4.6779767099727572</v>
      </c>
      <c r="BM252" s="98">
        <f t="shared" si="194"/>
        <v>40</v>
      </c>
      <c r="BN252" s="99">
        <f t="shared" si="195"/>
        <v>0.8</v>
      </c>
      <c r="BO252" s="114">
        <v>4992639</v>
      </c>
      <c r="BP252" s="101">
        <f t="shared" si="196"/>
        <v>0.37554258252587025</v>
      </c>
      <c r="BQ252" s="78">
        <f t="shared" si="197"/>
        <v>55</v>
      </c>
      <c r="BR252" s="79">
        <f t="shared" si="217"/>
        <v>1.1000000000000001</v>
      </c>
      <c r="BS252" s="102">
        <v>183188504.565</v>
      </c>
      <c r="BT252" s="102">
        <v>9350058.3389999997</v>
      </c>
      <c r="BU252" s="103">
        <f t="shared" si="198"/>
        <v>173838446.22600001</v>
      </c>
      <c r="BV252" s="77">
        <f t="shared" si="199"/>
        <v>13.075998292285234</v>
      </c>
      <c r="BW252" s="96">
        <f t="shared" si="200"/>
        <v>5.1474158565187738</v>
      </c>
      <c r="BX252" s="96">
        <f t="shared" si="201"/>
        <v>62.862419440744425</v>
      </c>
      <c r="BY252" s="96">
        <f t="shared" si="202"/>
        <v>6.6930498535228535</v>
      </c>
      <c r="BZ252" s="96">
        <f t="shared" si="203"/>
        <v>11.808794915526866</v>
      </c>
      <c r="CA252" s="96">
        <f t="shared" si="204"/>
        <v>85</v>
      </c>
      <c r="CB252" s="104">
        <f t="shared" si="205"/>
        <v>1.7</v>
      </c>
      <c r="CC252" s="105">
        <f t="shared" si="218"/>
        <v>110.41247055259642</v>
      </c>
      <c r="CD252" s="106">
        <f t="shared" si="219"/>
        <v>58.764144264096828</v>
      </c>
      <c r="CE252" s="107">
        <f t="shared" si="220"/>
        <v>0.88146216396145238</v>
      </c>
      <c r="CF252" s="108" t="s">
        <v>2189</v>
      </c>
      <c r="CG252" s="108" t="s">
        <v>2189</v>
      </c>
      <c r="CH252" s="108" t="s">
        <v>2189</v>
      </c>
      <c r="CI252" s="108" t="s">
        <v>2189</v>
      </c>
      <c r="CJ252" s="109"/>
      <c r="CK252" s="116" t="s">
        <v>2202</v>
      </c>
      <c r="CL252" s="116" t="s">
        <v>2196</v>
      </c>
      <c r="CM252" s="111">
        <f t="shared" si="206"/>
        <v>55</v>
      </c>
      <c r="CN252" s="107">
        <f t="shared" si="221"/>
        <v>0.82499999999999996</v>
      </c>
      <c r="CO252" s="114">
        <f>482295000-941000-377000-799000</f>
        <v>480178000</v>
      </c>
      <c r="CP252" s="88">
        <f t="shared" si="207"/>
        <v>30.393428127837442</v>
      </c>
      <c r="CQ252" s="78">
        <f t="shared" si="208"/>
        <v>60</v>
      </c>
      <c r="CR252" s="79">
        <f t="shared" si="222"/>
        <v>1.7999999999999998</v>
      </c>
      <c r="CS252" s="92">
        <f>_xlfn.XLOOKUP(C252, '[1]1-1. 관계사체무보증금액 (환율 등)'!$3:$3, '[1]1-1. 관계사체무보증금액 (환율 등)'!$33:$33)</f>
        <v>0</v>
      </c>
      <c r="CT252" s="77">
        <f t="shared" si="209"/>
        <v>0</v>
      </c>
      <c r="CU252" s="78">
        <f t="shared" si="210"/>
        <v>100</v>
      </c>
      <c r="CV252" s="79">
        <f t="shared" si="223"/>
        <v>2</v>
      </c>
      <c r="CW252" s="112">
        <f t="shared" si="211"/>
        <v>17.289229451100329</v>
      </c>
    </row>
    <row r="253" spans="1:101" x14ac:dyDescent="0.35">
      <c r="A253" s="7" t="s">
        <v>1159</v>
      </c>
      <c r="B253" s="8" t="s">
        <v>1160</v>
      </c>
      <c r="C253" s="21" t="s">
        <v>1161</v>
      </c>
      <c r="D253" s="10" t="s">
        <v>31</v>
      </c>
      <c r="E253" s="11" t="s">
        <v>32</v>
      </c>
      <c r="F253" s="11" t="s">
        <v>1162</v>
      </c>
      <c r="G253" s="12">
        <v>28122</v>
      </c>
      <c r="H253" s="11" t="s">
        <v>24</v>
      </c>
      <c r="I253" s="11" t="s">
        <v>1163</v>
      </c>
      <c r="J253" s="11" t="s">
        <v>1164</v>
      </c>
      <c r="K253" s="11" t="s">
        <v>27</v>
      </c>
      <c r="L253" s="23">
        <v>385696451</v>
      </c>
      <c r="M253" s="14">
        <v>57970889</v>
      </c>
      <c r="N253" s="14">
        <v>327725561</v>
      </c>
      <c r="O253" s="14">
        <v>201337780</v>
      </c>
      <c r="P253" s="14">
        <v>7473489</v>
      </c>
      <c r="Q253" s="14">
        <v>11002724</v>
      </c>
      <c r="R253" s="14">
        <v>11593733</v>
      </c>
      <c r="S253" s="15">
        <v>9000000</v>
      </c>
      <c r="T253" s="15">
        <v>0</v>
      </c>
      <c r="U253" s="15">
        <v>894620</v>
      </c>
      <c r="V253" s="15">
        <v>983300</v>
      </c>
      <c r="W253" s="15">
        <v>0</v>
      </c>
      <c r="X253" s="15">
        <v>449990</v>
      </c>
      <c r="Y253" s="24" t="s">
        <v>2093</v>
      </c>
      <c r="Z253" s="15">
        <f>1712190+370090</f>
        <v>2082280</v>
      </c>
      <c r="AA253" s="15">
        <f>4352+15809</f>
        <v>20161</v>
      </c>
      <c r="AB253" s="74">
        <f t="shared" si="171"/>
        <v>4410190</v>
      </c>
      <c r="AC253" s="75">
        <f t="shared" si="172"/>
        <v>49.002111111111113</v>
      </c>
      <c r="AD253" s="75">
        <f t="shared" si="173"/>
        <v>57.794495588799393</v>
      </c>
      <c r="AE253" s="76">
        <f t="shared" si="212"/>
        <v>1.7338348676639816</v>
      </c>
      <c r="AF253" s="77">
        <f t="shared" si="174"/>
        <v>20.912624380013938</v>
      </c>
      <c r="AG253" s="77">
        <f t="shared" si="175"/>
        <v>48.887613686615097</v>
      </c>
      <c r="AH253" s="77">
        <f t="shared" si="176"/>
        <v>27.974989306601159</v>
      </c>
      <c r="AI253" s="78">
        <f t="shared" si="177"/>
        <v>80</v>
      </c>
      <c r="AJ253" s="79">
        <f t="shared" si="213"/>
        <v>3.2</v>
      </c>
      <c r="AK253" s="113">
        <v>10</v>
      </c>
      <c r="AL253" s="113">
        <v>0</v>
      </c>
      <c r="AM253" s="113">
        <v>2</v>
      </c>
      <c r="AN253" s="81">
        <f t="shared" si="178"/>
        <v>10</v>
      </c>
      <c r="AO253" s="82">
        <f t="shared" si="179"/>
        <v>20</v>
      </c>
      <c r="AP253" s="83">
        <f t="shared" si="180"/>
        <v>60</v>
      </c>
      <c r="AQ253" s="84">
        <f t="shared" si="214"/>
        <v>1.2</v>
      </c>
      <c r="AR253" s="118">
        <v>2</v>
      </c>
      <c r="AS253" s="86">
        <f t="shared" si="181"/>
        <v>0.25</v>
      </c>
      <c r="AT253" s="87">
        <f t="shared" si="182"/>
        <v>2.5</v>
      </c>
      <c r="AU253" s="87">
        <f t="shared" si="183"/>
        <v>2</v>
      </c>
      <c r="AV253" s="88">
        <f t="shared" si="184"/>
        <v>0</v>
      </c>
      <c r="AW253" s="78">
        <f t="shared" si="185"/>
        <v>40</v>
      </c>
      <c r="AX253" s="89">
        <f t="shared" si="215"/>
        <v>0.4</v>
      </c>
      <c r="AY253" s="114">
        <v>9</v>
      </c>
      <c r="AZ253" s="114">
        <f>18-2</f>
        <v>16</v>
      </c>
      <c r="BA253" s="91">
        <f t="shared" si="186"/>
        <v>18</v>
      </c>
      <c r="BB253" s="77">
        <f t="shared" si="187"/>
        <v>88.888888888888886</v>
      </c>
      <c r="BC253" s="78">
        <f t="shared" si="188"/>
        <v>75</v>
      </c>
      <c r="BD253" s="79">
        <f t="shared" si="216"/>
        <v>0.75</v>
      </c>
      <c r="BE253" s="92">
        <v>19194319</v>
      </c>
      <c r="BF253" s="92">
        <v>1287233</v>
      </c>
      <c r="BG253" s="114">
        <v>246943</v>
      </c>
      <c r="BH253" s="94">
        <f t="shared" si="189"/>
        <v>20481552</v>
      </c>
      <c r="BI253" s="77">
        <f t="shared" si="190"/>
        <v>1.2056849988711793</v>
      </c>
      <c r="BJ253" s="95" t="str">
        <f t="shared" si="191"/>
        <v>식약/섬유/종이업</v>
      </c>
      <c r="BK253" s="96">
        <f t="shared" si="192"/>
        <v>2.1999360555264453</v>
      </c>
      <c r="BL253" s="97">
        <f t="shared" si="193"/>
        <v>-0.99425105665526603</v>
      </c>
      <c r="BM253" s="98">
        <f t="shared" si="194"/>
        <v>80</v>
      </c>
      <c r="BN253" s="99">
        <f t="shared" si="195"/>
        <v>1.6</v>
      </c>
      <c r="BO253" s="114">
        <v>2280498</v>
      </c>
      <c r="BP253" s="101">
        <f t="shared" si="196"/>
        <v>1.1326726658056923</v>
      </c>
      <c r="BQ253" s="78">
        <f t="shared" si="197"/>
        <v>70</v>
      </c>
      <c r="BR253" s="79">
        <f t="shared" si="217"/>
        <v>1.4000000000000001</v>
      </c>
      <c r="BS253" s="102">
        <v>22474858</v>
      </c>
      <c r="BT253" s="102">
        <v>2876824</v>
      </c>
      <c r="BU253" s="103">
        <f t="shared" si="198"/>
        <v>19598034</v>
      </c>
      <c r="BV253" s="77">
        <f t="shared" si="199"/>
        <v>9.7339078636905612</v>
      </c>
      <c r="BW253" s="96">
        <f t="shared" si="200"/>
        <v>5.0508176117342298</v>
      </c>
      <c r="BX253" s="96">
        <f t="shared" si="201"/>
        <v>21.931334307968413</v>
      </c>
      <c r="BY253" s="96">
        <f t="shared" si="202"/>
        <v>6.9871618081220923</v>
      </c>
      <c r="BZ253" s="96">
        <f t="shared" si="203"/>
        <v>25.135172375241343</v>
      </c>
      <c r="CA253" s="96">
        <f t="shared" si="204"/>
        <v>70</v>
      </c>
      <c r="CB253" s="104">
        <f t="shared" si="205"/>
        <v>1.4000000000000001</v>
      </c>
      <c r="CC253" s="105">
        <f t="shared" si="218"/>
        <v>17.688851862244583</v>
      </c>
      <c r="CD253" s="106">
        <f t="shared" si="219"/>
        <v>93.710231710209328</v>
      </c>
      <c r="CE253" s="107">
        <f t="shared" si="220"/>
        <v>1.4056534756531398</v>
      </c>
      <c r="CF253" s="108" t="s">
        <v>2189</v>
      </c>
      <c r="CG253" s="108" t="s">
        <v>2189</v>
      </c>
      <c r="CH253" s="108" t="s">
        <v>2189</v>
      </c>
      <c r="CI253" s="108" t="s">
        <v>2189</v>
      </c>
      <c r="CJ253" s="109"/>
      <c r="CK253" s="116" t="s">
        <v>2199</v>
      </c>
      <c r="CL253" s="116" t="s">
        <v>2193</v>
      </c>
      <c r="CM253" s="111">
        <f t="shared" si="206"/>
        <v>25</v>
      </c>
      <c r="CN253" s="107">
        <f t="shared" si="221"/>
        <v>0.375</v>
      </c>
      <c r="CO253" s="114">
        <v>72594925</v>
      </c>
      <c r="CP253" s="88">
        <f t="shared" si="207"/>
        <v>22.151133032922019</v>
      </c>
      <c r="CQ253" s="78">
        <f t="shared" si="208"/>
        <v>60</v>
      </c>
      <c r="CR253" s="79">
        <f t="shared" si="222"/>
        <v>1.7999999999999998</v>
      </c>
      <c r="CS253" s="92">
        <f>_xlfn.XLOOKUP(C253, '[1]1-1. 관계사체무보증금액 (환율 등)'!$3:$3, '[1]1-1. 관계사체무보증금액 (환율 등)'!$33:$33)</f>
        <v>0</v>
      </c>
      <c r="CT253" s="77">
        <f t="shared" si="209"/>
        <v>0</v>
      </c>
      <c r="CU253" s="78">
        <f t="shared" si="210"/>
        <v>100</v>
      </c>
      <c r="CV253" s="79">
        <f t="shared" si="223"/>
        <v>2</v>
      </c>
      <c r="CW253" s="112">
        <f t="shared" si="211"/>
        <v>17.264488343317122</v>
      </c>
    </row>
    <row r="254" spans="1:101" x14ac:dyDescent="0.35">
      <c r="A254" s="7" t="s">
        <v>2012</v>
      </c>
      <c r="B254" s="8" t="s">
        <v>2013</v>
      </c>
      <c r="C254" s="21" t="s">
        <v>2014</v>
      </c>
      <c r="D254" s="10" t="s">
        <v>21</v>
      </c>
      <c r="E254" s="11" t="s">
        <v>2015</v>
      </c>
      <c r="F254" s="11" t="s">
        <v>2016</v>
      </c>
      <c r="G254" s="12">
        <v>39380</v>
      </c>
      <c r="H254" s="11" t="s">
        <v>24</v>
      </c>
      <c r="I254" s="11" t="s">
        <v>2017</v>
      </c>
      <c r="J254" s="11" t="s">
        <v>2018</v>
      </c>
      <c r="K254" s="11" t="s">
        <v>27</v>
      </c>
      <c r="L254" s="23">
        <v>176403782</v>
      </c>
      <c r="M254" s="14">
        <v>111131085</v>
      </c>
      <c r="N254" s="14">
        <v>65272696</v>
      </c>
      <c r="O254" s="14">
        <v>510498450</v>
      </c>
      <c r="P254" s="14">
        <v>22273886</v>
      </c>
      <c r="Q254" s="14">
        <v>19802511</v>
      </c>
      <c r="R254" s="14">
        <v>15083749</v>
      </c>
      <c r="S254" s="198">
        <v>11558200</v>
      </c>
      <c r="T254" s="15">
        <v>519835</v>
      </c>
      <c r="U254" s="15">
        <v>4382245</v>
      </c>
      <c r="V254" s="15">
        <v>0</v>
      </c>
      <c r="W254" s="15">
        <f>25000+3000+3700</f>
        <v>31700</v>
      </c>
      <c r="X254" s="15">
        <v>0</v>
      </c>
      <c r="Z254" s="15">
        <f>3512445+519835</f>
        <v>4032280</v>
      </c>
      <c r="AA254" s="15">
        <v>0</v>
      </c>
      <c r="AB254" s="74">
        <f t="shared" si="171"/>
        <v>8446225</v>
      </c>
      <c r="AC254" s="75">
        <f t="shared" si="172"/>
        <v>73.075608658787701</v>
      </c>
      <c r="AD254" s="75">
        <f t="shared" si="173"/>
        <v>37.017598971126844</v>
      </c>
      <c r="AE254" s="76">
        <f t="shared" si="212"/>
        <v>1.1105279691338052</v>
      </c>
      <c r="AF254" s="77">
        <f t="shared" si="174"/>
        <v>39.700127691012213</v>
      </c>
      <c r="AG254" s="77">
        <f t="shared" si="175"/>
        <v>76.516993232240466</v>
      </c>
      <c r="AH254" s="77">
        <f t="shared" si="176"/>
        <v>36.816865541228253</v>
      </c>
      <c r="AI254" s="78">
        <f t="shared" si="177"/>
        <v>60</v>
      </c>
      <c r="AJ254" s="79">
        <f t="shared" si="213"/>
        <v>2.4</v>
      </c>
      <c r="AK254" s="113">
        <v>5</v>
      </c>
      <c r="AL254" s="113">
        <v>15</v>
      </c>
      <c r="AM254" s="113">
        <v>1</v>
      </c>
      <c r="AN254" s="81">
        <f t="shared" si="178"/>
        <v>20</v>
      </c>
      <c r="AO254" s="82">
        <f t="shared" si="179"/>
        <v>5</v>
      </c>
      <c r="AP254" s="83">
        <f t="shared" si="180"/>
        <v>100</v>
      </c>
      <c r="AQ254" s="84">
        <f t="shared" si="214"/>
        <v>2</v>
      </c>
      <c r="AR254" s="118">
        <v>2</v>
      </c>
      <c r="AS254" s="86">
        <f t="shared" si="181"/>
        <v>0.25</v>
      </c>
      <c r="AT254" s="87">
        <f t="shared" si="182"/>
        <v>1.25</v>
      </c>
      <c r="AU254" s="87">
        <f t="shared" si="183"/>
        <v>1</v>
      </c>
      <c r="AV254" s="88">
        <f t="shared" si="184"/>
        <v>20</v>
      </c>
      <c r="AW254" s="78">
        <f t="shared" si="185"/>
        <v>80</v>
      </c>
      <c r="AX254" s="89">
        <f t="shared" si="215"/>
        <v>0.8</v>
      </c>
      <c r="AY254" s="114">
        <v>15</v>
      </c>
      <c r="AZ254" s="114">
        <f>30-1</f>
        <v>29</v>
      </c>
      <c r="BA254" s="91">
        <f t="shared" si="186"/>
        <v>30</v>
      </c>
      <c r="BB254" s="77">
        <f t="shared" si="187"/>
        <v>96.666666666666671</v>
      </c>
      <c r="BC254" s="78">
        <f t="shared" si="188"/>
        <v>100</v>
      </c>
      <c r="BD254" s="79">
        <f t="shared" si="216"/>
        <v>1</v>
      </c>
      <c r="BE254" s="92">
        <v>15450998</v>
      </c>
      <c r="BF254" s="92">
        <v>1587722</v>
      </c>
      <c r="BG254" s="114">
        <v>708939</v>
      </c>
      <c r="BH254" s="94">
        <f t="shared" si="189"/>
        <v>17038720</v>
      </c>
      <c r="BI254" s="77">
        <f t="shared" si="190"/>
        <v>4.1607526856477488</v>
      </c>
      <c r="BJ254" s="95" t="str">
        <f t="shared" si="191"/>
        <v>비제조/서비스업</v>
      </c>
      <c r="BK254" s="96">
        <f t="shared" si="192"/>
        <v>1.7464434573900922</v>
      </c>
      <c r="BL254" s="97">
        <f t="shared" si="193"/>
        <v>2.4143092282576566</v>
      </c>
      <c r="BM254" s="98">
        <f t="shared" si="194"/>
        <v>40</v>
      </c>
      <c r="BN254" s="99">
        <f t="shared" si="195"/>
        <v>0.8</v>
      </c>
      <c r="BO254" s="114">
        <v>7447401</v>
      </c>
      <c r="BP254" s="101">
        <f t="shared" si="196"/>
        <v>1.4588488956234833</v>
      </c>
      <c r="BQ254" s="78">
        <f t="shared" si="197"/>
        <v>70</v>
      </c>
      <c r="BR254" s="79">
        <f t="shared" si="217"/>
        <v>1.4000000000000001</v>
      </c>
      <c r="BS254" s="102">
        <v>9186136.7689999994</v>
      </c>
      <c r="BT254" s="102">
        <v>30008</v>
      </c>
      <c r="BU254" s="103">
        <f t="shared" si="198"/>
        <v>9156128.7689999994</v>
      </c>
      <c r="BV254" s="77">
        <f t="shared" si="199"/>
        <v>1.7935664190557286</v>
      </c>
      <c r="BW254" s="96">
        <f t="shared" si="200"/>
        <v>2.8482825397737606</v>
      </c>
      <c r="BX254" s="96">
        <f t="shared" si="201"/>
        <v>1.1124260953024943</v>
      </c>
      <c r="BY254" s="96">
        <f t="shared" si="202"/>
        <v>5.5697595856656807</v>
      </c>
      <c r="BZ254" s="96">
        <f t="shared" si="203"/>
        <v>57.509652422872335</v>
      </c>
      <c r="CA254" s="96">
        <f t="shared" si="204"/>
        <v>55</v>
      </c>
      <c r="CB254" s="104">
        <f t="shared" si="205"/>
        <v>1.1000000000000001</v>
      </c>
      <c r="CC254" s="105">
        <f t="shared" si="218"/>
        <v>170.25661847949408</v>
      </c>
      <c r="CD254" s="106">
        <f t="shared" si="219"/>
        <v>36.209817155969567</v>
      </c>
      <c r="CE254" s="107">
        <f t="shared" si="220"/>
        <v>0.5431472573395435</v>
      </c>
      <c r="CF254" s="108" t="s">
        <v>2189</v>
      </c>
      <c r="CG254" s="108" t="s">
        <v>2189</v>
      </c>
      <c r="CH254" s="108" t="s">
        <v>2189</v>
      </c>
      <c r="CI254" s="108" t="s">
        <v>2189</v>
      </c>
      <c r="CJ254" s="109"/>
      <c r="CK254" s="116" t="s">
        <v>2207</v>
      </c>
      <c r="CL254" s="116" t="s">
        <v>2204</v>
      </c>
      <c r="CM254" s="111">
        <f t="shared" si="206"/>
        <v>70</v>
      </c>
      <c r="CN254" s="107">
        <f t="shared" si="221"/>
        <v>1.05</v>
      </c>
      <c r="CO254" s="114">
        <v>500000</v>
      </c>
      <c r="CP254" s="88">
        <f t="shared" si="207"/>
        <v>0.76601708009731972</v>
      </c>
      <c r="CQ254" s="78">
        <f t="shared" si="208"/>
        <v>100</v>
      </c>
      <c r="CR254" s="79">
        <f t="shared" si="222"/>
        <v>3</v>
      </c>
      <c r="CS254" s="92">
        <f>_xlfn.XLOOKUP(C254, '[1]1-1. 관계사체무보증금액 (환율 등)'!$3:$3, '[1]1-1. 관계사체무보증금액 (환율 등)'!$33:$33)</f>
        <v>0</v>
      </c>
      <c r="CT254" s="77">
        <f t="shared" si="209"/>
        <v>0</v>
      </c>
      <c r="CU254" s="78">
        <f t="shared" si="210"/>
        <v>100</v>
      </c>
      <c r="CV254" s="79">
        <f t="shared" si="223"/>
        <v>2</v>
      </c>
      <c r="CW254" s="112">
        <f t="shared" si="211"/>
        <v>17.203675226473351</v>
      </c>
    </row>
    <row r="255" spans="1:101" x14ac:dyDescent="0.35">
      <c r="A255" s="7" t="s">
        <v>1113</v>
      </c>
      <c r="B255" s="8" t="s">
        <v>1114</v>
      </c>
      <c r="C255" s="21" t="s">
        <v>1115</v>
      </c>
      <c r="D255" s="22" t="s">
        <v>141</v>
      </c>
      <c r="E255" s="11" t="s">
        <v>481</v>
      </c>
      <c r="F255" s="11" t="s">
        <v>1116</v>
      </c>
      <c r="G255" s="12">
        <v>33480</v>
      </c>
      <c r="H255" s="11" t="s">
        <v>24</v>
      </c>
      <c r="I255" s="11" t="s">
        <v>1117</v>
      </c>
      <c r="J255" s="11" t="s">
        <v>1118</v>
      </c>
      <c r="K255" s="11" t="s">
        <v>50</v>
      </c>
      <c r="L255" s="23">
        <v>181493057</v>
      </c>
      <c r="M255" s="14">
        <v>70279714</v>
      </c>
      <c r="N255" s="14">
        <v>111213342</v>
      </c>
      <c r="O255" s="14">
        <v>120360819</v>
      </c>
      <c r="P255" s="14">
        <v>9391620</v>
      </c>
      <c r="Q255" s="14">
        <v>7726840</v>
      </c>
      <c r="R255" s="14">
        <v>5939402</v>
      </c>
      <c r="S255" s="15">
        <v>53985163</v>
      </c>
      <c r="T255" s="15">
        <v>0</v>
      </c>
      <c r="U255" s="15">
        <f>10198612+10008919</f>
        <v>20207531</v>
      </c>
      <c r="V255" s="15">
        <f>876661+544522+401950</f>
        <v>1823133</v>
      </c>
      <c r="W255" s="15">
        <f>421318+25207+10000</f>
        <v>456525</v>
      </c>
      <c r="X255" s="15">
        <v>0</v>
      </c>
      <c r="Z255" s="15">
        <v>1542007</v>
      </c>
      <c r="AA255" s="15">
        <v>0</v>
      </c>
      <c r="AB255" s="74">
        <f t="shared" si="171"/>
        <v>24029196</v>
      </c>
      <c r="AC255" s="75">
        <f t="shared" si="172"/>
        <v>44.510740849295942</v>
      </c>
      <c r="AD255" s="75">
        <f t="shared" si="173"/>
        <v>61.670822051815939</v>
      </c>
      <c r="AE255" s="76">
        <f t="shared" si="212"/>
        <v>1.8501246615544782</v>
      </c>
      <c r="AF255" s="77">
        <f t="shared" si="174"/>
        <v>40.808738504688776</v>
      </c>
      <c r="AG255" s="77">
        <f t="shared" si="175"/>
        <v>44.510740849295942</v>
      </c>
      <c r="AH255" s="77">
        <f t="shared" si="176"/>
        <v>3.7020023446071662</v>
      </c>
      <c r="AI255" s="78">
        <f t="shared" si="177"/>
        <v>100</v>
      </c>
      <c r="AJ255" s="79">
        <f t="shared" si="213"/>
        <v>4</v>
      </c>
      <c r="AK255" s="113">
        <v>8</v>
      </c>
      <c r="AL255" s="113">
        <v>6</v>
      </c>
      <c r="AM255" s="113">
        <v>3</v>
      </c>
      <c r="AN255" s="81">
        <f t="shared" si="178"/>
        <v>14</v>
      </c>
      <c r="AO255" s="82">
        <f t="shared" si="179"/>
        <v>21.428571428571427</v>
      </c>
      <c r="AP255" s="83">
        <f t="shared" si="180"/>
        <v>60</v>
      </c>
      <c r="AQ255" s="84">
        <f t="shared" si="214"/>
        <v>1.2</v>
      </c>
      <c r="AR255" s="118">
        <v>3</v>
      </c>
      <c r="AS255" s="86">
        <f t="shared" si="181"/>
        <v>0.25</v>
      </c>
      <c r="AT255" s="87">
        <f t="shared" si="182"/>
        <v>2</v>
      </c>
      <c r="AU255" s="87">
        <f t="shared" si="183"/>
        <v>2</v>
      </c>
      <c r="AV255" s="88">
        <f t="shared" si="184"/>
        <v>12.5</v>
      </c>
      <c r="AW255" s="78">
        <f t="shared" si="185"/>
        <v>60</v>
      </c>
      <c r="AX255" s="89">
        <f t="shared" si="215"/>
        <v>0.6</v>
      </c>
      <c r="AY255" s="114">
        <v>6</v>
      </c>
      <c r="AZ255" s="114">
        <v>18</v>
      </c>
      <c r="BA255" s="91">
        <f t="shared" si="186"/>
        <v>18</v>
      </c>
      <c r="BB255" s="77">
        <f t="shared" si="187"/>
        <v>100</v>
      </c>
      <c r="BC255" s="78">
        <f t="shared" si="188"/>
        <v>100</v>
      </c>
      <c r="BD255" s="79">
        <f t="shared" si="216"/>
        <v>1</v>
      </c>
      <c r="BE255" s="92">
        <v>3795286</v>
      </c>
      <c r="BF255" s="92">
        <v>1276797</v>
      </c>
      <c r="BG255" s="114">
        <v>68216</v>
      </c>
      <c r="BH255" s="94">
        <f t="shared" si="189"/>
        <v>5072083</v>
      </c>
      <c r="BI255" s="77">
        <f t="shared" si="190"/>
        <v>1.3449306724673078</v>
      </c>
      <c r="BJ255" s="95" t="str">
        <f t="shared" si="191"/>
        <v>전기전자/기계업</v>
      </c>
      <c r="BK255" s="96">
        <f t="shared" si="192"/>
        <v>2.4096449716116446</v>
      </c>
      <c r="BL255" s="97">
        <f t="shared" si="193"/>
        <v>-1.0647142991443368</v>
      </c>
      <c r="BM255" s="98">
        <f t="shared" si="194"/>
        <v>80</v>
      </c>
      <c r="BN255" s="99">
        <f t="shared" si="195"/>
        <v>1.6</v>
      </c>
      <c r="BO255" s="114">
        <v>5463893</v>
      </c>
      <c r="BP255" s="101">
        <f t="shared" si="196"/>
        <v>4.5395944007326836</v>
      </c>
      <c r="BQ255" s="78">
        <f t="shared" si="197"/>
        <v>100</v>
      </c>
      <c r="BR255" s="79">
        <f t="shared" si="217"/>
        <v>2</v>
      </c>
      <c r="BS255" s="102">
        <v>606892.08299999998</v>
      </c>
      <c r="BT255" s="102">
        <v>6545.4539999999997</v>
      </c>
      <c r="BU255" s="103">
        <f t="shared" si="198"/>
        <v>600346.62899999996</v>
      </c>
      <c r="BV255" s="77">
        <f t="shared" si="199"/>
        <v>0.49878908600646854</v>
      </c>
      <c r="BW255" s="96">
        <f t="shared" si="200"/>
        <v>5.2309968128308295</v>
      </c>
      <c r="BX255" s="96">
        <f t="shared" si="201"/>
        <v>22.39378996981619</v>
      </c>
      <c r="BY255" s="96">
        <f t="shared" si="202"/>
        <v>7.0695458012309631</v>
      </c>
      <c r="BZ255" s="96">
        <f t="shared" si="203"/>
        <v>74.83732284617912</v>
      </c>
      <c r="CA255" s="96">
        <f t="shared" si="204"/>
        <v>40</v>
      </c>
      <c r="CB255" s="104">
        <f t="shared" si="205"/>
        <v>0.8</v>
      </c>
      <c r="CC255" s="105">
        <f t="shared" si="218"/>
        <v>63.193599559304673</v>
      </c>
      <c r="CD255" s="106">
        <f t="shared" si="219"/>
        <v>76.560201171116333</v>
      </c>
      <c r="CE255" s="107">
        <f t="shared" si="220"/>
        <v>1.148403017566745</v>
      </c>
      <c r="CF255" s="108" t="s">
        <v>2189</v>
      </c>
      <c r="CG255" s="108" t="s">
        <v>2189</v>
      </c>
      <c r="CH255" s="108" t="s">
        <v>2189</v>
      </c>
      <c r="CI255" s="108" t="s">
        <v>2189</v>
      </c>
      <c r="CJ255" s="109"/>
      <c r="CK255" s="116" t="s">
        <v>2217</v>
      </c>
      <c r="CL255" s="116" t="s">
        <v>2209</v>
      </c>
      <c r="CM255" s="111">
        <f t="shared" si="206"/>
        <v>40</v>
      </c>
      <c r="CN255" s="107">
        <f t="shared" si="221"/>
        <v>0.6</v>
      </c>
      <c r="CO255" s="114">
        <v>78037000</v>
      </c>
      <c r="CP255" s="88">
        <f t="shared" si="207"/>
        <v>70.168739286694574</v>
      </c>
      <c r="CQ255" s="78">
        <f t="shared" si="208"/>
        <v>40</v>
      </c>
      <c r="CR255" s="79">
        <f t="shared" si="222"/>
        <v>1.2</v>
      </c>
      <c r="CS255" s="92">
        <f>_xlfn.XLOOKUP(C255, '[1]1-1. 관계사체무보증금액 (환율 등)'!$3:$3, '[1]1-1. 관계사체무보증금액 (환율 등)'!$33:$33)</f>
        <v>18000000</v>
      </c>
      <c r="CT255" s="77">
        <f t="shared" si="209"/>
        <v>16.185108437798768</v>
      </c>
      <c r="CU255" s="78">
        <f t="shared" si="210"/>
        <v>60</v>
      </c>
      <c r="CV255" s="79">
        <f t="shared" si="223"/>
        <v>1.2</v>
      </c>
      <c r="CW255" s="112">
        <f t="shared" si="211"/>
        <v>17.198527679121224</v>
      </c>
    </row>
    <row r="256" spans="1:101" x14ac:dyDescent="0.35">
      <c r="A256" s="7" t="s">
        <v>846</v>
      </c>
      <c r="B256" s="8" t="s">
        <v>847</v>
      </c>
      <c r="C256" s="21" t="s">
        <v>848</v>
      </c>
      <c r="D256" s="10" t="s">
        <v>75</v>
      </c>
      <c r="E256" s="11" t="s">
        <v>76</v>
      </c>
      <c r="F256" s="11" t="s">
        <v>849</v>
      </c>
      <c r="G256" s="12">
        <v>27921</v>
      </c>
      <c r="H256" s="11" t="s">
        <v>24</v>
      </c>
      <c r="I256" s="11" t="s">
        <v>850</v>
      </c>
      <c r="J256" s="11" t="s">
        <v>851</v>
      </c>
      <c r="K256" s="11" t="s">
        <v>734</v>
      </c>
      <c r="L256" s="23">
        <v>404942084</v>
      </c>
      <c r="M256" s="14">
        <v>194159798</v>
      </c>
      <c r="N256" s="14">
        <v>210782285</v>
      </c>
      <c r="O256" s="14">
        <v>232326917</v>
      </c>
      <c r="P256" s="14">
        <v>28484556</v>
      </c>
      <c r="Q256" s="14">
        <v>25121503</v>
      </c>
      <c r="R256" s="14">
        <v>22437303</v>
      </c>
      <c r="S256" s="15">
        <v>44918407</v>
      </c>
      <c r="T256" s="15">
        <v>769300</v>
      </c>
      <c r="U256" s="15">
        <v>10014472</v>
      </c>
      <c r="V256" s="15">
        <f>44608+1185230+463766</f>
        <v>1693604</v>
      </c>
      <c r="W256" s="15">
        <f>68880+11068</f>
        <v>79948</v>
      </c>
      <c r="X256" s="15">
        <v>0</v>
      </c>
      <c r="Z256" s="15">
        <f>3180813+2873537+1575591</f>
        <v>7629941</v>
      </c>
      <c r="AA256" s="15">
        <v>0</v>
      </c>
      <c r="AB256" s="74">
        <f t="shared" si="171"/>
        <v>19417965</v>
      </c>
      <c r="AC256" s="75">
        <f t="shared" si="172"/>
        <v>43.229415949679606</v>
      </c>
      <c r="AD256" s="75">
        <f t="shared" si="173"/>
        <v>62.776683587733366</v>
      </c>
      <c r="AE256" s="76">
        <f t="shared" si="212"/>
        <v>1.8833005076320009</v>
      </c>
      <c r="AF256" s="77">
        <f t="shared" si="174"/>
        <v>26.519394831700673</v>
      </c>
      <c r="AG256" s="77">
        <f t="shared" si="175"/>
        <v>43.982690295411864</v>
      </c>
      <c r="AH256" s="77">
        <f t="shared" si="176"/>
        <v>17.463295463711191</v>
      </c>
      <c r="AI256" s="78">
        <f t="shared" si="177"/>
        <v>80</v>
      </c>
      <c r="AJ256" s="79">
        <f t="shared" si="213"/>
        <v>3.2</v>
      </c>
      <c r="AK256" s="113">
        <v>4</v>
      </c>
      <c r="AL256" s="113">
        <v>10</v>
      </c>
      <c r="AM256" s="113">
        <v>2</v>
      </c>
      <c r="AN256" s="81">
        <f t="shared" si="178"/>
        <v>14</v>
      </c>
      <c r="AO256" s="82">
        <f t="shared" si="179"/>
        <v>14.285714285714285</v>
      </c>
      <c r="AP256" s="83">
        <f t="shared" si="180"/>
        <v>80</v>
      </c>
      <c r="AQ256" s="84">
        <f t="shared" si="214"/>
        <v>1.6</v>
      </c>
      <c r="AR256" s="118">
        <v>1</v>
      </c>
      <c r="AS256" s="86">
        <f t="shared" si="181"/>
        <v>0.25</v>
      </c>
      <c r="AT256" s="87">
        <f t="shared" si="182"/>
        <v>1</v>
      </c>
      <c r="AU256" s="87">
        <f t="shared" si="183"/>
        <v>1</v>
      </c>
      <c r="AV256" s="88">
        <f t="shared" si="184"/>
        <v>0</v>
      </c>
      <c r="AW256" s="78">
        <f t="shared" si="185"/>
        <v>40</v>
      </c>
      <c r="AX256" s="89">
        <f t="shared" si="215"/>
        <v>0.4</v>
      </c>
      <c r="AY256" s="114">
        <v>13</v>
      </c>
      <c r="AZ256" s="114">
        <v>4</v>
      </c>
      <c r="BA256" s="91">
        <f t="shared" si="186"/>
        <v>13</v>
      </c>
      <c r="BB256" s="77">
        <f t="shared" si="187"/>
        <v>30.76923076923077</v>
      </c>
      <c r="BC256" s="78">
        <f t="shared" si="188"/>
        <v>25</v>
      </c>
      <c r="BD256" s="79">
        <f t="shared" si="216"/>
        <v>0.25</v>
      </c>
      <c r="BE256" s="92">
        <v>3735832</v>
      </c>
      <c r="BF256" s="92">
        <v>777465</v>
      </c>
      <c r="BG256" s="114">
        <v>784340</v>
      </c>
      <c r="BH256" s="94">
        <f t="shared" si="189"/>
        <v>4513297</v>
      </c>
      <c r="BI256" s="77">
        <f t="shared" si="190"/>
        <v>17.378426458529098</v>
      </c>
      <c r="BJ256" s="95" t="str">
        <f t="shared" si="191"/>
        <v>금속/비금속/화학업</v>
      </c>
      <c r="BK256" s="96">
        <f t="shared" si="192"/>
        <v>3.9534118626990469</v>
      </c>
      <c r="BL256" s="97">
        <f t="shared" si="193"/>
        <v>13.425014595830051</v>
      </c>
      <c r="BM256" s="98">
        <f t="shared" si="194"/>
        <v>20</v>
      </c>
      <c r="BN256" s="99">
        <f t="shared" si="195"/>
        <v>0.4</v>
      </c>
      <c r="BO256" s="114">
        <v>430526</v>
      </c>
      <c r="BP256" s="101">
        <f t="shared" si="196"/>
        <v>0.18531042616986132</v>
      </c>
      <c r="BQ256" s="78">
        <f t="shared" si="197"/>
        <v>55</v>
      </c>
      <c r="BR256" s="79">
        <f t="shared" si="217"/>
        <v>1.1000000000000001</v>
      </c>
      <c r="BS256" s="102">
        <v>65943666.075000003</v>
      </c>
      <c r="BT256" s="102">
        <v>6622.7280000000001</v>
      </c>
      <c r="BU256" s="103">
        <f t="shared" si="198"/>
        <v>65937043.347000003</v>
      </c>
      <c r="BV256" s="77">
        <f t="shared" si="199"/>
        <v>28.381146790236105</v>
      </c>
      <c r="BW256" s="96">
        <f t="shared" si="200"/>
        <v>5.1474158565187738</v>
      </c>
      <c r="BX256" s="96">
        <f t="shared" si="201"/>
        <v>539.80625310037362</v>
      </c>
      <c r="BY256" s="96">
        <f t="shared" si="202"/>
        <v>6.6930498535228535</v>
      </c>
      <c r="BZ256" s="96">
        <f t="shared" si="203"/>
        <v>2.5895131966224838E-2</v>
      </c>
      <c r="CA256" s="96">
        <f t="shared" si="204"/>
        <v>100</v>
      </c>
      <c r="CB256" s="104">
        <f t="shared" si="205"/>
        <v>2</v>
      </c>
      <c r="CC256" s="105">
        <f t="shared" si="218"/>
        <v>92.113907010733854</v>
      </c>
      <c r="CD256" s="106">
        <f t="shared" si="219"/>
        <v>65.660587810024936</v>
      </c>
      <c r="CE256" s="107">
        <f t="shared" si="220"/>
        <v>0.98490881715037404</v>
      </c>
      <c r="CF256" s="108" t="s">
        <v>2189</v>
      </c>
      <c r="CG256" s="108" t="s">
        <v>2189</v>
      </c>
      <c r="CH256" s="108" t="s">
        <v>2189</v>
      </c>
      <c r="CI256" s="108" t="s">
        <v>2189</v>
      </c>
      <c r="CJ256" s="109"/>
      <c r="CK256" s="116" t="s">
        <v>2211</v>
      </c>
      <c r="CL256" s="116" t="s">
        <v>2193</v>
      </c>
      <c r="CM256" s="111">
        <f t="shared" si="206"/>
        <v>25</v>
      </c>
      <c r="CN256" s="107">
        <f t="shared" si="221"/>
        <v>0.375</v>
      </c>
      <c r="CO256" s="114">
        <v>0</v>
      </c>
      <c r="CP256" s="88">
        <f t="shared" si="207"/>
        <v>0</v>
      </c>
      <c r="CQ256" s="78">
        <f t="shared" si="208"/>
        <v>100</v>
      </c>
      <c r="CR256" s="79">
        <f t="shared" si="222"/>
        <v>3</v>
      </c>
      <c r="CS256" s="92">
        <f>_xlfn.XLOOKUP(C256, '[1]1-1. 관계사체무보증금액 (환율 등)'!$3:$3, '[1]1-1. 관계사체무보증금액 (환율 등)'!$33:$33)</f>
        <v>0</v>
      </c>
      <c r="CT256" s="77">
        <f t="shared" si="209"/>
        <v>0</v>
      </c>
      <c r="CU256" s="78">
        <f t="shared" si="210"/>
        <v>100</v>
      </c>
      <c r="CV256" s="79">
        <f t="shared" si="223"/>
        <v>2</v>
      </c>
      <c r="CW256" s="112">
        <f t="shared" si="211"/>
        <v>17.193209324782377</v>
      </c>
    </row>
    <row r="257" spans="1:101" x14ac:dyDescent="0.35">
      <c r="A257" s="7" t="s">
        <v>446</v>
      </c>
      <c r="B257" s="8" t="s">
        <v>447</v>
      </c>
      <c r="C257" s="21" t="s">
        <v>448</v>
      </c>
      <c r="D257" s="10" t="s">
        <v>31</v>
      </c>
      <c r="E257" s="11" t="s">
        <v>449</v>
      </c>
      <c r="F257" s="11" t="s">
        <v>450</v>
      </c>
      <c r="G257" s="12">
        <v>44147</v>
      </c>
      <c r="H257" s="11" t="s">
        <v>24</v>
      </c>
      <c r="I257" s="11" t="s">
        <v>451</v>
      </c>
      <c r="J257" s="11" t="s">
        <v>452</v>
      </c>
      <c r="K257" s="11" t="s">
        <v>453</v>
      </c>
      <c r="L257" s="23">
        <v>262827323</v>
      </c>
      <c r="M257" s="14">
        <v>108764144</v>
      </c>
      <c r="N257" s="14">
        <v>154063179</v>
      </c>
      <c r="O257" s="14">
        <v>498874562</v>
      </c>
      <c r="P257" s="14">
        <v>2862765</v>
      </c>
      <c r="Q257" s="14">
        <v>2792639</v>
      </c>
      <c r="R257" s="14">
        <v>2643471</v>
      </c>
      <c r="S257" s="15">
        <v>24982540</v>
      </c>
      <c r="T257" s="15">
        <v>0</v>
      </c>
      <c r="U257" s="15">
        <v>17287554</v>
      </c>
      <c r="V257" s="15">
        <f>540+3535+2743+1713+48</f>
        <v>8579</v>
      </c>
      <c r="W257" s="15">
        <f>200000+9798+8946+4722+4813</f>
        <v>228279</v>
      </c>
      <c r="X257" s="15">
        <v>0</v>
      </c>
      <c r="Z257" s="15">
        <v>0</v>
      </c>
      <c r="AA257" s="15">
        <v>0</v>
      </c>
      <c r="AB257" s="74">
        <f t="shared" si="171"/>
        <v>17524412</v>
      </c>
      <c r="AC257" s="75">
        <f t="shared" si="172"/>
        <v>70.146638412267123</v>
      </c>
      <c r="AD257" s="75">
        <f t="shared" si="173"/>
        <v>39.545478930724578</v>
      </c>
      <c r="AE257" s="76">
        <f t="shared" si="212"/>
        <v>1.1863643679217373</v>
      </c>
      <c r="AF257" s="77">
        <f t="shared" si="174"/>
        <v>69.232884246357656</v>
      </c>
      <c r="AG257" s="77">
        <f t="shared" si="175"/>
        <v>70.146638412267123</v>
      </c>
      <c r="AH257" s="77">
        <f t="shared" si="176"/>
        <v>0.91375416590946656</v>
      </c>
      <c r="AI257" s="78">
        <f t="shared" si="177"/>
        <v>100</v>
      </c>
      <c r="AJ257" s="79">
        <f t="shared" si="213"/>
        <v>4</v>
      </c>
      <c r="AK257" s="113">
        <v>6</v>
      </c>
      <c r="AL257" s="113">
        <v>18</v>
      </c>
      <c r="AM257" s="113">
        <v>1</v>
      </c>
      <c r="AN257" s="81">
        <f t="shared" si="178"/>
        <v>24</v>
      </c>
      <c r="AO257" s="82">
        <f t="shared" si="179"/>
        <v>4.1666666666666661</v>
      </c>
      <c r="AP257" s="83">
        <f t="shared" si="180"/>
        <v>100</v>
      </c>
      <c r="AQ257" s="84">
        <f t="shared" si="214"/>
        <v>2</v>
      </c>
      <c r="AR257" s="118">
        <v>2</v>
      </c>
      <c r="AS257" s="86">
        <f t="shared" si="181"/>
        <v>0.25</v>
      </c>
      <c r="AT257" s="87">
        <f t="shared" si="182"/>
        <v>1.5</v>
      </c>
      <c r="AU257" s="87">
        <f t="shared" si="183"/>
        <v>1</v>
      </c>
      <c r="AV257" s="88">
        <f t="shared" si="184"/>
        <v>16.666666666666664</v>
      </c>
      <c r="AW257" s="78">
        <f t="shared" si="185"/>
        <v>60</v>
      </c>
      <c r="AX257" s="89">
        <f t="shared" si="215"/>
        <v>0.6</v>
      </c>
      <c r="AY257" s="114">
        <v>8</v>
      </c>
      <c r="AZ257" s="114">
        <v>14</v>
      </c>
      <c r="BA257" s="91">
        <f t="shared" si="186"/>
        <v>16</v>
      </c>
      <c r="BB257" s="77">
        <f t="shared" si="187"/>
        <v>87.5</v>
      </c>
      <c r="BC257" s="78">
        <f t="shared" si="188"/>
        <v>75</v>
      </c>
      <c r="BD257" s="79">
        <f t="shared" si="216"/>
        <v>0.75</v>
      </c>
      <c r="BE257" s="92">
        <v>24136257</v>
      </c>
      <c r="BF257" s="92">
        <v>1675787</v>
      </c>
      <c r="BG257" s="114">
        <v>900613</v>
      </c>
      <c r="BH257" s="94">
        <f t="shared" si="189"/>
        <v>25812044</v>
      </c>
      <c r="BI257" s="77">
        <f t="shared" si="190"/>
        <v>3.4891192654095895</v>
      </c>
      <c r="BJ257" s="95" t="str">
        <f t="shared" si="191"/>
        <v>식약/섬유/종이업</v>
      </c>
      <c r="BK257" s="96">
        <f t="shared" si="192"/>
        <v>2.1999360555264453</v>
      </c>
      <c r="BL257" s="97">
        <f t="shared" si="193"/>
        <v>1.2891832098831442</v>
      </c>
      <c r="BM257" s="98">
        <f t="shared" si="194"/>
        <v>60</v>
      </c>
      <c r="BN257" s="99">
        <f t="shared" si="195"/>
        <v>1.2</v>
      </c>
      <c r="BO257" s="114">
        <v>1350000</v>
      </c>
      <c r="BP257" s="101">
        <f t="shared" si="196"/>
        <v>0.27060910754555573</v>
      </c>
      <c r="BQ257" s="78">
        <f t="shared" si="197"/>
        <v>55</v>
      </c>
      <c r="BR257" s="79">
        <f t="shared" si="217"/>
        <v>1.1000000000000001</v>
      </c>
      <c r="BS257" s="102">
        <v>10570232.111</v>
      </c>
      <c r="BT257" s="102">
        <v>147621.22700000001</v>
      </c>
      <c r="BU257" s="103">
        <f t="shared" si="198"/>
        <v>10422610.884</v>
      </c>
      <c r="BV257" s="77">
        <f t="shared" si="199"/>
        <v>2.0892247626769151</v>
      </c>
      <c r="BW257" s="96">
        <f t="shared" si="200"/>
        <v>5.0508176117342298</v>
      </c>
      <c r="BX257" s="96">
        <f t="shared" si="201"/>
        <v>8.7710322035874224</v>
      </c>
      <c r="BY257" s="96">
        <f t="shared" si="202"/>
        <v>6.9871618081220923</v>
      </c>
      <c r="BZ257" s="96">
        <f t="shared" si="203"/>
        <v>66.416679521713448</v>
      </c>
      <c r="CA257" s="96">
        <f t="shared" si="204"/>
        <v>40</v>
      </c>
      <c r="CB257" s="104">
        <f t="shared" si="205"/>
        <v>0.8</v>
      </c>
      <c r="CC257" s="105">
        <f t="shared" si="218"/>
        <v>70.597104840995144</v>
      </c>
      <c r="CD257" s="106">
        <f t="shared" si="219"/>
        <v>73.769935361433994</v>
      </c>
      <c r="CE257" s="107">
        <f t="shared" si="220"/>
        <v>1.1065490304215098</v>
      </c>
      <c r="CF257" s="108" t="s">
        <v>2189</v>
      </c>
      <c r="CG257" s="108" t="s">
        <v>2189</v>
      </c>
      <c r="CH257" s="108" t="s">
        <v>2189</v>
      </c>
      <c r="CI257" s="108" t="s">
        <v>2189</v>
      </c>
      <c r="CJ257" s="109"/>
      <c r="CK257" s="116" t="s">
        <v>2207</v>
      </c>
      <c r="CL257" s="116" t="s">
        <v>2204</v>
      </c>
      <c r="CM257" s="111">
        <f t="shared" si="206"/>
        <v>70</v>
      </c>
      <c r="CN257" s="107">
        <f t="shared" si="221"/>
        <v>1.05</v>
      </c>
      <c r="CO257" s="114">
        <f>30187546-52718-1499906</f>
        <v>28634922</v>
      </c>
      <c r="CP257" s="88">
        <f t="shared" si="207"/>
        <v>18.586480031026753</v>
      </c>
      <c r="CQ257" s="78">
        <f t="shared" si="208"/>
        <v>60</v>
      </c>
      <c r="CR257" s="79">
        <f t="shared" si="222"/>
        <v>1.7999999999999998</v>
      </c>
      <c r="CS257" s="92">
        <f>_xlfn.XLOOKUP(C257, '[1]1-1. 관계사체무보증금액 (환율 등)'!$3:$3, '[1]1-1. 관계사체무보증금액 (환율 등)'!$33:$33)</f>
        <v>6246752</v>
      </c>
      <c r="CT257" s="77">
        <f t="shared" si="209"/>
        <v>4.0546690263998775</v>
      </c>
      <c r="CU257" s="78">
        <f t="shared" si="210"/>
        <v>80</v>
      </c>
      <c r="CV257" s="79">
        <f t="shared" si="223"/>
        <v>1.6</v>
      </c>
      <c r="CW257" s="112">
        <f t="shared" si="211"/>
        <v>17.192913398343247</v>
      </c>
    </row>
    <row r="258" spans="1:101" x14ac:dyDescent="0.35">
      <c r="A258" s="7" t="s">
        <v>373</v>
      </c>
      <c r="B258" s="8" t="s">
        <v>374</v>
      </c>
      <c r="C258" s="21" t="s">
        <v>375</v>
      </c>
      <c r="D258" s="22" t="s">
        <v>21</v>
      </c>
      <c r="E258" s="11" t="s">
        <v>376</v>
      </c>
      <c r="F258" s="11" t="s">
        <v>377</v>
      </c>
      <c r="G258" s="12">
        <v>32826</v>
      </c>
      <c r="H258" s="11" t="s">
        <v>24</v>
      </c>
      <c r="I258" s="11" t="s">
        <v>378</v>
      </c>
      <c r="J258" s="11" t="s">
        <v>379</v>
      </c>
      <c r="K258" s="11" t="s">
        <v>27</v>
      </c>
      <c r="L258" s="23">
        <v>57863012</v>
      </c>
      <c r="M258" s="14">
        <v>24529480</v>
      </c>
      <c r="N258" s="14">
        <v>33333532</v>
      </c>
      <c r="O258" s="14">
        <v>30093883</v>
      </c>
      <c r="P258" s="14">
        <v>4174665</v>
      </c>
      <c r="Q258" s="14">
        <v>4390397</v>
      </c>
      <c r="R258" s="14">
        <v>4613111</v>
      </c>
      <c r="S258" s="15">
        <v>27549644</v>
      </c>
      <c r="T258" s="15">
        <v>0</v>
      </c>
      <c r="U258" s="15">
        <f>6174916+3127161+241592</f>
        <v>9543669</v>
      </c>
      <c r="V258" s="15">
        <v>0</v>
      </c>
      <c r="W258" s="15">
        <v>1736111</v>
      </c>
      <c r="X258" s="15">
        <v>0</v>
      </c>
      <c r="Z258" s="15">
        <v>1736111</v>
      </c>
      <c r="AA258" s="15">
        <v>0</v>
      </c>
      <c r="AB258" s="74">
        <f t="shared" ref="AB258:AB322" si="224">SUM(U258,V258,Z258,W258,X258)</f>
        <v>13015891</v>
      </c>
      <c r="AC258" s="75">
        <f t="shared" ref="AC258:AC321" si="225">(AB258/S258)*100</f>
        <v>47.245223931024299</v>
      </c>
      <c r="AD258" s="75">
        <f t="shared" ref="AD258:AD321" si="226">100-(75*(AC258-0.1))/(87-0.1)</f>
        <v>59.310796377136683</v>
      </c>
      <c r="AE258" s="76">
        <f t="shared" si="212"/>
        <v>1.7793238913141005</v>
      </c>
      <c r="AF258" s="77">
        <f t="shared" ref="AF258:AF322" si="227">(U258+V258)/(S258-T258-AA258)*100</f>
        <v>34.641714426509466</v>
      </c>
      <c r="AG258" s="77">
        <f t="shared" ref="AG258:AG322" si="228">(U258+V258+Z258+W258+X258-AA258)/(S258-T258-AA258)*100</f>
        <v>47.245223931024299</v>
      </c>
      <c r="AH258" s="77">
        <f t="shared" ref="AH258:AH321" si="229">AG258-AF258</f>
        <v>12.603509504514832</v>
      </c>
      <c r="AI258" s="78">
        <f t="shared" ref="AI258:AI321" si="230">IF(AH258&lt;10, 100, IF(AH258&lt;30, 80, IF(AH258&lt;50, 60, IF(AH258&lt;80, 40, IF(AH258&lt;=100, 20)))))</f>
        <v>80</v>
      </c>
      <c r="AJ258" s="79">
        <f t="shared" si="213"/>
        <v>3.2</v>
      </c>
      <c r="AK258" s="113">
        <v>5</v>
      </c>
      <c r="AL258" s="113">
        <v>1</v>
      </c>
      <c r="AM258" s="113">
        <v>0</v>
      </c>
      <c r="AN258" s="81">
        <f t="shared" ref="AN258:AN322" si="231">SUM(AK258:AL258)</f>
        <v>6</v>
      </c>
      <c r="AO258" s="82">
        <f t="shared" ref="AO258:AO321" si="232">(AM258/AN258)*100</f>
        <v>0</v>
      </c>
      <c r="AP258" s="83">
        <f t="shared" ref="AP258:AP321" si="233">IF(AO258&lt;10, 100, IF(AO258&lt;20, 80, IF(AO258&lt;30, 60, IF(AO258&lt;50, 40, IF(AO258&gt;=50, 20)))))</f>
        <v>100</v>
      </c>
      <c r="AQ258" s="84">
        <f t="shared" si="214"/>
        <v>2</v>
      </c>
      <c r="AR258" s="118">
        <v>1</v>
      </c>
      <c r="AS258" s="86">
        <f t="shared" ref="AS258:AS322" si="234">IF(L258&gt;=2000000000, 0.5, IF(L258&lt;2000000000, 0.25))</f>
        <v>0.25</v>
      </c>
      <c r="AT258" s="87">
        <f t="shared" ref="AT258:AT321" si="235">AK258*AS258</f>
        <v>1.25</v>
      </c>
      <c r="AU258" s="87">
        <f t="shared" ref="AU258:AU321" si="236">ROUNDDOWN(AT258,0)</f>
        <v>1</v>
      </c>
      <c r="AV258" s="88">
        <f t="shared" ref="AV258:AV321" si="237">(AR258-AU258)/AK258*100</f>
        <v>0</v>
      </c>
      <c r="AW258" s="78">
        <f t="shared" ref="AW258:AW321" si="238">IF(AV258&lt;0, 20, IF(AV258=0, 40, IF(AV258&lt;20, 60, IF(AV258&lt;40, 80, IF(AV258&gt;=40, 100)))))</f>
        <v>40</v>
      </c>
      <c r="AX258" s="89">
        <f t="shared" si="215"/>
        <v>0.4</v>
      </c>
      <c r="AY258" s="114">
        <v>6</v>
      </c>
      <c r="AZ258" s="114">
        <v>6</v>
      </c>
      <c r="BA258" s="91">
        <f t="shared" ref="BA258:BA322" si="239">AR258*AY258</f>
        <v>6</v>
      </c>
      <c r="BB258" s="77">
        <f t="shared" ref="BB258:BB321" si="240">(AZ258/BA258)*100</f>
        <v>100</v>
      </c>
      <c r="BC258" s="78">
        <f t="shared" ref="BC258:BC321" si="241">IF(BB258&lt;70, 25, IF(BB258&lt;80, 50, IF(BB258&lt;90, 75, IF(BB258&gt;=90, 100))))</f>
        <v>100</v>
      </c>
      <c r="BD258" s="79">
        <f t="shared" si="216"/>
        <v>1</v>
      </c>
      <c r="BE258" s="92">
        <v>1497944</v>
      </c>
      <c r="BF258" s="18">
        <v>70537</v>
      </c>
      <c r="BG258" s="114">
        <v>143168</v>
      </c>
      <c r="BH258" s="94">
        <f t="shared" ref="BH258:BH322" si="242">SUM(BE258:BF258)</f>
        <v>1568481</v>
      </c>
      <c r="BI258" s="77">
        <f t="shared" ref="BI258:BI321" si="243">(BG258/BH258)*100</f>
        <v>9.12781219536609</v>
      </c>
      <c r="BJ258" s="95" t="str">
        <f t="shared" ref="BJ258:BJ322" si="244">IF(D258="금융업(보험)", "금융업", IF(D258="금융업(증권)", "금융업", IF(D258="금융업(종금)", "금융업", D258)))</f>
        <v>비제조/서비스업</v>
      </c>
      <c r="BK258" s="96">
        <f t="shared" ref="BK258:BK321" si="245">AVERAGEIF(BJ:BJ, BJ258, BI:BI)</f>
        <v>1.7464434573900922</v>
      </c>
      <c r="BL258" s="97">
        <f t="shared" ref="BL258:BL321" si="246">BI258-BK258</f>
        <v>7.3813687379759978</v>
      </c>
      <c r="BM258" s="98">
        <f t="shared" ref="BM258:BM321" si="247">IF(BL258&lt;-2, 100, IF(BL258&lt;0, 80, IF(BL258&lt;2, 60, IF(BL258&lt;10, 40, 20))))</f>
        <v>40</v>
      </c>
      <c r="BN258" s="99">
        <f t="shared" ref="BN258:BN321" si="248">BM258*0.02</f>
        <v>0.8</v>
      </c>
      <c r="BO258" s="114">
        <v>0</v>
      </c>
      <c r="BP258" s="101">
        <f t="shared" ref="BP258:BP321" si="249">(BO258/O258)*100</f>
        <v>0</v>
      </c>
      <c r="BQ258" s="78">
        <f t="shared" ref="BQ258:BQ321" si="250">IF(BP258=0, 25, IF(BP258&lt;0.1, 40, IF(BP258&lt;0.5, 55, IF(BP258&lt;2, 70, IF(BP258&lt;4, 85, IF(BP258&gt;=4, 100))))))</f>
        <v>25</v>
      </c>
      <c r="BR258" s="79">
        <f t="shared" si="217"/>
        <v>0.5</v>
      </c>
      <c r="BS258" s="102">
        <v>18087.928</v>
      </c>
      <c r="BT258" s="102">
        <v>0</v>
      </c>
      <c r="BU258" s="103">
        <f t="shared" ref="BU258:BU321" si="251">BS258-BT258</f>
        <v>18087.928</v>
      </c>
      <c r="BV258" s="77">
        <f t="shared" ref="BV258:BV321" si="252">BU258/O258*100</f>
        <v>6.0104998746755282E-2</v>
      </c>
      <c r="BW258" s="96">
        <f t="shared" ref="BW258:BW321" si="253">AVERAGEIF(BJ:BJ, BJ258, BV:BV)</f>
        <v>2.8482825397737606</v>
      </c>
      <c r="BX258" s="96">
        <f t="shared" ref="BX258:BX321" si="254">(BV258-BW258)^2</f>
        <v>7.7739340002873965</v>
      </c>
      <c r="BY258" s="96">
        <f t="shared" ref="BY258:BY321" si="255">SQRT(SUMIF(BJ:BJ, BJ258, BX:BX)/COUNTIF(BJ:BJ, BJ258))</f>
        <v>5.5697595856656807</v>
      </c>
      <c r="BZ258" s="96">
        <f t="shared" ref="BZ258:BZ321" si="256">(1-_xlfn.NORM.DIST(BV258, BW258, BY258, TRUE))*100</f>
        <v>69.167088156074129</v>
      </c>
      <c r="CA258" s="96">
        <f t="shared" ref="CA258:CA321" si="257">IF(BZ258&lt;=5, 100, IF(BZ258&lt;=15, 85, IF(BZ258&lt;=35, 70, IF(BZ258&lt;=60, 55, IF(BZ258&lt;=90, 40, 25)))))</f>
        <v>40</v>
      </c>
      <c r="CB258" s="104">
        <f t="shared" ref="CB258:CB321" si="258">CA258*0.02</f>
        <v>0.8</v>
      </c>
      <c r="CC258" s="105">
        <f t="shared" si="218"/>
        <v>73.588001415511556</v>
      </c>
      <c r="CD258" s="106">
        <f t="shared" si="219"/>
        <v>72.642713034354941</v>
      </c>
      <c r="CE258" s="107">
        <f t="shared" si="220"/>
        <v>1.0896406955153242</v>
      </c>
      <c r="CF258" s="108" t="s">
        <v>2189</v>
      </c>
      <c r="CG258" s="108" t="s">
        <v>2189</v>
      </c>
      <c r="CH258" s="108" t="s">
        <v>2189</v>
      </c>
      <c r="CI258" s="108" t="s">
        <v>2189</v>
      </c>
      <c r="CJ258" s="109"/>
      <c r="CK258" s="116" t="s">
        <v>2217</v>
      </c>
      <c r="CL258" s="116" t="s">
        <v>2209</v>
      </c>
      <c r="CM258" s="111">
        <f t="shared" ref="CM258:CM321" si="259">IF(CL258="A", 100, IF(CL258="B", 85, IF(CL258="C", 70, IF(CL258="D", 55, IF(CL258="E", 40, 25)))))</f>
        <v>40</v>
      </c>
      <c r="CN258" s="107">
        <f t="shared" si="221"/>
        <v>0.6</v>
      </c>
      <c r="CO258" s="114">
        <v>0</v>
      </c>
      <c r="CP258" s="88">
        <f t="shared" ref="CP258:CP321" si="260">(CO258/N258)*100</f>
        <v>0</v>
      </c>
      <c r="CQ258" s="78">
        <f t="shared" ref="CQ258:CQ321" si="261">IF(CP258&lt;3, 100, IF(CP258&lt;10, 80, IF(CP258&lt;35, 60, IF(CP258&lt;100, 40, IF(CP258&gt;=100, 20)))))</f>
        <v>100</v>
      </c>
      <c r="CR258" s="79">
        <f t="shared" si="222"/>
        <v>3</v>
      </c>
      <c r="CS258" s="92">
        <f>_xlfn.XLOOKUP(C258, '[1]1-1. 관계사체무보증금액 (환율 등)'!$3:$3, '[1]1-1. 관계사체무보증금액 (환율 등)'!$33:$33)</f>
        <v>0</v>
      </c>
      <c r="CT258" s="77">
        <f t="shared" ref="CT258:CT321" si="262">(CS258/N258)*100</f>
        <v>0</v>
      </c>
      <c r="CU258" s="78">
        <f t="shared" ref="CU258:CU321" si="263">IF(CT258&lt;3, 100, IF(CT258&lt;10, 80, IF(CT258&lt;35, 60, IF(CT258&lt;100, 40, 20))))</f>
        <v>100</v>
      </c>
      <c r="CV258" s="79">
        <f t="shared" si="223"/>
        <v>2</v>
      </c>
      <c r="CW258" s="112">
        <f t="shared" ref="CW258:CW321" si="264">AE258+AJ258+AQ258+AX258+BD258+BN258+BR258+CB258+CE258+CJ258+CN258+CR258+CV258</f>
        <v>17.168964586829425</v>
      </c>
    </row>
    <row r="259" spans="1:101" x14ac:dyDescent="0.35">
      <c r="A259" s="7" t="s">
        <v>460</v>
      </c>
      <c r="B259" s="8" t="s">
        <v>461</v>
      </c>
      <c r="C259" s="21" t="s">
        <v>462</v>
      </c>
      <c r="D259" s="10" t="s">
        <v>75</v>
      </c>
      <c r="E259" s="11" t="s">
        <v>324</v>
      </c>
      <c r="F259" s="11" t="s">
        <v>463</v>
      </c>
      <c r="G259" s="12">
        <v>33269</v>
      </c>
      <c r="H259" s="11" t="s">
        <v>24</v>
      </c>
      <c r="I259" s="11" t="s">
        <v>464</v>
      </c>
      <c r="J259" s="11" t="s">
        <v>465</v>
      </c>
      <c r="K259" s="11" t="s">
        <v>102</v>
      </c>
      <c r="L259" s="23">
        <v>315529254</v>
      </c>
      <c r="M259" s="14">
        <v>128655873</v>
      </c>
      <c r="N259" s="14">
        <v>186873382</v>
      </c>
      <c r="O259" s="14">
        <v>1220548455</v>
      </c>
      <c r="P259" s="14">
        <v>27189227</v>
      </c>
      <c r="Q259" s="14">
        <v>23861778</v>
      </c>
      <c r="R259" s="14">
        <v>17593831</v>
      </c>
      <c r="S259" s="15">
        <v>34869420</v>
      </c>
      <c r="T259" s="15">
        <v>1200000</v>
      </c>
      <c r="U259" s="15">
        <v>7643580</v>
      </c>
      <c r="V259" s="15">
        <f>3110730+100410+1729357</f>
        <v>4940497</v>
      </c>
      <c r="W259" s="15">
        <v>0</v>
      </c>
      <c r="X259" s="15">
        <v>0</v>
      </c>
      <c r="Z259" s="15">
        <f>747000+841441+60000</f>
        <v>1648441</v>
      </c>
      <c r="AA259" s="15">
        <v>0</v>
      </c>
      <c r="AB259" s="74">
        <f t="shared" si="224"/>
        <v>14232518</v>
      </c>
      <c r="AC259" s="75">
        <f t="shared" si="225"/>
        <v>40.816618114095391</v>
      </c>
      <c r="AD259" s="75">
        <f t="shared" si="226"/>
        <v>64.859075275521818</v>
      </c>
      <c r="AE259" s="76">
        <f t="shared" si="212"/>
        <v>1.9457722582656545</v>
      </c>
      <c r="AF259" s="77">
        <f t="shared" si="227"/>
        <v>37.375389893856202</v>
      </c>
      <c r="AG259" s="77">
        <f t="shared" si="228"/>
        <v>42.271348897605009</v>
      </c>
      <c r="AH259" s="77">
        <f t="shared" si="229"/>
        <v>4.895959003748807</v>
      </c>
      <c r="AI259" s="78">
        <f t="shared" si="230"/>
        <v>100</v>
      </c>
      <c r="AJ259" s="79">
        <f t="shared" si="213"/>
        <v>4</v>
      </c>
      <c r="AK259" s="113">
        <v>7</v>
      </c>
      <c r="AL259" s="113">
        <v>6</v>
      </c>
      <c r="AM259" s="113">
        <v>2</v>
      </c>
      <c r="AN259" s="81">
        <f t="shared" si="231"/>
        <v>13</v>
      </c>
      <c r="AO259" s="82">
        <f t="shared" si="232"/>
        <v>15.384615384615385</v>
      </c>
      <c r="AP259" s="83">
        <f t="shared" si="233"/>
        <v>80</v>
      </c>
      <c r="AQ259" s="84">
        <f t="shared" si="214"/>
        <v>1.6</v>
      </c>
      <c r="AR259" s="118">
        <v>1</v>
      </c>
      <c r="AS259" s="86">
        <f t="shared" si="234"/>
        <v>0.25</v>
      </c>
      <c r="AT259" s="87">
        <f t="shared" si="235"/>
        <v>1.75</v>
      </c>
      <c r="AU259" s="87">
        <f t="shared" si="236"/>
        <v>1</v>
      </c>
      <c r="AV259" s="88">
        <f t="shared" si="237"/>
        <v>0</v>
      </c>
      <c r="AW259" s="78">
        <f t="shared" si="238"/>
        <v>40</v>
      </c>
      <c r="AX259" s="89">
        <f t="shared" si="215"/>
        <v>0.4</v>
      </c>
      <c r="AY259" s="114">
        <v>8</v>
      </c>
      <c r="AZ259" s="114">
        <v>8</v>
      </c>
      <c r="BA259" s="91">
        <f t="shared" si="239"/>
        <v>8</v>
      </c>
      <c r="BB259" s="77">
        <f t="shared" si="240"/>
        <v>100</v>
      </c>
      <c r="BC259" s="78">
        <f t="shared" si="241"/>
        <v>100</v>
      </c>
      <c r="BD259" s="79">
        <f t="shared" si="216"/>
        <v>1</v>
      </c>
      <c r="BE259" s="92">
        <v>7523588</v>
      </c>
      <c r="BF259" s="92">
        <v>704282</v>
      </c>
      <c r="BG259" s="114">
        <v>906171</v>
      </c>
      <c r="BH259" s="94">
        <f t="shared" si="242"/>
        <v>8227870</v>
      </c>
      <c r="BI259" s="77">
        <f t="shared" si="243"/>
        <v>11.013433610399776</v>
      </c>
      <c r="BJ259" s="95" t="str">
        <f t="shared" si="244"/>
        <v>금속/비금속/화학업</v>
      </c>
      <c r="BK259" s="96">
        <f t="shared" si="245"/>
        <v>3.9534118626990469</v>
      </c>
      <c r="BL259" s="97">
        <f t="shared" si="246"/>
        <v>7.0600217477007288</v>
      </c>
      <c r="BM259" s="98">
        <f t="shared" si="247"/>
        <v>40</v>
      </c>
      <c r="BN259" s="99">
        <f t="shared" si="248"/>
        <v>0.8</v>
      </c>
      <c r="BO259" s="114">
        <v>0</v>
      </c>
      <c r="BP259" s="101">
        <f t="shared" si="249"/>
        <v>0</v>
      </c>
      <c r="BQ259" s="78">
        <f t="shared" si="250"/>
        <v>25</v>
      </c>
      <c r="BR259" s="79">
        <f t="shared" si="217"/>
        <v>0.5</v>
      </c>
      <c r="BS259" s="102">
        <v>1650727.861</v>
      </c>
      <c r="BT259" s="102">
        <v>102104.40399999999</v>
      </c>
      <c r="BU259" s="103">
        <f t="shared" si="251"/>
        <v>1548623.4569999999</v>
      </c>
      <c r="BV259" s="77">
        <f t="shared" si="252"/>
        <v>0.12687930992465185</v>
      </c>
      <c r="BW259" s="96">
        <f t="shared" si="253"/>
        <v>5.1474158565187738</v>
      </c>
      <c r="BX259" s="96">
        <f t="shared" si="254"/>
        <v>25.205787215687231</v>
      </c>
      <c r="BY259" s="96">
        <f t="shared" si="255"/>
        <v>6.6930498535228535</v>
      </c>
      <c r="BZ259" s="96">
        <f t="shared" si="256"/>
        <v>77.340635267324828</v>
      </c>
      <c r="CA259" s="96">
        <f t="shared" si="257"/>
        <v>40</v>
      </c>
      <c r="CB259" s="104">
        <f t="shared" si="258"/>
        <v>0.8</v>
      </c>
      <c r="CC259" s="105">
        <f t="shared" si="218"/>
        <v>68.846548193792529</v>
      </c>
      <c r="CD259" s="106">
        <f t="shared" si="219"/>
        <v>74.429692891786743</v>
      </c>
      <c r="CE259" s="107">
        <f t="shared" si="220"/>
        <v>1.116445393376801</v>
      </c>
      <c r="CF259" s="108" t="s">
        <v>2189</v>
      </c>
      <c r="CG259" s="108" t="s">
        <v>2189</v>
      </c>
      <c r="CH259" s="108" t="s">
        <v>2189</v>
      </c>
      <c r="CI259" s="108" t="s">
        <v>2189</v>
      </c>
      <c r="CJ259" s="109"/>
      <c r="CK259" s="116" t="s">
        <v>2208</v>
      </c>
      <c r="CL259" s="116" t="s">
        <v>2209</v>
      </c>
      <c r="CM259" s="111">
        <f t="shared" si="259"/>
        <v>40</v>
      </c>
      <c r="CN259" s="107">
        <f t="shared" si="221"/>
        <v>0.6</v>
      </c>
      <c r="CO259" s="114">
        <f>5693000+6671000+1097000+5000000</f>
        <v>18461000</v>
      </c>
      <c r="CP259" s="88">
        <f t="shared" si="260"/>
        <v>9.878881519894577</v>
      </c>
      <c r="CQ259" s="78">
        <f t="shared" si="261"/>
        <v>80</v>
      </c>
      <c r="CR259" s="79">
        <f t="shared" si="222"/>
        <v>2.4</v>
      </c>
      <c r="CS259" s="92">
        <f>_xlfn.XLOOKUP(C259, '[1]1-1. 관계사체무보증금액 (환율 등)'!$3:$3, '[1]1-1. 관계사체무보증금액 (환율 등)'!$33:$33)</f>
        <v>0</v>
      </c>
      <c r="CT259" s="77">
        <f t="shared" si="262"/>
        <v>0</v>
      </c>
      <c r="CU259" s="78">
        <f t="shared" si="263"/>
        <v>100</v>
      </c>
      <c r="CV259" s="79">
        <f t="shared" si="223"/>
        <v>2</v>
      </c>
      <c r="CW259" s="112">
        <f t="shared" si="264"/>
        <v>17.162217651642457</v>
      </c>
    </row>
    <row r="260" spans="1:101" x14ac:dyDescent="0.35">
      <c r="A260" s="7" t="s">
        <v>125</v>
      </c>
      <c r="B260" s="8" t="s">
        <v>126</v>
      </c>
      <c r="C260" s="21" t="s">
        <v>127</v>
      </c>
      <c r="D260" s="22" t="s">
        <v>21</v>
      </c>
      <c r="E260" s="11" t="s">
        <v>83</v>
      </c>
      <c r="F260" s="11" t="s">
        <v>128</v>
      </c>
      <c r="G260" s="12">
        <v>29801</v>
      </c>
      <c r="H260" s="11" t="s">
        <v>24</v>
      </c>
      <c r="I260" s="11" t="s">
        <v>129</v>
      </c>
      <c r="J260" s="11" t="s">
        <v>130</v>
      </c>
      <c r="K260" s="11" t="s">
        <v>27</v>
      </c>
      <c r="L260" s="23">
        <v>12739404443</v>
      </c>
      <c r="M260" s="14">
        <v>7806315499</v>
      </c>
      <c r="N260" s="14">
        <v>4933088944</v>
      </c>
      <c r="O260" s="14">
        <v>8613702892</v>
      </c>
      <c r="P260" s="14">
        <v>281011393</v>
      </c>
      <c r="Q260" s="14">
        <v>360875361</v>
      </c>
      <c r="R260" s="14">
        <v>240672686</v>
      </c>
      <c r="S260" s="15">
        <v>85581490</v>
      </c>
      <c r="T260" s="15">
        <v>692595</v>
      </c>
      <c r="U260" s="15">
        <f>7089463</f>
        <v>7089463</v>
      </c>
      <c r="V260" s="15">
        <f>24604+1331162+1288824+282054+21429+3035643+439462+29588+2433477+300765+246081+1529727+953879+15000+10000</f>
        <v>11941695</v>
      </c>
      <c r="W260" s="15">
        <f>1756+1666+80+7056+144+400+840+1330</f>
        <v>13272</v>
      </c>
      <c r="X260" s="15">
        <v>1201460</v>
      </c>
      <c r="Y260" s="24" t="s">
        <v>2053</v>
      </c>
      <c r="Z260" s="15">
        <v>0</v>
      </c>
      <c r="AA260" s="15">
        <v>0</v>
      </c>
      <c r="AB260" s="74">
        <f t="shared" si="224"/>
        <v>20245890</v>
      </c>
      <c r="AC260" s="75">
        <f t="shared" si="225"/>
        <v>23.656856172987876</v>
      </c>
      <c r="AD260" s="75">
        <f t="shared" si="226"/>
        <v>79.668996398456954</v>
      </c>
      <c r="AE260" s="76">
        <f t="shared" si="212"/>
        <v>2.3900698919537087</v>
      </c>
      <c r="AF260" s="77">
        <f t="shared" si="227"/>
        <v>22.418901789215184</v>
      </c>
      <c r="AG260" s="77">
        <f t="shared" si="228"/>
        <v>23.849868701907358</v>
      </c>
      <c r="AH260" s="77">
        <f t="shared" si="229"/>
        <v>1.430966912692174</v>
      </c>
      <c r="AI260" s="78">
        <f t="shared" si="230"/>
        <v>100</v>
      </c>
      <c r="AJ260" s="79">
        <f t="shared" si="213"/>
        <v>4</v>
      </c>
      <c r="AK260" s="113">
        <v>7</v>
      </c>
      <c r="AL260" s="113">
        <v>46</v>
      </c>
      <c r="AM260" s="113">
        <v>3</v>
      </c>
      <c r="AN260" s="81">
        <f t="shared" si="231"/>
        <v>53</v>
      </c>
      <c r="AO260" s="82">
        <f t="shared" si="232"/>
        <v>5.6603773584905666</v>
      </c>
      <c r="AP260" s="83">
        <f t="shared" si="233"/>
        <v>100</v>
      </c>
      <c r="AQ260" s="84">
        <f t="shared" si="214"/>
        <v>2</v>
      </c>
      <c r="AR260" s="118">
        <v>4</v>
      </c>
      <c r="AS260" s="86">
        <f t="shared" si="234"/>
        <v>0.5</v>
      </c>
      <c r="AT260" s="87">
        <f t="shared" si="235"/>
        <v>3.5</v>
      </c>
      <c r="AU260" s="87">
        <f t="shared" si="236"/>
        <v>3</v>
      </c>
      <c r="AV260" s="88">
        <f t="shared" si="237"/>
        <v>14.285714285714285</v>
      </c>
      <c r="AW260" s="78">
        <f t="shared" si="238"/>
        <v>60</v>
      </c>
      <c r="AX260" s="89">
        <f t="shared" si="215"/>
        <v>0.6</v>
      </c>
      <c r="AY260" s="114">
        <v>8</v>
      </c>
      <c r="AZ260" s="114">
        <f>4*2+3+4+2+4*3</f>
        <v>29</v>
      </c>
      <c r="BA260" s="91">
        <f t="shared" si="239"/>
        <v>32</v>
      </c>
      <c r="BB260" s="77">
        <f t="shared" si="240"/>
        <v>90.625</v>
      </c>
      <c r="BC260" s="78">
        <f t="shared" si="241"/>
        <v>100</v>
      </c>
      <c r="BD260" s="79">
        <f t="shared" si="216"/>
        <v>1</v>
      </c>
      <c r="BE260" s="92">
        <v>201263000</v>
      </c>
      <c r="BF260" s="92">
        <v>20845000</v>
      </c>
      <c r="BG260" s="93">
        <v>0</v>
      </c>
      <c r="BH260" s="94">
        <f t="shared" si="242"/>
        <v>222108000</v>
      </c>
      <c r="BI260" s="77">
        <f t="shared" si="243"/>
        <v>0</v>
      </c>
      <c r="BJ260" s="95" t="str">
        <f t="shared" si="244"/>
        <v>비제조/서비스업</v>
      </c>
      <c r="BK260" s="96">
        <f t="shared" si="245"/>
        <v>1.7464434573900922</v>
      </c>
      <c r="BL260" s="97">
        <f t="shared" si="246"/>
        <v>-1.7464434573900922</v>
      </c>
      <c r="BM260" s="98">
        <f t="shared" si="247"/>
        <v>80</v>
      </c>
      <c r="BN260" s="99">
        <f t="shared" si="248"/>
        <v>1.6</v>
      </c>
      <c r="BO260" s="114">
        <f>(34670-3)*1000</f>
        <v>34667000</v>
      </c>
      <c r="BP260" s="101">
        <f t="shared" si="249"/>
        <v>0.40246338229516915</v>
      </c>
      <c r="BQ260" s="78">
        <f t="shared" si="250"/>
        <v>55</v>
      </c>
      <c r="BR260" s="79">
        <f t="shared" si="217"/>
        <v>1.1000000000000001</v>
      </c>
      <c r="BS260" s="102">
        <v>23550197.510000002</v>
      </c>
      <c r="BT260" s="102">
        <v>452414.84</v>
      </c>
      <c r="BU260" s="103">
        <f t="shared" si="251"/>
        <v>23097782.670000002</v>
      </c>
      <c r="BV260" s="77">
        <f t="shared" si="252"/>
        <v>0.26815160633706242</v>
      </c>
      <c r="BW260" s="96">
        <f t="shared" si="253"/>
        <v>2.8482825397737606</v>
      </c>
      <c r="BX260" s="96">
        <f t="shared" si="254"/>
        <v>6.6570756336769277</v>
      </c>
      <c r="BY260" s="96">
        <f t="shared" si="255"/>
        <v>5.5697595856656807</v>
      </c>
      <c r="BZ260" s="96">
        <f t="shared" si="256"/>
        <v>67.840353683360391</v>
      </c>
      <c r="CA260" s="96">
        <f t="shared" si="257"/>
        <v>40</v>
      </c>
      <c r="CB260" s="104">
        <f t="shared" si="258"/>
        <v>0.8</v>
      </c>
      <c r="CC260" s="105">
        <f t="shared" si="218"/>
        <v>158.24396412910085</v>
      </c>
      <c r="CD260" s="106">
        <f t="shared" si="219"/>
        <v>40.73719944883134</v>
      </c>
      <c r="CE260" s="107">
        <f t="shared" si="220"/>
        <v>0.61105799173247011</v>
      </c>
      <c r="CF260" s="108" t="s">
        <v>2189</v>
      </c>
      <c r="CG260" s="108" t="s">
        <v>2189</v>
      </c>
      <c r="CH260" s="108" t="s">
        <v>2189</v>
      </c>
      <c r="CI260" s="108" t="s">
        <v>2189</v>
      </c>
      <c r="CJ260" s="109"/>
      <c r="CK260" s="116" t="s">
        <v>2207</v>
      </c>
      <c r="CL260" s="116" t="s">
        <v>2204</v>
      </c>
      <c r="CM260" s="111">
        <f t="shared" si="259"/>
        <v>70</v>
      </c>
      <c r="CN260" s="107">
        <f t="shared" si="221"/>
        <v>1.05</v>
      </c>
      <c r="CO260" s="114">
        <f>2176000+91256000+337000+3067000+534000+9380000+100000+20152000+248498000+61437000+20243000+1226000+6902000+77588000+1000+18754000+584000+23916000+15599000+8021000+5000000+9769000+68500000+23866000+1363000+10000000+16005000+6000000+30540000+62000000+10181000+20000+3245000+639720000+22277000+4000000+100000+25879000+98005000+49489000+1000+15218000+8654000+4500000+205000+13000000+6000+37000000+5000</f>
        <v>1774319000</v>
      </c>
      <c r="CP260" s="88">
        <f t="shared" si="260"/>
        <v>35.967707457577113</v>
      </c>
      <c r="CQ260" s="78">
        <f t="shared" si="261"/>
        <v>40</v>
      </c>
      <c r="CR260" s="79">
        <f t="shared" si="222"/>
        <v>1.2</v>
      </c>
      <c r="CS260" s="92">
        <f>_xlfn.XLOOKUP(C260, '[1]1-1. 관계사체무보증금액 (환율 등)'!$3:$3, '[1]1-1. 관계사체무보증금액 (환율 등)'!$33:$33)</f>
        <v>2025061948.3967221</v>
      </c>
      <c r="CT260" s="77">
        <f t="shared" si="262"/>
        <v>41.050586587532692</v>
      </c>
      <c r="CU260" s="78">
        <f t="shared" si="263"/>
        <v>40</v>
      </c>
      <c r="CV260" s="79">
        <f t="shared" si="223"/>
        <v>0.8</v>
      </c>
      <c r="CW260" s="112">
        <f t="shared" si="264"/>
        <v>17.151127883686179</v>
      </c>
    </row>
    <row r="261" spans="1:101" x14ac:dyDescent="0.35">
      <c r="A261" s="7" t="s">
        <v>574</v>
      </c>
      <c r="B261" s="8" t="s">
        <v>575</v>
      </c>
      <c r="C261" s="21" t="s">
        <v>576</v>
      </c>
      <c r="D261" s="10" t="s">
        <v>141</v>
      </c>
      <c r="E261" s="11" t="s">
        <v>356</v>
      </c>
      <c r="F261" s="11" t="s">
        <v>577</v>
      </c>
      <c r="G261" s="12">
        <v>28298</v>
      </c>
      <c r="H261" s="11" t="s">
        <v>24</v>
      </c>
      <c r="I261" s="11" t="s">
        <v>578</v>
      </c>
      <c r="J261" s="11" t="s">
        <v>579</v>
      </c>
      <c r="K261" s="11" t="s">
        <v>153</v>
      </c>
      <c r="L261" s="23">
        <v>688386355</v>
      </c>
      <c r="M261" s="14">
        <v>261400791</v>
      </c>
      <c r="N261" s="14">
        <v>426985565</v>
      </c>
      <c r="O261" s="14">
        <v>696217415</v>
      </c>
      <c r="P261" s="14">
        <v>16849939</v>
      </c>
      <c r="Q261" s="14">
        <v>6695668</v>
      </c>
      <c r="R261" s="14">
        <v>10606180</v>
      </c>
      <c r="S261" s="15">
        <v>62000000</v>
      </c>
      <c r="T261" s="15">
        <v>0</v>
      </c>
      <c r="U261" s="15">
        <v>13427264</v>
      </c>
      <c r="V261" s="15">
        <f>808327+1145000+35152+45698+184076+184247+3544981+41353</f>
        <v>5988834</v>
      </c>
      <c r="W261" s="15">
        <f>41569+7000+80000+14610+10000+11025+730+3214+12630+1654+2000</f>
        <v>184432</v>
      </c>
      <c r="X261" s="15">
        <v>0</v>
      </c>
      <c r="Z261" s="15">
        <f>335710+313340+4755695+1488114</f>
        <v>6892859</v>
      </c>
      <c r="AA261" s="15">
        <f>232033+313340</f>
        <v>545373</v>
      </c>
      <c r="AB261" s="74">
        <f t="shared" si="224"/>
        <v>26493389</v>
      </c>
      <c r="AC261" s="75">
        <f t="shared" si="225"/>
        <v>42.731272580645161</v>
      </c>
      <c r="AD261" s="75">
        <f t="shared" si="226"/>
        <v>63.206611696796472</v>
      </c>
      <c r="AE261" s="76">
        <f t="shared" si="212"/>
        <v>1.896198350903894</v>
      </c>
      <c r="AF261" s="77">
        <f t="shared" si="227"/>
        <v>31.59420038461872</v>
      </c>
      <c r="AG261" s="77">
        <f t="shared" si="228"/>
        <v>42.223046931844536</v>
      </c>
      <c r="AH261" s="77">
        <f t="shared" si="229"/>
        <v>10.628846547225816</v>
      </c>
      <c r="AI261" s="78">
        <f t="shared" si="230"/>
        <v>80</v>
      </c>
      <c r="AJ261" s="79">
        <f t="shared" si="213"/>
        <v>3.2</v>
      </c>
      <c r="AK261" s="113">
        <v>10</v>
      </c>
      <c r="AL261" s="113">
        <v>12</v>
      </c>
      <c r="AM261" s="113">
        <v>0</v>
      </c>
      <c r="AN261" s="81">
        <f t="shared" si="231"/>
        <v>22</v>
      </c>
      <c r="AO261" s="82">
        <f t="shared" si="232"/>
        <v>0</v>
      </c>
      <c r="AP261" s="83">
        <f t="shared" si="233"/>
        <v>100</v>
      </c>
      <c r="AQ261" s="84">
        <f t="shared" si="214"/>
        <v>2</v>
      </c>
      <c r="AR261" s="118">
        <v>4</v>
      </c>
      <c r="AS261" s="86">
        <f t="shared" si="234"/>
        <v>0.25</v>
      </c>
      <c r="AT261" s="87">
        <f t="shared" si="235"/>
        <v>2.5</v>
      </c>
      <c r="AU261" s="87">
        <f t="shared" si="236"/>
        <v>2</v>
      </c>
      <c r="AV261" s="88">
        <f t="shared" si="237"/>
        <v>20</v>
      </c>
      <c r="AW261" s="78">
        <f t="shared" si="238"/>
        <v>80</v>
      </c>
      <c r="AX261" s="89">
        <f t="shared" si="215"/>
        <v>0.8</v>
      </c>
      <c r="AY261" s="114">
        <v>8</v>
      </c>
      <c r="AZ261" s="114">
        <v>32</v>
      </c>
      <c r="BA261" s="91">
        <f t="shared" si="239"/>
        <v>32</v>
      </c>
      <c r="BB261" s="77">
        <f t="shared" si="240"/>
        <v>100</v>
      </c>
      <c r="BC261" s="78">
        <f t="shared" si="241"/>
        <v>100</v>
      </c>
      <c r="BD261" s="79">
        <f t="shared" si="216"/>
        <v>1</v>
      </c>
      <c r="BE261" s="92">
        <v>11974273</v>
      </c>
      <c r="BF261" s="92">
        <v>1439877</v>
      </c>
      <c r="BG261" s="114">
        <v>297529</v>
      </c>
      <c r="BH261" s="94">
        <f t="shared" si="242"/>
        <v>13414150</v>
      </c>
      <c r="BI261" s="77">
        <f t="shared" si="243"/>
        <v>2.218023505030136</v>
      </c>
      <c r="BJ261" s="95" t="str">
        <f t="shared" si="244"/>
        <v>전기전자/기계업</v>
      </c>
      <c r="BK261" s="96">
        <f t="shared" si="245"/>
        <v>2.4096449716116446</v>
      </c>
      <c r="BL261" s="97">
        <f t="shared" si="246"/>
        <v>-0.19162146658150858</v>
      </c>
      <c r="BM261" s="98">
        <f t="shared" si="247"/>
        <v>80</v>
      </c>
      <c r="BN261" s="99">
        <f t="shared" si="248"/>
        <v>1.6</v>
      </c>
      <c r="BO261" s="114">
        <v>18769000</v>
      </c>
      <c r="BP261" s="101">
        <f t="shared" si="249"/>
        <v>2.6958532773846229</v>
      </c>
      <c r="BQ261" s="78">
        <f t="shared" si="250"/>
        <v>85</v>
      </c>
      <c r="BR261" s="79">
        <f t="shared" si="217"/>
        <v>1.7</v>
      </c>
      <c r="BS261" s="102">
        <v>13543222.937000001</v>
      </c>
      <c r="BT261" s="102">
        <v>3731067.8969999999</v>
      </c>
      <c r="BU261" s="103">
        <f t="shared" si="251"/>
        <v>9812155.040000001</v>
      </c>
      <c r="BV261" s="77">
        <f t="shared" si="252"/>
        <v>1.4093521403798843</v>
      </c>
      <c r="BW261" s="96">
        <f t="shared" si="253"/>
        <v>5.2309968128308295</v>
      </c>
      <c r="BX261" s="96">
        <f t="shared" si="254"/>
        <v>14.604968002472692</v>
      </c>
      <c r="BY261" s="96">
        <f t="shared" si="255"/>
        <v>7.0695458012309631</v>
      </c>
      <c r="BZ261" s="96">
        <f t="shared" si="256"/>
        <v>70.560093995254874</v>
      </c>
      <c r="CA261" s="96">
        <f t="shared" si="257"/>
        <v>40</v>
      </c>
      <c r="CB261" s="104">
        <f t="shared" si="258"/>
        <v>0.8</v>
      </c>
      <c r="CC261" s="105">
        <f t="shared" si="218"/>
        <v>61.22005342264908</v>
      </c>
      <c r="CD261" s="106">
        <f t="shared" si="219"/>
        <v>77.303999966338282</v>
      </c>
      <c r="CE261" s="107">
        <f t="shared" si="220"/>
        <v>1.1595599994950743</v>
      </c>
      <c r="CF261" s="108" t="s">
        <v>2189</v>
      </c>
      <c r="CG261" s="108" t="s">
        <v>2189</v>
      </c>
      <c r="CH261" s="108" t="s">
        <v>2189</v>
      </c>
      <c r="CI261" s="108" t="s">
        <v>2189</v>
      </c>
      <c r="CJ261" s="109"/>
      <c r="CK261" s="116" t="s">
        <v>2192</v>
      </c>
      <c r="CL261" s="116" t="s">
        <v>2193</v>
      </c>
      <c r="CM261" s="111">
        <f t="shared" si="259"/>
        <v>25</v>
      </c>
      <c r="CN261" s="107">
        <f t="shared" si="221"/>
        <v>0.375</v>
      </c>
      <c r="CO261" s="114">
        <f>47935000+3176000+7641000+3109000+6689000+10502000+11269000+12883000+8760000</f>
        <v>111964000</v>
      </c>
      <c r="CP261" s="88">
        <f t="shared" si="260"/>
        <v>26.22196373312995</v>
      </c>
      <c r="CQ261" s="78">
        <f t="shared" si="261"/>
        <v>60</v>
      </c>
      <c r="CR261" s="79">
        <f t="shared" si="222"/>
        <v>1.7999999999999998</v>
      </c>
      <c r="CS261" s="92">
        <f>_xlfn.XLOOKUP(C261, '[1]1-1. 관계사체무보증금액 (환율 등)'!$3:$3, '[1]1-1. 관계사체무보증금액 (환율 등)'!$33:$33)</f>
        <v>152185635.60220161</v>
      </c>
      <c r="CT261" s="77">
        <f t="shared" si="262"/>
        <v>35.641868970957276</v>
      </c>
      <c r="CU261" s="78">
        <f t="shared" si="263"/>
        <v>40</v>
      </c>
      <c r="CV261" s="79">
        <f t="shared" si="223"/>
        <v>0.8</v>
      </c>
      <c r="CW261" s="112">
        <f t="shared" si="264"/>
        <v>17.13075835039897</v>
      </c>
    </row>
    <row r="262" spans="1:101" x14ac:dyDescent="0.35">
      <c r="A262" s="7" t="s">
        <v>864</v>
      </c>
      <c r="B262" s="8" t="s">
        <v>865</v>
      </c>
      <c r="C262" s="21" t="s">
        <v>866</v>
      </c>
      <c r="D262" s="10" t="s">
        <v>75</v>
      </c>
      <c r="E262" s="11" t="s">
        <v>114</v>
      </c>
      <c r="F262" s="11" t="s">
        <v>867</v>
      </c>
      <c r="G262" s="12">
        <v>39735</v>
      </c>
      <c r="H262" s="11" t="s">
        <v>24</v>
      </c>
      <c r="I262" s="11" t="s">
        <v>868</v>
      </c>
      <c r="J262" s="11" t="s">
        <v>869</v>
      </c>
      <c r="K262" s="11" t="s">
        <v>439</v>
      </c>
      <c r="L262" s="23">
        <v>153622004</v>
      </c>
      <c r="M262" s="14">
        <v>27614064</v>
      </c>
      <c r="N262" s="14">
        <v>126007940</v>
      </c>
      <c r="O262" s="14">
        <v>209727336</v>
      </c>
      <c r="P262" s="14">
        <v>5922306</v>
      </c>
      <c r="Q262" s="14">
        <v>9227725</v>
      </c>
      <c r="R262" s="14">
        <v>7102656</v>
      </c>
      <c r="S262" s="15">
        <f>20000*1000</f>
        <v>20000000</v>
      </c>
      <c r="T262" s="15">
        <v>0</v>
      </c>
      <c r="U262" s="15">
        <v>4844431</v>
      </c>
      <c r="V262" s="15">
        <f>1108495+1109475+1116464+1044915+183250+237460+17460</f>
        <v>4817519</v>
      </c>
      <c r="W262" s="15">
        <v>0</v>
      </c>
      <c r="X262" s="15">
        <v>880000</v>
      </c>
      <c r="Y262" s="24" t="s">
        <v>2080</v>
      </c>
      <c r="Z262" s="15">
        <v>140000</v>
      </c>
      <c r="AA262" s="15">
        <v>12000</v>
      </c>
      <c r="AB262" s="74">
        <f t="shared" si="224"/>
        <v>10681950</v>
      </c>
      <c r="AC262" s="75">
        <f t="shared" si="225"/>
        <v>53.409750000000003</v>
      </c>
      <c r="AD262" s="75">
        <f t="shared" si="226"/>
        <v>53.990434407364788</v>
      </c>
      <c r="AE262" s="76">
        <f t="shared" si="212"/>
        <v>1.6197130322209436</v>
      </c>
      <c r="AF262" s="77">
        <f t="shared" si="227"/>
        <v>48.338753251951175</v>
      </c>
      <c r="AG262" s="77">
        <f t="shared" si="228"/>
        <v>53.381779067440462</v>
      </c>
      <c r="AH262" s="77">
        <f t="shared" si="229"/>
        <v>5.0430258154892869</v>
      </c>
      <c r="AI262" s="78">
        <f t="shared" si="230"/>
        <v>100</v>
      </c>
      <c r="AJ262" s="79">
        <f t="shared" si="213"/>
        <v>4</v>
      </c>
      <c r="AK262" s="113">
        <v>4</v>
      </c>
      <c r="AL262" s="113">
        <v>0</v>
      </c>
      <c r="AM262" s="113">
        <v>1</v>
      </c>
      <c r="AN262" s="81">
        <f t="shared" si="231"/>
        <v>4</v>
      </c>
      <c r="AO262" s="82">
        <f t="shared" si="232"/>
        <v>25</v>
      </c>
      <c r="AP262" s="83">
        <f t="shared" si="233"/>
        <v>60</v>
      </c>
      <c r="AQ262" s="84">
        <f t="shared" si="214"/>
        <v>1.2</v>
      </c>
      <c r="AR262" s="118">
        <v>1</v>
      </c>
      <c r="AS262" s="86">
        <f t="shared" si="234"/>
        <v>0.25</v>
      </c>
      <c r="AT262" s="87">
        <f t="shared" si="235"/>
        <v>1</v>
      </c>
      <c r="AU262" s="87">
        <f t="shared" si="236"/>
        <v>1</v>
      </c>
      <c r="AV262" s="88">
        <f t="shared" si="237"/>
        <v>0</v>
      </c>
      <c r="AW262" s="78">
        <f t="shared" si="238"/>
        <v>40</v>
      </c>
      <c r="AX262" s="89">
        <f t="shared" si="215"/>
        <v>0.4</v>
      </c>
      <c r="AY262" s="114">
        <v>5</v>
      </c>
      <c r="AZ262" s="93">
        <v>0</v>
      </c>
      <c r="BA262" s="91">
        <f t="shared" si="239"/>
        <v>5</v>
      </c>
      <c r="BB262" s="77">
        <f t="shared" si="240"/>
        <v>0</v>
      </c>
      <c r="BC262" s="78">
        <f t="shared" si="241"/>
        <v>25</v>
      </c>
      <c r="BD262" s="79">
        <f t="shared" si="216"/>
        <v>0.25</v>
      </c>
      <c r="BE262" s="92">
        <v>2421401</v>
      </c>
      <c r="BF262" s="92">
        <v>404260</v>
      </c>
      <c r="BG262" s="114">
        <v>71433</v>
      </c>
      <c r="BH262" s="94">
        <f t="shared" si="242"/>
        <v>2825661</v>
      </c>
      <c r="BI262" s="77">
        <f t="shared" si="243"/>
        <v>2.5280102602541494</v>
      </c>
      <c r="BJ262" s="95" t="str">
        <f t="shared" si="244"/>
        <v>금속/비금속/화학업</v>
      </c>
      <c r="BK262" s="96">
        <f t="shared" si="245"/>
        <v>3.9534118626990469</v>
      </c>
      <c r="BL262" s="97">
        <f t="shared" si="246"/>
        <v>-1.4254016024448974</v>
      </c>
      <c r="BM262" s="98">
        <f t="shared" si="247"/>
        <v>80</v>
      </c>
      <c r="BN262" s="99">
        <f t="shared" si="248"/>
        <v>1.6</v>
      </c>
      <c r="BO262" s="114">
        <v>0</v>
      </c>
      <c r="BP262" s="101">
        <f t="shared" si="249"/>
        <v>0</v>
      </c>
      <c r="BQ262" s="78">
        <f t="shared" si="250"/>
        <v>25</v>
      </c>
      <c r="BR262" s="79">
        <f t="shared" si="217"/>
        <v>0.5</v>
      </c>
      <c r="BS262" s="102">
        <v>38470</v>
      </c>
      <c r="BT262" s="102">
        <v>8181.8180000000002</v>
      </c>
      <c r="BU262" s="103">
        <f t="shared" si="251"/>
        <v>30288.182000000001</v>
      </c>
      <c r="BV262" s="77">
        <f t="shared" si="252"/>
        <v>1.4441694906190008E-2</v>
      </c>
      <c r="BW262" s="96">
        <f t="shared" si="253"/>
        <v>5.1474158565187738</v>
      </c>
      <c r="BX262" s="96">
        <f t="shared" si="254"/>
        <v>26.347423743782407</v>
      </c>
      <c r="BY262" s="96">
        <f t="shared" si="255"/>
        <v>6.6930498535228535</v>
      </c>
      <c r="BZ262" s="96">
        <f t="shared" si="256"/>
        <v>77.843281036342773</v>
      </c>
      <c r="CA262" s="96">
        <f t="shared" si="257"/>
        <v>40</v>
      </c>
      <c r="CB262" s="104">
        <f t="shared" si="258"/>
        <v>0.8</v>
      </c>
      <c r="CC262" s="105">
        <f t="shared" si="218"/>
        <v>21.914542845474656</v>
      </c>
      <c r="CD262" s="106">
        <f t="shared" si="219"/>
        <v>92.117634605976889</v>
      </c>
      <c r="CE262" s="107">
        <f t="shared" si="220"/>
        <v>1.3817645190896533</v>
      </c>
      <c r="CF262" s="108" t="s">
        <v>2189</v>
      </c>
      <c r="CG262" s="108" t="s">
        <v>2189</v>
      </c>
      <c r="CH262" s="108" t="s">
        <v>2189</v>
      </c>
      <c r="CI262" s="108" t="s">
        <v>2189</v>
      </c>
      <c r="CJ262" s="109"/>
      <c r="CK262" s="116" t="s">
        <v>2192</v>
      </c>
      <c r="CL262" s="116" t="s">
        <v>2193</v>
      </c>
      <c r="CM262" s="111">
        <f t="shared" si="259"/>
        <v>25</v>
      </c>
      <c r="CN262" s="107">
        <f t="shared" si="221"/>
        <v>0.375</v>
      </c>
      <c r="CO262" s="114">
        <v>0</v>
      </c>
      <c r="CP262" s="88">
        <f t="shared" si="260"/>
        <v>0</v>
      </c>
      <c r="CQ262" s="78">
        <f t="shared" si="261"/>
        <v>100</v>
      </c>
      <c r="CR262" s="79">
        <f t="shared" si="222"/>
        <v>3</v>
      </c>
      <c r="CS262" s="92">
        <f>_xlfn.XLOOKUP(C262, '[1]1-1. 관계사체무보증금액 (환율 등)'!$3:$3, '[1]1-1. 관계사체무보증금액 (환율 등)'!$33:$33)</f>
        <v>0</v>
      </c>
      <c r="CT262" s="77">
        <f t="shared" si="262"/>
        <v>0</v>
      </c>
      <c r="CU262" s="78">
        <f t="shared" si="263"/>
        <v>100</v>
      </c>
      <c r="CV262" s="79">
        <f t="shared" si="223"/>
        <v>2</v>
      </c>
      <c r="CW262" s="112">
        <f t="shared" si="264"/>
        <v>17.1264775513106</v>
      </c>
    </row>
    <row r="263" spans="1:101" x14ac:dyDescent="0.35">
      <c r="A263" s="7" t="s">
        <v>1406</v>
      </c>
      <c r="B263" s="8" t="s">
        <v>1407</v>
      </c>
      <c r="C263" s="21" t="s">
        <v>1408</v>
      </c>
      <c r="D263" s="10" t="s">
        <v>21</v>
      </c>
      <c r="E263" s="11" t="s">
        <v>91</v>
      </c>
      <c r="F263" s="11" t="s">
        <v>1409</v>
      </c>
      <c r="G263" s="12">
        <v>32844</v>
      </c>
      <c r="H263" s="11" t="s">
        <v>24</v>
      </c>
      <c r="I263" s="11" t="s">
        <v>1410</v>
      </c>
      <c r="J263" s="11" t="s">
        <v>1411</v>
      </c>
      <c r="K263" s="11" t="s">
        <v>87</v>
      </c>
      <c r="L263" s="23">
        <v>409776787</v>
      </c>
      <c r="M263" s="14">
        <v>290957356</v>
      </c>
      <c r="N263" s="14">
        <v>118819431</v>
      </c>
      <c r="O263" s="14">
        <v>462562008</v>
      </c>
      <c r="P263" s="14">
        <v>3161189</v>
      </c>
      <c r="Q263" s="14">
        <v>2974624</v>
      </c>
      <c r="R263" s="14">
        <v>6061078</v>
      </c>
      <c r="S263" s="15">
        <v>54024880</v>
      </c>
      <c r="T263" s="15">
        <v>0</v>
      </c>
      <c r="U263" s="15">
        <v>34512600</v>
      </c>
      <c r="V263" s="15">
        <v>0</v>
      </c>
      <c r="W263" s="15">
        <f>1600+100+4440</f>
        <v>6140</v>
      </c>
      <c r="X263" s="15">
        <v>0</v>
      </c>
      <c r="Z263" s="15">
        <v>0</v>
      </c>
      <c r="AA263" s="15">
        <v>0</v>
      </c>
      <c r="AB263" s="74">
        <f t="shared" si="224"/>
        <v>34518740</v>
      </c>
      <c r="AC263" s="75">
        <f t="shared" si="225"/>
        <v>63.89415395277139</v>
      </c>
      <c r="AD263" s="75">
        <f t="shared" si="226"/>
        <v>44.941754356066127</v>
      </c>
      <c r="AE263" s="76">
        <f t="shared" si="212"/>
        <v>1.3482526306819838</v>
      </c>
      <c r="AF263" s="77">
        <f t="shared" si="227"/>
        <v>63.882788818781279</v>
      </c>
      <c r="AG263" s="77">
        <f t="shared" si="228"/>
        <v>63.89415395277139</v>
      </c>
      <c r="AH263" s="77">
        <f t="shared" si="229"/>
        <v>1.1365133990111076E-2</v>
      </c>
      <c r="AI263" s="78">
        <f t="shared" si="230"/>
        <v>100</v>
      </c>
      <c r="AJ263" s="79">
        <f t="shared" si="213"/>
        <v>4</v>
      </c>
      <c r="AK263" s="113">
        <v>4</v>
      </c>
      <c r="AL263" s="113">
        <v>9</v>
      </c>
      <c r="AM263" s="113">
        <v>0</v>
      </c>
      <c r="AN263" s="81">
        <f t="shared" si="231"/>
        <v>13</v>
      </c>
      <c r="AO263" s="82">
        <f t="shared" si="232"/>
        <v>0</v>
      </c>
      <c r="AP263" s="83">
        <f t="shared" si="233"/>
        <v>100</v>
      </c>
      <c r="AQ263" s="84">
        <f t="shared" si="214"/>
        <v>2</v>
      </c>
      <c r="AR263" s="118">
        <v>1</v>
      </c>
      <c r="AS263" s="86">
        <f t="shared" si="234"/>
        <v>0.25</v>
      </c>
      <c r="AT263" s="87">
        <f t="shared" si="235"/>
        <v>1</v>
      </c>
      <c r="AU263" s="87">
        <f t="shared" si="236"/>
        <v>1</v>
      </c>
      <c r="AV263" s="88">
        <f t="shared" si="237"/>
        <v>0</v>
      </c>
      <c r="AW263" s="78">
        <f t="shared" si="238"/>
        <v>40</v>
      </c>
      <c r="AX263" s="89">
        <f t="shared" si="215"/>
        <v>0.4</v>
      </c>
      <c r="AY263" s="114">
        <v>52</v>
      </c>
      <c r="AZ263" s="114">
        <v>52</v>
      </c>
      <c r="BA263" s="91">
        <f t="shared" si="239"/>
        <v>52</v>
      </c>
      <c r="BB263" s="77">
        <f t="shared" si="240"/>
        <v>100</v>
      </c>
      <c r="BC263" s="78">
        <f t="shared" si="241"/>
        <v>100</v>
      </c>
      <c r="BD263" s="79">
        <f t="shared" si="216"/>
        <v>1</v>
      </c>
      <c r="BE263" s="92">
        <v>7854217</v>
      </c>
      <c r="BF263" s="92">
        <v>800006</v>
      </c>
      <c r="BG263" s="114">
        <v>554185</v>
      </c>
      <c r="BH263" s="94">
        <f t="shared" si="242"/>
        <v>8654223</v>
      </c>
      <c r="BI263" s="77">
        <f t="shared" si="243"/>
        <v>6.4036366985227913</v>
      </c>
      <c r="BJ263" s="95" t="str">
        <f t="shared" si="244"/>
        <v>비제조/서비스업</v>
      </c>
      <c r="BK263" s="96">
        <f t="shared" si="245"/>
        <v>1.7464434573900922</v>
      </c>
      <c r="BL263" s="97">
        <f t="shared" si="246"/>
        <v>4.6571932411326991</v>
      </c>
      <c r="BM263" s="98">
        <f t="shared" si="247"/>
        <v>40</v>
      </c>
      <c r="BN263" s="99">
        <f t="shared" si="248"/>
        <v>0.8</v>
      </c>
      <c r="BO263" s="114">
        <v>2561000</v>
      </c>
      <c r="BP263" s="101">
        <f t="shared" si="249"/>
        <v>0.55365550038860945</v>
      </c>
      <c r="BQ263" s="78">
        <f t="shared" si="250"/>
        <v>70</v>
      </c>
      <c r="BR263" s="79">
        <f t="shared" si="217"/>
        <v>1.4000000000000001</v>
      </c>
      <c r="BS263" s="102">
        <v>5606238</v>
      </c>
      <c r="BT263" s="102">
        <v>2</v>
      </c>
      <c r="BU263" s="103">
        <f t="shared" si="251"/>
        <v>5606236</v>
      </c>
      <c r="BV263" s="77">
        <f t="shared" si="252"/>
        <v>1.2119966411076286</v>
      </c>
      <c r="BW263" s="96">
        <f t="shared" si="253"/>
        <v>2.8482825397737606</v>
      </c>
      <c r="BX263" s="96">
        <f t="shared" si="254"/>
        <v>2.6774315421736312</v>
      </c>
      <c r="BY263" s="96">
        <f t="shared" si="255"/>
        <v>5.5697595856656807</v>
      </c>
      <c r="BZ263" s="96">
        <f t="shared" si="256"/>
        <v>61.553712285959584</v>
      </c>
      <c r="CA263" s="96">
        <f t="shared" si="257"/>
        <v>40</v>
      </c>
      <c r="CB263" s="104">
        <f t="shared" si="258"/>
        <v>0.8</v>
      </c>
      <c r="CC263" s="105">
        <f t="shared" si="218"/>
        <v>244.87354766073571</v>
      </c>
      <c r="CD263" s="106">
        <f t="shared" si="219"/>
        <v>25</v>
      </c>
      <c r="CE263" s="107">
        <f t="shared" si="220"/>
        <v>0.375</v>
      </c>
      <c r="CF263" s="108" t="s">
        <v>2189</v>
      </c>
      <c r="CG263" s="108" t="s">
        <v>2189</v>
      </c>
      <c r="CH263" s="108" t="s">
        <v>2189</v>
      </c>
      <c r="CI263" s="108" t="s">
        <v>2189</v>
      </c>
      <c r="CJ263" s="109"/>
      <c r="CK263" s="116" t="s">
        <v>2231</v>
      </c>
      <c r="CL263" s="116" t="s">
        <v>2209</v>
      </c>
      <c r="CM263" s="111">
        <f t="shared" si="259"/>
        <v>40</v>
      </c>
      <c r="CN263" s="107">
        <f t="shared" si="221"/>
        <v>0.6</v>
      </c>
      <c r="CO263" s="114">
        <v>3807000</v>
      </c>
      <c r="CP263" s="88">
        <f t="shared" si="260"/>
        <v>3.2040214028629714</v>
      </c>
      <c r="CQ263" s="78">
        <f t="shared" si="261"/>
        <v>80</v>
      </c>
      <c r="CR263" s="79">
        <f t="shared" si="222"/>
        <v>2.4</v>
      </c>
      <c r="CS263" s="92">
        <f>_xlfn.XLOOKUP(C263, '[1]1-1. 관계사체무보증금액 (환율 등)'!$3:$3, '[1]1-1. 관계사체무보증금액 (환율 등)'!$33:$33)</f>
        <v>0</v>
      </c>
      <c r="CT263" s="77">
        <f t="shared" si="262"/>
        <v>0</v>
      </c>
      <c r="CU263" s="78">
        <f t="shared" si="263"/>
        <v>100</v>
      </c>
      <c r="CV263" s="79">
        <f t="shared" si="223"/>
        <v>2</v>
      </c>
      <c r="CW263" s="112">
        <f t="shared" si="264"/>
        <v>17.123252630681986</v>
      </c>
    </row>
    <row r="264" spans="1:101" x14ac:dyDescent="0.35">
      <c r="A264" s="7" t="s">
        <v>1688</v>
      </c>
      <c r="B264" s="8" t="s">
        <v>1689</v>
      </c>
      <c r="C264" s="21" t="s">
        <v>1690</v>
      </c>
      <c r="D264" s="22" t="s">
        <v>141</v>
      </c>
      <c r="E264" s="11" t="s">
        <v>248</v>
      </c>
      <c r="F264" s="11" t="s">
        <v>1691</v>
      </c>
      <c r="G264" s="12">
        <v>32638</v>
      </c>
      <c r="H264" s="11" t="s">
        <v>24</v>
      </c>
      <c r="I264" s="11" t="s">
        <v>1692</v>
      </c>
      <c r="J264" s="11" t="s">
        <v>1693</v>
      </c>
      <c r="K264" s="11" t="s">
        <v>102</v>
      </c>
      <c r="L264" s="23">
        <v>211309948</v>
      </c>
      <c r="M264" s="14">
        <v>154647755</v>
      </c>
      <c r="N264" s="14">
        <v>56662193</v>
      </c>
      <c r="O264" s="14">
        <v>160154490</v>
      </c>
      <c r="P264" s="14">
        <v>3112928</v>
      </c>
      <c r="Q264" s="14">
        <v>4592986</v>
      </c>
      <c r="R264" s="14">
        <v>1794177</v>
      </c>
      <c r="S264" s="15">
        <v>48061460</v>
      </c>
      <c r="T264" s="15">
        <v>177101</v>
      </c>
      <c r="U264" s="15">
        <v>12760939</v>
      </c>
      <c r="V264" s="15">
        <f>8571263+78900+250016+197137+35000</f>
        <v>9132316</v>
      </c>
      <c r="W264" s="15">
        <v>30000</v>
      </c>
      <c r="X264" s="15">
        <v>0</v>
      </c>
      <c r="Z264" s="15">
        <v>0</v>
      </c>
      <c r="AA264" s="15">
        <v>0</v>
      </c>
      <c r="AB264" s="74">
        <f t="shared" si="224"/>
        <v>21923255</v>
      </c>
      <c r="AC264" s="75">
        <f t="shared" si="225"/>
        <v>45.615041657078251</v>
      </c>
      <c r="AD264" s="75">
        <f t="shared" si="226"/>
        <v>60.717743103787477</v>
      </c>
      <c r="AE264" s="76">
        <f t="shared" si="212"/>
        <v>1.8215322931136242</v>
      </c>
      <c r="AF264" s="77">
        <f t="shared" si="227"/>
        <v>45.721098615938452</v>
      </c>
      <c r="AG264" s="77">
        <f t="shared" si="228"/>
        <v>45.783749553794799</v>
      </c>
      <c r="AH264" s="77">
        <f t="shared" si="229"/>
        <v>6.26509378563469E-2</v>
      </c>
      <c r="AI264" s="78">
        <f t="shared" si="230"/>
        <v>100</v>
      </c>
      <c r="AJ264" s="79">
        <f t="shared" si="213"/>
        <v>4</v>
      </c>
      <c r="AK264" s="113">
        <v>5</v>
      </c>
      <c r="AL264" s="113">
        <v>9</v>
      </c>
      <c r="AM264" s="113">
        <v>2</v>
      </c>
      <c r="AN264" s="81">
        <f t="shared" si="231"/>
        <v>14</v>
      </c>
      <c r="AO264" s="82">
        <f t="shared" si="232"/>
        <v>14.285714285714285</v>
      </c>
      <c r="AP264" s="83">
        <f t="shared" si="233"/>
        <v>80</v>
      </c>
      <c r="AQ264" s="84">
        <f t="shared" si="214"/>
        <v>1.6</v>
      </c>
      <c r="AR264" s="118">
        <v>1</v>
      </c>
      <c r="AS264" s="86">
        <f t="shared" si="234"/>
        <v>0.25</v>
      </c>
      <c r="AT264" s="87">
        <f t="shared" si="235"/>
        <v>1.25</v>
      </c>
      <c r="AU264" s="87">
        <f t="shared" si="236"/>
        <v>1</v>
      </c>
      <c r="AV264" s="88">
        <f t="shared" si="237"/>
        <v>0</v>
      </c>
      <c r="AW264" s="78">
        <f t="shared" si="238"/>
        <v>40</v>
      </c>
      <c r="AX264" s="89">
        <f t="shared" si="215"/>
        <v>0.4</v>
      </c>
      <c r="AY264" s="114">
        <v>5</v>
      </c>
      <c r="AZ264" s="114">
        <v>5</v>
      </c>
      <c r="BA264" s="91">
        <f t="shared" si="239"/>
        <v>5</v>
      </c>
      <c r="BB264" s="77">
        <f t="shared" si="240"/>
        <v>100</v>
      </c>
      <c r="BC264" s="78">
        <f t="shared" si="241"/>
        <v>100</v>
      </c>
      <c r="BD264" s="79">
        <f t="shared" si="216"/>
        <v>1</v>
      </c>
      <c r="BE264" s="92">
        <v>3307155</v>
      </c>
      <c r="BF264" s="92">
        <v>265920</v>
      </c>
      <c r="BG264" s="114">
        <v>44700</v>
      </c>
      <c r="BH264" s="94">
        <f t="shared" si="242"/>
        <v>3573075</v>
      </c>
      <c r="BI264" s="77">
        <f t="shared" si="243"/>
        <v>1.2510232782687183</v>
      </c>
      <c r="BJ264" s="95" t="str">
        <f t="shared" si="244"/>
        <v>전기전자/기계업</v>
      </c>
      <c r="BK264" s="96">
        <f t="shared" si="245"/>
        <v>2.4096449716116446</v>
      </c>
      <c r="BL264" s="97">
        <f t="shared" si="246"/>
        <v>-1.1586216933429263</v>
      </c>
      <c r="BM264" s="98">
        <f t="shared" si="247"/>
        <v>80</v>
      </c>
      <c r="BN264" s="99">
        <f t="shared" si="248"/>
        <v>1.6</v>
      </c>
      <c r="BO264" s="114">
        <v>252607</v>
      </c>
      <c r="BP264" s="101">
        <f t="shared" si="249"/>
        <v>0.15772707964665866</v>
      </c>
      <c r="BQ264" s="78">
        <f t="shared" si="250"/>
        <v>55</v>
      </c>
      <c r="BR264" s="79">
        <f t="shared" si="217"/>
        <v>1.1000000000000001</v>
      </c>
      <c r="BS264" s="102">
        <v>15039416.93</v>
      </c>
      <c r="BT264" s="102">
        <v>2872.7269999999999</v>
      </c>
      <c r="BU264" s="103">
        <f t="shared" si="251"/>
        <v>15036544.203</v>
      </c>
      <c r="BV264" s="77">
        <f t="shared" si="252"/>
        <v>9.3887746781248538</v>
      </c>
      <c r="BW264" s="96">
        <f t="shared" si="253"/>
        <v>5.2309968128308295</v>
      </c>
      <c r="BX264" s="96">
        <f t="shared" si="254"/>
        <v>17.287116777128933</v>
      </c>
      <c r="BY264" s="96">
        <f t="shared" si="255"/>
        <v>7.0695458012309631</v>
      </c>
      <c r="BZ264" s="96">
        <f t="shared" si="256"/>
        <v>27.822413800859724</v>
      </c>
      <c r="CA264" s="96">
        <f t="shared" si="257"/>
        <v>70</v>
      </c>
      <c r="CB264" s="104">
        <f t="shared" si="258"/>
        <v>1.4000000000000001</v>
      </c>
      <c r="CC264" s="105">
        <f t="shared" si="218"/>
        <v>272.92934991061855</v>
      </c>
      <c r="CD264" s="106">
        <f t="shared" si="219"/>
        <v>25</v>
      </c>
      <c r="CE264" s="107">
        <f t="shared" si="220"/>
        <v>0.375</v>
      </c>
      <c r="CF264" s="108" t="s">
        <v>2189</v>
      </c>
      <c r="CG264" s="108" t="s">
        <v>2189</v>
      </c>
      <c r="CH264" s="108" t="s">
        <v>2189</v>
      </c>
      <c r="CI264" s="108" t="s">
        <v>2189</v>
      </c>
      <c r="CJ264" s="109"/>
      <c r="CK264" s="116" t="s">
        <v>2235</v>
      </c>
      <c r="CL264" s="116" t="s">
        <v>2209</v>
      </c>
      <c r="CM264" s="111">
        <f t="shared" si="259"/>
        <v>40</v>
      </c>
      <c r="CN264" s="107">
        <f t="shared" si="221"/>
        <v>0.6</v>
      </c>
      <c r="CO264" s="114">
        <f>27224035-500000-2750000-1872</f>
        <v>23972163</v>
      </c>
      <c r="CP264" s="88">
        <f t="shared" si="260"/>
        <v>42.30715708444253</v>
      </c>
      <c r="CQ264" s="78">
        <f t="shared" si="261"/>
        <v>40</v>
      </c>
      <c r="CR264" s="79">
        <f t="shared" si="222"/>
        <v>1.2</v>
      </c>
      <c r="CS264" s="92">
        <f>_xlfn.XLOOKUP(C264, '[1]1-1. 관계사체무보증금액 (환율 등)'!$3:$3, '[1]1-1. 관계사체무보증금액 (환율 등)'!$33:$33)</f>
        <v>0</v>
      </c>
      <c r="CT264" s="77">
        <f t="shared" si="262"/>
        <v>0</v>
      </c>
      <c r="CU264" s="78">
        <f t="shared" si="263"/>
        <v>100</v>
      </c>
      <c r="CV264" s="79">
        <f t="shared" si="223"/>
        <v>2</v>
      </c>
      <c r="CW264" s="112">
        <f t="shared" si="264"/>
        <v>17.096532293113626</v>
      </c>
    </row>
    <row r="265" spans="1:101" x14ac:dyDescent="0.35">
      <c r="A265" s="7" t="s">
        <v>1388</v>
      </c>
      <c r="B265" s="8" t="s">
        <v>1389</v>
      </c>
      <c r="C265" s="21" t="s">
        <v>1390</v>
      </c>
      <c r="D265" s="10" t="s">
        <v>21</v>
      </c>
      <c r="E265" s="11" t="s">
        <v>390</v>
      </c>
      <c r="F265" s="11" t="s">
        <v>1391</v>
      </c>
      <c r="G265" s="12">
        <v>39028</v>
      </c>
      <c r="H265" s="11" t="s">
        <v>24</v>
      </c>
      <c r="I265" s="11" t="s">
        <v>1392</v>
      </c>
      <c r="J265" s="11" t="s">
        <v>1393</v>
      </c>
      <c r="K265" s="11" t="s">
        <v>87</v>
      </c>
      <c r="L265" s="23">
        <v>425143163</v>
      </c>
      <c r="M265" s="14">
        <v>223549583</v>
      </c>
      <c r="N265" s="14">
        <v>201593580</v>
      </c>
      <c r="O265" s="14">
        <v>728356330</v>
      </c>
      <c r="P265" s="14">
        <v>8460657</v>
      </c>
      <c r="Q265" s="14">
        <v>15047784</v>
      </c>
      <c r="R265" s="14">
        <v>11942346</v>
      </c>
      <c r="S265" s="15">
        <v>4374754</v>
      </c>
      <c r="T265" s="15">
        <v>252755</v>
      </c>
      <c r="U265" s="15">
        <v>1772940</v>
      </c>
      <c r="V265" s="15">
        <f>378060+600</f>
        <v>378660</v>
      </c>
      <c r="W265" s="15">
        <f>5+366+195</f>
        <v>566</v>
      </c>
      <c r="X265" s="15">
        <v>216920</v>
      </c>
      <c r="Y265" s="24" t="s">
        <v>2101</v>
      </c>
      <c r="Z265" s="15">
        <v>616000</v>
      </c>
      <c r="AA265" s="15">
        <v>4660</v>
      </c>
      <c r="AB265" s="74">
        <f t="shared" si="224"/>
        <v>2985086</v>
      </c>
      <c r="AC265" s="75">
        <f t="shared" si="225"/>
        <v>68.234373864221851</v>
      </c>
      <c r="AD265" s="75">
        <f t="shared" si="226"/>
        <v>41.19587986402027</v>
      </c>
      <c r="AE265" s="76">
        <f t="shared" si="212"/>
        <v>1.2358763959206081</v>
      </c>
      <c r="AF265" s="77">
        <f t="shared" si="227"/>
        <v>52.257052431194026</v>
      </c>
      <c r="AG265" s="77">
        <f t="shared" si="228"/>
        <v>72.387189881620145</v>
      </c>
      <c r="AH265" s="77">
        <f t="shared" si="229"/>
        <v>20.130137450426119</v>
      </c>
      <c r="AI265" s="78">
        <f t="shared" si="230"/>
        <v>80</v>
      </c>
      <c r="AJ265" s="79">
        <f t="shared" si="213"/>
        <v>3.2</v>
      </c>
      <c r="AK265" s="113">
        <v>7</v>
      </c>
      <c r="AL265" s="113">
        <v>1</v>
      </c>
      <c r="AM265" s="113">
        <v>1</v>
      </c>
      <c r="AN265" s="81">
        <f t="shared" si="231"/>
        <v>8</v>
      </c>
      <c r="AO265" s="82">
        <f t="shared" si="232"/>
        <v>12.5</v>
      </c>
      <c r="AP265" s="83">
        <f t="shared" si="233"/>
        <v>80</v>
      </c>
      <c r="AQ265" s="84">
        <f t="shared" si="214"/>
        <v>1.6</v>
      </c>
      <c r="AR265" s="118">
        <v>2</v>
      </c>
      <c r="AS265" s="86">
        <f t="shared" si="234"/>
        <v>0.25</v>
      </c>
      <c r="AT265" s="87">
        <f t="shared" si="235"/>
        <v>1.75</v>
      </c>
      <c r="AU265" s="87">
        <f t="shared" si="236"/>
        <v>1</v>
      </c>
      <c r="AV265" s="88">
        <f t="shared" si="237"/>
        <v>14.285714285714285</v>
      </c>
      <c r="AW265" s="78">
        <f t="shared" si="238"/>
        <v>60</v>
      </c>
      <c r="AX265" s="89">
        <f t="shared" si="215"/>
        <v>0.6</v>
      </c>
      <c r="AY265" s="114">
        <v>11</v>
      </c>
      <c r="AZ265" s="114">
        <v>22</v>
      </c>
      <c r="BA265" s="91">
        <f t="shared" si="239"/>
        <v>22</v>
      </c>
      <c r="BB265" s="77">
        <f t="shared" si="240"/>
        <v>100</v>
      </c>
      <c r="BC265" s="78">
        <f t="shared" si="241"/>
        <v>100</v>
      </c>
      <c r="BD265" s="79">
        <f t="shared" si="216"/>
        <v>1</v>
      </c>
      <c r="BE265" s="92">
        <v>17254452</v>
      </c>
      <c r="BF265" s="92">
        <v>1813816</v>
      </c>
      <c r="BG265" s="114">
        <v>78144</v>
      </c>
      <c r="BH265" s="94">
        <f t="shared" si="242"/>
        <v>19068268</v>
      </c>
      <c r="BI265" s="77">
        <f t="shared" si="243"/>
        <v>0.40981173539201354</v>
      </c>
      <c r="BJ265" s="95" t="str">
        <f t="shared" si="244"/>
        <v>비제조/서비스업</v>
      </c>
      <c r="BK265" s="96">
        <f t="shared" si="245"/>
        <v>1.7464434573900922</v>
      </c>
      <c r="BL265" s="97">
        <f t="shared" si="246"/>
        <v>-1.3366317219980788</v>
      </c>
      <c r="BM265" s="98">
        <f t="shared" si="247"/>
        <v>80</v>
      </c>
      <c r="BN265" s="99">
        <f t="shared" si="248"/>
        <v>1.6</v>
      </c>
      <c r="BO265" s="114">
        <v>0</v>
      </c>
      <c r="BP265" s="101">
        <f t="shared" si="249"/>
        <v>0</v>
      </c>
      <c r="BQ265" s="78">
        <f t="shared" si="250"/>
        <v>25</v>
      </c>
      <c r="BR265" s="79">
        <f t="shared" si="217"/>
        <v>0.5</v>
      </c>
      <c r="BS265" s="102">
        <v>13715375.377</v>
      </c>
      <c r="BT265" s="102">
        <f>(20500000+9418181)/1000</f>
        <v>29918.181</v>
      </c>
      <c r="BU265" s="103">
        <f t="shared" si="251"/>
        <v>13685457.196</v>
      </c>
      <c r="BV265" s="77">
        <f t="shared" si="252"/>
        <v>1.878950814637665</v>
      </c>
      <c r="BW265" s="96">
        <f t="shared" si="253"/>
        <v>2.8482825397737606</v>
      </c>
      <c r="BX265" s="96">
        <f t="shared" si="254"/>
        <v>0.93960399335531908</v>
      </c>
      <c r="BY265" s="96">
        <f t="shared" si="255"/>
        <v>5.5697595856656807</v>
      </c>
      <c r="BZ265" s="96">
        <f t="shared" si="256"/>
        <v>56.908092437670767</v>
      </c>
      <c r="CA265" s="96">
        <f t="shared" si="257"/>
        <v>55</v>
      </c>
      <c r="CB265" s="104">
        <f t="shared" si="258"/>
        <v>1.1000000000000001</v>
      </c>
      <c r="CC265" s="105">
        <f t="shared" si="218"/>
        <v>110.89122133750489</v>
      </c>
      <c r="CD265" s="106">
        <f t="shared" si="219"/>
        <v>58.583710551191629</v>
      </c>
      <c r="CE265" s="107">
        <f t="shared" si="220"/>
        <v>0.87875565826787438</v>
      </c>
      <c r="CF265" s="108" t="s">
        <v>2189</v>
      </c>
      <c r="CG265" s="108" t="s">
        <v>2189</v>
      </c>
      <c r="CH265" s="108" t="s">
        <v>2189</v>
      </c>
      <c r="CI265" s="108" t="s">
        <v>2189</v>
      </c>
      <c r="CJ265" s="109"/>
      <c r="CK265" s="116" t="s">
        <v>2199</v>
      </c>
      <c r="CL265" s="116" t="s">
        <v>2193</v>
      </c>
      <c r="CM265" s="111">
        <f t="shared" si="259"/>
        <v>25</v>
      </c>
      <c r="CN265" s="107">
        <f t="shared" si="221"/>
        <v>0.375</v>
      </c>
      <c r="CO265" s="114">
        <v>1087000</v>
      </c>
      <c r="CP265" s="88">
        <f t="shared" si="260"/>
        <v>0.53920367900604771</v>
      </c>
      <c r="CQ265" s="78">
        <f t="shared" si="261"/>
        <v>100</v>
      </c>
      <c r="CR265" s="79">
        <f t="shared" si="222"/>
        <v>3</v>
      </c>
      <c r="CS265" s="92">
        <f>_xlfn.XLOOKUP(C265, '[1]1-1. 관계사체무보증금액 (환율 등)'!$3:$3, '[1]1-1. 관계사체무보증금액 (환율 등)'!$33:$33)</f>
        <v>0</v>
      </c>
      <c r="CT265" s="77">
        <f t="shared" si="262"/>
        <v>0</v>
      </c>
      <c r="CU265" s="78">
        <f t="shared" si="263"/>
        <v>100</v>
      </c>
      <c r="CV265" s="79">
        <f t="shared" si="223"/>
        <v>2</v>
      </c>
      <c r="CW265" s="112">
        <f t="shared" si="264"/>
        <v>17.089632054188481</v>
      </c>
    </row>
    <row r="266" spans="1:101" x14ac:dyDescent="0.35">
      <c r="A266" s="7" t="s">
        <v>252</v>
      </c>
      <c r="B266" s="8" t="s">
        <v>253</v>
      </c>
      <c r="C266" s="21" t="s">
        <v>254</v>
      </c>
      <c r="D266" s="10" t="s">
        <v>21</v>
      </c>
      <c r="E266" s="11" t="s">
        <v>255</v>
      </c>
      <c r="F266" s="11" t="s">
        <v>256</v>
      </c>
      <c r="G266" s="12">
        <v>27789</v>
      </c>
      <c r="H266" s="11" t="s">
        <v>24</v>
      </c>
      <c r="I266" s="11" t="s">
        <v>257</v>
      </c>
      <c r="J266" s="11" t="s">
        <v>258</v>
      </c>
      <c r="K266" s="11" t="s">
        <v>27</v>
      </c>
      <c r="L266" s="23">
        <v>3782850589</v>
      </c>
      <c r="M266" s="14">
        <v>1473354089</v>
      </c>
      <c r="N266" s="14">
        <v>2309496500</v>
      </c>
      <c r="O266" s="14">
        <v>4108362284</v>
      </c>
      <c r="P266" s="14">
        <v>101552809</v>
      </c>
      <c r="Q266" s="14">
        <v>640421674</v>
      </c>
      <c r="R266" s="14">
        <v>528557910</v>
      </c>
      <c r="S266" s="15">
        <v>38760000</v>
      </c>
      <c r="T266" s="15">
        <v>2792098</v>
      </c>
      <c r="U266" s="15">
        <v>9571336</v>
      </c>
      <c r="V266" s="15">
        <v>0</v>
      </c>
      <c r="W266" s="15">
        <f>6855+5000+500</f>
        <v>12355</v>
      </c>
      <c r="X266" s="15">
        <v>17046</v>
      </c>
      <c r="Y266" s="24" t="s">
        <v>2058</v>
      </c>
      <c r="Z266" s="15">
        <v>0</v>
      </c>
      <c r="AA266" s="15">
        <v>0</v>
      </c>
      <c r="AB266" s="74">
        <f t="shared" si="224"/>
        <v>9600737</v>
      </c>
      <c r="AC266" s="75">
        <f t="shared" si="225"/>
        <v>24.769703302373578</v>
      </c>
      <c r="AD266" s="75">
        <f t="shared" si="226"/>
        <v>78.708541453647655</v>
      </c>
      <c r="AE266" s="76">
        <f t="shared" si="212"/>
        <v>2.3612562436094295</v>
      </c>
      <c r="AF266" s="77">
        <f t="shared" si="227"/>
        <v>26.610770903457198</v>
      </c>
      <c r="AG266" s="77">
        <f t="shared" si="228"/>
        <v>26.692513230268478</v>
      </c>
      <c r="AH266" s="77">
        <f t="shared" si="229"/>
        <v>8.1742326811280464E-2</v>
      </c>
      <c r="AI266" s="78">
        <f t="shared" si="230"/>
        <v>100</v>
      </c>
      <c r="AJ266" s="79">
        <f t="shared" si="213"/>
        <v>4</v>
      </c>
      <c r="AK266" s="113">
        <v>7</v>
      </c>
      <c r="AL266" s="113">
        <v>16</v>
      </c>
      <c r="AM266" s="113">
        <v>0</v>
      </c>
      <c r="AN266" s="81">
        <f t="shared" si="231"/>
        <v>23</v>
      </c>
      <c r="AO266" s="82">
        <f t="shared" si="232"/>
        <v>0</v>
      </c>
      <c r="AP266" s="83">
        <f t="shared" si="233"/>
        <v>100</v>
      </c>
      <c r="AQ266" s="84">
        <f t="shared" si="214"/>
        <v>2</v>
      </c>
      <c r="AR266" s="118">
        <v>4</v>
      </c>
      <c r="AS266" s="86">
        <f t="shared" si="234"/>
        <v>0.5</v>
      </c>
      <c r="AT266" s="87">
        <f t="shared" si="235"/>
        <v>3.5</v>
      </c>
      <c r="AU266" s="87">
        <f t="shared" si="236"/>
        <v>3</v>
      </c>
      <c r="AV266" s="88">
        <f t="shared" si="237"/>
        <v>14.285714285714285</v>
      </c>
      <c r="AW266" s="78">
        <f t="shared" si="238"/>
        <v>60</v>
      </c>
      <c r="AX266" s="89">
        <f t="shared" si="215"/>
        <v>0.6</v>
      </c>
      <c r="AY266" s="114">
        <v>10</v>
      </c>
      <c r="AZ266" s="114">
        <f>40-3</f>
        <v>37</v>
      </c>
      <c r="BA266" s="91">
        <f t="shared" si="239"/>
        <v>40</v>
      </c>
      <c r="BB266" s="77">
        <f t="shared" si="240"/>
        <v>92.5</v>
      </c>
      <c r="BC266" s="78">
        <f t="shared" si="241"/>
        <v>100</v>
      </c>
      <c r="BD266" s="79">
        <f t="shared" si="216"/>
        <v>1</v>
      </c>
      <c r="BE266" s="92">
        <v>53400000</v>
      </c>
      <c r="BF266" s="92">
        <v>5172000</v>
      </c>
      <c r="BG266" s="93">
        <v>0</v>
      </c>
      <c r="BH266" s="94">
        <f t="shared" si="242"/>
        <v>58572000</v>
      </c>
      <c r="BI266" s="77">
        <f t="shared" si="243"/>
        <v>0</v>
      </c>
      <c r="BJ266" s="95" t="str">
        <f t="shared" si="244"/>
        <v>비제조/서비스업</v>
      </c>
      <c r="BK266" s="96">
        <f t="shared" si="245"/>
        <v>1.7464434573900922</v>
      </c>
      <c r="BL266" s="97">
        <f t="shared" si="246"/>
        <v>-1.7464434573900922</v>
      </c>
      <c r="BM266" s="98">
        <f t="shared" si="247"/>
        <v>80</v>
      </c>
      <c r="BN266" s="99">
        <f t="shared" si="248"/>
        <v>1.6</v>
      </c>
      <c r="BO266" s="114">
        <v>0</v>
      </c>
      <c r="BP266" s="101">
        <f t="shared" si="249"/>
        <v>0</v>
      </c>
      <c r="BQ266" s="78">
        <f t="shared" si="250"/>
        <v>25</v>
      </c>
      <c r="BR266" s="79">
        <f t="shared" si="217"/>
        <v>0.5</v>
      </c>
      <c r="BS266" s="102">
        <v>900435.38399999996</v>
      </c>
      <c r="BT266" s="102">
        <v>171.59399999999999</v>
      </c>
      <c r="BU266" s="103">
        <f t="shared" si="251"/>
        <v>900263.78999999992</v>
      </c>
      <c r="BV266" s="77">
        <f t="shared" si="252"/>
        <v>2.191296014730915E-2</v>
      </c>
      <c r="BW266" s="96">
        <f t="shared" si="253"/>
        <v>2.8482825397737606</v>
      </c>
      <c r="BX266" s="96">
        <f t="shared" si="254"/>
        <v>7.9883650006378035</v>
      </c>
      <c r="BY266" s="96">
        <f t="shared" si="255"/>
        <v>5.5697595856656807</v>
      </c>
      <c r="BZ266" s="96">
        <f t="shared" si="256"/>
        <v>69.408013473452229</v>
      </c>
      <c r="CA266" s="96">
        <f t="shared" si="257"/>
        <v>40</v>
      </c>
      <c r="CB266" s="104">
        <f t="shared" si="258"/>
        <v>0.8</v>
      </c>
      <c r="CC266" s="105">
        <f t="shared" si="218"/>
        <v>63.795467496919777</v>
      </c>
      <c r="CD266" s="106">
        <f t="shared" si="219"/>
        <v>76.333366521261397</v>
      </c>
      <c r="CE266" s="107">
        <f t="shared" si="220"/>
        <v>1.145000497818921</v>
      </c>
      <c r="CF266" s="108" t="s">
        <v>2189</v>
      </c>
      <c r="CG266" s="108" t="s">
        <v>2189</v>
      </c>
      <c r="CH266" s="108" t="s">
        <v>2189</v>
      </c>
      <c r="CI266" s="108" t="s">
        <v>2189</v>
      </c>
      <c r="CJ266" s="109"/>
      <c r="CK266" s="116" t="s">
        <v>2203</v>
      </c>
      <c r="CL266" s="116" t="s">
        <v>2204</v>
      </c>
      <c r="CM266" s="111">
        <f t="shared" si="259"/>
        <v>70</v>
      </c>
      <c r="CN266" s="107">
        <f t="shared" si="221"/>
        <v>1.05</v>
      </c>
      <c r="CO266" s="114">
        <f>48401000+5059000+13533000+27252000+11025000+9292000+1889000+2330000+90617000+106576000+71245000+410393000+173669000+4000+194199000+4671000+29267000+672838000+42784000+76801000+90718000+6304000+110036000</f>
        <v>2198903000</v>
      </c>
      <c r="CP266" s="88">
        <f t="shared" si="260"/>
        <v>95.21135883946998</v>
      </c>
      <c r="CQ266" s="78">
        <f t="shared" si="261"/>
        <v>40</v>
      </c>
      <c r="CR266" s="79">
        <f t="shared" si="222"/>
        <v>1.2</v>
      </c>
      <c r="CS266" s="92">
        <f>_xlfn.XLOOKUP(C266, '[1]1-1. 관계사체무보증금액 (환율 등)'!$3:$3, '[1]1-1. 관계사체무보증금액 (환율 등)'!$33:$33)</f>
        <v>1637002000</v>
      </c>
      <c r="CT266" s="77">
        <f t="shared" si="262"/>
        <v>70.88133712261525</v>
      </c>
      <c r="CU266" s="78">
        <f t="shared" si="263"/>
        <v>40</v>
      </c>
      <c r="CV266" s="79">
        <f t="shared" si="223"/>
        <v>0.8</v>
      </c>
      <c r="CW266" s="112">
        <f t="shared" si="264"/>
        <v>17.056256741428353</v>
      </c>
    </row>
    <row r="267" spans="1:101" x14ac:dyDescent="0.35">
      <c r="A267" s="7" t="s">
        <v>1107</v>
      </c>
      <c r="B267" s="188" t="s">
        <v>1108</v>
      </c>
      <c r="C267" s="21" t="s">
        <v>1109</v>
      </c>
      <c r="D267" s="10" t="s">
        <v>75</v>
      </c>
      <c r="E267" s="11" t="s">
        <v>149</v>
      </c>
      <c r="F267" s="11" t="s">
        <v>1110</v>
      </c>
      <c r="G267" s="12">
        <v>28301</v>
      </c>
      <c r="H267" s="11" t="s">
        <v>24</v>
      </c>
      <c r="I267" s="11" t="s">
        <v>1111</v>
      </c>
      <c r="J267" s="11" t="s">
        <v>1112</v>
      </c>
      <c r="K267" s="11" t="s">
        <v>394</v>
      </c>
      <c r="L267" s="23">
        <v>1117980000</v>
      </c>
      <c r="M267" s="14">
        <v>475314000</v>
      </c>
      <c r="N267" s="14">
        <v>642666000</v>
      </c>
      <c r="O267" s="14">
        <v>1145427000</v>
      </c>
      <c r="P267" s="14">
        <v>167535000</v>
      </c>
      <c r="Q267" s="14">
        <v>168668000</v>
      </c>
      <c r="R267" s="14">
        <v>122873000</v>
      </c>
      <c r="S267" s="15">
        <v>24000000</v>
      </c>
      <c r="T267" s="15">
        <v>0</v>
      </c>
      <c r="U267" s="15">
        <f>5730410+392070</f>
        <v>6122480</v>
      </c>
      <c r="V267" s="15">
        <f>190620+3000+5710</f>
        <v>199330</v>
      </c>
      <c r="W267" s="15">
        <f>11100</f>
        <v>11100</v>
      </c>
      <c r="X267" s="15">
        <v>0</v>
      </c>
      <c r="Z267" s="15">
        <v>2196910</v>
      </c>
      <c r="AA267" s="15">
        <v>0</v>
      </c>
      <c r="AB267" s="74">
        <f t="shared" si="224"/>
        <v>8529820</v>
      </c>
      <c r="AC267" s="75">
        <f t="shared" si="225"/>
        <v>35.540916666666668</v>
      </c>
      <c r="AD267" s="75">
        <f t="shared" si="226"/>
        <v>69.41232738780208</v>
      </c>
      <c r="AE267" s="76">
        <f t="shared" si="212"/>
        <v>2.0823698216340625</v>
      </c>
      <c r="AF267" s="77">
        <f t="shared" si="227"/>
        <v>26.340875000000004</v>
      </c>
      <c r="AG267" s="77">
        <f t="shared" si="228"/>
        <v>35.540916666666668</v>
      </c>
      <c r="AH267" s="77">
        <f t="shared" si="229"/>
        <v>9.2000416666666638</v>
      </c>
      <c r="AI267" s="78">
        <f t="shared" si="230"/>
        <v>100</v>
      </c>
      <c r="AJ267" s="79">
        <f t="shared" si="213"/>
        <v>4</v>
      </c>
      <c r="AK267" s="113">
        <v>5</v>
      </c>
      <c r="AL267" s="113">
        <v>10</v>
      </c>
      <c r="AM267" s="113">
        <v>1</v>
      </c>
      <c r="AN267" s="81">
        <f t="shared" si="231"/>
        <v>15</v>
      </c>
      <c r="AO267" s="82">
        <f t="shared" si="232"/>
        <v>6.666666666666667</v>
      </c>
      <c r="AP267" s="83">
        <f t="shared" si="233"/>
        <v>100</v>
      </c>
      <c r="AQ267" s="84">
        <f t="shared" si="214"/>
        <v>2</v>
      </c>
      <c r="AR267" s="118">
        <v>1</v>
      </c>
      <c r="AS267" s="86">
        <f t="shared" si="234"/>
        <v>0.25</v>
      </c>
      <c r="AT267" s="87">
        <f t="shared" si="235"/>
        <v>1.25</v>
      </c>
      <c r="AU267" s="87">
        <f t="shared" si="236"/>
        <v>1</v>
      </c>
      <c r="AV267" s="88">
        <f t="shared" si="237"/>
        <v>0</v>
      </c>
      <c r="AW267" s="78">
        <f t="shared" si="238"/>
        <v>40</v>
      </c>
      <c r="AX267" s="89">
        <f t="shared" si="215"/>
        <v>0.4</v>
      </c>
      <c r="AY267" s="114">
        <f>9</f>
        <v>9</v>
      </c>
      <c r="AZ267" s="114">
        <v>6</v>
      </c>
      <c r="BA267" s="91">
        <f t="shared" si="239"/>
        <v>9</v>
      </c>
      <c r="BB267" s="77">
        <f t="shared" si="240"/>
        <v>66.666666666666657</v>
      </c>
      <c r="BC267" s="78">
        <f t="shared" si="241"/>
        <v>25</v>
      </c>
      <c r="BD267" s="79">
        <f t="shared" si="216"/>
        <v>0.25</v>
      </c>
      <c r="BE267" s="92">
        <v>8495000</v>
      </c>
      <c r="BF267" s="92">
        <v>804000</v>
      </c>
      <c r="BG267" s="114">
        <v>1753000</v>
      </c>
      <c r="BH267" s="94">
        <f t="shared" si="242"/>
        <v>9299000</v>
      </c>
      <c r="BI267" s="77">
        <f t="shared" si="243"/>
        <v>18.851489407463166</v>
      </c>
      <c r="BJ267" s="95" t="str">
        <f t="shared" si="244"/>
        <v>금속/비금속/화학업</v>
      </c>
      <c r="BK267" s="96">
        <f t="shared" si="245"/>
        <v>3.9534118626990469</v>
      </c>
      <c r="BL267" s="97">
        <f t="shared" si="246"/>
        <v>14.898077544764119</v>
      </c>
      <c r="BM267" s="98">
        <f t="shared" si="247"/>
        <v>20</v>
      </c>
      <c r="BN267" s="99">
        <f t="shared" si="248"/>
        <v>0.4</v>
      </c>
      <c r="BO267" s="114">
        <f>(6284-1097)*1000</f>
        <v>5187000</v>
      </c>
      <c r="BP267" s="101">
        <f t="shared" si="249"/>
        <v>0.45284422315869977</v>
      </c>
      <c r="BQ267" s="78">
        <f t="shared" si="250"/>
        <v>55</v>
      </c>
      <c r="BR267" s="79">
        <f t="shared" si="217"/>
        <v>1.1000000000000001</v>
      </c>
      <c r="BS267" s="102">
        <v>43741000</v>
      </c>
      <c r="BT267" s="102">
        <v>5000</v>
      </c>
      <c r="BU267" s="103">
        <f t="shared" si="251"/>
        <v>43736000</v>
      </c>
      <c r="BV267" s="77">
        <f t="shared" si="252"/>
        <v>3.8183140435837468</v>
      </c>
      <c r="BW267" s="96">
        <f t="shared" si="253"/>
        <v>5.1474158565187738</v>
      </c>
      <c r="BX267" s="96">
        <f t="shared" si="254"/>
        <v>1.7665116291471754</v>
      </c>
      <c r="BY267" s="96">
        <f t="shared" si="255"/>
        <v>6.6930498535228535</v>
      </c>
      <c r="BZ267" s="96">
        <f t="shared" si="256"/>
        <v>57.870411479947151</v>
      </c>
      <c r="CA267" s="96">
        <f t="shared" si="257"/>
        <v>55</v>
      </c>
      <c r="CB267" s="104">
        <f t="shared" si="258"/>
        <v>1.1000000000000001</v>
      </c>
      <c r="CC267" s="105">
        <f t="shared" si="218"/>
        <v>73.959724024609983</v>
      </c>
      <c r="CD267" s="106">
        <f t="shared" si="219"/>
        <v>72.502616573639457</v>
      </c>
      <c r="CE267" s="107">
        <f t="shared" si="220"/>
        <v>1.0875392486045918</v>
      </c>
      <c r="CF267" s="108" t="s">
        <v>2189</v>
      </c>
      <c r="CG267" s="108" t="s">
        <v>2189</v>
      </c>
      <c r="CH267" s="108" t="s">
        <v>2189</v>
      </c>
      <c r="CI267" s="108" t="s">
        <v>2189</v>
      </c>
      <c r="CJ267" s="109"/>
      <c r="CK267" s="116" t="s">
        <v>2202</v>
      </c>
      <c r="CL267" s="116" t="s">
        <v>2196</v>
      </c>
      <c r="CM267" s="111">
        <f t="shared" si="259"/>
        <v>55</v>
      </c>
      <c r="CN267" s="107">
        <f t="shared" si="221"/>
        <v>0.82499999999999996</v>
      </c>
      <c r="CO267" s="114">
        <v>126578000</v>
      </c>
      <c r="CP267" s="88">
        <f t="shared" si="260"/>
        <v>19.695767319260703</v>
      </c>
      <c r="CQ267" s="78">
        <f t="shared" si="261"/>
        <v>60</v>
      </c>
      <c r="CR267" s="79">
        <f t="shared" si="222"/>
        <v>1.7999999999999998</v>
      </c>
      <c r="CS267" s="92">
        <f>_xlfn.XLOOKUP(C267, '[1]1-1. 관계사체무보증금액 (환율 등)'!$3:$3, '[1]1-1. 관계사체무보증금액 (환율 등)'!$33:$33)</f>
        <v>0</v>
      </c>
      <c r="CT267" s="77">
        <f t="shared" si="262"/>
        <v>0</v>
      </c>
      <c r="CU267" s="78">
        <f t="shared" si="263"/>
        <v>100</v>
      </c>
      <c r="CV267" s="79">
        <f t="shared" si="223"/>
        <v>2</v>
      </c>
      <c r="CW267" s="112">
        <f t="shared" si="264"/>
        <v>17.044909070238653</v>
      </c>
    </row>
    <row r="268" spans="1:101" x14ac:dyDescent="0.35">
      <c r="A268" s="7" t="s">
        <v>146</v>
      </c>
      <c r="B268" s="8" t="s">
        <v>147</v>
      </c>
      <c r="C268" s="21" t="s">
        <v>148</v>
      </c>
      <c r="D268" s="10" t="s">
        <v>75</v>
      </c>
      <c r="E268" s="11" t="s">
        <v>149</v>
      </c>
      <c r="F268" s="11" t="s">
        <v>150</v>
      </c>
      <c r="G268" s="12">
        <v>38985</v>
      </c>
      <c r="H268" s="11" t="s">
        <v>24</v>
      </c>
      <c r="I268" s="11" t="s">
        <v>151</v>
      </c>
      <c r="J268" s="11" t="s">
        <v>152</v>
      </c>
      <c r="K268" s="11" t="s">
        <v>153</v>
      </c>
      <c r="L268" s="23">
        <v>496666959</v>
      </c>
      <c r="M268" s="14">
        <v>232970639</v>
      </c>
      <c r="N268" s="14">
        <v>263696320</v>
      </c>
      <c r="O268" s="14">
        <v>847333959</v>
      </c>
      <c r="P268" s="14">
        <v>12420452</v>
      </c>
      <c r="Q268" s="14">
        <v>21136596</v>
      </c>
      <c r="R268" s="14">
        <v>15436443</v>
      </c>
      <c r="S268" s="15">
        <v>31900000</v>
      </c>
      <c r="T268" s="15">
        <v>3000000</v>
      </c>
      <c r="U268" s="15">
        <v>15395000</v>
      </c>
      <c r="V268" s="15">
        <v>0</v>
      </c>
      <c r="W268" s="15">
        <v>0</v>
      </c>
      <c r="X268" s="15">
        <v>0</v>
      </c>
      <c r="Z268" s="15">
        <v>0</v>
      </c>
      <c r="AA268" s="15">
        <v>0</v>
      </c>
      <c r="AB268" s="74">
        <f t="shared" si="224"/>
        <v>15395000</v>
      </c>
      <c r="AC268" s="75">
        <f t="shared" si="225"/>
        <v>48.260188087774296</v>
      </c>
      <c r="AD268" s="75">
        <f t="shared" si="226"/>
        <v>58.434820407559585</v>
      </c>
      <c r="AE268" s="76">
        <f t="shared" si="212"/>
        <v>1.7530446122267875</v>
      </c>
      <c r="AF268" s="77">
        <f t="shared" si="227"/>
        <v>53.269896193771629</v>
      </c>
      <c r="AG268" s="77">
        <f t="shared" si="228"/>
        <v>53.269896193771629</v>
      </c>
      <c r="AH268" s="77">
        <f t="shared" si="229"/>
        <v>0</v>
      </c>
      <c r="AI268" s="78">
        <f t="shared" si="230"/>
        <v>100</v>
      </c>
      <c r="AJ268" s="79">
        <f t="shared" si="213"/>
        <v>4</v>
      </c>
      <c r="AK268" s="113">
        <v>5</v>
      </c>
      <c r="AL268" s="113">
        <v>1</v>
      </c>
      <c r="AM268" s="80">
        <v>1</v>
      </c>
      <c r="AN268" s="81">
        <f t="shared" si="231"/>
        <v>6</v>
      </c>
      <c r="AO268" s="82">
        <f t="shared" si="232"/>
        <v>16.666666666666664</v>
      </c>
      <c r="AP268" s="83">
        <f t="shared" si="233"/>
        <v>80</v>
      </c>
      <c r="AQ268" s="84">
        <f t="shared" si="214"/>
        <v>1.6</v>
      </c>
      <c r="AR268" s="118">
        <v>1</v>
      </c>
      <c r="AS268" s="86">
        <f t="shared" si="234"/>
        <v>0.25</v>
      </c>
      <c r="AT268" s="87">
        <f t="shared" si="235"/>
        <v>1.25</v>
      </c>
      <c r="AU268" s="87">
        <f t="shared" si="236"/>
        <v>1</v>
      </c>
      <c r="AV268" s="88">
        <f t="shared" si="237"/>
        <v>0</v>
      </c>
      <c r="AW268" s="78">
        <f t="shared" si="238"/>
        <v>40</v>
      </c>
      <c r="AX268" s="89">
        <f t="shared" si="215"/>
        <v>0.4</v>
      </c>
      <c r="AY268" s="114">
        <v>11</v>
      </c>
      <c r="AZ268" s="114">
        <v>11</v>
      </c>
      <c r="BA268" s="91">
        <f t="shared" si="239"/>
        <v>11</v>
      </c>
      <c r="BB268" s="77">
        <f t="shared" si="240"/>
        <v>100</v>
      </c>
      <c r="BC268" s="78">
        <f t="shared" si="241"/>
        <v>100</v>
      </c>
      <c r="BD268" s="79">
        <f t="shared" si="216"/>
        <v>1</v>
      </c>
      <c r="BE268" s="92">
        <v>9353488</v>
      </c>
      <c r="BF268" s="92">
        <v>1016537</v>
      </c>
      <c r="BG268" s="114">
        <v>544657</v>
      </c>
      <c r="BH268" s="94">
        <f t="shared" si="242"/>
        <v>10370025</v>
      </c>
      <c r="BI268" s="77">
        <f t="shared" si="243"/>
        <v>5.2522245606929587</v>
      </c>
      <c r="BJ268" s="95" t="str">
        <f t="shared" si="244"/>
        <v>금속/비금속/화학업</v>
      </c>
      <c r="BK268" s="96">
        <f t="shared" si="245"/>
        <v>3.9534118626990469</v>
      </c>
      <c r="BL268" s="97">
        <f t="shared" si="246"/>
        <v>1.2988126979939119</v>
      </c>
      <c r="BM268" s="98">
        <f t="shared" si="247"/>
        <v>60</v>
      </c>
      <c r="BN268" s="99">
        <f t="shared" si="248"/>
        <v>1.2</v>
      </c>
      <c r="BO268" s="114">
        <v>4605093</v>
      </c>
      <c r="BP268" s="101">
        <f t="shared" si="249"/>
        <v>0.54348028319728892</v>
      </c>
      <c r="BQ268" s="78">
        <f t="shared" si="250"/>
        <v>70</v>
      </c>
      <c r="BR268" s="79">
        <f t="shared" si="217"/>
        <v>1.4000000000000001</v>
      </c>
      <c r="BS268" s="102">
        <v>9274632.0789999999</v>
      </c>
      <c r="BT268" s="102">
        <v>12473.2</v>
      </c>
      <c r="BU268" s="103">
        <f t="shared" si="251"/>
        <v>9262158.8790000007</v>
      </c>
      <c r="BV268" s="77">
        <f t="shared" si="252"/>
        <v>1.0930942611967238</v>
      </c>
      <c r="BW268" s="96">
        <f t="shared" si="253"/>
        <v>5.1474158565187738</v>
      </c>
      <c r="BX268" s="96">
        <f t="shared" si="254"/>
        <v>16.437523598294735</v>
      </c>
      <c r="BY268" s="96">
        <f t="shared" si="255"/>
        <v>6.6930498535228535</v>
      </c>
      <c r="BZ268" s="96">
        <f t="shared" si="256"/>
        <v>72.765994157618039</v>
      </c>
      <c r="CA268" s="96">
        <f t="shared" si="257"/>
        <v>40</v>
      </c>
      <c r="CB268" s="104">
        <f t="shared" si="258"/>
        <v>0.8</v>
      </c>
      <c r="CC268" s="105">
        <f t="shared" si="218"/>
        <v>88.348081232229561</v>
      </c>
      <c r="CD268" s="106">
        <f t="shared" si="219"/>
        <v>67.079868882325542</v>
      </c>
      <c r="CE268" s="107">
        <f t="shared" si="220"/>
        <v>1.006198033234883</v>
      </c>
      <c r="CF268" s="108" t="s">
        <v>2189</v>
      </c>
      <c r="CG268" s="108" t="s">
        <v>2189</v>
      </c>
      <c r="CH268" s="108" t="s">
        <v>2189</v>
      </c>
      <c r="CI268" s="108" t="s">
        <v>2189</v>
      </c>
      <c r="CJ268" s="109"/>
      <c r="CK268" s="116" t="s">
        <v>2195</v>
      </c>
      <c r="CL268" s="116" t="s">
        <v>2196</v>
      </c>
      <c r="CM268" s="111">
        <f t="shared" si="259"/>
        <v>55</v>
      </c>
      <c r="CN268" s="107">
        <f t="shared" si="221"/>
        <v>0.82499999999999996</v>
      </c>
      <c r="CO268" s="114">
        <f>7894000+4008000+30800000+8718000</f>
        <v>51420000</v>
      </c>
      <c r="CP268" s="88">
        <f t="shared" si="260"/>
        <v>19.499703295063046</v>
      </c>
      <c r="CQ268" s="78">
        <f t="shared" si="261"/>
        <v>60</v>
      </c>
      <c r="CR268" s="79">
        <f t="shared" si="222"/>
        <v>1.7999999999999998</v>
      </c>
      <c r="CS268" s="92">
        <f>_xlfn.XLOOKUP(C268, '[1]1-1. 관계사체무보증금액 (환율 등)'!$3:$3, '[1]1-1. 관계사체무보증금액 (환율 등)'!$33:$33)</f>
        <v>37557000</v>
      </c>
      <c r="CT268" s="77">
        <f t="shared" si="262"/>
        <v>14.242519577065011</v>
      </c>
      <c r="CU268" s="78">
        <f t="shared" si="263"/>
        <v>60</v>
      </c>
      <c r="CV268" s="79">
        <f t="shared" si="223"/>
        <v>1.2</v>
      </c>
      <c r="CW268" s="112">
        <f t="shared" si="264"/>
        <v>16.98424264546167</v>
      </c>
    </row>
    <row r="269" spans="1:101" x14ac:dyDescent="0.35">
      <c r="A269" s="7" t="s">
        <v>1864</v>
      </c>
      <c r="B269" s="8" t="s">
        <v>1865</v>
      </c>
      <c r="C269" s="21" t="s">
        <v>1866</v>
      </c>
      <c r="D269" s="10" t="s">
        <v>75</v>
      </c>
      <c r="E269" s="11" t="s">
        <v>1187</v>
      </c>
      <c r="F269" s="11" t="s">
        <v>1867</v>
      </c>
      <c r="G269" s="12">
        <v>43318</v>
      </c>
      <c r="H269" s="11" t="s">
        <v>24</v>
      </c>
      <c r="I269" s="11" t="s">
        <v>1868</v>
      </c>
      <c r="J269" s="11" t="s">
        <v>1869</v>
      </c>
      <c r="K269" s="11" t="s">
        <v>27</v>
      </c>
      <c r="L269" s="23">
        <v>1920187832</v>
      </c>
      <c r="M269" s="14">
        <v>578102236</v>
      </c>
      <c r="N269" s="14">
        <v>1342085595</v>
      </c>
      <c r="O269" s="14">
        <v>1059617234</v>
      </c>
      <c r="P269" s="14">
        <v>81393435</v>
      </c>
      <c r="Q269" s="14">
        <v>87194859</v>
      </c>
      <c r="R269" s="14">
        <v>65472999</v>
      </c>
      <c r="S269" s="15">
        <v>69261540</v>
      </c>
      <c r="T269" s="15">
        <v>0</v>
      </c>
      <c r="U269" s="15">
        <v>42182260</v>
      </c>
      <c r="V269" s="15">
        <f>1923630+1815100+185000+659210+659210+31310+168410</f>
        <v>5441870</v>
      </c>
      <c r="W269" s="15">
        <v>0</v>
      </c>
      <c r="X269" s="15">
        <v>2959030</v>
      </c>
      <c r="Y269" s="24" t="s">
        <v>2118</v>
      </c>
      <c r="Z269" s="15">
        <v>58222</v>
      </c>
      <c r="AA269" s="15">
        <v>0</v>
      </c>
      <c r="AB269" s="74">
        <f t="shared" si="224"/>
        <v>50641382</v>
      </c>
      <c r="AC269" s="75">
        <f t="shared" si="225"/>
        <v>73.116165190667147</v>
      </c>
      <c r="AD269" s="75">
        <f t="shared" si="226"/>
        <v>36.982596210586472</v>
      </c>
      <c r="AE269" s="76">
        <f t="shared" si="212"/>
        <v>1.109477886317594</v>
      </c>
      <c r="AF269" s="77">
        <f t="shared" si="227"/>
        <v>68.759848539319222</v>
      </c>
      <c r="AG269" s="77">
        <f t="shared" si="228"/>
        <v>73.116165190667147</v>
      </c>
      <c r="AH269" s="77">
        <f t="shared" si="229"/>
        <v>4.3563166513479246</v>
      </c>
      <c r="AI269" s="78">
        <f t="shared" si="230"/>
        <v>100</v>
      </c>
      <c r="AJ269" s="79">
        <f t="shared" si="213"/>
        <v>4</v>
      </c>
      <c r="AK269" s="113">
        <v>7</v>
      </c>
      <c r="AL269" s="113">
        <v>13</v>
      </c>
      <c r="AM269" s="113">
        <v>0</v>
      </c>
      <c r="AN269" s="81">
        <f t="shared" si="231"/>
        <v>20</v>
      </c>
      <c r="AO269" s="82">
        <f t="shared" si="232"/>
        <v>0</v>
      </c>
      <c r="AP269" s="83">
        <f t="shared" si="233"/>
        <v>100</v>
      </c>
      <c r="AQ269" s="84">
        <f t="shared" si="214"/>
        <v>2</v>
      </c>
      <c r="AR269" s="118">
        <v>2</v>
      </c>
      <c r="AS269" s="86">
        <f t="shared" si="234"/>
        <v>0.25</v>
      </c>
      <c r="AT269" s="87">
        <f t="shared" si="235"/>
        <v>1.75</v>
      </c>
      <c r="AU269" s="87">
        <f t="shared" si="236"/>
        <v>1</v>
      </c>
      <c r="AV269" s="88">
        <f t="shared" si="237"/>
        <v>14.285714285714285</v>
      </c>
      <c r="AW269" s="78">
        <f t="shared" si="238"/>
        <v>60</v>
      </c>
      <c r="AX269" s="89">
        <f t="shared" si="215"/>
        <v>0.6</v>
      </c>
      <c r="AY269" s="114">
        <v>10</v>
      </c>
      <c r="AZ269" s="114">
        <f>20-4</f>
        <v>16</v>
      </c>
      <c r="BA269" s="91">
        <f t="shared" si="239"/>
        <v>20</v>
      </c>
      <c r="BB269" s="77">
        <f t="shared" si="240"/>
        <v>80</v>
      </c>
      <c r="BC269" s="78">
        <f t="shared" si="241"/>
        <v>75</v>
      </c>
      <c r="BD269" s="79">
        <f t="shared" si="216"/>
        <v>0.75</v>
      </c>
      <c r="BE269" s="92">
        <v>12126233</v>
      </c>
      <c r="BF269" s="92">
        <v>4532883</v>
      </c>
      <c r="BG269" s="114">
        <v>1000644</v>
      </c>
      <c r="BH269" s="94">
        <f t="shared" si="242"/>
        <v>16659116</v>
      </c>
      <c r="BI269" s="77">
        <f t="shared" si="243"/>
        <v>6.0065852233695951</v>
      </c>
      <c r="BJ269" s="95" t="str">
        <f t="shared" si="244"/>
        <v>금속/비금속/화학업</v>
      </c>
      <c r="BK269" s="96">
        <f t="shared" si="245"/>
        <v>3.9534118626990469</v>
      </c>
      <c r="BL269" s="97">
        <f t="shared" si="246"/>
        <v>2.0531733606705482</v>
      </c>
      <c r="BM269" s="98">
        <f t="shared" si="247"/>
        <v>40</v>
      </c>
      <c r="BN269" s="99">
        <f t="shared" si="248"/>
        <v>0.8</v>
      </c>
      <c r="BO269" s="114">
        <f>1701389-191395</f>
        <v>1509994</v>
      </c>
      <c r="BP269" s="101">
        <f t="shared" si="249"/>
        <v>0.14250372224504609</v>
      </c>
      <c r="BQ269" s="78">
        <f t="shared" si="250"/>
        <v>55</v>
      </c>
      <c r="BR269" s="79">
        <f t="shared" si="217"/>
        <v>1.1000000000000001</v>
      </c>
      <c r="BS269" s="102">
        <v>53812342.935000002</v>
      </c>
      <c r="BT269" s="102">
        <v>1202868.2720000001</v>
      </c>
      <c r="BU269" s="103">
        <f t="shared" si="251"/>
        <v>52609474.663000003</v>
      </c>
      <c r="BV269" s="77">
        <f t="shared" si="252"/>
        <v>4.9649508308204808</v>
      </c>
      <c r="BW269" s="96">
        <f t="shared" si="253"/>
        <v>5.1474158565187738</v>
      </c>
      <c r="BX269" s="96">
        <f t="shared" si="254"/>
        <v>3.3293485603078696E-2</v>
      </c>
      <c r="BY269" s="96">
        <f t="shared" si="255"/>
        <v>6.6930498535228535</v>
      </c>
      <c r="BZ269" s="96">
        <f t="shared" si="256"/>
        <v>51.087456380911519</v>
      </c>
      <c r="CA269" s="96">
        <f t="shared" si="257"/>
        <v>55</v>
      </c>
      <c r="CB269" s="104">
        <f t="shared" si="258"/>
        <v>1.1000000000000001</v>
      </c>
      <c r="CC269" s="105">
        <f t="shared" si="218"/>
        <v>43.074915501197971</v>
      </c>
      <c r="CD269" s="106">
        <f t="shared" si="219"/>
        <v>84.142619785980671</v>
      </c>
      <c r="CE269" s="107">
        <f t="shared" si="220"/>
        <v>1.26213929678971</v>
      </c>
      <c r="CF269" s="108" t="s">
        <v>2189</v>
      </c>
      <c r="CG269" s="108" t="s">
        <v>2189</v>
      </c>
      <c r="CH269" s="108" t="s">
        <v>2189</v>
      </c>
      <c r="CI269" s="108" t="s">
        <v>2189</v>
      </c>
      <c r="CJ269" s="109"/>
      <c r="CK269" s="116" t="s">
        <v>2207</v>
      </c>
      <c r="CL269" s="116" t="s">
        <v>2204</v>
      </c>
      <c r="CM269" s="111">
        <f t="shared" si="259"/>
        <v>70</v>
      </c>
      <c r="CN269" s="107">
        <f t="shared" si="221"/>
        <v>1.05</v>
      </c>
      <c r="CO269" s="114">
        <v>590385000</v>
      </c>
      <c r="CP269" s="88">
        <f t="shared" si="260"/>
        <v>43.99011525043602</v>
      </c>
      <c r="CQ269" s="78">
        <f t="shared" si="261"/>
        <v>40</v>
      </c>
      <c r="CR269" s="79">
        <f t="shared" si="222"/>
        <v>1.2</v>
      </c>
      <c r="CS269" s="92">
        <f>_xlfn.XLOOKUP(C269, '[1]1-1. 관계사체무보증금액 (환율 등)'!$3:$3, '[1]1-1. 관계사체무보증금액 (환율 등)'!$33:$33)</f>
        <v>30921555.875824809</v>
      </c>
      <c r="CT269" s="77">
        <f t="shared" si="262"/>
        <v>2.3039928295948076</v>
      </c>
      <c r="CU269" s="78">
        <f t="shared" si="263"/>
        <v>100</v>
      </c>
      <c r="CV269" s="79">
        <f t="shared" si="223"/>
        <v>2</v>
      </c>
      <c r="CW269" s="112">
        <f t="shared" si="264"/>
        <v>16.971617183107305</v>
      </c>
    </row>
    <row r="270" spans="1:101" x14ac:dyDescent="0.35">
      <c r="A270" s="7" t="s">
        <v>704</v>
      </c>
      <c r="B270" s="8" t="s">
        <v>705</v>
      </c>
      <c r="C270" s="21" t="s">
        <v>706</v>
      </c>
      <c r="D270" s="10" t="s">
        <v>75</v>
      </c>
      <c r="E270" s="11" t="s">
        <v>508</v>
      </c>
      <c r="F270" s="11" t="s">
        <v>707</v>
      </c>
      <c r="G270" s="12">
        <v>41201</v>
      </c>
      <c r="H270" s="11" t="s">
        <v>24</v>
      </c>
      <c r="I270" s="11" t="s">
        <v>708</v>
      </c>
      <c r="J270" s="11" t="s">
        <v>709</v>
      </c>
      <c r="K270" s="11" t="s">
        <v>110</v>
      </c>
      <c r="L270" s="23">
        <v>372451008</v>
      </c>
      <c r="M270" s="14">
        <v>160285008</v>
      </c>
      <c r="N270" s="14">
        <v>212166000</v>
      </c>
      <c r="O270" s="14">
        <v>382323241</v>
      </c>
      <c r="P270" s="14">
        <v>10643381</v>
      </c>
      <c r="Q270" s="14">
        <v>10453576</v>
      </c>
      <c r="R270" s="14">
        <v>9587170</v>
      </c>
      <c r="S270" s="15">
        <v>13900000</v>
      </c>
      <c r="T270" s="15">
        <v>0</v>
      </c>
      <c r="U270" s="15">
        <f>6133737+2166142</f>
        <v>8299879</v>
      </c>
      <c r="V270" s="15">
        <f>651547+131591</f>
        <v>783138</v>
      </c>
      <c r="W270" s="15">
        <f>27000+24451</f>
        <v>51451</v>
      </c>
      <c r="X270" s="15">
        <v>562451</v>
      </c>
      <c r="Y270" s="24" t="s">
        <v>2074</v>
      </c>
      <c r="Z270" s="15">
        <v>0</v>
      </c>
      <c r="AA270" s="15">
        <v>0</v>
      </c>
      <c r="AB270" s="74">
        <f t="shared" si="224"/>
        <v>9696919</v>
      </c>
      <c r="AC270" s="75">
        <f t="shared" si="225"/>
        <v>69.762007194244603</v>
      </c>
      <c r="AD270" s="75">
        <f t="shared" si="226"/>
        <v>39.877439130398791</v>
      </c>
      <c r="AE270" s="76">
        <f t="shared" si="212"/>
        <v>1.1963231739119637</v>
      </c>
      <c r="AF270" s="77">
        <f t="shared" si="227"/>
        <v>65.345446043165467</v>
      </c>
      <c r="AG270" s="77">
        <f t="shared" si="228"/>
        <v>69.762007194244603</v>
      </c>
      <c r="AH270" s="77">
        <f t="shared" si="229"/>
        <v>4.4165611510791365</v>
      </c>
      <c r="AI270" s="78">
        <f t="shared" si="230"/>
        <v>100</v>
      </c>
      <c r="AJ270" s="79">
        <f t="shared" si="213"/>
        <v>4</v>
      </c>
      <c r="AK270" s="113">
        <v>5</v>
      </c>
      <c r="AL270" s="113">
        <v>3</v>
      </c>
      <c r="AM270" s="113">
        <v>0</v>
      </c>
      <c r="AN270" s="81">
        <f t="shared" si="231"/>
        <v>8</v>
      </c>
      <c r="AO270" s="82">
        <f t="shared" si="232"/>
        <v>0</v>
      </c>
      <c r="AP270" s="83">
        <f t="shared" si="233"/>
        <v>100</v>
      </c>
      <c r="AQ270" s="84">
        <f t="shared" si="214"/>
        <v>2</v>
      </c>
      <c r="AR270" s="118">
        <v>3</v>
      </c>
      <c r="AS270" s="86">
        <f t="shared" si="234"/>
        <v>0.25</v>
      </c>
      <c r="AT270" s="87">
        <f t="shared" si="235"/>
        <v>1.25</v>
      </c>
      <c r="AU270" s="87">
        <f t="shared" si="236"/>
        <v>1</v>
      </c>
      <c r="AV270" s="88">
        <f t="shared" si="237"/>
        <v>40</v>
      </c>
      <c r="AW270" s="78">
        <f t="shared" si="238"/>
        <v>100</v>
      </c>
      <c r="AX270" s="89">
        <f t="shared" si="215"/>
        <v>1</v>
      </c>
      <c r="AY270" s="114">
        <v>6</v>
      </c>
      <c r="AZ270" s="114">
        <v>14</v>
      </c>
      <c r="BA270" s="91">
        <f t="shared" si="239"/>
        <v>18</v>
      </c>
      <c r="BB270" s="77">
        <f t="shared" si="240"/>
        <v>77.777777777777786</v>
      </c>
      <c r="BC270" s="78">
        <f t="shared" si="241"/>
        <v>50</v>
      </c>
      <c r="BD270" s="79">
        <f t="shared" si="216"/>
        <v>0.5</v>
      </c>
      <c r="BE270" s="92">
        <v>8794390</v>
      </c>
      <c r="BF270" s="92">
        <v>795255</v>
      </c>
      <c r="BG270" s="114">
        <v>209069</v>
      </c>
      <c r="BH270" s="94">
        <f t="shared" si="242"/>
        <v>9589645</v>
      </c>
      <c r="BI270" s="77">
        <f t="shared" si="243"/>
        <v>2.1801536970346662</v>
      </c>
      <c r="BJ270" s="95" t="str">
        <f t="shared" si="244"/>
        <v>금속/비금속/화학업</v>
      </c>
      <c r="BK270" s="96">
        <f t="shared" si="245"/>
        <v>3.9534118626990469</v>
      </c>
      <c r="BL270" s="97">
        <f t="shared" si="246"/>
        <v>-1.7732581656643807</v>
      </c>
      <c r="BM270" s="98">
        <f t="shared" si="247"/>
        <v>80</v>
      </c>
      <c r="BN270" s="99">
        <f t="shared" si="248"/>
        <v>1.6</v>
      </c>
      <c r="BO270" s="114">
        <v>4161765</v>
      </c>
      <c r="BP270" s="101">
        <f t="shared" si="249"/>
        <v>1.0885461708041966</v>
      </c>
      <c r="BQ270" s="78">
        <f t="shared" si="250"/>
        <v>70</v>
      </c>
      <c r="BR270" s="79">
        <f t="shared" si="217"/>
        <v>1.4000000000000001</v>
      </c>
      <c r="BS270" s="102">
        <v>4674265</v>
      </c>
      <c r="BT270" s="102">
        <v>246703</v>
      </c>
      <c r="BU270" s="103">
        <f t="shared" si="251"/>
        <v>4427562</v>
      </c>
      <c r="BV270" s="77">
        <f t="shared" si="252"/>
        <v>1.1580677095170366</v>
      </c>
      <c r="BW270" s="96">
        <f t="shared" si="253"/>
        <v>5.1474158565187738</v>
      </c>
      <c r="BX270" s="96">
        <f t="shared" si="254"/>
        <v>15.914898637986193</v>
      </c>
      <c r="BY270" s="96">
        <f t="shared" si="255"/>
        <v>6.6930498535228535</v>
      </c>
      <c r="BZ270" s="96">
        <f t="shared" si="256"/>
        <v>72.442688083649372</v>
      </c>
      <c r="CA270" s="96">
        <f t="shared" si="257"/>
        <v>40</v>
      </c>
      <c r="CB270" s="104">
        <f t="shared" si="258"/>
        <v>0.8</v>
      </c>
      <c r="CC270" s="105">
        <f t="shared" si="218"/>
        <v>75.546981137411279</v>
      </c>
      <c r="CD270" s="106">
        <f t="shared" si="219"/>
        <v>71.904404093940471</v>
      </c>
      <c r="CE270" s="107">
        <f t="shared" si="220"/>
        <v>1.078566061409107</v>
      </c>
      <c r="CF270" s="108" t="s">
        <v>2189</v>
      </c>
      <c r="CG270" s="108" t="s">
        <v>2189</v>
      </c>
      <c r="CH270" s="108" t="s">
        <v>2189</v>
      </c>
      <c r="CI270" s="108" t="s">
        <v>2189</v>
      </c>
      <c r="CJ270" s="109"/>
      <c r="CK270" s="116" t="s">
        <v>2223</v>
      </c>
      <c r="CL270" s="116" t="s">
        <v>2193</v>
      </c>
      <c r="CM270" s="111">
        <f t="shared" si="259"/>
        <v>25</v>
      </c>
      <c r="CN270" s="107">
        <f t="shared" si="221"/>
        <v>0.375</v>
      </c>
      <c r="CO270" s="114">
        <v>22308641</v>
      </c>
      <c r="CP270" s="88">
        <f t="shared" si="260"/>
        <v>10.514710651093955</v>
      </c>
      <c r="CQ270" s="78">
        <f t="shared" si="261"/>
        <v>60</v>
      </c>
      <c r="CR270" s="79">
        <f t="shared" si="222"/>
        <v>1.7999999999999998</v>
      </c>
      <c r="CS270" s="92">
        <f>_xlfn.XLOOKUP(C270, '[1]1-1. 관계사체무보증금액 (환율 등)'!$3:$3, '[1]1-1. 관계사체무보증금액 (환율 등)'!$33:$33)</f>
        <v>30379746.835443035</v>
      </c>
      <c r="CT270" s="77">
        <f t="shared" si="262"/>
        <v>14.318857326547626</v>
      </c>
      <c r="CU270" s="78">
        <f t="shared" si="263"/>
        <v>60</v>
      </c>
      <c r="CV270" s="79">
        <f t="shared" si="223"/>
        <v>1.2</v>
      </c>
      <c r="CW270" s="112">
        <f t="shared" si="264"/>
        <v>16.94988923532107</v>
      </c>
    </row>
    <row r="271" spans="1:101" x14ac:dyDescent="0.35">
      <c r="A271" s="7" t="s">
        <v>294</v>
      </c>
      <c r="B271" s="8" t="s">
        <v>295</v>
      </c>
      <c r="C271" s="21" t="s">
        <v>296</v>
      </c>
      <c r="D271" s="10" t="s">
        <v>75</v>
      </c>
      <c r="E271" s="11" t="s">
        <v>114</v>
      </c>
      <c r="F271" s="11" t="s">
        <v>297</v>
      </c>
      <c r="G271" s="12">
        <v>32718</v>
      </c>
      <c r="H271" s="11" t="s">
        <v>24</v>
      </c>
      <c r="I271" s="11" t="s">
        <v>298</v>
      </c>
      <c r="J271" s="11" t="s">
        <v>299</v>
      </c>
      <c r="K271" s="11" t="s">
        <v>87</v>
      </c>
      <c r="L271" s="23">
        <v>784010055</v>
      </c>
      <c r="M271" s="14">
        <v>266944685</v>
      </c>
      <c r="N271" s="14">
        <v>517065370</v>
      </c>
      <c r="O271" s="14">
        <v>504474738</v>
      </c>
      <c r="P271" s="14">
        <v>87061651</v>
      </c>
      <c r="Q271" s="14">
        <v>64111344</v>
      </c>
      <c r="R271" s="14">
        <v>47519888</v>
      </c>
      <c r="S271" s="15">
        <v>65429516</v>
      </c>
      <c r="T271" s="15">
        <v>11160000</v>
      </c>
      <c r="U271" s="15">
        <v>34270791</v>
      </c>
      <c r="V271" s="15">
        <f>500000+143873</f>
        <v>643873</v>
      </c>
      <c r="W271" s="15">
        <f>3680712+33549</f>
        <v>3714261</v>
      </c>
      <c r="X271" s="15">
        <v>621426</v>
      </c>
      <c r="Y271" s="24" t="s">
        <v>2059</v>
      </c>
      <c r="Z271" s="15">
        <v>0</v>
      </c>
      <c r="AA271" s="15">
        <v>0</v>
      </c>
      <c r="AB271" s="74">
        <f t="shared" si="224"/>
        <v>39250351</v>
      </c>
      <c r="AC271" s="75">
        <f t="shared" si="225"/>
        <v>59.988753393804714</v>
      </c>
      <c r="AD271" s="75">
        <f t="shared" si="226"/>
        <v>48.312353227441271</v>
      </c>
      <c r="AE271" s="76">
        <f t="shared" si="212"/>
        <v>1.449370596823238</v>
      </c>
      <c r="AF271" s="77">
        <f t="shared" si="227"/>
        <v>64.335683406500252</v>
      </c>
      <c r="AG271" s="77">
        <f t="shared" si="228"/>
        <v>72.324859134546188</v>
      </c>
      <c r="AH271" s="77">
        <f t="shared" si="229"/>
        <v>7.9891757280459359</v>
      </c>
      <c r="AI271" s="78">
        <f t="shared" si="230"/>
        <v>100</v>
      </c>
      <c r="AJ271" s="79">
        <f t="shared" si="213"/>
        <v>4</v>
      </c>
      <c r="AK271" s="113">
        <v>5</v>
      </c>
      <c r="AL271" s="113">
        <v>15</v>
      </c>
      <c r="AM271" s="113">
        <v>1</v>
      </c>
      <c r="AN271" s="81">
        <f t="shared" si="231"/>
        <v>20</v>
      </c>
      <c r="AO271" s="82">
        <f t="shared" si="232"/>
        <v>5</v>
      </c>
      <c r="AP271" s="83">
        <f t="shared" si="233"/>
        <v>100</v>
      </c>
      <c r="AQ271" s="84">
        <f t="shared" si="214"/>
        <v>2</v>
      </c>
      <c r="AR271" s="118">
        <v>1</v>
      </c>
      <c r="AS271" s="86">
        <f t="shared" si="234"/>
        <v>0.25</v>
      </c>
      <c r="AT271" s="87">
        <f t="shared" si="235"/>
        <v>1.25</v>
      </c>
      <c r="AU271" s="87">
        <f t="shared" si="236"/>
        <v>1</v>
      </c>
      <c r="AV271" s="88">
        <f t="shared" si="237"/>
        <v>0</v>
      </c>
      <c r="AW271" s="78">
        <f t="shared" si="238"/>
        <v>40</v>
      </c>
      <c r="AX271" s="89">
        <f t="shared" si="215"/>
        <v>0.4</v>
      </c>
      <c r="AY271" s="114">
        <v>24</v>
      </c>
      <c r="AZ271" s="114">
        <v>24</v>
      </c>
      <c r="BA271" s="91">
        <f t="shared" si="239"/>
        <v>24</v>
      </c>
      <c r="BB271" s="77">
        <f t="shared" si="240"/>
        <v>100</v>
      </c>
      <c r="BC271" s="78">
        <f t="shared" si="241"/>
        <v>100</v>
      </c>
      <c r="BD271" s="79">
        <f t="shared" si="216"/>
        <v>1</v>
      </c>
      <c r="BE271" s="92">
        <v>14662400</v>
      </c>
      <c r="BF271" s="92">
        <v>1474308</v>
      </c>
      <c r="BG271" s="93">
        <v>0</v>
      </c>
      <c r="BH271" s="94">
        <f t="shared" si="242"/>
        <v>16136708</v>
      </c>
      <c r="BI271" s="77">
        <f t="shared" si="243"/>
        <v>0</v>
      </c>
      <c r="BJ271" s="95" t="str">
        <f t="shared" si="244"/>
        <v>금속/비금속/화학업</v>
      </c>
      <c r="BK271" s="96">
        <f t="shared" si="245"/>
        <v>3.9534118626990469</v>
      </c>
      <c r="BL271" s="97">
        <f t="shared" si="246"/>
        <v>-3.9534118626990469</v>
      </c>
      <c r="BM271" s="98">
        <f t="shared" si="247"/>
        <v>100</v>
      </c>
      <c r="BN271" s="99">
        <f t="shared" si="248"/>
        <v>2</v>
      </c>
      <c r="BO271" s="114">
        <v>0</v>
      </c>
      <c r="BP271" s="101">
        <f t="shared" si="249"/>
        <v>0</v>
      </c>
      <c r="BQ271" s="78">
        <f t="shared" si="250"/>
        <v>25</v>
      </c>
      <c r="BR271" s="79">
        <f t="shared" si="217"/>
        <v>0.5</v>
      </c>
      <c r="BS271" s="102">
        <v>13731263.091</v>
      </c>
      <c r="BT271" s="102">
        <v>1020389.6040000001</v>
      </c>
      <c r="BU271" s="103">
        <f t="shared" si="251"/>
        <v>12710873.487</v>
      </c>
      <c r="BV271" s="77">
        <f t="shared" si="252"/>
        <v>2.5196253706166747</v>
      </c>
      <c r="BW271" s="96">
        <f t="shared" si="253"/>
        <v>5.1474158565187738</v>
      </c>
      <c r="BX271" s="96">
        <f t="shared" si="254"/>
        <v>6.9052828377975901</v>
      </c>
      <c r="BY271" s="96">
        <f t="shared" si="255"/>
        <v>6.6930498535228535</v>
      </c>
      <c r="BZ271" s="96">
        <f t="shared" si="256"/>
        <v>65.269799971697282</v>
      </c>
      <c r="CA271" s="96">
        <f t="shared" si="257"/>
        <v>40</v>
      </c>
      <c r="CB271" s="104">
        <f t="shared" si="258"/>
        <v>0.8</v>
      </c>
      <c r="CC271" s="105">
        <f t="shared" si="218"/>
        <v>51.626873600140733</v>
      </c>
      <c r="CD271" s="106">
        <f t="shared" si="219"/>
        <v>80.919519999946957</v>
      </c>
      <c r="CE271" s="107">
        <f t="shared" si="220"/>
        <v>1.2137927999992042</v>
      </c>
      <c r="CF271" s="108" t="s">
        <v>2189</v>
      </c>
      <c r="CG271" s="108" t="s">
        <v>2189</v>
      </c>
      <c r="CH271" s="108" t="s">
        <v>2189</v>
      </c>
      <c r="CI271" s="108" t="s">
        <v>2189</v>
      </c>
      <c r="CJ271" s="109"/>
      <c r="CK271" s="116" t="s">
        <v>2192</v>
      </c>
      <c r="CL271" s="116" t="s">
        <v>2193</v>
      </c>
      <c r="CM271" s="111">
        <f t="shared" si="259"/>
        <v>25</v>
      </c>
      <c r="CN271" s="107">
        <f t="shared" si="221"/>
        <v>0.375</v>
      </c>
      <c r="CO271" s="114">
        <f>211530000-7976000</f>
        <v>203554000</v>
      </c>
      <c r="CP271" s="88">
        <f t="shared" si="260"/>
        <v>39.367169377442544</v>
      </c>
      <c r="CQ271" s="78">
        <f t="shared" si="261"/>
        <v>40</v>
      </c>
      <c r="CR271" s="79">
        <f t="shared" si="222"/>
        <v>1.2</v>
      </c>
      <c r="CS271" s="92">
        <f>_xlfn.XLOOKUP(C271, '[1]1-1. 관계사체무보증금액 (환율 등)'!$3:$3, '[1]1-1. 관계사체무보증금액 (환율 등)'!$33:$33)</f>
        <v>0</v>
      </c>
      <c r="CT271" s="77">
        <f t="shared" si="262"/>
        <v>0</v>
      </c>
      <c r="CU271" s="78">
        <f t="shared" si="263"/>
        <v>100</v>
      </c>
      <c r="CV271" s="79">
        <f t="shared" si="223"/>
        <v>2</v>
      </c>
      <c r="CW271" s="112">
        <f t="shared" si="264"/>
        <v>16.938163396822443</v>
      </c>
    </row>
    <row r="272" spans="1:101" x14ac:dyDescent="0.35">
      <c r="A272" s="7" t="s">
        <v>680</v>
      </c>
      <c r="B272" s="8" t="s">
        <v>681</v>
      </c>
      <c r="C272" s="21" t="s">
        <v>682</v>
      </c>
      <c r="D272" s="10" t="s">
        <v>75</v>
      </c>
      <c r="E272" s="11" t="s">
        <v>508</v>
      </c>
      <c r="F272" s="11" t="s">
        <v>683</v>
      </c>
      <c r="G272" s="12">
        <v>43068</v>
      </c>
      <c r="H272" s="11" t="s">
        <v>24</v>
      </c>
      <c r="I272" s="11" t="s">
        <v>684</v>
      </c>
      <c r="J272" s="11" t="s">
        <v>685</v>
      </c>
      <c r="K272" s="11" t="s">
        <v>102</v>
      </c>
      <c r="L272" s="23">
        <v>455083382</v>
      </c>
      <c r="M272" s="14">
        <v>77689901</v>
      </c>
      <c r="N272" s="14">
        <v>377393482</v>
      </c>
      <c r="O272" s="14">
        <v>201504926</v>
      </c>
      <c r="P272" s="14">
        <v>20813521</v>
      </c>
      <c r="Q272" s="14">
        <v>29530469</v>
      </c>
      <c r="R272" s="14">
        <v>23064473</v>
      </c>
      <c r="S272" s="15">
        <v>13733015</v>
      </c>
      <c r="T272" s="15">
        <v>1598</v>
      </c>
      <c r="U272" s="15">
        <v>3928419</v>
      </c>
      <c r="V272" s="15">
        <f>1750297+1380000+112441+2929</f>
        <v>3245667</v>
      </c>
      <c r="W272" s="15">
        <f>5000+1000+301</f>
        <v>6301</v>
      </c>
      <c r="X272" s="15">
        <v>0</v>
      </c>
      <c r="Z272" s="15">
        <v>1738609</v>
      </c>
      <c r="AA272" s="15">
        <v>0</v>
      </c>
      <c r="AB272" s="74">
        <f t="shared" si="224"/>
        <v>8918996</v>
      </c>
      <c r="AC272" s="75">
        <f t="shared" si="225"/>
        <v>64.945651046037597</v>
      </c>
      <c r="AD272" s="75">
        <f t="shared" si="226"/>
        <v>44.034248234144769</v>
      </c>
      <c r="AE272" s="76">
        <f t="shared" si="212"/>
        <v>1.321027447024343</v>
      </c>
      <c r="AF272" s="77">
        <f t="shared" si="227"/>
        <v>52.245780606619107</v>
      </c>
      <c r="AG272" s="77">
        <f t="shared" si="228"/>
        <v>64.953209126195787</v>
      </c>
      <c r="AH272" s="77">
        <f t="shared" si="229"/>
        <v>12.707428519576681</v>
      </c>
      <c r="AI272" s="78">
        <f t="shared" si="230"/>
        <v>80</v>
      </c>
      <c r="AJ272" s="79">
        <f t="shared" si="213"/>
        <v>3.2</v>
      </c>
      <c r="AK272" s="113">
        <v>7</v>
      </c>
      <c r="AL272" s="113">
        <v>6</v>
      </c>
      <c r="AM272" s="113">
        <v>1</v>
      </c>
      <c r="AN272" s="81">
        <f t="shared" si="231"/>
        <v>13</v>
      </c>
      <c r="AO272" s="82">
        <f t="shared" si="232"/>
        <v>7.6923076923076925</v>
      </c>
      <c r="AP272" s="83">
        <f t="shared" si="233"/>
        <v>100</v>
      </c>
      <c r="AQ272" s="84">
        <f t="shared" si="214"/>
        <v>2</v>
      </c>
      <c r="AR272" s="118">
        <v>2</v>
      </c>
      <c r="AS272" s="86">
        <f t="shared" si="234"/>
        <v>0.25</v>
      </c>
      <c r="AT272" s="87">
        <f t="shared" si="235"/>
        <v>1.75</v>
      </c>
      <c r="AU272" s="87">
        <f t="shared" si="236"/>
        <v>1</v>
      </c>
      <c r="AV272" s="88">
        <f t="shared" si="237"/>
        <v>14.285714285714285</v>
      </c>
      <c r="AW272" s="78">
        <f t="shared" si="238"/>
        <v>60</v>
      </c>
      <c r="AX272" s="89">
        <f t="shared" si="215"/>
        <v>0.6</v>
      </c>
      <c r="AY272" s="114">
        <v>10</v>
      </c>
      <c r="AZ272" s="114">
        <f>20-1-7</f>
        <v>12</v>
      </c>
      <c r="BA272" s="91">
        <f t="shared" si="239"/>
        <v>20</v>
      </c>
      <c r="BB272" s="77">
        <f t="shared" si="240"/>
        <v>60</v>
      </c>
      <c r="BC272" s="78">
        <f t="shared" si="241"/>
        <v>25</v>
      </c>
      <c r="BD272" s="79">
        <f t="shared" si="216"/>
        <v>0.25</v>
      </c>
      <c r="BE272" s="92">
        <v>4334350</v>
      </c>
      <c r="BF272" s="92">
        <v>346770</v>
      </c>
      <c r="BG272" s="114">
        <v>15096</v>
      </c>
      <c r="BH272" s="94">
        <f t="shared" si="242"/>
        <v>4681120</v>
      </c>
      <c r="BI272" s="77">
        <f t="shared" si="243"/>
        <v>0.32248692620569441</v>
      </c>
      <c r="BJ272" s="95" t="str">
        <f t="shared" si="244"/>
        <v>금속/비금속/화학업</v>
      </c>
      <c r="BK272" s="96">
        <f t="shared" si="245"/>
        <v>3.9534118626990469</v>
      </c>
      <c r="BL272" s="97">
        <f t="shared" si="246"/>
        <v>-3.6309249364933525</v>
      </c>
      <c r="BM272" s="98">
        <f t="shared" si="247"/>
        <v>100</v>
      </c>
      <c r="BN272" s="99">
        <f t="shared" si="248"/>
        <v>2</v>
      </c>
      <c r="BO272" s="114">
        <v>648458</v>
      </c>
      <c r="BP272" s="101">
        <f t="shared" si="249"/>
        <v>0.32180751749959702</v>
      </c>
      <c r="BQ272" s="78">
        <f t="shared" si="250"/>
        <v>55</v>
      </c>
      <c r="BR272" s="79">
        <f t="shared" si="217"/>
        <v>1.1000000000000001</v>
      </c>
      <c r="BS272" s="102">
        <v>1734399.66</v>
      </c>
      <c r="BT272" s="102">
        <v>1932195.5460000001</v>
      </c>
      <c r="BU272" s="103">
        <f t="shared" si="251"/>
        <v>-197795.88600000017</v>
      </c>
      <c r="BV272" s="77">
        <f t="shared" si="252"/>
        <v>-9.815933035800832E-2</v>
      </c>
      <c r="BW272" s="96">
        <f t="shared" si="253"/>
        <v>5.1474158565187738</v>
      </c>
      <c r="BX272" s="96">
        <f t="shared" si="254"/>
        <v>27.516059041177389</v>
      </c>
      <c r="BY272" s="96">
        <f t="shared" si="255"/>
        <v>6.6930498535228535</v>
      </c>
      <c r="BZ272" s="96">
        <f t="shared" si="256"/>
        <v>78.340209129907748</v>
      </c>
      <c r="CA272" s="96">
        <f t="shared" si="257"/>
        <v>40</v>
      </c>
      <c r="CB272" s="104">
        <f t="shared" si="258"/>
        <v>0.8</v>
      </c>
      <c r="CC272" s="105">
        <f t="shared" si="218"/>
        <v>20.585914888694344</v>
      </c>
      <c r="CD272" s="106">
        <f t="shared" si="219"/>
        <v>92.618373785667956</v>
      </c>
      <c r="CE272" s="107">
        <f t="shared" si="220"/>
        <v>1.3892756067850194</v>
      </c>
      <c r="CF272" s="108" t="s">
        <v>2189</v>
      </c>
      <c r="CG272" s="108" t="s">
        <v>2189</v>
      </c>
      <c r="CH272" s="108" t="s">
        <v>2189</v>
      </c>
      <c r="CI272" s="108" t="s">
        <v>2189</v>
      </c>
      <c r="CJ272" s="109"/>
      <c r="CK272" s="116" t="s">
        <v>2192</v>
      </c>
      <c r="CL272" s="116" t="s">
        <v>2193</v>
      </c>
      <c r="CM272" s="111">
        <f t="shared" si="259"/>
        <v>25</v>
      </c>
      <c r="CN272" s="107">
        <f t="shared" si="221"/>
        <v>0.375</v>
      </c>
      <c r="CO272" s="114">
        <f>24847073+37772473</f>
        <v>62619546</v>
      </c>
      <c r="CP272" s="88">
        <f t="shared" si="260"/>
        <v>16.592641099191002</v>
      </c>
      <c r="CQ272" s="78">
        <f t="shared" si="261"/>
        <v>60</v>
      </c>
      <c r="CR272" s="79">
        <f t="shared" si="222"/>
        <v>1.7999999999999998</v>
      </c>
      <c r="CS272" s="92">
        <f>_xlfn.XLOOKUP(C272, '[1]1-1. 관계사체무보증금액 (환율 등)'!$3:$3, '[1]1-1. 관계사체무보증금액 (환율 등)'!$33:$33)</f>
        <v>0</v>
      </c>
      <c r="CT272" s="77">
        <f t="shared" si="262"/>
        <v>0</v>
      </c>
      <c r="CU272" s="78">
        <f t="shared" si="263"/>
        <v>100</v>
      </c>
      <c r="CV272" s="79">
        <f t="shared" si="223"/>
        <v>2</v>
      </c>
      <c r="CW272" s="112">
        <f t="shared" si="264"/>
        <v>16.835303053809362</v>
      </c>
    </row>
    <row r="273" spans="1:101" x14ac:dyDescent="0.35">
      <c r="A273" s="7" t="s">
        <v>1089</v>
      </c>
      <c r="B273" s="8" t="s">
        <v>1090</v>
      </c>
      <c r="C273" s="21" t="s">
        <v>1091</v>
      </c>
      <c r="D273" s="10" t="s">
        <v>21</v>
      </c>
      <c r="E273" s="11" t="s">
        <v>22</v>
      </c>
      <c r="F273" s="11" t="s">
        <v>1092</v>
      </c>
      <c r="G273" s="12">
        <v>37462</v>
      </c>
      <c r="H273" s="11" t="s">
        <v>24</v>
      </c>
      <c r="I273" s="11" t="s">
        <v>1093</v>
      </c>
      <c r="J273" s="11" t="s">
        <v>1094</v>
      </c>
      <c r="K273" s="11" t="s">
        <v>27</v>
      </c>
      <c r="L273" s="23">
        <v>573569548</v>
      </c>
      <c r="M273" s="14">
        <v>109458880</v>
      </c>
      <c r="N273" s="14">
        <v>464110668</v>
      </c>
      <c r="O273" s="14">
        <v>119350275</v>
      </c>
      <c r="P273" s="14">
        <v>9219026</v>
      </c>
      <c r="Q273" s="14">
        <v>8486086</v>
      </c>
      <c r="R273" s="14">
        <v>9179410</v>
      </c>
      <c r="S273" s="15">
        <v>41040895</v>
      </c>
      <c r="T273" s="15">
        <v>3276263</v>
      </c>
      <c r="U273" s="15">
        <f>476074+20132636</f>
        <v>20608710</v>
      </c>
      <c r="V273" s="15">
        <v>0</v>
      </c>
      <c r="W273" s="15">
        <f>2668+5910+7300+47016+3339</f>
        <v>66233</v>
      </c>
      <c r="X273" s="15">
        <v>0</v>
      </c>
      <c r="Z273" s="15">
        <v>1000000</v>
      </c>
      <c r="AA273" s="15">
        <v>0</v>
      </c>
      <c r="AB273" s="74">
        <f t="shared" si="224"/>
        <v>21674943</v>
      </c>
      <c r="AC273" s="75">
        <f t="shared" si="225"/>
        <v>52.813036850195395</v>
      </c>
      <c r="AD273" s="75">
        <f t="shared" si="226"/>
        <v>54.505434248968307</v>
      </c>
      <c r="AE273" s="76">
        <f t="shared" si="212"/>
        <v>1.6351630274690492</v>
      </c>
      <c r="AF273" s="77">
        <f t="shared" si="227"/>
        <v>54.571457230140631</v>
      </c>
      <c r="AG273" s="77">
        <f t="shared" si="228"/>
        <v>57.394821164946073</v>
      </c>
      <c r="AH273" s="77">
        <f t="shared" si="229"/>
        <v>2.8233639348054425</v>
      </c>
      <c r="AI273" s="78">
        <f t="shared" si="230"/>
        <v>100</v>
      </c>
      <c r="AJ273" s="79">
        <f t="shared" si="213"/>
        <v>4</v>
      </c>
      <c r="AK273" s="113">
        <v>5</v>
      </c>
      <c r="AL273" s="113">
        <v>3</v>
      </c>
      <c r="AM273" s="113">
        <v>1</v>
      </c>
      <c r="AN273" s="81">
        <f t="shared" si="231"/>
        <v>8</v>
      </c>
      <c r="AO273" s="82">
        <f t="shared" si="232"/>
        <v>12.5</v>
      </c>
      <c r="AP273" s="83">
        <f t="shared" si="233"/>
        <v>80</v>
      </c>
      <c r="AQ273" s="84">
        <f t="shared" si="214"/>
        <v>1.6</v>
      </c>
      <c r="AR273" s="118">
        <v>1</v>
      </c>
      <c r="AS273" s="86">
        <f t="shared" si="234"/>
        <v>0.25</v>
      </c>
      <c r="AT273" s="87">
        <f t="shared" si="235"/>
        <v>1.25</v>
      </c>
      <c r="AU273" s="87">
        <f t="shared" si="236"/>
        <v>1</v>
      </c>
      <c r="AV273" s="88">
        <f t="shared" si="237"/>
        <v>0</v>
      </c>
      <c r="AW273" s="78">
        <f t="shared" si="238"/>
        <v>40</v>
      </c>
      <c r="AX273" s="89">
        <f t="shared" si="215"/>
        <v>0.4</v>
      </c>
      <c r="AY273" s="114">
        <v>8</v>
      </c>
      <c r="AZ273" s="114">
        <v>6</v>
      </c>
      <c r="BA273" s="91">
        <f t="shared" si="239"/>
        <v>8</v>
      </c>
      <c r="BB273" s="77">
        <f t="shared" si="240"/>
        <v>75</v>
      </c>
      <c r="BC273" s="78">
        <f t="shared" si="241"/>
        <v>50</v>
      </c>
      <c r="BD273" s="79">
        <f t="shared" si="216"/>
        <v>0.5</v>
      </c>
      <c r="BE273" s="92">
        <v>16229325</v>
      </c>
      <c r="BF273" s="92">
        <v>1455126</v>
      </c>
      <c r="BG273" s="114">
        <v>140423</v>
      </c>
      <c r="BH273" s="94">
        <f t="shared" si="242"/>
        <v>17684451</v>
      </c>
      <c r="BI273" s="77">
        <f t="shared" si="243"/>
        <v>0.79404783331979045</v>
      </c>
      <c r="BJ273" s="95" t="str">
        <f t="shared" si="244"/>
        <v>비제조/서비스업</v>
      </c>
      <c r="BK273" s="96">
        <f t="shared" si="245"/>
        <v>1.7464434573900922</v>
      </c>
      <c r="BL273" s="97">
        <f t="shared" si="246"/>
        <v>-0.95239562407030176</v>
      </c>
      <c r="BM273" s="98">
        <f t="shared" si="247"/>
        <v>80</v>
      </c>
      <c r="BN273" s="99">
        <f t="shared" si="248"/>
        <v>1.6</v>
      </c>
      <c r="BO273" s="114">
        <v>0</v>
      </c>
      <c r="BP273" s="101">
        <f t="shared" si="249"/>
        <v>0</v>
      </c>
      <c r="BQ273" s="78">
        <f t="shared" si="250"/>
        <v>25</v>
      </c>
      <c r="BR273" s="79">
        <f t="shared" si="217"/>
        <v>0.5</v>
      </c>
      <c r="BS273" s="102">
        <v>685768.42599999998</v>
      </c>
      <c r="BT273" s="102">
        <v>0</v>
      </c>
      <c r="BU273" s="103">
        <f t="shared" si="251"/>
        <v>685768.42599999998</v>
      </c>
      <c r="BV273" s="77">
        <f t="shared" si="252"/>
        <v>0.57458470539762052</v>
      </c>
      <c r="BW273" s="96">
        <f t="shared" si="253"/>
        <v>2.8482825397737606</v>
      </c>
      <c r="BX273" s="96">
        <f t="shared" si="254"/>
        <v>5.1697018420467495</v>
      </c>
      <c r="BY273" s="96">
        <f t="shared" si="255"/>
        <v>5.5697595856656807</v>
      </c>
      <c r="BZ273" s="96">
        <f t="shared" si="256"/>
        <v>65.844461390492441</v>
      </c>
      <c r="CA273" s="96">
        <f t="shared" si="257"/>
        <v>40</v>
      </c>
      <c r="CB273" s="104">
        <f t="shared" si="258"/>
        <v>0.8</v>
      </c>
      <c r="CC273" s="105">
        <f t="shared" si="218"/>
        <v>23.584650719556397</v>
      </c>
      <c r="CD273" s="106">
        <f t="shared" si="219"/>
        <v>91.488196964991303</v>
      </c>
      <c r="CE273" s="107">
        <f t="shared" si="220"/>
        <v>1.3723229544748694</v>
      </c>
      <c r="CF273" s="108" t="s">
        <v>2189</v>
      </c>
      <c r="CG273" s="108" t="s">
        <v>2189</v>
      </c>
      <c r="CH273" s="108" t="s">
        <v>2189</v>
      </c>
      <c r="CI273" s="108" t="s">
        <v>2189</v>
      </c>
      <c r="CJ273" s="109"/>
      <c r="CK273" s="116" t="s">
        <v>2192</v>
      </c>
      <c r="CL273" s="116" t="s">
        <v>2193</v>
      </c>
      <c r="CM273" s="111">
        <f t="shared" si="259"/>
        <v>25</v>
      </c>
      <c r="CN273" s="107">
        <f t="shared" si="221"/>
        <v>0.375</v>
      </c>
      <c r="CO273" s="114">
        <v>15492000</v>
      </c>
      <c r="CP273" s="88">
        <f t="shared" si="260"/>
        <v>3.3379969623969079</v>
      </c>
      <c r="CQ273" s="78">
        <f t="shared" si="261"/>
        <v>80</v>
      </c>
      <c r="CR273" s="79">
        <f t="shared" si="222"/>
        <v>2.4</v>
      </c>
      <c r="CS273" s="92">
        <f>_xlfn.XLOOKUP(C273, '[1]1-1. 관계사체무보증금액 (환율 등)'!$3:$3, '[1]1-1. 관계사체무보증금액 (환율 등)'!$33:$33)</f>
        <v>18700000</v>
      </c>
      <c r="CT273" s="77">
        <f t="shared" si="262"/>
        <v>4.0292114121367275</v>
      </c>
      <c r="CU273" s="78">
        <f t="shared" si="263"/>
        <v>80</v>
      </c>
      <c r="CV273" s="79">
        <f t="shared" si="223"/>
        <v>1.6</v>
      </c>
      <c r="CW273" s="112">
        <f t="shared" si="264"/>
        <v>16.782485981943921</v>
      </c>
    </row>
    <row r="274" spans="1:101" x14ac:dyDescent="0.35">
      <c r="A274" s="7" t="s">
        <v>692</v>
      </c>
      <c r="B274" s="8" t="s">
        <v>693</v>
      </c>
      <c r="C274" s="21" t="s">
        <v>694</v>
      </c>
      <c r="D274" s="22" t="s">
        <v>31</v>
      </c>
      <c r="E274" s="11" t="s">
        <v>46</v>
      </c>
      <c r="F274" s="11" t="s">
        <v>695</v>
      </c>
      <c r="G274" s="12">
        <v>36853</v>
      </c>
      <c r="H274" s="11" t="s">
        <v>24</v>
      </c>
      <c r="I274" s="11" t="s">
        <v>696</v>
      </c>
      <c r="J274" s="11" t="s">
        <v>697</v>
      </c>
      <c r="K274" s="11" t="s">
        <v>27</v>
      </c>
      <c r="L274" s="23">
        <v>1442896840</v>
      </c>
      <c r="M274" s="14">
        <v>718936776</v>
      </c>
      <c r="N274" s="14">
        <v>723960064</v>
      </c>
      <c r="O274" s="14">
        <v>1876232243</v>
      </c>
      <c r="P274" s="14">
        <v>86186465</v>
      </c>
      <c r="Q274" s="14">
        <v>91831146</v>
      </c>
      <c r="R274" s="14">
        <v>73560010</v>
      </c>
      <c r="S274" s="15">
        <v>3859124</v>
      </c>
      <c r="T274" s="15">
        <v>0</v>
      </c>
      <c r="U274" s="15">
        <v>2870318</v>
      </c>
      <c r="V274" s="15">
        <f>706+3</f>
        <v>709</v>
      </c>
      <c r="W274" s="15">
        <v>0</v>
      </c>
      <c r="X274" s="15">
        <v>0</v>
      </c>
      <c r="Z274" s="15">
        <v>0</v>
      </c>
      <c r="AA274" s="15">
        <v>0</v>
      </c>
      <c r="AB274" s="74">
        <f t="shared" si="224"/>
        <v>2871027</v>
      </c>
      <c r="AC274" s="75">
        <f t="shared" si="225"/>
        <v>74.395821435123622</v>
      </c>
      <c r="AD274" s="75">
        <f t="shared" si="226"/>
        <v>35.878174825842677</v>
      </c>
      <c r="AE274" s="76">
        <f t="shared" si="212"/>
        <v>1.0763452447752804</v>
      </c>
      <c r="AF274" s="77">
        <f t="shared" si="227"/>
        <v>74.395821435123622</v>
      </c>
      <c r="AG274" s="77">
        <f t="shared" si="228"/>
        <v>74.395821435123622</v>
      </c>
      <c r="AH274" s="77">
        <f t="shared" si="229"/>
        <v>0</v>
      </c>
      <c r="AI274" s="78">
        <f t="shared" si="230"/>
        <v>100</v>
      </c>
      <c r="AJ274" s="79">
        <f t="shared" si="213"/>
        <v>4</v>
      </c>
      <c r="AK274" s="113">
        <v>5</v>
      </c>
      <c r="AL274" s="113">
        <v>12</v>
      </c>
      <c r="AM274" s="113">
        <v>0</v>
      </c>
      <c r="AN274" s="81">
        <f t="shared" si="231"/>
        <v>17</v>
      </c>
      <c r="AO274" s="82">
        <f t="shared" si="232"/>
        <v>0</v>
      </c>
      <c r="AP274" s="83">
        <f t="shared" si="233"/>
        <v>100</v>
      </c>
      <c r="AQ274" s="84">
        <f t="shared" si="214"/>
        <v>2</v>
      </c>
      <c r="AR274" s="118">
        <v>1</v>
      </c>
      <c r="AS274" s="86">
        <f t="shared" si="234"/>
        <v>0.25</v>
      </c>
      <c r="AT274" s="87">
        <f t="shared" si="235"/>
        <v>1.25</v>
      </c>
      <c r="AU274" s="87">
        <f t="shared" si="236"/>
        <v>1</v>
      </c>
      <c r="AV274" s="88">
        <f t="shared" si="237"/>
        <v>0</v>
      </c>
      <c r="AW274" s="78">
        <f t="shared" si="238"/>
        <v>40</v>
      </c>
      <c r="AX274" s="89">
        <f t="shared" si="215"/>
        <v>0.4</v>
      </c>
      <c r="AY274" s="114">
        <v>24</v>
      </c>
      <c r="AZ274" s="114">
        <v>21</v>
      </c>
      <c r="BA274" s="91">
        <f t="shared" si="239"/>
        <v>24</v>
      </c>
      <c r="BB274" s="77">
        <f t="shared" si="240"/>
        <v>87.5</v>
      </c>
      <c r="BC274" s="78">
        <f t="shared" si="241"/>
        <v>75</v>
      </c>
      <c r="BD274" s="79">
        <f t="shared" si="216"/>
        <v>0.75</v>
      </c>
      <c r="BE274" s="92">
        <v>99864199</v>
      </c>
      <c r="BF274" s="92">
        <v>6368091</v>
      </c>
      <c r="BG274" s="114">
        <v>6368091</v>
      </c>
      <c r="BH274" s="94">
        <f t="shared" si="242"/>
        <v>106232290</v>
      </c>
      <c r="BI274" s="77">
        <f t="shared" si="243"/>
        <v>5.9944965885607857</v>
      </c>
      <c r="BJ274" s="95" t="str">
        <f t="shared" si="244"/>
        <v>식약/섬유/종이업</v>
      </c>
      <c r="BK274" s="96">
        <f t="shared" si="245"/>
        <v>2.1999360555264453</v>
      </c>
      <c r="BL274" s="97">
        <f t="shared" si="246"/>
        <v>3.7945605330343404</v>
      </c>
      <c r="BM274" s="98">
        <f t="shared" si="247"/>
        <v>40</v>
      </c>
      <c r="BN274" s="99">
        <f t="shared" si="248"/>
        <v>0.8</v>
      </c>
      <c r="BO274" s="114">
        <v>6006447</v>
      </c>
      <c r="BP274" s="101">
        <f t="shared" si="249"/>
        <v>0.32013344949215866</v>
      </c>
      <c r="BQ274" s="78">
        <f t="shared" si="250"/>
        <v>55</v>
      </c>
      <c r="BR274" s="79">
        <f t="shared" si="217"/>
        <v>1.1000000000000001</v>
      </c>
      <c r="BS274" s="102">
        <v>36977158.550999999</v>
      </c>
      <c r="BT274" s="102">
        <v>1065472.5209999999</v>
      </c>
      <c r="BU274" s="103">
        <f t="shared" si="251"/>
        <v>35911686.030000001</v>
      </c>
      <c r="BV274" s="77">
        <f t="shared" si="252"/>
        <v>1.9140320268976423</v>
      </c>
      <c r="BW274" s="96">
        <f t="shared" si="253"/>
        <v>5.0508176117342298</v>
      </c>
      <c r="BX274" s="96">
        <f t="shared" si="254"/>
        <v>9.8394238052386136</v>
      </c>
      <c r="BY274" s="96">
        <f t="shared" si="255"/>
        <v>6.9871618081220923</v>
      </c>
      <c r="BZ274" s="96">
        <f t="shared" si="256"/>
        <v>67.326093812625473</v>
      </c>
      <c r="CA274" s="96">
        <f t="shared" si="257"/>
        <v>40</v>
      </c>
      <c r="CB274" s="104">
        <f t="shared" si="258"/>
        <v>0.8</v>
      </c>
      <c r="CC274" s="105">
        <f t="shared" si="218"/>
        <v>99.306137416994318</v>
      </c>
      <c r="CD274" s="106">
        <f t="shared" si="219"/>
        <v>62.949948209675512</v>
      </c>
      <c r="CE274" s="107">
        <f t="shared" si="220"/>
        <v>0.9442492231451326</v>
      </c>
      <c r="CF274" s="108" t="s">
        <v>2189</v>
      </c>
      <c r="CG274" s="108" t="s">
        <v>2189</v>
      </c>
      <c r="CH274" s="108" t="s">
        <v>2189</v>
      </c>
      <c r="CI274" s="108" t="s">
        <v>2189</v>
      </c>
      <c r="CJ274" s="109"/>
      <c r="CK274" s="116" t="s">
        <v>2207</v>
      </c>
      <c r="CL274" s="116" t="s">
        <v>2204</v>
      </c>
      <c r="CM274" s="111">
        <f t="shared" si="259"/>
        <v>70</v>
      </c>
      <c r="CN274" s="107">
        <f t="shared" si="221"/>
        <v>1.05</v>
      </c>
      <c r="CO274" s="114">
        <f>264687000-14377000-10000-976000-10349000-991000</f>
        <v>237984000</v>
      </c>
      <c r="CP274" s="88">
        <f t="shared" si="260"/>
        <v>32.872531488145732</v>
      </c>
      <c r="CQ274" s="78">
        <f t="shared" si="261"/>
        <v>60</v>
      </c>
      <c r="CR274" s="79">
        <f t="shared" si="222"/>
        <v>1.7999999999999998</v>
      </c>
      <c r="CS274" s="92">
        <f>_xlfn.XLOOKUP(C274, '[1]1-1. 관계사체무보증금액 (환율 등)'!$3:$3, '[1]1-1. 관계사체무보증금액 (환율 등)'!$33:$33)</f>
        <v>20000000</v>
      </c>
      <c r="CT274" s="77">
        <f t="shared" si="262"/>
        <v>2.7625833239331832</v>
      </c>
      <c r="CU274" s="78">
        <f t="shared" si="263"/>
        <v>100</v>
      </c>
      <c r="CV274" s="79">
        <f t="shared" si="223"/>
        <v>2</v>
      </c>
      <c r="CW274" s="112">
        <f t="shared" si="264"/>
        <v>16.720594467920414</v>
      </c>
    </row>
    <row r="275" spans="1:101" x14ac:dyDescent="0.35">
      <c r="A275" s="7" t="s">
        <v>138</v>
      </c>
      <c r="B275" s="8" t="s">
        <v>139</v>
      </c>
      <c r="C275" s="21" t="s">
        <v>140</v>
      </c>
      <c r="D275" s="10" t="s">
        <v>141</v>
      </c>
      <c r="E275" s="11" t="s">
        <v>142</v>
      </c>
      <c r="F275" s="11" t="s">
        <v>143</v>
      </c>
      <c r="G275" s="12">
        <v>42271</v>
      </c>
      <c r="H275" s="11" t="s">
        <v>24</v>
      </c>
      <c r="I275" s="11" t="s">
        <v>144</v>
      </c>
      <c r="J275" s="11" t="s">
        <v>145</v>
      </c>
      <c r="K275" s="11" t="s">
        <v>27</v>
      </c>
      <c r="L275" s="23">
        <v>384013805</v>
      </c>
      <c r="M275" s="14">
        <v>122371399</v>
      </c>
      <c r="N275" s="14">
        <v>261642406</v>
      </c>
      <c r="O275" s="14">
        <v>610731077</v>
      </c>
      <c r="P275" s="14">
        <v>12353544</v>
      </c>
      <c r="Q275" s="14">
        <v>16868521</v>
      </c>
      <c r="R275" s="14">
        <v>12791557</v>
      </c>
      <c r="S275" s="15">
        <v>25957601</v>
      </c>
      <c r="T275" s="15">
        <v>2983165</v>
      </c>
      <c r="U275" s="15">
        <f>10136051+4755400</f>
        <v>14891451</v>
      </c>
      <c r="V275" s="15">
        <v>0</v>
      </c>
      <c r="W275" s="15">
        <v>100</v>
      </c>
      <c r="X275" s="15">
        <v>0</v>
      </c>
      <c r="Z275" s="15">
        <v>1007524</v>
      </c>
      <c r="AA275" s="15">
        <v>0</v>
      </c>
      <c r="AB275" s="74">
        <f t="shared" si="224"/>
        <v>15899075</v>
      </c>
      <c r="AC275" s="75">
        <f t="shared" si="225"/>
        <v>61.250171000008827</v>
      </c>
      <c r="AD275" s="75">
        <f t="shared" si="226"/>
        <v>47.223672899877315</v>
      </c>
      <c r="AE275" s="76">
        <f t="shared" si="212"/>
        <v>1.4167101869963195</v>
      </c>
      <c r="AF275" s="77">
        <f t="shared" si="227"/>
        <v>64.817482352994432</v>
      </c>
      <c r="AG275" s="77">
        <f t="shared" si="228"/>
        <v>69.203331041510666</v>
      </c>
      <c r="AH275" s="77">
        <f t="shared" si="229"/>
        <v>4.3858486885162336</v>
      </c>
      <c r="AI275" s="78">
        <f t="shared" si="230"/>
        <v>100</v>
      </c>
      <c r="AJ275" s="79">
        <f t="shared" si="213"/>
        <v>4</v>
      </c>
      <c r="AK275" s="113">
        <v>6</v>
      </c>
      <c r="AL275" s="113">
        <v>4</v>
      </c>
      <c r="AM275" s="113">
        <v>1</v>
      </c>
      <c r="AN275" s="81">
        <f t="shared" si="231"/>
        <v>10</v>
      </c>
      <c r="AO275" s="82">
        <f t="shared" si="232"/>
        <v>10</v>
      </c>
      <c r="AP275" s="83">
        <f t="shared" si="233"/>
        <v>80</v>
      </c>
      <c r="AQ275" s="84">
        <f t="shared" si="214"/>
        <v>1.6</v>
      </c>
      <c r="AR275" s="118">
        <v>2</v>
      </c>
      <c r="AS275" s="86">
        <f t="shared" si="234"/>
        <v>0.25</v>
      </c>
      <c r="AT275" s="87">
        <f t="shared" si="235"/>
        <v>1.5</v>
      </c>
      <c r="AU275" s="87">
        <f t="shared" si="236"/>
        <v>1</v>
      </c>
      <c r="AV275" s="88">
        <f t="shared" si="237"/>
        <v>16.666666666666664</v>
      </c>
      <c r="AW275" s="78">
        <f t="shared" si="238"/>
        <v>60</v>
      </c>
      <c r="AX275" s="89">
        <f t="shared" si="215"/>
        <v>0.6</v>
      </c>
      <c r="AY275" s="114">
        <v>4</v>
      </c>
      <c r="AZ275" s="114">
        <v>5</v>
      </c>
      <c r="BA275" s="91">
        <f t="shared" si="239"/>
        <v>8</v>
      </c>
      <c r="BB275" s="77">
        <f t="shared" si="240"/>
        <v>62.5</v>
      </c>
      <c r="BC275" s="78">
        <f t="shared" si="241"/>
        <v>25</v>
      </c>
      <c r="BD275" s="79">
        <f t="shared" si="216"/>
        <v>0.25</v>
      </c>
      <c r="BE275" s="92">
        <v>17259285</v>
      </c>
      <c r="BF275" s="92">
        <v>2334127</v>
      </c>
      <c r="BG275" s="114">
        <v>608593</v>
      </c>
      <c r="BH275" s="94">
        <f t="shared" si="242"/>
        <v>19593412</v>
      </c>
      <c r="BI275" s="77">
        <f t="shared" si="243"/>
        <v>3.1061103599515998</v>
      </c>
      <c r="BJ275" s="95" t="str">
        <f t="shared" si="244"/>
        <v>전기전자/기계업</v>
      </c>
      <c r="BK275" s="96">
        <f t="shared" si="245"/>
        <v>2.4096449716116446</v>
      </c>
      <c r="BL275" s="97">
        <f t="shared" si="246"/>
        <v>0.69646538833995519</v>
      </c>
      <c r="BM275" s="98">
        <f t="shared" si="247"/>
        <v>60</v>
      </c>
      <c r="BN275" s="99">
        <f t="shared" si="248"/>
        <v>1.2</v>
      </c>
      <c r="BO275" s="114">
        <v>3992000</v>
      </c>
      <c r="BP275" s="101">
        <f t="shared" si="249"/>
        <v>0.65364284712827869</v>
      </c>
      <c r="BQ275" s="78">
        <f t="shared" si="250"/>
        <v>70</v>
      </c>
      <c r="BR275" s="79">
        <f t="shared" si="217"/>
        <v>1.4000000000000001</v>
      </c>
      <c r="BS275" s="102">
        <v>4009527.9789999998</v>
      </c>
      <c r="BT275" s="102">
        <v>18783.332999999999</v>
      </c>
      <c r="BU275" s="103">
        <f t="shared" si="251"/>
        <v>3990744.6459999997</v>
      </c>
      <c r="BV275" s="77">
        <f t="shared" si="252"/>
        <v>0.65343729773882131</v>
      </c>
      <c r="BW275" s="96">
        <f t="shared" si="253"/>
        <v>5.2309968128308295</v>
      </c>
      <c r="BX275" s="96">
        <f t="shared" si="254"/>
        <v>20.954051114209381</v>
      </c>
      <c r="BY275" s="96">
        <f t="shared" si="255"/>
        <v>7.0695458012309631</v>
      </c>
      <c r="BZ275" s="96">
        <f t="shared" si="256"/>
        <v>74.134711185718956</v>
      </c>
      <c r="CA275" s="96">
        <f t="shared" si="257"/>
        <v>40</v>
      </c>
      <c r="CB275" s="104">
        <f t="shared" si="258"/>
        <v>0.8</v>
      </c>
      <c r="CC275" s="105">
        <f t="shared" si="218"/>
        <v>46.770476113111421</v>
      </c>
      <c r="CD275" s="106">
        <f t="shared" si="219"/>
        <v>82.749820560385146</v>
      </c>
      <c r="CE275" s="107">
        <f t="shared" si="220"/>
        <v>1.2412473084057771</v>
      </c>
      <c r="CF275" s="108" t="s">
        <v>2189</v>
      </c>
      <c r="CG275" s="108" t="s">
        <v>2189</v>
      </c>
      <c r="CH275" s="108" t="s">
        <v>2189</v>
      </c>
      <c r="CI275" s="108" t="s">
        <v>2189</v>
      </c>
      <c r="CJ275" s="109"/>
      <c r="CK275" s="116" t="s">
        <v>2199</v>
      </c>
      <c r="CL275" s="116" t="s">
        <v>2193</v>
      </c>
      <c r="CM275" s="111">
        <f t="shared" si="259"/>
        <v>25</v>
      </c>
      <c r="CN275" s="107">
        <f t="shared" si="221"/>
        <v>0.375</v>
      </c>
      <c r="CO275" s="114">
        <f>266000</f>
        <v>266000</v>
      </c>
      <c r="CP275" s="88">
        <f t="shared" si="260"/>
        <v>0.1016654769640056</v>
      </c>
      <c r="CQ275" s="78">
        <f t="shared" si="261"/>
        <v>100</v>
      </c>
      <c r="CR275" s="79">
        <f t="shared" si="222"/>
        <v>3</v>
      </c>
      <c r="CS275" s="92">
        <f>_xlfn.XLOOKUP(C275, '[1]1-1. 관계사체무보증금액 (환율 등)'!$3:$3, '[1]1-1. 관계사체무보증금액 (환율 등)'!$33:$33)</f>
        <v>95000000</v>
      </c>
      <c r="CT275" s="77">
        <f t="shared" si="262"/>
        <v>36.309098915716284</v>
      </c>
      <c r="CU275" s="78">
        <f t="shared" si="263"/>
        <v>40</v>
      </c>
      <c r="CV275" s="79">
        <f t="shared" si="223"/>
        <v>0.8</v>
      </c>
      <c r="CW275" s="112">
        <f t="shared" si="264"/>
        <v>16.682957495402096</v>
      </c>
    </row>
    <row r="276" spans="1:101" x14ac:dyDescent="0.35">
      <c r="A276" s="7" t="s">
        <v>772</v>
      </c>
      <c r="B276" s="8" t="s">
        <v>773</v>
      </c>
      <c r="C276" s="21" t="s">
        <v>774</v>
      </c>
      <c r="D276" s="10" t="s">
        <v>31</v>
      </c>
      <c r="E276" s="11" t="s">
        <v>46</v>
      </c>
      <c r="F276" s="11" t="s">
        <v>775</v>
      </c>
      <c r="G276" s="12">
        <v>43038</v>
      </c>
      <c r="H276" s="11" t="s">
        <v>24</v>
      </c>
      <c r="I276" s="11" t="s">
        <v>776</v>
      </c>
      <c r="J276" s="11" t="s">
        <v>777</v>
      </c>
      <c r="K276" s="11" t="s">
        <v>27</v>
      </c>
      <c r="L276" s="23">
        <v>3758489001</v>
      </c>
      <c r="M276" s="14">
        <v>1736640152</v>
      </c>
      <c r="N276" s="14">
        <v>2021848848</v>
      </c>
      <c r="O276" s="14">
        <v>2443855289</v>
      </c>
      <c r="P276" s="14">
        <v>80897560</v>
      </c>
      <c r="Q276" s="14">
        <v>19509459</v>
      </c>
      <c r="R276" s="14">
        <v>18708119</v>
      </c>
      <c r="S276" s="15">
        <v>9434574</v>
      </c>
      <c r="T276" s="15">
        <v>593307</v>
      </c>
      <c r="U276" s="15">
        <f>4478208+182117</f>
        <v>4660325</v>
      </c>
      <c r="V276" s="15">
        <f>236742+12964+10623+302</f>
        <v>260631</v>
      </c>
      <c r="W276" s="15">
        <f>1000+300+280+160+112+100+50+50+100+300+150+105+250+50+25+70+200+100+200+100+302</f>
        <v>4004</v>
      </c>
      <c r="X276" s="15">
        <v>496144</v>
      </c>
      <c r="Y276" s="24" t="s">
        <v>2078</v>
      </c>
      <c r="Z276" s="15">
        <f>643381+416338+137722</f>
        <v>1197441</v>
      </c>
      <c r="AA276" s="15">
        <v>0</v>
      </c>
      <c r="AB276" s="74">
        <f t="shared" si="224"/>
        <v>6618545</v>
      </c>
      <c r="AC276" s="75">
        <f t="shared" si="225"/>
        <v>70.152028061892352</v>
      </c>
      <c r="AD276" s="75">
        <f t="shared" si="226"/>
        <v>39.540827334385199</v>
      </c>
      <c r="AE276" s="76">
        <f t="shared" si="212"/>
        <v>1.1862248200315559</v>
      </c>
      <c r="AF276" s="77">
        <f t="shared" si="227"/>
        <v>55.658945714454724</v>
      </c>
      <c r="AG276" s="77">
        <f t="shared" si="228"/>
        <v>74.859689227799592</v>
      </c>
      <c r="AH276" s="77">
        <f t="shared" si="229"/>
        <v>19.200743513344868</v>
      </c>
      <c r="AI276" s="78">
        <f t="shared" si="230"/>
        <v>80</v>
      </c>
      <c r="AJ276" s="79">
        <f t="shared" si="213"/>
        <v>3.2</v>
      </c>
      <c r="AK276" s="113">
        <v>8</v>
      </c>
      <c r="AL276" s="113">
        <v>53</v>
      </c>
      <c r="AM276" s="113">
        <v>1</v>
      </c>
      <c r="AN276" s="81">
        <f t="shared" si="231"/>
        <v>61</v>
      </c>
      <c r="AO276" s="82">
        <f t="shared" si="232"/>
        <v>1.639344262295082</v>
      </c>
      <c r="AP276" s="83">
        <f t="shared" si="233"/>
        <v>100</v>
      </c>
      <c r="AQ276" s="84">
        <f t="shared" si="214"/>
        <v>2</v>
      </c>
      <c r="AR276" s="118">
        <v>5</v>
      </c>
      <c r="AS276" s="86">
        <f t="shared" si="234"/>
        <v>0.5</v>
      </c>
      <c r="AT276" s="87">
        <f t="shared" si="235"/>
        <v>4</v>
      </c>
      <c r="AU276" s="87">
        <f t="shared" si="236"/>
        <v>4</v>
      </c>
      <c r="AV276" s="88">
        <f t="shared" si="237"/>
        <v>12.5</v>
      </c>
      <c r="AW276" s="78">
        <f t="shared" si="238"/>
        <v>60</v>
      </c>
      <c r="AX276" s="89">
        <f t="shared" si="215"/>
        <v>0.6</v>
      </c>
      <c r="AY276" s="114">
        <v>7</v>
      </c>
      <c r="AZ276" s="114">
        <f>5*2+3*5</f>
        <v>25</v>
      </c>
      <c r="BA276" s="91">
        <f t="shared" si="239"/>
        <v>35</v>
      </c>
      <c r="BB276" s="77">
        <f t="shared" si="240"/>
        <v>71.428571428571431</v>
      </c>
      <c r="BC276" s="78">
        <f t="shared" si="241"/>
        <v>50</v>
      </c>
      <c r="BD276" s="79">
        <f t="shared" si="216"/>
        <v>0.5</v>
      </c>
      <c r="BE276" s="92">
        <v>162394000</v>
      </c>
      <c r="BF276" s="92">
        <v>14691000</v>
      </c>
      <c r="BG276" s="114">
        <v>1732000</v>
      </c>
      <c r="BH276" s="94">
        <f t="shared" si="242"/>
        <v>177085000</v>
      </c>
      <c r="BI276" s="77">
        <f t="shared" si="243"/>
        <v>0.97806138295168987</v>
      </c>
      <c r="BJ276" s="95" t="str">
        <f t="shared" si="244"/>
        <v>식약/섬유/종이업</v>
      </c>
      <c r="BK276" s="96">
        <f t="shared" si="245"/>
        <v>2.1999360555264453</v>
      </c>
      <c r="BL276" s="97">
        <f t="shared" si="246"/>
        <v>-1.2218746725747556</v>
      </c>
      <c r="BM276" s="98">
        <f t="shared" si="247"/>
        <v>80</v>
      </c>
      <c r="BN276" s="99">
        <f t="shared" si="248"/>
        <v>1.6</v>
      </c>
      <c r="BO276" s="114">
        <v>20132000</v>
      </c>
      <c r="BP276" s="101">
        <f t="shared" si="249"/>
        <v>0.82378036418996825</v>
      </c>
      <c r="BQ276" s="78">
        <f t="shared" si="250"/>
        <v>70</v>
      </c>
      <c r="BR276" s="79">
        <f t="shared" si="217"/>
        <v>1.4000000000000001</v>
      </c>
      <c r="BS276" s="102">
        <v>101769140.7</v>
      </c>
      <c r="BT276" s="102">
        <v>1157484.503</v>
      </c>
      <c r="BU276" s="103">
        <f t="shared" si="251"/>
        <v>100611656.197</v>
      </c>
      <c r="BV276" s="77">
        <f t="shared" si="252"/>
        <v>4.1169236431412939</v>
      </c>
      <c r="BW276" s="96">
        <f t="shared" si="253"/>
        <v>5.0508176117342298</v>
      </c>
      <c r="BX276" s="96">
        <f t="shared" si="254"/>
        <v>0.87215794457426365</v>
      </c>
      <c r="BY276" s="96">
        <f t="shared" si="255"/>
        <v>6.9871618081220923</v>
      </c>
      <c r="BZ276" s="96">
        <f t="shared" si="256"/>
        <v>55.316371133661946</v>
      </c>
      <c r="CA276" s="96">
        <f t="shared" si="257"/>
        <v>55</v>
      </c>
      <c r="CB276" s="104">
        <f t="shared" si="258"/>
        <v>1.1000000000000001</v>
      </c>
      <c r="CC276" s="105">
        <f t="shared" si="218"/>
        <v>85.893668743727972</v>
      </c>
      <c r="CD276" s="106">
        <f t="shared" si="219"/>
        <v>68.004898714675392</v>
      </c>
      <c r="CE276" s="107">
        <f t="shared" si="220"/>
        <v>1.0200734807201308</v>
      </c>
      <c r="CF276" s="108" t="s">
        <v>2189</v>
      </c>
      <c r="CG276" s="108" t="s">
        <v>2189</v>
      </c>
      <c r="CH276" s="108" t="s">
        <v>2189</v>
      </c>
      <c r="CI276" s="108" t="s">
        <v>2189</v>
      </c>
      <c r="CJ276" s="109"/>
      <c r="CK276" s="116" t="s">
        <v>2190</v>
      </c>
      <c r="CL276" s="116" t="s">
        <v>2191</v>
      </c>
      <c r="CM276" s="111">
        <f t="shared" si="259"/>
        <v>85</v>
      </c>
      <c r="CN276" s="107">
        <f t="shared" si="221"/>
        <v>1.2749999999999999</v>
      </c>
      <c r="CO276" s="114">
        <v>722872000</v>
      </c>
      <c r="CP276" s="88">
        <f t="shared" si="260"/>
        <v>35.753018862664263</v>
      </c>
      <c r="CQ276" s="78">
        <f t="shared" si="261"/>
        <v>40</v>
      </c>
      <c r="CR276" s="79">
        <f t="shared" si="222"/>
        <v>1.2</v>
      </c>
      <c r="CS276" s="92">
        <f>_xlfn.XLOOKUP(C276, '[1]1-1. 관계사체무보증금액 (환율 등)'!$3:$3, '[1]1-1. 관계사체무보증금액 (환율 등)'!$33:$33)</f>
        <v>82784810.126582265</v>
      </c>
      <c r="CT276" s="77">
        <f t="shared" si="262"/>
        <v>4.0945103393101059</v>
      </c>
      <c r="CU276" s="78">
        <f t="shared" si="263"/>
        <v>80</v>
      </c>
      <c r="CV276" s="79">
        <f t="shared" si="223"/>
        <v>1.6</v>
      </c>
      <c r="CW276" s="112">
        <f t="shared" si="264"/>
        <v>16.681298300751685</v>
      </c>
    </row>
    <row r="277" spans="1:101" x14ac:dyDescent="0.35">
      <c r="A277" s="7" t="s">
        <v>995</v>
      </c>
      <c r="B277" s="8" t="s">
        <v>996</v>
      </c>
      <c r="C277" s="21" t="s">
        <v>997</v>
      </c>
      <c r="D277" s="10" t="s">
        <v>141</v>
      </c>
      <c r="E277" s="11" t="s">
        <v>998</v>
      </c>
      <c r="F277" s="11" t="s">
        <v>999</v>
      </c>
      <c r="G277" s="12">
        <v>32777</v>
      </c>
      <c r="H277" s="11" t="s">
        <v>24</v>
      </c>
      <c r="I277" s="11" t="s">
        <v>1000</v>
      </c>
      <c r="J277" s="11" t="s">
        <v>1001</v>
      </c>
      <c r="K277" s="11" t="s">
        <v>536</v>
      </c>
      <c r="L277" s="23">
        <v>439293006</v>
      </c>
      <c r="M277" s="14">
        <v>233301117</v>
      </c>
      <c r="N277" s="14">
        <v>205991889</v>
      </c>
      <c r="O277" s="14">
        <v>339133931</v>
      </c>
      <c r="P277" s="14">
        <v>20669671</v>
      </c>
      <c r="Q277" s="14">
        <v>19430527</v>
      </c>
      <c r="R277" s="14">
        <v>16418030</v>
      </c>
      <c r="S277" s="15">
        <v>21000000</v>
      </c>
      <c r="T277" s="15">
        <v>300000</v>
      </c>
      <c r="U277" s="15">
        <f>1581463+7001410</f>
        <v>8582873</v>
      </c>
      <c r="V277" s="15">
        <f>505600+510292+310640+438072+348300+100000+5100+599983+640000+4660+124050+120000+124040+50000+25000+25000+115000*2</f>
        <v>4160737</v>
      </c>
      <c r="W277" s="15">
        <f>60000</f>
        <v>60000</v>
      </c>
      <c r="X277" s="15">
        <v>0</v>
      </c>
      <c r="Z277" s="15">
        <f>805080</f>
        <v>805080</v>
      </c>
      <c r="AA277" s="15">
        <f>10*1000</f>
        <v>10000</v>
      </c>
      <c r="AB277" s="74">
        <f t="shared" si="224"/>
        <v>13608690</v>
      </c>
      <c r="AC277" s="75">
        <f t="shared" si="225"/>
        <v>64.803285714285721</v>
      </c>
      <c r="AD277" s="75">
        <f t="shared" si="226"/>
        <v>44.157118198257429</v>
      </c>
      <c r="AE277" s="76">
        <f t="shared" si="212"/>
        <v>1.3247135459477228</v>
      </c>
      <c r="AF277" s="77">
        <f t="shared" si="227"/>
        <v>61.593088448525855</v>
      </c>
      <c r="AG277" s="77">
        <f t="shared" si="228"/>
        <v>65.725906234896087</v>
      </c>
      <c r="AH277" s="77">
        <f t="shared" si="229"/>
        <v>4.1328177863702322</v>
      </c>
      <c r="AI277" s="78">
        <f t="shared" si="230"/>
        <v>100</v>
      </c>
      <c r="AJ277" s="79">
        <f t="shared" si="213"/>
        <v>4</v>
      </c>
      <c r="AK277" s="113">
        <v>9</v>
      </c>
      <c r="AL277" s="113">
        <v>1</v>
      </c>
      <c r="AM277" s="113">
        <v>3</v>
      </c>
      <c r="AN277" s="81">
        <f t="shared" si="231"/>
        <v>10</v>
      </c>
      <c r="AO277" s="82">
        <f t="shared" si="232"/>
        <v>30</v>
      </c>
      <c r="AP277" s="83">
        <f t="shared" si="233"/>
        <v>40</v>
      </c>
      <c r="AQ277" s="84">
        <f t="shared" si="214"/>
        <v>0.8</v>
      </c>
      <c r="AR277" s="118">
        <v>3</v>
      </c>
      <c r="AS277" s="86">
        <f t="shared" si="234"/>
        <v>0.25</v>
      </c>
      <c r="AT277" s="87">
        <f t="shared" si="235"/>
        <v>2.25</v>
      </c>
      <c r="AU277" s="87">
        <f t="shared" si="236"/>
        <v>2</v>
      </c>
      <c r="AV277" s="88">
        <f t="shared" si="237"/>
        <v>11.111111111111111</v>
      </c>
      <c r="AW277" s="78">
        <f t="shared" si="238"/>
        <v>60</v>
      </c>
      <c r="AX277" s="89">
        <f t="shared" si="215"/>
        <v>0.6</v>
      </c>
      <c r="AY277" s="114">
        <v>7</v>
      </c>
      <c r="AZ277" s="114">
        <v>21</v>
      </c>
      <c r="BA277" s="91">
        <f t="shared" si="239"/>
        <v>21</v>
      </c>
      <c r="BB277" s="77">
        <f t="shared" si="240"/>
        <v>100</v>
      </c>
      <c r="BC277" s="78">
        <f t="shared" si="241"/>
        <v>100</v>
      </c>
      <c r="BD277" s="79">
        <f t="shared" si="216"/>
        <v>1</v>
      </c>
      <c r="BE277" s="92">
        <v>16731370.594000001</v>
      </c>
      <c r="BF277" s="92">
        <v>1820239.6129999999</v>
      </c>
      <c r="BG277" s="114">
        <v>857353.23699999996</v>
      </c>
      <c r="BH277" s="94">
        <f t="shared" si="242"/>
        <v>18551610.207000002</v>
      </c>
      <c r="BI277" s="77">
        <f t="shared" si="243"/>
        <v>4.6214491757513239</v>
      </c>
      <c r="BJ277" s="95" t="str">
        <f t="shared" si="244"/>
        <v>전기전자/기계업</v>
      </c>
      <c r="BK277" s="96">
        <f t="shared" si="245"/>
        <v>2.4096449716116446</v>
      </c>
      <c r="BL277" s="97">
        <f t="shared" si="246"/>
        <v>2.2118042041396793</v>
      </c>
      <c r="BM277" s="98">
        <f t="shared" si="247"/>
        <v>40</v>
      </c>
      <c r="BN277" s="99">
        <f t="shared" si="248"/>
        <v>0.8</v>
      </c>
      <c r="BO277" s="114">
        <f>(4195239137-900585949)/1000</f>
        <v>3294653.1880000001</v>
      </c>
      <c r="BP277" s="101">
        <f t="shared" si="249"/>
        <v>0.97149028358356737</v>
      </c>
      <c r="BQ277" s="78">
        <f t="shared" si="250"/>
        <v>70</v>
      </c>
      <c r="BR277" s="79">
        <f t="shared" si="217"/>
        <v>1.4000000000000001</v>
      </c>
      <c r="BS277" s="102">
        <v>23846667.193999998</v>
      </c>
      <c r="BT277" s="102">
        <v>21776.052</v>
      </c>
      <c r="BU277" s="103">
        <f t="shared" si="251"/>
        <v>23824891.141999997</v>
      </c>
      <c r="BV277" s="77">
        <f t="shared" si="252"/>
        <v>7.0252159881931719</v>
      </c>
      <c r="BW277" s="96">
        <f t="shared" si="253"/>
        <v>5.2309968128308295</v>
      </c>
      <c r="BX277" s="96">
        <f t="shared" si="254"/>
        <v>3.219222449237924</v>
      </c>
      <c r="BY277" s="96">
        <f t="shared" si="255"/>
        <v>7.0695458012309631</v>
      </c>
      <c r="BZ277" s="96">
        <f t="shared" si="256"/>
        <v>39.982676064084522</v>
      </c>
      <c r="CA277" s="96">
        <f t="shared" si="257"/>
        <v>55</v>
      </c>
      <c r="CB277" s="104">
        <f t="shared" si="258"/>
        <v>1.1000000000000001</v>
      </c>
      <c r="CC277" s="105">
        <f t="shared" si="218"/>
        <v>113.25742879128605</v>
      </c>
      <c r="CD277" s="106">
        <f t="shared" si="219"/>
        <v>57.691923822379628</v>
      </c>
      <c r="CE277" s="107">
        <f t="shared" si="220"/>
        <v>0.86537885733569442</v>
      </c>
      <c r="CF277" s="108" t="s">
        <v>2189</v>
      </c>
      <c r="CG277" s="108" t="s">
        <v>2189</v>
      </c>
      <c r="CH277" s="108" t="s">
        <v>2189</v>
      </c>
      <c r="CI277" s="108" t="s">
        <v>2189</v>
      </c>
      <c r="CJ277" s="109"/>
      <c r="CK277" s="116" t="s">
        <v>2192</v>
      </c>
      <c r="CL277" s="116" t="s">
        <v>2193</v>
      </c>
      <c r="CM277" s="111">
        <f t="shared" si="259"/>
        <v>25</v>
      </c>
      <c r="CN277" s="107">
        <f t="shared" si="221"/>
        <v>0.375</v>
      </c>
      <c r="CO277" s="114">
        <v>6359000</v>
      </c>
      <c r="CP277" s="88">
        <f t="shared" si="260"/>
        <v>3.0870147513429522</v>
      </c>
      <c r="CQ277" s="78">
        <f t="shared" si="261"/>
        <v>80</v>
      </c>
      <c r="CR277" s="79">
        <f t="shared" si="222"/>
        <v>2.4</v>
      </c>
      <c r="CS277" s="92">
        <f>_xlfn.XLOOKUP(C277, '[1]1-1. 관계사체무보증금액 (환율 등)'!$3:$3, '[1]1-1. 관계사체무보증금액 (환율 등)'!$33:$33)</f>
        <v>0</v>
      </c>
      <c r="CT277" s="77">
        <f t="shared" si="262"/>
        <v>0</v>
      </c>
      <c r="CU277" s="78">
        <f t="shared" si="263"/>
        <v>100</v>
      </c>
      <c r="CV277" s="79">
        <f t="shared" si="223"/>
        <v>2</v>
      </c>
      <c r="CW277" s="112">
        <f t="shared" si="264"/>
        <v>16.665092403283417</v>
      </c>
    </row>
    <row r="278" spans="1:101" x14ac:dyDescent="0.35">
      <c r="A278" s="7" t="s">
        <v>698</v>
      </c>
      <c r="B278" s="8" t="s">
        <v>699</v>
      </c>
      <c r="C278" s="21" t="s">
        <v>700</v>
      </c>
      <c r="D278" s="22" t="s">
        <v>75</v>
      </c>
      <c r="E278" s="11" t="s">
        <v>276</v>
      </c>
      <c r="F278" s="11" t="s">
        <v>701</v>
      </c>
      <c r="G278" s="12">
        <v>34422</v>
      </c>
      <c r="H278" s="11" t="s">
        <v>24</v>
      </c>
      <c r="I278" s="11" t="s">
        <v>702</v>
      </c>
      <c r="J278" s="11" t="s">
        <v>703</v>
      </c>
      <c r="K278" s="11" t="s">
        <v>153</v>
      </c>
      <c r="L278" s="23">
        <v>1380267325</v>
      </c>
      <c r="M278" s="14">
        <v>678125020</v>
      </c>
      <c r="N278" s="14">
        <v>702142305</v>
      </c>
      <c r="O278" s="14">
        <v>1300951533</v>
      </c>
      <c r="P278" s="14">
        <v>82521356</v>
      </c>
      <c r="Q278" s="14">
        <v>74612978</v>
      </c>
      <c r="R278" s="14">
        <v>59394229</v>
      </c>
      <c r="S278" s="15">
        <v>28991282</v>
      </c>
      <c r="T278" s="15">
        <v>0</v>
      </c>
      <c r="U278" s="15">
        <v>20594057</v>
      </c>
      <c r="V278" s="15">
        <f>12645+70300+9390</f>
        <v>92335</v>
      </c>
      <c r="W278" s="15">
        <f>5771+698+200</f>
        <v>6669</v>
      </c>
      <c r="X278" s="15">
        <v>0</v>
      </c>
      <c r="Z278" s="15">
        <f>3569900</f>
        <v>3569900</v>
      </c>
      <c r="AA278" s="15">
        <v>0</v>
      </c>
      <c r="AB278" s="74">
        <f t="shared" si="224"/>
        <v>24262961</v>
      </c>
      <c r="AC278" s="75">
        <f t="shared" si="225"/>
        <v>83.690541867034369</v>
      </c>
      <c r="AD278" s="75">
        <f t="shared" si="226"/>
        <v>27.856264211420282</v>
      </c>
      <c r="AE278" s="76">
        <f t="shared" si="212"/>
        <v>0.83568792634260847</v>
      </c>
      <c r="AF278" s="77">
        <f t="shared" si="227"/>
        <v>71.353836646478769</v>
      </c>
      <c r="AG278" s="77">
        <f t="shared" si="228"/>
        <v>83.690541867034369</v>
      </c>
      <c r="AH278" s="77">
        <f t="shared" si="229"/>
        <v>12.336705220555601</v>
      </c>
      <c r="AI278" s="78">
        <f t="shared" si="230"/>
        <v>80</v>
      </c>
      <c r="AJ278" s="79">
        <f t="shared" si="213"/>
        <v>3.2</v>
      </c>
      <c r="AK278" s="113">
        <v>5</v>
      </c>
      <c r="AL278" s="113">
        <v>12</v>
      </c>
      <c r="AM278" s="113">
        <v>0</v>
      </c>
      <c r="AN278" s="81">
        <f t="shared" si="231"/>
        <v>17</v>
      </c>
      <c r="AO278" s="82">
        <f t="shared" si="232"/>
        <v>0</v>
      </c>
      <c r="AP278" s="83">
        <f t="shared" si="233"/>
        <v>100</v>
      </c>
      <c r="AQ278" s="84">
        <f t="shared" si="214"/>
        <v>2</v>
      </c>
      <c r="AR278" s="118">
        <v>1</v>
      </c>
      <c r="AS278" s="86">
        <f t="shared" si="234"/>
        <v>0.25</v>
      </c>
      <c r="AT278" s="87">
        <f t="shared" si="235"/>
        <v>1.25</v>
      </c>
      <c r="AU278" s="87">
        <f t="shared" si="236"/>
        <v>1</v>
      </c>
      <c r="AV278" s="88">
        <f t="shared" si="237"/>
        <v>0</v>
      </c>
      <c r="AW278" s="78">
        <f t="shared" si="238"/>
        <v>40</v>
      </c>
      <c r="AX278" s="89">
        <f t="shared" si="215"/>
        <v>0.4</v>
      </c>
      <c r="AY278" s="114">
        <v>21</v>
      </c>
      <c r="AZ278" s="114">
        <v>21</v>
      </c>
      <c r="BA278" s="91">
        <f t="shared" si="239"/>
        <v>21</v>
      </c>
      <c r="BB278" s="77">
        <f t="shared" si="240"/>
        <v>100</v>
      </c>
      <c r="BC278" s="78">
        <f t="shared" si="241"/>
        <v>100</v>
      </c>
      <c r="BD278" s="79">
        <f t="shared" si="216"/>
        <v>1</v>
      </c>
      <c r="BE278" s="92">
        <v>10685445</v>
      </c>
      <c r="BF278" s="92">
        <v>1108672</v>
      </c>
      <c r="BG278" s="114">
        <v>690204</v>
      </c>
      <c r="BH278" s="94">
        <f t="shared" si="242"/>
        <v>11794117</v>
      </c>
      <c r="BI278" s="77">
        <f t="shared" si="243"/>
        <v>5.8521040617114446</v>
      </c>
      <c r="BJ278" s="95" t="str">
        <f t="shared" si="244"/>
        <v>금속/비금속/화학업</v>
      </c>
      <c r="BK278" s="96">
        <f t="shared" si="245"/>
        <v>3.9534118626990469</v>
      </c>
      <c r="BL278" s="97">
        <f t="shared" si="246"/>
        <v>1.8986921990123977</v>
      </c>
      <c r="BM278" s="98">
        <f t="shared" si="247"/>
        <v>60</v>
      </c>
      <c r="BN278" s="99">
        <f t="shared" si="248"/>
        <v>1.2</v>
      </c>
      <c r="BO278" s="114">
        <v>6152000</v>
      </c>
      <c r="BP278" s="101">
        <f t="shared" si="249"/>
        <v>0.47288464204453956</v>
      </c>
      <c r="BQ278" s="78">
        <f t="shared" si="250"/>
        <v>55</v>
      </c>
      <c r="BR278" s="79">
        <f t="shared" si="217"/>
        <v>1.1000000000000001</v>
      </c>
      <c r="BS278" s="102">
        <v>95261721.437000006</v>
      </c>
      <c r="BT278" s="102">
        <v>1679458.96</v>
      </c>
      <c r="BU278" s="103">
        <f t="shared" si="251"/>
        <v>93582262.477000013</v>
      </c>
      <c r="BV278" s="77">
        <f t="shared" si="252"/>
        <v>7.1933703987572013</v>
      </c>
      <c r="BW278" s="96">
        <f t="shared" si="253"/>
        <v>5.1474158565187738</v>
      </c>
      <c r="BX278" s="96">
        <f t="shared" si="254"/>
        <v>4.1859299889060537</v>
      </c>
      <c r="BY278" s="96">
        <f t="shared" si="255"/>
        <v>6.6930498535228535</v>
      </c>
      <c r="BZ278" s="96">
        <f t="shared" si="256"/>
        <v>37.992283934495099</v>
      </c>
      <c r="CA278" s="96">
        <f t="shared" si="257"/>
        <v>55</v>
      </c>
      <c r="CB278" s="104">
        <f t="shared" si="258"/>
        <v>1.1000000000000001</v>
      </c>
      <c r="CC278" s="105">
        <f t="shared" si="218"/>
        <v>96.579427727261063</v>
      </c>
      <c r="CD278" s="106">
        <f t="shared" si="219"/>
        <v>63.977602615353874</v>
      </c>
      <c r="CE278" s="107">
        <f t="shared" si="220"/>
        <v>0.95966403923030807</v>
      </c>
      <c r="CF278" s="108" t="s">
        <v>2189</v>
      </c>
      <c r="CG278" s="108" t="s">
        <v>2189</v>
      </c>
      <c r="CH278" s="108" t="s">
        <v>2189</v>
      </c>
      <c r="CI278" s="108" t="s">
        <v>2189</v>
      </c>
      <c r="CJ278" s="109"/>
      <c r="CK278" s="116" t="s">
        <v>2207</v>
      </c>
      <c r="CL278" s="116" t="s">
        <v>2204</v>
      </c>
      <c r="CM278" s="111">
        <f t="shared" si="259"/>
        <v>70</v>
      </c>
      <c r="CN278" s="107">
        <f t="shared" si="221"/>
        <v>1.05</v>
      </c>
      <c r="CO278" s="114">
        <v>155961000</v>
      </c>
      <c r="CP278" s="88">
        <f t="shared" si="260"/>
        <v>22.212163957276438</v>
      </c>
      <c r="CQ278" s="78">
        <f t="shared" si="261"/>
        <v>60</v>
      </c>
      <c r="CR278" s="79">
        <f t="shared" si="222"/>
        <v>1.7999999999999998</v>
      </c>
      <c r="CS278" s="92">
        <f>_xlfn.XLOOKUP(C278, '[1]1-1. 관계사체무보증금액 (환율 등)'!$3:$3, '[1]1-1. 관계사체무보증금액 (환율 등)'!$33:$33)</f>
        <v>0</v>
      </c>
      <c r="CT278" s="77">
        <f t="shared" si="262"/>
        <v>0</v>
      </c>
      <c r="CU278" s="78">
        <f t="shared" si="263"/>
        <v>100</v>
      </c>
      <c r="CV278" s="79">
        <f t="shared" si="223"/>
        <v>2</v>
      </c>
      <c r="CW278" s="112">
        <f t="shared" si="264"/>
        <v>16.645351965572917</v>
      </c>
    </row>
    <row r="279" spans="1:101" x14ac:dyDescent="0.35">
      <c r="A279" s="7" t="s">
        <v>1841</v>
      </c>
      <c r="B279" s="8" t="s">
        <v>1842</v>
      </c>
      <c r="C279" s="21" t="s">
        <v>1843</v>
      </c>
      <c r="D279" s="10" t="s">
        <v>21</v>
      </c>
      <c r="E279" s="11" t="s">
        <v>303</v>
      </c>
      <c r="F279" s="11" t="s">
        <v>1844</v>
      </c>
      <c r="G279" s="12">
        <v>32659</v>
      </c>
      <c r="H279" s="11" t="s">
        <v>24</v>
      </c>
      <c r="I279" s="11" t="s">
        <v>1845</v>
      </c>
      <c r="J279" s="11" t="s">
        <v>1846</v>
      </c>
      <c r="K279" s="11" t="s">
        <v>27</v>
      </c>
      <c r="L279" s="23">
        <v>121534902</v>
      </c>
      <c r="M279" s="14">
        <v>73176603</v>
      </c>
      <c r="N279" s="14">
        <v>48358299</v>
      </c>
      <c r="O279" s="14">
        <v>290909595</v>
      </c>
      <c r="P279" s="14">
        <v>4928985</v>
      </c>
      <c r="Q279" s="14">
        <v>3719511</v>
      </c>
      <c r="R279" s="14">
        <v>2563552</v>
      </c>
      <c r="S279" s="15">
        <v>20493012</v>
      </c>
      <c r="T279" s="15">
        <v>0</v>
      </c>
      <c r="U279" s="15">
        <v>9440335</v>
      </c>
      <c r="V279" s="15">
        <v>0</v>
      </c>
      <c r="W279" s="15">
        <v>0</v>
      </c>
      <c r="X279" s="15">
        <v>0</v>
      </c>
      <c r="Z279" s="15">
        <v>0</v>
      </c>
      <c r="AA279" s="15">
        <v>0</v>
      </c>
      <c r="AB279" s="74">
        <f t="shared" si="224"/>
        <v>9440335</v>
      </c>
      <c r="AC279" s="75">
        <f t="shared" si="225"/>
        <v>46.066117562415911</v>
      </c>
      <c r="AD279" s="75">
        <f t="shared" si="226"/>
        <v>60.32843708652252</v>
      </c>
      <c r="AE279" s="76">
        <f t="shared" si="212"/>
        <v>1.8098531125956756</v>
      </c>
      <c r="AF279" s="77">
        <f t="shared" si="227"/>
        <v>46.066117562415911</v>
      </c>
      <c r="AG279" s="77">
        <f t="shared" si="228"/>
        <v>46.066117562415911</v>
      </c>
      <c r="AH279" s="77">
        <f t="shared" si="229"/>
        <v>0</v>
      </c>
      <c r="AI279" s="78">
        <f t="shared" si="230"/>
        <v>100</v>
      </c>
      <c r="AJ279" s="79">
        <f t="shared" si="213"/>
        <v>4</v>
      </c>
      <c r="AK279" s="113">
        <v>8</v>
      </c>
      <c r="AL279" s="113">
        <v>0</v>
      </c>
      <c r="AM279" s="113">
        <v>0</v>
      </c>
      <c r="AN279" s="81">
        <f t="shared" si="231"/>
        <v>8</v>
      </c>
      <c r="AO279" s="82">
        <f t="shared" si="232"/>
        <v>0</v>
      </c>
      <c r="AP279" s="83">
        <f t="shared" si="233"/>
        <v>100</v>
      </c>
      <c r="AQ279" s="84">
        <f t="shared" si="214"/>
        <v>2</v>
      </c>
      <c r="AR279" s="118">
        <v>2</v>
      </c>
      <c r="AS279" s="86">
        <f t="shared" si="234"/>
        <v>0.25</v>
      </c>
      <c r="AT279" s="87">
        <f t="shared" si="235"/>
        <v>2</v>
      </c>
      <c r="AU279" s="87">
        <f t="shared" si="236"/>
        <v>2</v>
      </c>
      <c r="AV279" s="88">
        <f t="shared" si="237"/>
        <v>0</v>
      </c>
      <c r="AW279" s="78">
        <f t="shared" si="238"/>
        <v>40</v>
      </c>
      <c r="AX279" s="89">
        <f t="shared" si="215"/>
        <v>0.4</v>
      </c>
      <c r="AY279" s="114">
        <v>13</v>
      </c>
      <c r="AZ279" s="114">
        <f>13*2-2</f>
        <v>24</v>
      </c>
      <c r="BA279" s="91">
        <f t="shared" si="239"/>
        <v>26</v>
      </c>
      <c r="BB279" s="77">
        <f t="shared" si="240"/>
        <v>92.307692307692307</v>
      </c>
      <c r="BC279" s="78">
        <f t="shared" si="241"/>
        <v>100</v>
      </c>
      <c r="BD279" s="79">
        <f t="shared" si="216"/>
        <v>1</v>
      </c>
      <c r="BE279" s="92">
        <v>7505230</v>
      </c>
      <c r="BF279" s="92">
        <v>783469</v>
      </c>
      <c r="BG279" s="114">
        <v>537668</v>
      </c>
      <c r="BH279" s="94">
        <f t="shared" si="242"/>
        <v>8288699</v>
      </c>
      <c r="BI279" s="77">
        <f t="shared" si="243"/>
        <v>6.4867598642440756</v>
      </c>
      <c r="BJ279" s="95" t="str">
        <f t="shared" si="244"/>
        <v>비제조/서비스업</v>
      </c>
      <c r="BK279" s="96">
        <f t="shared" si="245"/>
        <v>1.7464434573900922</v>
      </c>
      <c r="BL279" s="97">
        <f t="shared" si="246"/>
        <v>4.7403164068539834</v>
      </c>
      <c r="BM279" s="98">
        <f t="shared" si="247"/>
        <v>40</v>
      </c>
      <c r="BN279" s="99">
        <f t="shared" si="248"/>
        <v>0.8</v>
      </c>
      <c r="BO279" s="114">
        <v>0</v>
      </c>
      <c r="BP279" s="101">
        <f t="shared" si="249"/>
        <v>0</v>
      </c>
      <c r="BQ279" s="78">
        <f t="shared" si="250"/>
        <v>25</v>
      </c>
      <c r="BR279" s="79">
        <f t="shared" si="217"/>
        <v>0.5</v>
      </c>
      <c r="BS279" s="102">
        <v>7612.4650000000001</v>
      </c>
      <c r="BT279" s="102">
        <v>7612.4650000000001</v>
      </c>
      <c r="BU279" s="103">
        <f t="shared" si="251"/>
        <v>0</v>
      </c>
      <c r="BV279" s="77">
        <f t="shared" si="252"/>
        <v>0</v>
      </c>
      <c r="BW279" s="96">
        <f t="shared" si="253"/>
        <v>2.8482825397737606</v>
      </c>
      <c r="BX279" s="96">
        <f t="shared" si="254"/>
        <v>8.1127134263800631</v>
      </c>
      <c r="BY279" s="96">
        <f t="shared" si="255"/>
        <v>5.5697595856656807</v>
      </c>
      <c r="BZ279" s="96">
        <f t="shared" si="256"/>
        <v>69.545868841005714</v>
      </c>
      <c r="CA279" s="96">
        <f t="shared" si="257"/>
        <v>40</v>
      </c>
      <c r="CB279" s="104">
        <f t="shared" si="258"/>
        <v>0.8</v>
      </c>
      <c r="CC279" s="105">
        <f t="shared" si="218"/>
        <v>151.32170591856428</v>
      </c>
      <c r="CD279" s="106">
        <f t="shared" si="219"/>
        <v>43.34609073420944</v>
      </c>
      <c r="CE279" s="107">
        <f t="shared" si="220"/>
        <v>0.65019136101314157</v>
      </c>
      <c r="CF279" s="108" t="s">
        <v>2189</v>
      </c>
      <c r="CG279" s="108" t="s">
        <v>2189</v>
      </c>
      <c r="CH279" s="108" t="s">
        <v>2189</v>
      </c>
      <c r="CI279" s="108" t="s">
        <v>2189</v>
      </c>
      <c r="CJ279" s="109"/>
      <c r="CK279" s="116" t="s">
        <v>2239</v>
      </c>
      <c r="CL279" s="116" t="s">
        <v>2196</v>
      </c>
      <c r="CM279" s="111">
        <f t="shared" si="259"/>
        <v>55</v>
      </c>
      <c r="CN279" s="107">
        <f t="shared" si="221"/>
        <v>0.82499999999999996</v>
      </c>
      <c r="CO279" s="114">
        <f>8955000+6324000</f>
        <v>15279000</v>
      </c>
      <c r="CP279" s="88">
        <f t="shared" si="260"/>
        <v>31.595404131150275</v>
      </c>
      <c r="CQ279" s="78">
        <f t="shared" si="261"/>
        <v>60</v>
      </c>
      <c r="CR279" s="79">
        <f t="shared" si="222"/>
        <v>1.7999999999999998</v>
      </c>
      <c r="CS279" s="92">
        <f>_xlfn.XLOOKUP(C279, '[1]1-1. 관계사체무보증금액 (환율 등)'!$3:$3, '[1]1-1. 관계사체무보증금액 (환율 등)'!$33:$33)</f>
        <v>0</v>
      </c>
      <c r="CT279" s="77">
        <f t="shared" si="262"/>
        <v>0</v>
      </c>
      <c r="CU279" s="78">
        <f t="shared" si="263"/>
        <v>100</v>
      </c>
      <c r="CV279" s="79">
        <f t="shared" si="223"/>
        <v>2</v>
      </c>
      <c r="CW279" s="112">
        <f t="shared" si="264"/>
        <v>16.585044473608818</v>
      </c>
    </row>
    <row r="280" spans="1:101" x14ac:dyDescent="0.35">
      <c r="A280" s="7" t="s">
        <v>604</v>
      </c>
      <c r="B280" s="8" t="s">
        <v>605</v>
      </c>
      <c r="C280" s="21" t="s">
        <v>606</v>
      </c>
      <c r="D280" s="10" t="s">
        <v>31</v>
      </c>
      <c r="E280" s="11" t="s">
        <v>404</v>
      </c>
      <c r="F280" s="11" t="s">
        <v>607</v>
      </c>
      <c r="G280" s="12">
        <v>25897</v>
      </c>
      <c r="H280" s="11" t="s">
        <v>24</v>
      </c>
      <c r="I280" s="11" t="s">
        <v>608</v>
      </c>
      <c r="J280" s="11" t="s">
        <v>609</v>
      </c>
      <c r="K280" s="11" t="s">
        <v>27</v>
      </c>
      <c r="L280" s="23">
        <v>891133540</v>
      </c>
      <c r="M280" s="14">
        <v>131474747</v>
      </c>
      <c r="N280" s="14">
        <v>759658793</v>
      </c>
      <c r="O280" s="14">
        <v>462786649</v>
      </c>
      <c r="P280" s="14">
        <v>21452774</v>
      </c>
      <c r="Q280" s="14">
        <v>31309680</v>
      </c>
      <c r="R280" s="14">
        <v>23472409</v>
      </c>
      <c r="S280" s="15">
        <v>1690000</v>
      </c>
      <c r="T280" s="15">
        <v>44776</v>
      </c>
      <c r="U280" s="15">
        <f>16771+469271+419</f>
        <v>486461</v>
      </c>
      <c r="V280" s="15">
        <f>1708+118521+39257+16496+5+5489+2483+3515+7188+8000</f>
        <v>202662</v>
      </c>
      <c r="W280" s="15">
        <f>150+75+190+8000+419+7188</f>
        <v>16022</v>
      </c>
      <c r="X280" s="15">
        <v>0</v>
      </c>
      <c r="Z280" s="15">
        <v>27468</v>
      </c>
      <c r="AA280" s="15">
        <v>0</v>
      </c>
      <c r="AB280" s="74">
        <f t="shared" si="224"/>
        <v>732613</v>
      </c>
      <c r="AC280" s="75">
        <f t="shared" si="225"/>
        <v>43.349881656804733</v>
      </c>
      <c r="AD280" s="75">
        <f t="shared" si="226"/>
        <v>62.672714335323882</v>
      </c>
      <c r="AE280" s="76">
        <f t="shared" si="212"/>
        <v>1.8801814300597164</v>
      </c>
      <c r="AF280" s="77">
        <f t="shared" si="227"/>
        <v>41.88627202131746</v>
      </c>
      <c r="AG280" s="77">
        <f t="shared" si="228"/>
        <v>44.529681064706082</v>
      </c>
      <c r="AH280" s="77">
        <f t="shared" si="229"/>
        <v>2.6434090433886226</v>
      </c>
      <c r="AI280" s="78">
        <f t="shared" si="230"/>
        <v>100</v>
      </c>
      <c r="AJ280" s="79">
        <f t="shared" si="213"/>
        <v>4</v>
      </c>
      <c r="AK280" s="113">
        <v>6</v>
      </c>
      <c r="AL280" s="113">
        <v>10</v>
      </c>
      <c r="AM280" s="113">
        <v>2</v>
      </c>
      <c r="AN280" s="81">
        <f t="shared" si="231"/>
        <v>16</v>
      </c>
      <c r="AO280" s="82">
        <f t="shared" si="232"/>
        <v>12.5</v>
      </c>
      <c r="AP280" s="83">
        <f t="shared" si="233"/>
        <v>80</v>
      </c>
      <c r="AQ280" s="84">
        <f t="shared" si="214"/>
        <v>1.6</v>
      </c>
      <c r="AR280" s="118">
        <v>1</v>
      </c>
      <c r="AS280" s="86">
        <f t="shared" si="234"/>
        <v>0.25</v>
      </c>
      <c r="AT280" s="87">
        <f t="shared" si="235"/>
        <v>1.5</v>
      </c>
      <c r="AU280" s="87">
        <f t="shared" si="236"/>
        <v>1</v>
      </c>
      <c r="AV280" s="88">
        <f t="shared" si="237"/>
        <v>0</v>
      </c>
      <c r="AW280" s="78">
        <f t="shared" si="238"/>
        <v>40</v>
      </c>
      <c r="AX280" s="89">
        <f t="shared" si="215"/>
        <v>0.4</v>
      </c>
      <c r="AY280" s="114">
        <v>27</v>
      </c>
      <c r="AZ280" s="114">
        <v>27</v>
      </c>
      <c r="BA280" s="91">
        <f t="shared" si="239"/>
        <v>27</v>
      </c>
      <c r="BB280" s="77">
        <f t="shared" si="240"/>
        <v>100</v>
      </c>
      <c r="BC280" s="78">
        <f t="shared" si="241"/>
        <v>100</v>
      </c>
      <c r="BD280" s="79">
        <f t="shared" si="216"/>
        <v>1</v>
      </c>
      <c r="BE280" s="92">
        <v>11733518</v>
      </c>
      <c r="BF280" s="92">
        <v>1635128</v>
      </c>
      <c r="BG280" s="114">
        <v>842909</v>
      </c>
      <c r="BH280" s="94">
        <f t="shared" si="242"/>
        <v>13368646</v>
      </c>
      <c r="BI280" s="77">
        <f t="shared" si="243"/>
        <v>6.3051187083568525</v>
      </c>
      <c r="BJ280" s="95" t="str">
        <f t="shared" si="244"/>
        <v>식약/섬유/종이업</v>
      </c>
      <c r="BK280" s="96">
        <f t="shared" si="245"/>
        <v>2.1999360555264453</v>
      </c>
      <c r="BL280" s="97">
        <f t="shared" si="246"/>
        <v>4.1051826528304076</v>
      </c>
      <c r="BM280" s="98">
        <f t="shared" si="247"/>
        <v>40</v>
      </c>
      <c r="BN280" s="99">
        <f t="shared" si="248"/>
        <v>0.8</v>
      </c>
      <c r="BO280" s="114">
        <v>808719</v>
      </c>
      <c r="BP280" s="101">
        <f t="shared" si="249"/>
        <v>0.17474985541339591</v>
      </c>
      <c r="BQ280" s="78">
        <f t="shared" si="250"/>
        <v>55</v>
      </c>
      <c r="BR280" s="79">
        <f t="shared" si="217"/>
        <v>1.1000000000000001</v>
      </c>
      <c r="BS280" s="102">
        <v>811622.84</v>
      </c>
      <c r="BT280" s="102">
        <v>37237.5</v>
      </c>
      <c r="BU280" s="103">
        <f t="shared" si="251"/>
        <v>774385.34</v>
      </c>
      <c r="BV280" s="77">
        <f t="shared" si="252"/>
        <v>0.16733095945470974</v>
      </c>
      <c r="BW280" s="96">
        <f t="shared" si="253"/>
        <v>5.0508176117342298</v>
      </c>
      <c r="BX280" s="96">
        <f t="shared" si="254"/>
        <v>23.84844188299223</v>
      </c>
      <c r="BY280" s="96">
        <f t="shared" si="255"/>
        <v>6.9871618081220923</v>
      </c>
      <c r="BZ280" s="96">
        <f t="shared" si="256"/>
        <v>75.769985914872109</v>
      </c>
      <c r="CA280" s="96">
        <f t="shared" si="257"/>
        <v>40</v>
      </c>
      <c r="CB280" s="104">
        <f t="shared" si="258"/>
        <v>0.8</v>
      </c>
      <c r="CC280" s="105">
        <f t="shared" si="218"/>
        <v>17.307078942743178</v>
      </c>
      <c r="CD280" s="106">
        <f t="shared" si="219"/>
        <v>93.854115976353071</v>
      </c>
      <c r="CE280" s="107">
        <f t="shared" si="220"/>
        <v>1.407811739645296</v>
      </c>
      <c r="CF280" s="108" t="s">
        <v>2189</v>
      </c>
      <c r="CG280" s="108" t="s">
        <v>2189</v>
      </c>
      <c r="CH280" s="108" t="s">
        <v>2189</v>
      </c>
      <c r="CI280" s="108" t="s">
        <v>2189</v>
      </c>
      <c r="CJ280" s="109"/>
      <c r="CK280" s="116" t="s">
        <v>2192</v>
      </c>
      <c r="CL280" s="116" t="s">
        <v>2193</v>
      </c>
      <c r="CM280" s="111">
        <f t="shared" si="259"/>
        <v>25</v>
      </c>
      <c r="CN280" s="107">
        <f t="shared" si="221"/>
        <v>0.375</v>
      </c>
      <c r="CO280" s="114">
        <v>353432000</v>
      </c>
      <c r="CP280" s="88">
        <f t="shared" si="260"/>
        <v>46.525098275272647</v>
      </c>
      <c r="CQ280" s="78">
        <f t="shared" si="261"/>
        <v>40</v>
      </c>
      <c r="CR280" s="79">
        <f t="shared" si="222"/>
        <v>1.2</v>
      </c>
      <c r="CS280" s="92">
        <f>_xlfn.XLOOKUP(C280, '[1]1-1. 관계사체무보증금액 (환율 등)'!$3:$3, '[1]1-1. 관계사체무보증금액 (환율 등)'!$33:$33)</f>
        <v>0</v>
      </c>
      <c r="CT280" s="77">
        <f t="shared" si="262"/>
        <v>0</v>
      </c>
      <c r="CU280" s="78">
        <f t="shared" si="263"/>
        <v>100</v>
      </c>
      <c r="CV280" s="79">
        <f t="shared" si="223"/>
        <v>2</v>
      </c>
      <c r="CW280" s="112">
        <f t="shared" si="264"/>
        <v>16.562993169705013</v>
      </c>
    </row>
    <row r="281" spans="1:101" x14ac:dyDescent="0.35">
      <c r="A281" s="7" t="s">
        <v>1749</v>
      </c>
      <c r="B281" s="8" t="s">
        <v>1750</v>
      </c>
      <c r="C281" s="21" t="s">
        <v>1751</v>
      </c>
      <c r="D281" s="10" t="s">
        <v>141</v>
      </c>
      <c r="E281" s="11" t="s">
        <v>356</v>
      </c>
      <c r="F281" s="11" t="s">
        <v>1752</v>
      </c>
      <c r="G281" s="12">
        <v>32052</v>
      </c>
      <c r="H281" s="11" t="s">
        <v>24</v>
      </c>
      <c r="I281" s="11" t="s">
        <v>1753</v>
      </c>
      <c r="J281" s="11" t="s">
        <v>1754</v>
      </c>
      <c r="K281" s="11" t="s">
        <v>394</v>
      </c>
      <c r="L281" s="23">
        <v>486136593</v>
      </c>
      <c r="M281" s="14">
        <v>256604490</v>
      </c>
      <c r="N281" s="14">
        <v>229532103</v>
      </c>
      <c r="O281" s="14">
        <v>766770906</v>
      </c>
      <c r="P281" s="14">
        <v>14724318</v>
      </c>
      <c r="Q281" s="14">
        <v>26927489</v>
      </c>
      <c r="R281" s="14">
        <v>22719488</v>
      </c>
      <c r="S281" s="15">
        <v>30450420</v>
      </c>
      <c r="T281" s="15">
        <v>0</v>
      </c>
      <c r="U281" s="15">
        <v>7151285</v>
      </c>
      <c r="V281" s="15">
        <f>3399635+1133210*2</f>
        <v>5666055</v>
      </c>
      <c r="W281" s="15">
        <v>0</v>
      </c>
      <c r="X281" s="15">
        <v>0</v>
      </c>
      <c r="Z281" s="15">
        <v>0</v>
      </c>
      <c r="AA281" s="15">
        <v>0</v>
      </c>
      <c r="AB281" s="74">
        <f t="shared" si="224"/>
        <v>12817340</v>
      </c>
      <c r="AC281" s="75">
        <f t="shared" si="225"/>
        <v>42.092490021484103</v>
      </c>
      <c r="AD281" s="75">
        <f t="shared" si="226"/>
        <v>63.757920004472872</v>
      </c>
      <c r="AE281" s="76">
        <f t="shared" si="212"/>
        <v>1.912737600134186</v>
      </c>
      <c r="AF281" s="77">
        <f t="shared" si="227"/>
        <v>42.092490021484103</v>
      </c>
      <c r="AG281" s="77">
        <f t="shared" si="228"/>
        <v>42.092490021484103</v>
      </c>
      <c r="AH281" s="77">
        <f t="shared" si="229"/>
        <v>0</v>
      </c>
      <c r="AI281" s="78">
        <f t="shared" si="230"/>
        <v>100</v>
      </c>
      <c r="AJ281" s="79">
        <f t="shared" si="213"/>
        <v>4</v>
      </c>
      <c r="AK281" s="113">
        <v>5</v>
      </c>
      <c r="AL281" s="113">
        <v>12</v>
      </c>
      <c r="AM281" s="113">
        <v>1</v>
      </c>
      <c r="AN281" s="81">
        <f t="shared" si="231"/>
        <v>17</v>
      </c>
      <c r="AO281" s="82">
        <f t="shared" si="232"/>
        <v>5.8823529411764701</v>
      </c>
      <c r="AP281" s="83">
        <f t="shared" si="233"/>
        <v>100</v>
      </c>
      <c r="AQ281" s="84">
        <f t="shared" si="214"/>
        <v>2</v>
      </c>
      <c r="AR281" s="118">
        <v>1</v>
      </c>
      <c r="AS281" s="86">
        <f t="shared" si="234"/>
        <v>0.25</v>
      </c>
      <c r="AT281" s="87">
        <f t="shared" si="235"/>
        <v>1.25</v>
      </c>
      <c r="AU281" s="87">
        <f t="shared" si="236"/>
        <v>1</v>
      </c>
      <c r="AV281" s="88">
        <f t="shared" si="237"/>
        <v>0</v>
      </c>
      <c r="AW281" s="78">
        <f t="shared" si="238"/>
        <v>40</v>
      </c>
      <c r="AX281" s="89">
        <f t="shared" si="215"/>
        <v>0.4</v>
      </c>
      <c r="AY281" s="114">
        <v>43</v>
      </c>
      <c r="AZ281" s="114">
        <v>43</v>
      </c>
      <c r="BA281" s="91">
        <f t="shared" si="239"/>
        <v>43</v>
      </c>
      <c r="BB281" s="77">
        <f t="shared" si="240"/>
        <v>100</v>
      </c>
      <c r="BC281" s="78">
        <f t="shared" si="241"/>
        <v>100</v>
      </c>
      <c r="BD281" s="79">
        <f t="shared" si="216"/>
        <v>1</v>
      </c>
      <c r="BE281" s="92">
        <v>7700205</v>
      </c>
      <c r="BF281" s="92">
        <v>501460</v>
      </c>
      <c r="BG281" s="114">
        <v>261473</v>
      </c>
      <c r="BH281" s="94">
        <f t="shared" si="242"/>
        <v>8201665</v>
      </c>
      <c r="BI281" s="77">
        <f t="shared" si="243"/>
        <v>3.1880477927347681</v>
      </c>
      <c r="BJ281" s="95" t="str">
        <f t="shared" si="244"/>
        <v>전기전자/기계업</v>
      </c>
      <c r="BK281" s="96">
        <f t="shared" si="245"/>
        <v>2.4096449716116446</v>
      </c>
      <c r="BL281" s="97">
        <f t="shared" si="246"/>
        <v>0.77840282112312353</v>
      </c>
      <c r="BM281" s="98">
        <f t="shared" si="247"/>
        <v>60</v>
      </c>
      <c r="BN281" s="99">
        <f t="shared" si="248"/>
        <v>1.2</v>
      </c>
      <c r="BO281" s="114">
        <v>6522187.4359999998</v>
      </c>
      <c r="BP281" s="101">
        <f t="shared" si="249"/>
        <v>0.85060444846873207</v>
      </c>
      <c r="BQ281" s="78">
        <f t="shared" si="250"/>
        <v>70</v>
      </c>
      <c r="BR281" s="79">
        <f t="shared" si="217"/>
        <v>1.4000000000000001</v>
      </c>
      <c r="BS281" s="102">
        <v>22085182.816</v>
      </c>
      <c r="BT281" s="102">
        <v>247707.50099999999</v>
      </c>
      <c r="BU281" s="103">
        <f t="shared" si="251"/>
        <v>21837475.315000001</v>
      </c>
      <c r="BV281" s="77">
        <f t="shared" si="252"/>
        <v>2.8479791218108637</v>
      </c>
      <c r="BW281" s="96">
        <f t="shared" si="253"/>
        <v>5.2309968128308295</v>
      </c>
      <c r="BX281" s="96">
        <f t="shared" si="254"/>
        <v>5.6787733157141291</v>
      </c>
      <c r="BY281" s="96">
        <f t="shared" si="255"/>
        <v>7.0695458012309631</v>
      </c>
      <c r="BZ281" s="96">
        <f t="shared" si="256"/>
        <v>63.197251309266854</v>
      </c>
      <c r="CA281" s="96">
        <f t="shared" si="257"/>
        <v>40</v>
      </c>
      <c r="CB281" s="104">
        <f t="shared" si="258"/>
        <v>0.8</v>
      </c>
      <c r="CC281" s="105">
        <f t="shared" si="218"/>
        <v>111.79459720281481</v>
      </c>
      <c r="CD281" s="106">
        <f t="shared" si="219"/>
        <v>58.243242260245673</v>
      </c>
      <c r="CE281" s="107">
        <f t="shared" si="220"/>
        <v>0.87364863390368508</v>
      </c>
      <c r="CF281" s="108" t="s">
        <v>2189</v>
      </c>
      <c r="CG281" s="108" t="s">
        <v>2189</v>
      </c>
      <c r="CH281" s="108" t="s">
        <v>2189</v>
      </c>
      <c r="CI281" s="108" t="s">
        <v>2189</v>
      </c>
      <c r="CJ281" s="109"/>
      <c r="CK281" s="116" t="s">
        <v>2211</v>
      </c>
      <c r="CL281" s="116" t="s">
        <v>2193</v>
      </c>
      <c r="CM281" s="111">
        <f t="shared" si="259"/>
        <v>25</v>
      </c>
      <c r="CN281" s="107">
        <f t="shared" si="221"/>
        <v>0.375</v>
      </c>
      <c r="CO281" s="114">
        <v>30588000</v>
      </c>
      <c r="CP281" s="88">
        <f t="shared" si="260"/>
        <v>13.326240469290696</v>
      </c>
      <c r="CQ281" s="78">
        <f t="shared" si="261"/>
        <v>60</v>
      </c>
      <c r="CR281" s="79">
        <f t="shared" si="222"/>
        <v>1.7999999999999998</v>
      </c>
      <c r="CS281" s="92">
        <f>_xlfn.XLOOKUP(C281, '[1]1-1. 관계사체무보증금액 (환율 등)'!$3:$3, '[1]1-1. 관계사체무보증금액 (환율 등)'!$33:$33)</f>
        <v>223168612.53532797</v>
      </c>
      <c r="CT281" s="77">
        <f t="shared" si="262"/>
        <v>97.227625076622928</v>
      </c>
      <c r="CU281" s="78">
        <f t="shared" si="263"/>
        <v>40</v>
      </c>
      <c r="CV281" s="79">
        <f t="shared" si="223"/>
        <v>0.8</v>
      </c>
      <c r="CW281" s="112">
        <f t="shared" si="264"/>
        <v>16.561386234037872</v>
      </c>
    </row>
    <row r="282" spans="1:101" x14ac:dyDescent="0.35">
      <c r="A282" s="7" t="s">
        <v>1400</v>
      </c>
      <c r="B282" s="8" t="s">
        <v>1401</v>
      </c>
      <c r="C282" s="21" t="s">
        <v>1402</v>
      </c>
      <c r="D282" s="22" t="s">
        <v>141</v>
      </c>
      <c r="E282" s="11" t="s">
        <v>356</v>
      </c>
      <c r="F282" s="11" t="s">
        <v>1403</v>
      </c>
      <c r="G282" s="12">
        <v>38251</v>
      </c>
      <c r="H282" s="11" t="s">
        <v>24</v>
      </c>
      <c r="I282" s="11" t="s">
        <v>1404</v>
      </c>
      <c r="J282" s="11" t="s">
        <v>1405</v>
      </c>
      <c r="K282" s="11" t="s">
        <v>27</v>
      </c>
      <c r="L282" s="23">
        <v>233019596</v>
      </c>
      <c r="M282" s="14">
        <v>132560660</v>
      </c>
      <c r="N282" s="14">
        <v>100458936</v>
      </c>
      <c r="O282" s="14">
        <v>236142858</v>
      </c>
      <c r="P282" s="14">
        <v>7431623</v>
      </c>
      <c r="Q282" s="14">
        <v>7265559</v>
      </c>
      <c r="R282" s="14">
        <v>6211434</v>
      </c>
      <c r="S282" s="15">
        <v>10000000</v>
      </c>
      <c r="T282" s="15">
        <v>0</v>
      </c>
      <c r="U282" s="15">
        <f>2000000</f>
        <v>2000000</v>
      </c>
      <c r="V282" s="15">
        <f>170500+1317670</f>
        <v>1488170</v>
      </c>
      <c r="W282" s="15">
        <f>280000</f>
        <v>280000</v>
      </c>
      <c r="X282" s="15">
        <v>0</v>
      </c>
      <c r="Z282" s="15">
        <f>1300000+100000</f>
        <v>1400000</v>
      </c>
      <c r="AA282" s="15">
        <v>0</v>
      </c>
      <c r="AB282" s="74">
        <f t="shared" si="224"/>
        <v>5168170</v>
      </c>
      <c r="AC282" s="75">
        <f t="shared" si="225"/>
        <v>51.681699999999999</v>
      </c>
      <c r="AD282" s="75">
        <f t="shared" si="226"/>
        <v>55.481846950517841</v>
      </c>
      <c r="AE282" s="76">
        <f t="shared" si="212"/>
        <v>1.6644554085155352</v>
      </c>
      <c r="AF282" s="77">
        <f t="shared" si="227"/>
        <v>34.881700000000002</v>
      </c>
      <c r="AG282" s="77">
        <f t="shared" si="228"/>
        <v>51.681699999999999</v>
      </c>
      <c r="AH282" s="77">
        <f t="shared" si="229"/>
        <v>16.799999999999997</v>
      </c>
      <c r="AI282" s="78">
        <f t="shared" si="230"/>
        <v>80</v>
      </c>
      <c r="AJ282" s="79">
        <f t="shared" si="213"/>
        <v>3.2</v>
      </c>
      <c r="AK282" s="113">
        <v>5</v>
      </c>
      <c r="AL282" s="113">
        <v>15</v>
      </c>
      <c r="AM282" s="113">
        <v>3</v>
      </c>
      <c r="AN282" s="81">
        <f t="shared" si="231"/>
        <v>20</v>
      </c>
      <c r="AO282" s="82">
        <f t="shared" si="232"/>
        <v>15</v>
      </c>
      <c r="AP282" s="83">
        <f t="shared" si="233"/>
        <v>80</v>
      </c>
      <c r="AQ282" s="84">
        <f t="shared" si="214"/>
        <v>1.6</v>
      </c>
      <c r="AR282" s="118">
        <v>3</v>
      </c>
      <c r="AS282" s="86">
        <f t="shared" si="234"/>
        <v>0.25</v>
      </c>
      <c r="AT282" s="87">
        <f t="shared" si="235"/>
        <v>1.25</v>
      </c>
      <c r="AU282" s="87">
        <f t="shared" si="236"/>
        <v>1</v>
      </c>
      <c r="AV282" s="88">
        <f t="shared" si="237"/>
        <v>40</v>
      </c>
      <c r="AW282" s="78">
        <f t="shared" si="238"/>
        <v>100</v>
      </c>
      <c r="AX282" s="89">
        <f t="shared" si="215"/>
        <v>1</v>
      </c>
      <c r="AY282" s="114">
        <v>10</v>
      </c>
      <c r="AZ282" s="114">
        <f>30-5</f>
        <v>25</v>
      </c>
      <c r="BA282" s="91">
        <f t="shared" si="239"/>
        <v>30</v>
      </c>
      <c r="BB282" s="77">
        <f t="shared" si="240"/>
        <v>83.333333333333343</v>
      </c>
      <c r="BC282" s="78">
        <f t="shared" si="241"/>
        <v>75</v>
      </c>
      <c r="BD282" s="79">
        <f t="shared" si="216"/>
        <v>0.75</v>
      </c>
      <c r="BE282" s="92">
        <v>8443478</v>
      </c>
      <c r="BF282" s="92">
        <v>899375</v>
      </c>
      <c r="BG282" s="114">
        <v>253958</v>
      </c>
      <c r="BH282" s="94">
        <f t="shared" si="242"/>
        <v>9342853</v>
      </c>
      <c r="BI282" s="77">
        <f t="shared" si="243"/>
        <v>2.7182060982871077</v>
      </c>
      <c r="BJ282" s="95" t="str">
        <f t="shared" si="244"/>
        <v>전기전자/기계업</v>
      </c>
      <c r="BK282" s="96">
        <f t="shared" si="245"/>
        <v>2.4096449716116446</v>
      </c>
      <c r="BL282" s="97">
        <f t="shared" si="246"/>
        <v>0.30856112667546309</v>
      </c>
      <c r="BM282" s="98">
        <f t="shared" si="247"/>
        <v>60</v>
      </c>
      <c r="BN282" s="99">
        <f t="shared" si="248"/>
        <v>1.2</v>
      </c>
      <c r="BO282" s="114">
        <v>15163247.431</v>
      </c>
      <c r="BP282" s="101">
        <f t="shared" si="249"/>
        <v>6.4212178845569827</v>
      </c>
      <c r="BQ282" s="78">
        <f t="shared" si="250"/>
        <v>100</v>
      </c>
      <c r="BR282" s="79">
        <f t="shared" si="217"/>
        <v>2</v>
      </c>
      <c r="BS282" s="102">
        <v>29207206.888999999</v>
      </c>
      <c r="BT282" s="102">
        <v>267141.92800000001</v>
      </c>
      <c r="BU282" s="103">
        <f t="shared" si="251"/>
        <v>28940064.960999999</v>
      </c>
      <c r="BV282" s="77">
        <f t="shared" si="252"/>
        <v>12.255320870640093</v>
      </c>
      <c r="BW282" s="96">
        <f t="shared" si="253"/>
        <v>5.2309968128308295</v>
      </c>
      <c r="BX282" s="96">
        <f t="shared" si="254"/>
        <v>49.34112846911799</v>
      </c>
      <c r="BY282" s="96">
        <f t="shared" si="255"/>
        <v>7.0695458012309631</v>
      </c>
      <c r="BZ282" s="96">
        <f t="shared" si="256"/>
        <v>16.020801778653393</v>
      </c>
      <c r="CA282" s="96">
        <f t="shared" si="257"/>
        <v>70</v>
      </c>
      <c r="CB282" s="104">
        <f t="shared" si="258"/>
        <v>1.4000000000000001</v>
      </c>
      <c r="CC282" s="105">
        <f t="shared" si="218"/>
        <v>131.95507067683855</v>
      </c>
      <c r="CD282" s="106">
        <f t="shared" si="219"/>
        <v>50.645073865513112</v>
      </c>
      <c r="CE282" s="107">
        <f t="shared" si="220"/>
        <v>0.75967610798269669</v>
      </c>
      <c r="CF282" s="108" t="s">
        <v>2189</v>
      </c>
      <c r="CG282" s="108" t="s">
        <v>2189</v>
      </c>
      <c r="CH282" s="108" t="s">
        <v>2189</v>
      </c>
      <c r="CI282" s="108" t="s">
        <v>2189</v>
      </c>
      <c r="CJ282" s="109"/>
      <c r="CK282" s="116" t="s">
        <v>2192</v>
      </c>
      <c r="CL282" s="116" t="s">
        <v>2193</v>
      </c>
      <c r="CM282" s="111">
        <f t="shared" si="259"/>
        <v>25</v>
      </c>
      <c r="CN282" s="107">
        <f t="shared" si="221"/>
        <v>0.375</v>
      </c>
      <c r="CO282" s="114">
        <v>30184755</v>
      </c>
      <c r="CP282" s="88">
        <f t="shared" si="260"/>
        <v>30.046859146507387</v>
      </c>
      <c r="CQ282" s="78">
        <f t="shared" si="261"/>
        <v>60</v>
      </c>
      <c r="CR282" s="79">
        <f t="shared" si="222"/>
        <v>1.7999999999999998</v>
      </c>
      <c r="CS282" s="92">
        <f>_xlfn.XLOOKUP(C282, '[1]1-1. 관계사체무보증금액 (환율 등)'!$3:$3, '[1]1-1. 관계사체무보증금액 (환율 등)'!$33:$33)</f>
        <v>84219780.424843714</v>
      </c>
      <c r="CT282" s="77">
        <f t="shared" si="262"/>
        <v>83.835031285662538</v>
      </c>
      <c r="CU282" s="78">
        <f t="shared" si="263"/>
        <v>40</v>
      </c>
      <c r="CV282" s="79">
        <f t="shared" si="223"/>
        <v>0.8</v>
      </c>
      <c r="CW282" s="112">
        <f t="shared" si="264"/>
        <v>16.549131516498232</v>
      </c>
    </row>
    <row r="283" spans="1:101" x14ac:dyDescent="0.35">
      <c r="A283" s="7" t="s">
        <v>1046</v>
      </c>
      <c r="B283" s="8" t="s">
        <v>1047</v>
      </c>
      <c r="C283" s="21" t="s">
        <v>1048</v>
      </c>
      <c r="D283" s="22" t="s">
        <v>75</v>
      </c>
      <c r="E283" s="11" t="s">
        <v>390</v>
      </c>
      <c r="F283" s="11" t="s">
        <v>1049</v>
      </c>
      <c r="G283" s="12">
        <v>34929</v>
      </c>
      <c r="H283" s="11" t="s">
        <v>24</v>
      </c>
      <c r="I283" s="11" t="s">
        <v>1050</v>
      </c>
      <c r="J283" s="191" t="s">
        <v>1051</v>
      </c>
      <c r="K283" s="11" t="s">
        <v>27</v>
      </c>
      <c r="L283" s="23">
        <v>1847155998</v>
      </c>
      <c r="M283" s="14">
        <v>810732237</v>
      </c>
      <c r="N283" s="14">
        <v>1036423762</v>
      </c>
      <c r="O283" s="14">
        <v>1716610303</v>
      </c>
      <c r="P283" s="14">
        <v>2873932</v>
      </c>
      <c r="Q283" s="14">
        <v>21741733</v>
      </c>
      <c r="R283" s="14">
        <v>17341286</v>
      </c>
      <c r="S283" s="15">
        <v>5000000</v>
      </c>
      <c r="T283" s="15">
        <v>1117208</v>
      </c>
      <c r="U283" s="15">
        <f>1313725+576946</f>
        <v>1890671</v>
      </c>
      <c r="V283" s="15">
        <f>1125+1064+42093+24583+24550+24523</f>
        <v>117938</v>
      </c>
      <c r="W283" s="15">
        <f>712+1532+1146+46+834+1215+14*2+200+146+700+151+38+500+852+664</f>
        <v>8764</v>
      </c>
      <c r="X283" s="15">
        <v>0</v>
      </c>
      <c r="Z283" s="15">
        <f>880000+511</f>
        <v>880511</v>
      </c>
      <c r="AA283" s="15">
        <v>0</v>
      </c>
      <c r="AB283" s="74">
        <f t="shared" si="224"/>
        <v>2897884</v>
      </c>
      <c r="AC283" s="75">
        <f t="shared" si="225"/>
        <v>57.957680000000003</v>
      </c>
      <c r="AD283" s="75">
        <f t="shared" si="226"/>
        <v>50.065293440736482</v>
      </c>
      <c r="AE283" s="76">
        <f t="shared" si="212"/>
        <v>1.5019588032220945</v>
      </c>
      <c r="AF283" s="77">
        <f t="shared" si="227"/>
        <v>51.731048173582309</v>
      </c>
      <c r="AG283" s="77">
        <f t="shared" si="228"/>
        <v>74.634026236790433</v>
      </c>
      <c r="AH283" s="77">
        <f t="shared" si="229"/>
        <v>22.902978063208124</v>
      </c>
      <c r="AI283" s="78">
        <f t="shared" si="230"/>
        <v>80</v>
      </c>
      <c r="AJ283" s="79">
        <f t="shared" si="213"/>
        <v>3.2</v>
      </c>
      <c r="AK283" s="113">
        <v>7</v>
      </c>
      <c r="AL283" s="113">
        <v>8</v>
      </c>
      <c r="AM283" s="113">
        <v>1</v>
      </c>
      <c r="AN283" s="81">
        <f t="shared" si="231"/>
        <v>15</v>
      </c>
      <c r="AO283" s="82">
        <f t="shared" si="232"/>
        <v>6.666666666666667</v>
      </c>
      <c r="AP283" s="83">
        <f t="shared" si="233"/>
        <v>100</v>
      </c>
      <c r="AQ283" s="84">
        <f t="shared" si="214"/>
        <v>2</v>
      </c>
      <c r="AR283" s="118">
        <v>3</v>
      </c>
      <c r="AS283" s="86">
        <f t="shared" si="234"/>
        <v>0.25</v>
      </c>
      <c r="AT283" s="87">
        <f t="shared" si="235"/>
        <v>1.75</v>
      </c>
      <c r="AU283" s="87">
        <f t="shared" si="236"/>
        <v>1</v>
      </c>
      <c r="AV283" s="88">
        <f t="shared" si="237"/>
        <v>28.571428571428569</v>
      </c>
      <c r="AW283" s="78">
        <f t="shared" si="238"/>
        <v>80</v>
      </c>
      <c r="AX283" s="89">
        <f t="shared" si="215"/>
        <v>0.8</v>
      </c>
      <c r="AY283" s="114">
        <v>14</v>
      </c>
      <c r="AZ283" s="114">
        <f>14*3</f>
        <v>42</v>
      </c>
      <c r="BA283" s="91">
        <f t="shared" si="239"/>
        <v>42</v>
      </c>
      <c r="BB283" s="77">
        <f t="shared" si="240"/>
        <v>100</v>
      </c>
      <c r="BC283" s="78">
        <f t="shared" si="241"/>
        <v>100</v>
      </c>
      <c r="BD283" s="79">
        <f t="shared" si="216"/>
        <v>1</v>
      </c>
      <c r="BE283" s="92">
        <v>53228376</v>
      </c>
      <c r="BF283" s="92">
        <v>4538287</v>
      </c>
      <c r="BG283" s="114">
        <v>4538287</v>
      </c>
      <c r="BH283" s="94">
        <f t="shared" si="242"/>
        <v>57766663</v>
      </c>
      <c r="BI283" s="77">
        <f t="shared" si="243"/>
        <v>7.8562388137254873</v>
      </c>
      <c r="BJ283" s="95" t="str">
        <f t="shared" si="244"/>
        <v>금속/비금속/화학업</v>
      </c>
      <c r="BK283" s="96">
        <f t="shared" si="245"/>
        <v>3.9534118626990469</v>
      </c>
      <c r="BL283" s="97">
        <f t="shared" si="246"/>
        <v>3.9028269510264404</v>
      </c>
      <c r="BM283" s="98">
        <f t="shared" si="247"/>
        <v>40</v>
      </c>
      <c r="BN283" s="99">
        <f t="shared" si="248"/>
        <v>0.8</v>
      </c>
      <c r="BO283" s="114">
        <v>0</v>
      </c>
      <c r="BP283" s="101">
        <f t="shared" si="249"/>
        <v>0</v>
      </c>
      <c r="BQ283" s="78">
        <f t="shared" si="250"/>
        <v>25</v>
      </c>
      <c r="BR283" s="79">
        <f t="shared" si="217"/>
        <v>0.5</v>
      </c>
      <c r="BS283" s="102">
        <v>28453175</v>
      </c>
      <c r="BT283" s="102">
        <v>481754</v>
      </c>
      <c r="BU283" s="103">
        <f t="shared" si="251"/>
        <v>27971421</v>
      </c>
      <c r="BV283" s="77">
        <f t="shared" si="252"/>
        <v>1.6294566653314559</v>
      </c>
      <c r="BW283" s="96">
        <f t="shared" si="253"/>
        <v>5.1474158565187738</v>
      </c>
      <c r="BX283" s="96">
        <f t="shared" si="254"/>
        <v>12.376036870859327</v>
      </c>
      <c r="BY283" s="96">
        <f t="shared" si="255"/>
        <v>6.6930498535228535</v>
      </c>
      <c r="BZ283" s="96">
        <f t="shared" si="256"/>
        <v>70.042170762176113</v>
      </c>
      <c r="CA283" s="96">
        <f t="shared" si="257"/>
        <v>40</v>
      </c>
      <c r="CB283" s="104">
        <f t="shared" si="258"/>
        <v>0.8</v>
      </c>
      <c r="CC283" s="105">
        <f t="shared" si="218"/>
        <v>78.224010942736371</v>
      </c>
      <c r="CD283" s="106">
        <f t="shared" si="219"/>
        <v>70.895473262787803</v>
      </c>
      <c r="CE283" s="107">
        <f t="shared" si="220"/>
        <v>1.0634320989418171</v>
      </c>
      <c r="CF283" s="108" t="s">
        <v>2189</v>
      </c>
      <c r="CG283" s="108" t="s">
        <v>2189</v>
      </c>
      <c r="CH283" s="108" t="s">
        <v>2189</v>
      </c>
      <c r="CI283" s="108" t="s">
        <v>2189</v>
      </c>
      <c r="CJ283" s="109"/>
      <c r="CK283" s="116" t="s">
        <v>2207</v>
      </c>
      <c r="CL283" s="116" t="s">
        <v>2204</v>
      </c>
      <c r="CM283" s="111">
        <f t="shared" si="259"/>
        <v>70</v>
      </c>
      <c r="CN283" s="107">
        <f t="shared" si="221"/>
        <v>1.05</v>
      </c>
      <c r="CO283" s="114">
        <v>130415000</v>
      </c>
      <c r="CP283" s="88">
        <f t="shared" si="260"/>
        <v>12.583173483820605</v>
      </c>
      <c r="CQ283" s="78">
        <f t="shared" si="261"/>
        <v>60</v>
      </c>
      <c r="CR283" s="79">
        <f t="shared" si="222"/>
        <v>1.7999999999999998</v>
      </c>
      <c r="CS283" s="92">
        <f>_xlfn.XLOOKUP(C283, '[1]1-1. 관계사체무보증금액 (환율 등)'!$3:$3, '[1]1-1. 관계사체무보증금액 (환율 등)'!$33:$33)</f>
        <v>900000</v>
      </c>
      <c r="CT283" s="77">
        <f t="shared" si="262"/>
        <v>8.6837067326906769E-2</v>
      </c>
      <c r="CU283" s="78">
        <f t="shared" si="263"/>
        <v>100</v>
      </c>
      <c r="CV283" s="79">
        <f t="shared" si="223"/>
        <v>2</v>
      </c>
      <c r="CW283" s="112">
        <f t="shared" si="264"/>
        <v>16.515390902163915</v>
      </c>
    </row>
    <row r="284" spans="1:101" x14ac:dyDescent="0.35">
      <c r="A284" s="7" t="s">
        <v>1216</v>
      </c>
      <c r="B284" s="8" t="s">
        <v>1217</v>
      </c>
      <c r="C284" s="21" t="s">
        <v>1218</v>
      </c>
      <c r="D284" s="10" t="s">
        <v>21</v>
      </c>
      <c r="E284" s="11" t="s">
        <v>134</v>
      </c>
      <c r="F284" s="11" t="s">
        <v>1219</v>
      </c>
      <c r="G284" s="12">
        <v>40389</v>
      </c>
      <c r="H284" s="11" t="s">
        <v>24</v>
      </c>
      <c r="I284" s="11" t="s">
        <v>1220</v>
      </c>
      <c r="J284" s="11" t="s">
        <v>1221</v>
      </c>
      <c r="K284" s="11" t="s">
        <v>27</v>
      </c>
      <c r="L284" s="23">
        <v>825178689</v>
      </c>
      <c r="M284" s="14">
        <v>439685810</v>
      </c>
      <c r="N284" s="14">
        <v>385492879</v>
      </c>
      <c r="O284" s="14">
        <v>2678991235</v>
      </c>
      <c r="P284" s="14">
        <v>35714794</v>
      </c>
      <c r="Q284" s="14">
        <v>39761445</v>
      </c>
      <c r="R284" s="14">
        <v>36294420</v>
      </c>
      <c r="S284" s="15">
        <v>33428840</v>
      </c>
      <c r="T284" s="15">
        <v>1964500</v>
      </c>
      <c r="U284" s="15">
        <v>14380000</v>
      </c>
      <c r="V284" s="15">
        <v>0</v>
      </c>
      <c r="W284" s="15">
        <f>30000+2000</f>
        <v>32000</v>
      </c>
      <c r="X284" s="15">
        <v>0</v>
      </c>
      <c r="Z284" s="15">
        <v>0</v>
      </c>
      <c r="AA284" s="15">
        <v>0</v>
      </c>
      <c r="AB284" s="74">
        <f t="shared" si="224"/>
        <v>14412000</v>
      </c>
      <c r="AC284" s="75">
        <f t="shared" si="225"/>
        <v>43.112474139096662</v>
      </c>
      <c r="AD284" s="75">
        <f t="shared" si="226"/>
        <v>62.877611502505765</v>
      </c>
      <c r="AE284" s="76">
        <f t="shared" si="212"/>
        <v>1.8863283450751729</v>
      </c>
      <c r="AF284" s="77">
        <f t="shared" si="227"/>
        <v>45.702531818560317</v>
      </c>
      <c r="AG284" s="77">
        <f t="shared" si="228"/>
        <v>45.804234253761564</v>
      </c>
      <c r="AH284" s="77">
        <f t="shared" si="229"/>
        <v>0.101702435201247</v>
      </c>
      <c r="AI284" s="78">
        <f t="shared" si="230"/>
        <v>100</v>
      </c>
      <c r="AJ284" s="79">
        <f t="shared" si="213"/>
        <v>4</v>
      </c>
      <c r="AK284" s="113">
        <v>6</v>
      </c>
      <c r="AL284" s="113">
        <v>9</v>
      </c>
      <c r="AM284" s="80">
        <v>1</v>
      </c>
      <c r="AN284" s="81">
        <f t="shared" si="231"/>
        <v>15</v>
      </c>
      <c r="AO284" s="82">
        <f t="shared" si="232"/>
        <v>6.666666666666667</v>
      </c>
      <c r="AP284" s="83">
        <f t="shared" si="233"/>
        <v>100</v>
      </c>
      <c r="AQ284" s="84">
        <f t="shared" si="214"/>
        <v>2</v>
      </c>
      <c r="AR284" s="118">
        <v>3</v>
      </c>
      <c r="AS284" s="86">
        <f t="shared" si="234"/>
        <v>0.25</v>
      </c>
      <c r="AT284" s="87">
        <f t="shared" si="235"/>
        <v>1.5</v>
      </c>
      <c r="AU284" s="87">
        <f t="shared" si="236"/>
        <v>1</v>
      </c>
      <c r="AV284" s="88">
        <f t="shared" si="237"/>
        <v>33.333333333333329</v>
      </c>
      <c r="AW284" s="78">
        <f t="shared" si="238"/>
        <v>80</v>
      </c>
      <c r="AX284" s="89">
        <f t="shared" si="215"/>
        <v>0.8</v>
      </c>
      <c r="AY284" s="114">
        <v>8</v>
      </c>
      <c r="AZ284" s="114">
        <f>23</f>
        <v>23</v>
      </c>
      <c r="BA284" s="91">
        <f t="shared" si="239"/>
        <v>24</v>
      </c>
      <c r="BB284" s="77">
        <f t="shared" si="240"/>
        <v>95.833333333333343</v>
      </c>
      <c r="BC284" s="78">
        <f t="shared" si="241"/>
        <v>100</v>
      </c>
      <c r="BD284" s="79">
        <f t="shared" si="216"/>
        <v>1</v>
      </c>
      <c r="BE284" s="92">
        <v>28436021</v>
      </c>
      <c r="BF284" s="92">
        <v>2434964</v>
      </c>
      <c r="BG284" s="114">
        <v>718512</v>
      </c>
      <c r="BH284" s="94">
        <f t="shared" si="242"/>
        <v>30870985</v>
      </c>
      <c r="BI284" s="77">
        <f t="shared" si="243"/>
        <v>2.3274670374139341</v>
      </c>
      <c r="BJ284" s="95" t="str">
        <f t="shared" si="244"/>
        <v>비제조/서비스업</v>
      </c>
      <c r="BK284" s="96">
        <f t="shared" si="245"/>
        <v>1.7464434573900922</v>
      </c>
      <c r="BL284" s="97">
        <f t="shared" si="246"/>
        <v>0.58102358002384191</v>
      </c>
      <c r="BM284" s="98">
        <f t="shared" si="247"/>
        <v>60</v>
      </c>
      <c r="BN284" s="99">
        <f t="shared" si="248"/>
        <v>1.2</v>
      </c>
      <c r="BO284" s="114">
        <v>0</v>
      </c>
      <c r="BP284" s="101">
        <f t="shared" si="249"/>
        <v>0</v>
      </c>
      <c r="BQ284" s="78">
        <f t="shared" si="250"/>
        <v>25</v>
      </c>
      <c r="BR284" s="79">
        <f t="shared" si="217"/>
        <v>0.5</v>
      </c>
      <c r="BS284" s="102">
        <v>2616420.9360000002</v>
      </c>
      <c r="BT284" s="102">
        <v>156113.64300000001</v>
      </c>
      <c r="BU284" s="103">
        <f t="shared" si="251"/>
        <v>2460307.2930000001</v>
      </c>
      <c r="BV284" s="77">
        <f t="shared" si="252"/>
        <v>9.183707885479514E-2</v>
      </c>
      <c r="BW284" s="96">
        <f t="shared" si="253"/>
        <v>2.8482825397737606</v>
      </c>
      <c r="BX284" s="96">
        <f t="shared" si="254"/>
        <v>7.5979915790207677</v>
      </c>
      <c r="BY284" s="96">
        <f t="shared" si="255"/>
        <v>5.5697595856656807</v>
      </c>
      <c r="BZ284" s="96">
        <f t="shared" si="256"/>
        <v>68.966283490919295</v>
      </c>
      <c r="CA284" s="96">
        <f t="shared" si="257"/>
        <v>40</v>
      </c>
      <c r="CB284" s="104">
        <f t="shared" si="258"/>
        <v>0.8</v>
      </c>
      <c r="CC284" s="105">
        <f t="shared" si="218"/>
        <v>114.05808873579737</v>
      </c>
      <c r="CD284" s="106">
        <f t="shared" si="219"/>
        <v>57.390167561885413</v>
      </c>
      <c r="CE284" s="107">
        <f t="shared" si="220"/>
        <v>0.86085251342828117</v>
      </c>
      <c r="CF284" s="108" t="s">
        <v>2189</v>
      </c>
      <c r="CG284" s="108" t="s">
        <v>2189</v>
      </c>
      <c r="CH284" s="108" t="s">
        <v>2189</v>
      </c>
      <c r="CI284" s="108" t="s">
        <v>2189</v>
      </c>
      <c r="CJ284" s="109"/>
      <c r="CK284" s="116" t="s">
        <v>2227</v>
      </c>
      <c r="CL284" s="116" t="s">
        <v>2204</v>
      </c>
      <c r="CM284" s="111">
        <f t="shared" si="259"/>
        <v>70</v>
      </c>
      <c r="CN284" s="107">
        <f t="shared" si="221"/>
        <v>1.05</v>
      </c>
      <c r="CO284" s="114">
        <v>155003000</v>
      </c>
      <c r="CP284" s="88">
        <f t="shared" si="260"/>
        <v>40.20904365395554</v>
      </c>
      <c r="CQ284" s="78">
        <f t="shared" si="261"/>
        <v>40</v>
      </c>
      <c r="CR284" s="79">
        <f t="shared" si="222"/>
        <v>1.2</v>
      </c>
      <c r="CS284" s="92">
        <f>_xlfn.XLOOKUP(C284, '[1]1-1. 관계사체무보증금액 (환율 등)'!$3:$3, '[1]1-1. 관계사체무보증금액 (환율 등)'!$33:$33)</f>
        <v>76252531.645569623</v>
      </c>
      <c r="CT284" s="77">
        <f t="shared" si="262"/>
        <v>19.780529239184631</v>
      </c>
      <c r="CU284" s="78">
        <f t="shared" si="263"/>
        <v>60</v>
      </c>
      <c r="CV284" s="79">
        <f t="shared" si="223"/>
        <v>1.2</v>
      </c>
      <c r="CW284" s="112">
        <f t="shared" si="264"/>
        <v>16.497180858503455</v>
      </c>
    </row>
    <row r="285" spans="1:101" x14ac:dyDescent="0.35">
      <c r="A285" s="7" t="s">
        <v>797</v>
      </c>
      <c r="B285" s="8" t="s">
        <v>798</v>
      </c>
      <c r="C285" s="21" t="s">
        <v>799</v>
      </c>
      <c r="D285" s="10" t="s">
        <v>75</v>
      </c>
      <c r="E285" s="11" t="s">
        <v>114</v>
      </c>
      <c r="F285" s="11" t="s">
        <v>800</v>
      </c>
      <c r="G285" s="12">
        <v>34643</v>
      </c>
      <c r="H285" s="11" t="s">
        <v>24</v>
      </c>
      <c r="I285" s="11" t="s">
        <v>271</v>
      </c>
      <c r="J285" s="11" t="s">
        <v>801</v>
      </c>
      <c r="K285" s="11" t="s">
        <v>27</v>
      </c>
      <c r="L285" s="23">
        <v>206906858</v>
      </c>
      <c r="M285" s="14">
        <v>39013430</v>
      </c>
      <c r="N285" s="14">
        <v>167893428</v>
      </c>
      <c r="O285" s="14">
        <v>192206731</v>
      </c>
      <c r="P285" s="14">
        <v>3006102</v>
      </c>
      <c r="Q285" s="14">
        <v>24358747</v>
      </c>
      <c r="R285" s="14">
        <v>26217228</v>
      </c>
      <c r="S285" s="15">
        <v>20503505</v>
      </c>
      <c r="T285" s="15">
        <v>1009119</v>
      </c>
      <c r="U285" s="15">
        <v>3085325</v>
      </c>
      <c r="V285" s="15">
        <f>2969100+539065+475505+128375+124000+123000+123000</f>
        <v>4482045</v>
      </c>
      <c r="W285" s="15">
        <v>5090</v>
      </c>
      <c r="X285" s="15">
        <v>0</v>
      </c>
      <c r="Z285" s="15">
        <v>0</v>
      </c>
      <c r="AA285" s="15">
        <v>0</v>
      </c>
      <c r="AB285" s="74">
        <f t="shared" si="224"/>
        <v>7572460</v>
      </c>
      <c r="AC285" s="75">
        <f t="shared" si="225"/>
        <v>36.932514709070475</v>
      </c>
      <c r="AD285" s="75">
        <f t="shared" si="226"/>
        <v>68.211293404139411</v>
      </c>
      <c r="AE285" s="76">
        <f t="shared" ref="AE285:AE348" si="265">AD285*0.03</f>
        <v>2.0463388021241822</v>
      </c>
      <c r="AF285" s="77">
        <f t="shared" si="227"/>
        <v>38.818201301646539</v>
      </c>
      <c r="AG285" s="77">
        <f t="shared" si="228"/>
        <v>38.844311382774507</v>
      </c>
      <c r="AH285" s="77">
        <f t="shared" si="229"/>
        <v>2.6110081127967533E-2</v>
      </c>
      <c r="AI285" s="78">
        <f t="shared" si="230"/>
        <v>100</v>
      </c>
      <c r="AJ285" s="79">
        <f t="shared" ref="AJ285:AJ348" si="266">AI285*0.04</f>
        <v>4</v>
      </c>
      <c r="AK285" s="113">
        <v>4</v>
      </c>
      <c r="AL285" s="113">
        <v>4</v>
      </c>
      <c r="AM285" s="113">
        <v>1</v>
      </c>
      <c r="AN285" s="81">
        <f t="shared" si="231"/>
        <v>8</v>
      </c>
      <c r="AO285" s="82">
        <f t="shared" si="232"/>
        <v>12.5</v>
      </c>
      <c r="AP285" s="83">
        <f t="shared" si="233"/>
        <v>80</v>
      </c>
      <c r="AQ285" s="84">
        <f t="shared" ref="AQ285:AQ348" si="267">AP285*0.02</f>
        <v>1.6</v>
      </c>
      <c r="AR285" s="118">
        <v>1</v>
      </c>
      <c r="AS285" s="86">
        <f t="shared" si="234"/>
        <v>0.25</v>
      </c>
      <c r="AT285" s="87">
        <f t="shared" si="235"/>
        <v>1</v>
      </c>
      <c r="AU285" s="87">
        <f t="shared" si="236"/>
        <v>1</v>
      </c>
      <c r="AV285" s="88">
        <f t="shared" si="237"/>
        <v>0</v>
      </c>
      <c r="AW285" s="78">
        <f t="shared" si="238"/>
        <v>40</v>
      </c>
      <c r="AX285" s="89">
        <f t="shared" ref="AX285:AX348" si="268">AW285*0.01</f>
        <v>0.4</v>
      </c>
      <c r="AY285" s="114">
        <v>8</v>
      </c>
      <c r="AZ285" s="114">
        <v>8</v>
      </c>
      <c r="BA285" s="91">
        <f t="shared" si="239"/>
        <v>8</v>
      </c>
      <c r="BB285" s="77">
        <f t="shared" si="240"/>
        <v>100</v>
      </c>
      <c r="BC285" s="78">
        <f t="shared" si="241"/>
        <v>100</v>
      </c>
      <c r="BD285" s="79">
        <f t="shared" ref="BD285:BD348" si="269">BC285*0.01</f>
        <v>1</v>
      </c>
      <c r="BE285" s="92">
        <v>3045463</v>
      </c>
      <c r="BF285" s="92">
        <v>549904</v>
      </c>
      <c r="BG285" s="114">
        <v>200380</v>
      </c>
      <c r="BH285" s="94">
        <f t="shared" si="242"/>
        <v>3595367</v>
      </c>
      <c r="BI285" s="77">
        <f t="shared" si="243"/>
        <v>5.5732836174999658</v>
      </c>
      <c r="BJ285" s="95" t="str">
        <f t="shared" si="244"/>
        <v>금속/비금속/화학업</v>
      </c>
      <c r="BK285" s="96">
        <f t="shared" si="245"/>
        <v>3.9534118626990469</v>
      </c>
      <c r="BL285" s="97">
        <f t="shared" si="246"/>
        <v>1.6198717548009189</v>
      </c>
      <c r="BM285" s="98">
        <f t="shared" si="247"/>
        <v>60</v>
      </c>
      <c r="BN285" s="99">
        <f t="shared" si="248"/>
        <v>1.2</v>
      </c>
      <c r="BO285" s="114">
        <v>0</v>
      </c>
      <c r="BP285" s="101">
        <f t="shared" si="249"/>
        <v>0</v>
      </c>
      <c r="BQ285" s="78">
        <f t="shared" si="250"/>
        <v>25</v>
      </c>
      <c r="BR285" s="79">
        <f t="shared" ref="BR285:BR348" si="270">BQ285*0.02</f>
        <v>0.5</v>
      </c>
      <c r="BS285" s="102">
        <v>416831</v>
      </c>
      <c r="BT285" s="102">
        <v>0</v>
      </c>
      <c r="BU285" s="103">
        <f t="shared" si="251"/>
        <v>416831</v>
      </c>
      <c r="BV285" s="77">
        <f t="shared" si="252"/>
        <v>0.21686597437630839</v>
      </c>
      <c r="BW285" s="96">
        <f t="shared" si="253"/>
        <v>5.1474158565187738</v>
      </c>
      <c r="BX285" s="96">
        <f t="shared" si="254"/>
        <v>24.310322140295074</v>
      </c>
      <c r="BY285" s="96">
        <f t="shared" si="255"/>
        <v>6.6930498535228535</v>
      </c>
      <c r="BZ285" s="96">
        <f t="shared" si="256"/>
        <v>76.933760224897867</v>
      </c>
      <c r="CA285" s="96">
        <f t="shared" si="257"/>
        <v>40</v>
      </c>
      <c r="CB285" s="104">
        <f t="shared" si="258"/>
        <v>0.8</v>
      </c>
      <c r="CC285" s="105">
        <f t="shared" ref="CC285:CC322" si="271">(M285/N285)*100</f>
        <v>23.237020331730911</v>
      </c>
      <c r="CD285" s="106">
        <f t="shared" ref="CD285:CD348" si="272">IF((100-(75*(CC285-1)/(200-1)))&gt;100, 100, IF((100-(75*(CC285-1)/(200-1)))&lt;25, 25, (100-(75*(CC285-1)/(200-1)))))</f>
        <v>91.619213442814981</v>
      </c>
      <c r="CE285" s="107">
        <f t="shared" ref="CE285:CE348" si="273">CD285*0.015</f>
        <v>1.3742882016422246</v>
      </c>
      <c r="CF285" s="108" t="s">
        <v>2189</v>
      </c>
      <c r="CG285" s="108" t="s">
        <v>2189</v>
      </c>
      <c r="CH285" s="108" t="s">
        <v>2189</v>
      </c>
      <c r="CI285" s="108" t="s">
        <v>2189</v>
      </c>
      <c r="CJ285" s="109"/>
      <c r="CK285" s="116" t="s">
        <v>2199</v>
      </c>
      <c r="CL285" s="116" t="s">
        <v>2193</v>
      </c>
      <c r="CM285" s="111">
        <f t="shared" si="259"/>
        <v>25</v>
      </c>
      <c r="CN285" s="107">
        <f t="shared" ref="CN285:CN348" si="274">CM285*0.015</f>
        <v>0.375</v>
      </c>
      <c r="CO285" s="114">
        <v>88650000</v>
      </c>
      <c r="CP285" s="88">
        <f t="shared" si="260"/>
        <v>52.801352057687453</v>
      </c>
      <c r="CQ285" s="78">
        <f t="shared" si="261"/>
        <v>40</v>
      </c>
      <c r="CR285" s="79">
        <f t="shared" ref="CR285:CR348" si="275">CQ285*0.03</f>
        <v>1.2</v>
      </c>
      <c r="CS285" s="92">
        <f>_xlfn.XLOOKUP(C285, '[1]1-1. 관계사체무보증금액 (환율 등)'!$3:$3, '[1]1-1. 관계사체무보증금액 (환율 등)'!$33:$33)</f>
        <v>0</v>
      </c>
      <c r="CT285" s="77">
        <f t="shared" si="262"/>
        <v>0</v>
      </c>
      <c r="CU285" s="78">
        <f t="shared" si="263"/>
        <v>100</v>
      </c>
      <c r="CV285" s="79">
        <f t="shared" ref="CV285:CV348" si="276">CU285*0.02</f>
        <v>2</v>
      </c>
      <c r="CW285" s="112">
        <f t="shared" si="264"/>
        <v>16.495627003766408</v>
      </c>
    </row>
    <row r="286" spans="1:101" x14ac:dyDescent="0.35">
      <c r="A286" s="7" t="s">
        <v>1633</v>
      </c>
      <c r="B286" s="8" t="s">
        <v>1634</v>
      </c>
      <c r="C286" s="21" t="s">
        <v>1635</v>
      </c>
      <c r="D286" s="10" t="s">
        <v>75</v>
      </c>
      <c r="E286" s="11" t="s">
        <v>76</v>
      </c>
      <c r="F286" s="11" t="s">
        <v>1636</v>
      </c>
      <c r="G286" s="12">
        <v>35094</v>
      </c>
      <c r="H286" s="11" t="s">
        <v>24</v>
      </c>
      <c r="I286" s="11" t="s">
        <v>1637</v>
      </c>
      <c r="J286" s="11" t="s">
        <v>1638</v>
      </c>
      <c r="K286" s="11" t="s">
        <v>27</v>
      </c>
      <c r="L286" s="23">
        <v>221214840</v>
      </c>
      <c r="M286" s="14">
        <v>49139610</v>
      </c>
      <c r="N286" s="14">
        <v>172075230</v>
      </c>
      <c r="O286" s="14">
        <v>157798814</v>
      </c>
      <c r="P286" s="14">
        <v>10746927</v>
      </c>
      <c r="Q286" s="14">
        <v>5946963</v>
      </c>
      <c r="R286" s="14">
        <v>5654728</v>
      </c>
      <c r="S286" s="18">
        <v>29228750</v>
      </c>
      <c r="T286" s="15">
        <v>985728</v>
      </c>
      <c r="U286" s="15">
        <v>6804620</v>
      </c>
      <c r="V286" s="15">
        <f>88030+15472</f>
        <v>103502</v>
      </c>
      <c r="W286" s="15">
        <v>0</v>
      </c>
      <c r="X286" s="15">
        <v>2922000</v>
      </c>
      <c r="Y286" s="24" t="s">
        <v>2107</v>
      </c>
      <c r="Z286" s="15">
        <f>6256859+865480+1010000+150000</f>
        <v>8282339</v>
      </c>
      <c r="AA286" s="15">
        <f>1010000+150000+1896720+865480</f>
        <v>3922200</v>
      </c>
      <c r="AB286" s="74">
        <f t="shared" si="224"/>
        <v>18112461</v>
      </c>
      <c r="AC286" s="75">
        <f t="shared" si="225"/>
        <v>61.967963050079121</v>
      </c>
      <c r="AD286" s="75">
        <f t="shared" si="226"/>
        <v>46.604174582785568</v>
      </c>
      <c r="AE286" s="76">
        <f t="shared" si="265"/>
        <v>1.3981252374835669</v>
      </c>
      <c r="AF286" s="77">
        <f t="shared" si="227"/>
        <v>28.404146866417591</v>
      </c>
      <c r="AG286" s="77">
        <f t="shared" si="228"/>
        <v>58.346140603306907</v>
      </c>
      <c r="AH286" s="77">
        <f t="shared" si="229"/>
        <v>29.941993736889316</v>
      </c>
      <c r="AI286" s="78">
        <f t="shared" si="230"/>
        <v>80</v>
      </c>
      <c r="AJ286" s="79">
        <f t="shared" si="266"/>
        <v>3.2</v>
      </c>
      <c r="AK286" s="113">
        <v>5</v>
      </c>
      <c r="AL286" s="113">
        <v>5</v>
      </c>
      <c r="AM286" s="113">
        <v>1</v>
      </c>
      <c r="AN286" s="81">
        <f t="shared" si="231"/>
        <v>10</v>
      </c>
      <c r="AO286" s="82">
        <f t="shared" si="232"/>
        <v>10</v>
      </c>
      <c r="AP286" s="83">
        <f t="shared" si="233"/>
        <v>80</v>
      </c>
      <c r="AQ286" s="84">
        <f t="shared" si="267"/>
        <v>1.6</v>
      </c>
      <c r="AR286" s="118">
        <v>1</v>
      </c>
      <c r="AS286" s="86">
        <f t="shared" si="234"/>
        <v>0.25</v>
      </c>
      <c r="AT286" s="87">
        <f t="shared" si="235"/>
        <v>1.25</v>
      </c>
      <c r="AU286" s="87">
        <f t="shared" si="236"/>
        <v>1</v>
      </c>
      <c r="AV286" s="88">
        <f t="shared" si="237"/>
        <v>0</v>
      </c>
      <c r="AW286" s="78">
        <f t="shared" si="238"/>
        <v>40</v>
      </c>
      <c r="AX286" s="89">
        <f t="shared" si="268"/>
        <v>0.4</v>
      </c>
      <c r="AY286" s="114">
        <v>14</v>
      </c>
      <c r="AZ286" s="114">
        <v>11</v>
      </c>
      <c r="BA286" s="91">
        <f t="shared" si="239"/>
        <v>14</v>
      </c>
      <c r="BB286" s="77">
        <f t="shared" si="240"/>
        <v>78.571428571428569</v>
      </c>
      <c r="BC286" s="78">
        <f t="shared" si="241"/>
        <v>50</v>
      </c>
      <c r="BD286" s="79">
        <f t="shared" si="269"/>
        <v>0.5</v>
      </c>
      <c r="BE286" s="92">
        <v>7174985</v>
      </c>
      <c r="BF286" s="92">
        <v>538789</v>
      </c>
      <c r="BG286" s="114">
        <v>257815</v>
      </c>
      <c r="BH286" s="94">
        <f t="shared" si="242"/>
        <v>7713774</v>
      </c>
      <c r="BI286" s="77">
        <f t="shared" si="243"/>
        <v>3.3422680000736347</v>
      </c>
      <c r="BJ286" s="95" t="str">
        <f t="shared" si="244"/>
        <v>금속/비금속/화학업</v>
      </c>
      <c r="BK286" s="96">
        <f t="shared" si="245"/>
        <v>3.9534118626990469</v>
      </c>
      <c r="BL286" s="97">
        <f t="shared" si="246"/>
        <v>-0.6111438626254122</v>
      </c>
      <c r="BM286" s="98">
        <f t="shared" si="247"/>
        <v>80</v>
      </c>
      <c r="BN286" s="99">
        <f t="shared" si="248"/>
        <v>1.6</v>
      </c>
      <c r="BO286" s="114">
        <v>1792438</v>
      </c>
      <c r="BP286" s="101">
        <f t="shared" si="249"/>
        <v>1.1359008059464883</v>
      </c>
      <c r="BQ286" s="78">
        <f t="shared" si="250"/>
        <v>70</v>
      </c>
      <c r="BR286" s="79">
        <f t="shared" si="270"/>
        <v>1.4000000000000001</v>
      </c>
      <c r="BS286" s="102">
        <v>2967333.4929999998</v>
      </c>
      <c r="BT286" s="102">
        <v>42713.637999999999</v>
      </c>
      <c r="BU286" s="103">
        <f t="shared" si="251"/>
        <v>2924619.855</v>
      </c>
      <c r="BV286" s="77">
        <f t="shared" si="252"/>
        <v>1.8533851940103936</v>
      </c>
      <c r="BW286" s="96">
        <f t="shared" si="253"/>
        <v>5.1474158565187738</v>
      </c>
      <c r="BX286" s="96">
        <f t="shared" si="254"/>
        <v>10.850638005545397</v>
      </c>
      <c r="BY286" s="96">
        <f t="shared" si="255"/>
        <v>6.6930498535228535</v>
      </c>
      <c r="BZ286" s="96">
        <f t="shared" si="256"/>
        <v>68.869578450112144</v>
      </c>
      <c r="CA286" s="96">
        <f t="shared" si="257"/>
        <v>40</v>
      </c>
      <c r="CB286" s="104">
        <f t="shared" si="258"/>
        <v>0.8</v>
      </c>
      <c r="CC286" s="105">
        <f t="shared" si="271"/>
        <v>28.557050308751585</v>
      </c>
      <c r="CD286" s="106">
        <f t="shared" si="272"/>
        <v>89.614177019314724</v>
      </c>
      <c r="CE286" s="107">
        <f t="shared" si="273"/>
        <v>1.3442126552897209</v>
      </c>
      <c r="CF286" s="108" t="s">
        <v>2189</v>
      </c>
      <c r="CG286" s="108" t="s">
        <v>2189</v>
      </c>
      <c r="CH286" s="108" t="s">
        <v>2189</v>
      </c>
      <c r="CI286" s="108" t="s">
        <v>2189</v>
      </c>
      <c r="CJ286" s="109"/>
      <c r="CK286" s="116" t="s">
        <v>2207</v>
      </c>
      <c r="CL286" s="116" t="s">
        <v>2204</v>
      </c>
      <c r="CM286" s="111">
        <f t="shared" si="259"/>
        <v>70</v>
      </c>
      <c r="CN286" s="107">
        <f t="shared" si="274"/>
        <v>1.05</v>
      </c>
      <c r="CO286" s="114">
        <f>108154000-9000000-2015000</f>
        <v>97139000</v>
      </c>
      <c r="CP286" s="88">
        <f t="shared" si="260"/>
        <v>56.451471835894104</v>
      </c>
      <c r="CQ286" s="78">
        <f t="shared" si="261"/>
        <v>40</v>
      </c>
      <c r="CR286" s="79">
        <f t="shared" si="275"/>
        <v>1.2</v>
      </c>
      <c r="CS286" s="92">
        <f>_xlfn.XLOOKUP(C286, '[1]1-1. 관계사체무보증금액 (환율 등)'!$3:$3, '[1]1-1. 관계사체무보증금액 (환율 등)'!$33:$33)</f>
        <v>0</v>
      </c>
      <c r="CT286" s="77">
        <f t="shared" si="262"/>
        <v>0</v>
      </c>
      <c r="CU286" s="78">
        <f t="shared" si="263"/>
        <v>100</v>
      </c>
      <c r="CV286" s="79">
        <f t="shared" si="276"/>
        <v>2</v>
      </c>
      <c r="CW286" s="112">
        <f t="shared" si="264"/>
        <v>16.492337892773289</v>
      </c>
    </row>
    <row r="287" spans="1:101" x14ac:dyDescent="0.35">
      <c r="A287" s="7" t="s">
        <v>119</v>
      </c>
      <c r="B287" s="8" t="s">
        <v>120</v>
      </c>
      <c r="C287" s="21" t="s">
        <v>121</v>
      </c>
      <c r="D287" s="22" t="s">
        <v>31</v>
      </c>
      <c r="E287" s="11" t="s">
        <v>32</v>
      </c>
      <c r="F287" s="11" t="s">
        <v>122</v>
      </c>
      <c r="G287" s="12">
        <v>44337</v>
      </c>
      <c r="H287" s="11" t="s">
        <v>24</v>
      </c>
      <c r="I287" s="11" t="s">
        <v>123</v>
      </c>
      <c r="J287" s="11" t="s">
        <v>124</v>
      </c>
      <c r="K287" s="11" t="s">
        <v>27</v>
      </c>
      <c r="L287" s="23">
        <v>1329134616</v>
      </c>
      <c r="M287" s="14">
        <v>413421862</v>
      </c>
      <c r="N287" s="14">
        <v>915712754</v>
      </c>
      <c r="O287" s="14">
        <v>1615587865</v>
      </c>
      <c r="P287" s="14">
        <v>523701828</v>
      </c>
      <c r="Q287" s="14">
        <v>528169893</v>
      </c>
      <c r="R287" s="14">
        <v>385627456</v>
      </c>
      <c r="S287" s="15">
        <v>38307075</v>
      </c>
      <c r="T287" s="15">
        <v>164334</v>
      </c>
      <c r="U287" s="15">
        <f>11700060+8811400</f>
        <v>20511460</v>
      </c>
      <c r="V287" s="15">
        <f>383075+191540+191540+546550+322125+379590+135470+84870</f>
        <v>2234760</v>
      </c>
      <c r="W287" s="15">
        <v>0</v>
      </c>
      <c r="X287" s="15">
        <v>0</v>
      </c>
      <c r="Z287" s="15">
        <v>0</v>
      </c>
      <c r="AA287" s="15">
        <v>0</v>
      </c>
      <c r="AB287" s="74">
        <f t="shared" si="224"/>
        <v>22746220</v>
      </c>
      <c r="AC287" s="75">
        <f t="shared" si="225"/>
        <v>59.378639585507372</v>
      </c>
      <c r="AD287" s="75">
        <f t="shared" si="226"/>
        <v>48.838918654625402</v>
      </c>
      <c r="AE287" s="76">
        <f t="shared" si="265"/>
        <v>1.4651675596387621</v>
      </c>
      <c r="AF287" s="77">
        <f t="shared" si="227"/>
        <v>59.634466227794171</v>
      </c>
      <c r="AG287" s="77">
        <f t="shared" si="228"/>
        <v>59.634466227794171</v>
      </c>
      <c r="AH287" s="77">
        <f t="shared" si="229"/>
        <v>0</v>
      </c>
      <c r="AI287" s="78">
        <f t="shared" si="230"/>
        <v>100</v>
      </c>
      <c r="AJ287" s="79">
        <f t="shared" si="266"/>
        <v>4</v>
      </c>
      <c r="AK287" s="113">
        <v>6</v>
      </c>
      <c r="AL287" s="113">
        <v>17</v>
      </c>
      <c r="AM287" s="113">
        <v>2</v>
      </c>
      <c r="AN287" s="81">
        <f t="shared" si="231"/>
        <v>23</v>
      </c>
      <c r="AO287" s="82">
        <f t="shared" si="232"/>
        <v>8.695652173913043</v>
      </c>
      <c r="AP287" s="83">
        <f t="shared" si="233"/>
        <v>100</v>
      </c>
      <c r="AQ287" s="84">
        <f t="shared" si="267"/>
        <v>2</v>
      </c>
      <c r="AR287" s="118">
        <v>2</v>
      </c>
      <c r="AS287" s="86">
        <f t="shared" si="234"/>
        <v>0.25</v>
      </c>
      <c r="AT287" s="87">
        <f t="shared" si="235"/>
        <v>1.5</v>
      </c>
      <c r="AU287" s="87">
        <f t="shared" si="236"/>
        <v>1</v>
      </c>
      <c r="AV287" s="88">
        <f t="shared" si="237"/>
        <v>16.666666666666664</v>
      </c>
      <c r="AW287" s="78">
        <f t="shared" si="238"/>
        <v>60</v>
      </c>
      <c r="AX287" s="89">
        <f t="shared" si="268"/>
        <v>0.6</v>
      </c>
      <c r="AY287" s="114">
        <v>11</v>
      </c>
      <c r="AZ287" s="114">
        <f>11+5</f>
        <v>16</v>
      </c>
      <c r="BA287" s="91">
        <f t="shared" si="239"/>
        <v>22</v>
      </c>
      <c r="BB287" s="77">
        <f t="shared" si="240"/>
        <v>72.727272727272734</v>
      </c>
      <c r="BC287" s="78">
        <f t="shared" si="241"/>
        <v>50</v>
      </c>
      <c r="BD287" s="79">
        <f t="shared" si="269"/>
        <v>0.5</v>
      </c>
      <c r="BE287" s="92">
        <v>27577219</v>
      </c>
      <c r="BF287" s="92">
        <v>2714245</v>
      </c>
      <c r="BG287" s="114">
        <v>284451</v>
      </c>
      <c r="BH287" s="94">
        <f t="shared" si="242"/>
        <v>30291464</v>
      </c>
      <c r="BI287" s="77">
        <f t="shared" si="243"/>
        <v>0.93904672286555713</v>
      </c>
      <c r="BJ287" s="95" t="str">
        <f t="shared" si="244"/>
        <v>식약/섬유/종이업</v>
      </c>
      <c r="BK287" s="96">
        <f t="shared" si="245"/>
        <v>2.1999360555264453</v>
      </c>
      <c r="BL287" s="97">
        <f t="shared" si="246"/>
        <v>-1.2608893326608883</v>
      </c>
      <c r="BM287" s="98">
        <f t="shared" si="247"/>
        <v>80</v>
      </c>
      <c r="BN287" s="99">
        <f t="shared" si="248"/>
        <v>1.6</v>
      </c>
      <c r="BO287" s="114">
        <v>0</v>
      </c>
      <c r="BP287" s="101">
        <f t="shared" si="249"/>
        <v>0</v>
      </c>
      <c r="BQ287" s="78">
        <f t="shared" si="250"/>
        <v>25</v>
      </c>
      <c r="BR287" s="79">
        <f t="shared" si="270"/>
        <v>0.5</v>
      </c>
      <c r="BS287" s="102">
        <v>8692977.7890000008</v>
      </c>
      <c r="BT287" s="102">
        <v>0</v>
      </c>
      <c r="BU287" s="103">
        <f t="shared" si="251"/>
        <v>8692977.7890000008</v>
      </c>
      <c r="BV287" s="77">
        <f t="shared" si="252"/>
        <v>0.53806901978680077</v>
      </c>
      <c r="BW287" s="96">
        <f t="shared" si="253"/>
        <v>5.0508176117342298</v>
      </c>
      <c r="BX287" s="96">
        <f t="shared" si="254"/>
        <v>20.364899854123504</v>
      </c>
      <c r="BY287" s="96">
        <f t="shared" si="255"/>
        <v>6.9871618081220923</v>
      </c>
      <c r="BZ287" s="96">
        <f t="shared" si="256"/>
        <v>74.081592607214759</v>
      </c>
      <c r="CA287" s="96">
        <f t="shared" si="257"/>
        <v>40</v>
      </c>
      <c r="CB287" s="104">
        <f t="shared" si="258"/>
        <v>0.8</v>
      </c>
      <c r="CC287" s="105">
        <f t="shared" si="271"/>
        <v>45.147548747584658</v>
      </c>
      <c r="CD287" s="106">
        <f t="shared" si="272"/>
        <v>83.3614766026691</v>
      </c>
      <c r="CE287" s="107">
        <f t="shared" si="273"/>
        <v>1.2504221490400365</v>
      </c>
      <c r="CF287" s="108" t="s">
        <v>2189</v>
      </c>
      <c r="CG287" s="108" t="s">
        <v>2189</v>
      </c>
      <c r="CH287" s="108" t="s">
        <v>2189</v>
      </c>
      <c r="CI287" s="108" t="s">
        <v>2189</v>
      </c>
      <c r="CJ287" s="109"/>
      <c r="CK287" s="116" t="s">
        <v>2192</v>
      </c>
      <c r="CL287" s="116" t="s">
        <v>2193</v>
      </c>
      <c r="CM287" s="111">
        <f t="shared" si="259"/>
        <v>25</v>
      </c>
      <c r="CN287" s="107">
        <f t="shared" si="274"/>
        <v>0.375</v>
      </c>
      <c r="CO287" s="114">
        <f>4682000+2888000+116000+1813000+23496000+71531000+11512000+2000000</f>
        <v>118038000</v>
      </c>
      <c r="CP287" s="88">
        <f t="shared" si="260"/>
        <v>12.890286772177031</v>
      </c>
      <c r="CQ287" s="78">
        <f t="shared" si="261"/>
        <v>60</v>
      </c>
      <c r="CR287" s="79">
        <f t="shared" si="275"/>
        <v>1.7999999999999998</v>
      </c>
      <c r="CS287" s="92">
        <f>_xlfn.XLOOKUP(C287, '[1]1-1. 관계사체무보증금액 (환율 등)'!$3:$3, '[1]1-1. 관계사체무보증금액 (환율 등)'!$33:$33)</f>
        <v>41070381.231671557</v>
      </c>
      <c r="CT287" s="77">
        <f t="shared" si="262"/>
        <v>4.4850725352757896</v>
      </c>
      <c r="CU287" s="78">
        <f t="shared" si="263"/>
        <v>80</v>
      </c>
      <c r="CV287" s="79">
        <f t="shared" si="276"/>
        <v>1.6</v>
      </c>
      <c r="CW287" s="112">
        <f t="shared" si="264"/>
        <v>16.490589708678801</v>
      </c>
    </row>
    <row r="288" spans="1:101" x14ac:dyDescent="0.35">
      <c r="A288" s="7" t="s">
        <v>57</v>
      </c>
      <c r="B288" s="8" t="s">
        <v>58</v>
      </c>
      <c r="C288" s="21" t="s">
        <v>59</v>
      </c>
      <c r="D288" s="10" t="s">
        <v>21</v>
      </c>
      <c r="E288" s="11" t="s">
        <v>60</v>
      </c>
      <c r="F288" s="11" t="s">
        <v>61</v>
      </c>
      <c r="G288" s="12">
        <v>33975</v>
      </c>
      <c r="H288" s="11" t="s">
        <v>24</v>
      </c>
      <c r="I288" s="11" t="s">
        <v>62</v>
      </c>
      <c r="J288" s="11" t="s">
        <v>63</v>
      </c>
      <c r="K288" s="11" t="s">
        <v>27</v>
      </c>
      <c r="L288" s="23">
        <v>428747549</v>
      </c>
      <c r="M288" s="14">
        <v>121241747</v>
      </c>
      <c r="N288" s="14">
        <v>307505802</v>
      </c>
      <c r="O288" s="14">
        <v>347588559</v>
      </c>
      <c r="P288" s="14">
        <v>12401397</v>
      </c>
      <c r="Q288" s="14">
        <v>14089238</v>
      </c>
      <c r="R288" s="14">
        <v>10922265</v>
      </c>
      <c r="S288" s="15">
        <v>201173933</v>
      </c>
      <c r="T288" s="15">
        <v>10143400</v>
      </c>
      <c r="U288" s="15">
        <v>33856750</v>
      </c>
      <c r="V288" s="15">
        <f>31997041+19861669+141160+286650+647910+573330+286650+120000+64580+37290+149160</f>
        <v>54165440</v>
      </c>
      <c r="W288" s="15">
        <f>7000+175500+7030+23540+10000</f>
        <v>223070</v>
      </c>
      <c r="X288" s="15">
        <v>0</v>
      </c>
      <c r="Z288" s="15">
        <v>0</v>
      </c>
      <c r="AA288" s="15">
        <v>0</v>
      </c>
      <c r="AB288" s="74">
        <f t="shared" si="224"/>
        <v>88245260</v>
      </c>
      <c r="AC288" s="75">
        <f t="shared" si="225"/>
        <v>43.865156227770328</v>
      </c>
      <c r="AD288" s="75">
        <f t="shared" si="226"/>
        <v>62.228000954168309</v>
      </c>
      <c r="AE288" s="76">
        <f t="shared" si="265"/>
        <v>1.8668400286250493</v>
      </c>
      <c r="AF288" s="77">
        <f t="shared" si="227"/>
        <v>46.077550335893164</v>
      </c>
      <c r="AG288" s="77">
        <f t="shared" si="228"/>
        <v>46.194322244810991</v>
      </c>
      <c r="AH288" s="77">
        <f t="shared" si="229"/>
        <v>0.11677190891782629</v>
      </c>
      <c r="AI288" s="78">
        <f t="shared" si="230"/>
        <v>100</v>
      </c>
      <c r="AJ288" s="79">
        <f t="shared" si="266"/>
        <v>4</v>
      </c>
      <c r="AK288" s="113">
        <v>6</v>
      </c>
      <c r="AL288" s="113">
        <v>12</v>
      </c>
      <c r="AM288" s="113">
        <v>3</v>
      </c>
      <c r="AN288" s="81">
        <f t="shared" si="231"/>
        <v>18</v>
      </c>
      <c r="AO288" s="82">
        <f t="shared" si="232"/>
        <v>16.666666666666664</v>
      </c>
      <c r="AP288" s="83">
        <f t="shared" si="233"/>
        <v>80</v>
      </c>
      <c r="AQ288" s="84">
        <f t="shared" si="267"/>
        <v>1.6</v>
      </c>
      <c r="AR288" s="118">
        <v>3</v>
      </c>
      <c r="AS288" s="86">
        <f t="shared" si="234"/>
        <v>0.25</v>
      </c>
      <c r="AT288" s="87">
        <f t="shared" si="235"/>
        <v>1.5</v>
      </c>
      <c r="AU288" s="87">
        <f t="shared" si="236"/>
        <v>1</v>
      </c>
      <c r="AV288" s="88">
        <f t="shared" si="237"/>
        <v>33.333333333333329</v>
      </c>
      <c r="AW288" s="78">
        <f t="shared" si="238"/>
        <v>80</v>
      </c>
      <c r="AX288" s="89">
        <f t="shared" si="268"/>
        <v>0.8</v>
      </c>
      <c r="AY288" s="114">
        <v>5</v>
      </c>
      <c r="AZ288" s="114">
        <v>15</v>
      </c>
      <c r="BA288" s="91">
        <f t="shared" si="239"/>
        <v>15</v>
      </c>
      <c r="BB288" s="77">
        <f t="shared" si="240"/>
        <v>100</v>
      </c>
      <c r="BC288" s="78">
        <f t="shared" si="241"/>
        <v>100</v>
      </c>
      <c r="BD288" s="79">
        <f t="shared" si="269"/>
        <v>1</v>
      </c>
      <c r="BE288" s="92">
        <v>34040504</v>
      </c>
      <c r="BF288" s="92">
        <v>2466355</v>
      </c>
      <c r="BG288" s="93">
        <v>0</v>
      </c>
      <c r="BH288" s="94">
        <f t="shared" si="242"/>
        <v>36506859</v>
      </c>
      <c r="BI288" s="77">
        <f t="shared" si="243"/>
        <v>0</v>
      </c>
      <c r="BJ288" s="95" t="str">
        <f t="shared" si="244"/>
        <v>비제조/서비스업</v>
      </c>
      <c r="BK288" s="96">
        <f t="shared" si="245"/>
        <v>1.7464434573900922</v>
      </c>
      <c r="BL288" s="97">
        <f t="shared" si="246"/>
        <v>-1.7464434573900922</v>
      </c>
      <c r="BM288" s="98">
        <f t="shared" si="247"/>
        <v>80</v>
      </c>
      <c r="BN288" s="99">
        <f t="shared" si="248"/>
        <v>1.6</v>
      </c>
      <c r="BO288" s="114">
        <v>0</v>
      </c>
      <c r="BP288" s="101">
        <f t="shared" si="249"/>
        <v>0</v>
      </c>
      <c r="BQ288" s="78">
        <f t="shared" si="250"/>
        <v>25</v>
      </c>
      <c r="BR288" s="79">
        <f t="shared" si="270"/>
        <v>0.5</v>
      </c>
      <c r="BS288" s="102">
        <v>666066.11100000003</v>
      </c>
      <c r="BT288" s="102">
        <v>5203</v>
      </c>
      <c r="BU288" s="103">
        <f t="shared" si="251"/>
        <v>660863.11100000003</v>
      </c>
      <c r="BV288" s="77">
        <f t="shared" si="252"/>
        <v>0.19012798145637472</v>
      </c>
      <c r="BW288" s="96">
        <f t="shared" si="253"/>
        <v>2.8482825397737606</v>
      </c>
      <c r="BX288" s="96">
        <f t="shared" si="254"/>
        <v>7.0657856559034959</v>
      </c>
      <c r="BY288" s="96">
        <f t="shared" si="255"/>
        <v>5.5697595856656807</v>
      </c>
      <c r="BZ288" s="96">
        <f t="shared" si="256"/>
        <v>68.340710073518437</v>
      </c>
      <c r="CA288" s="96">
        <f t="shared" si="257"/>
        <v>40</v>
      </c>
      <c r="CB288" s="104">
        <f t="shared" si="258"/>
        <v>0.8</v>
      </c>
      <c r="CC288" s="105">
        <f t="shared" si="271"/>
        <v>39.427466477526821</v>
      </c>
      <c r="CD288" s="106">
        <f t="shared" si="272"/>
        <v>85.517286503444666</v>
      </c>
      <c r="CE288" s="107">
        <f t="shared" si="273"/>
        <v>1.28275929755167</v>
      </c>
      <c r="CF288" s="108" t="s">
        <v>2189</v>
      </c>
      <c r="CG288" s="108" t="s">
        <v>2189</v>
      </c>
      <c r="CH288" s="108" t="s">
        <v>2189</v>
      </c>
      <c r="CI288" s="108" t="s">
        <v>2189</v>
      </c>
      <c r="CJ288" s="109"/>
      <c r="CK288" s="116" t="s">
        <v>2199</v>
      </c>
      <c r="CL288" s="116" t="s">
        <v>2193</v>
      </c>
      <c r="CM288" s="111">
        <f t="shared" si="259"/>
        <v>25</v>
      </c>
      <c r="CN288" s="107">
        <f t="shared" si="274"/>
        <v>0.375</v>
      </c>
      <c r="CO288" s="114">
        <v>318139000</v>
      </c>
      <c r="CP288" s="88">
        <f t="shared" si="260"/>
        <v>103.45788532471332</v>
      </c>
      <c r="CQ288" s="78">
        <f t="shared" si="261"/>
        <v>20</v>
      </c>
      <c r="CR288" s="79">
        <f t="shared" si="275"/>
        <v>0.6</v>
      </c>
      <c r="CS288" s="92">
        <f>_xlfn.XLOOKUP(C288, '[1]1-1. 관계사체무보증금액 (환율 등)'!$3:$3, '[1]1-1. 관계사체무보증금액 (환율 등)'!$33:$33)</f>
        <v>0</v>
      </c>
      <c r="CT288" s="77">
        <f t="shared" si="262"/>
        <v>0</v>
      </c>
      <c r="CU288" s="78">
        <f t="shared" si="263"/>
        <v>100</v>
      </c>
      <c r="CV288" s="79">
        <f t="shared" si="276"/>
        <v>2</v>
      </c>
      <c r="CW288" s="112">
        <f t="shared" si="264"/>
        <v>16.424599326176718</v>
      </c>
    </row>
    <row r="289" spans="1:101" x14ac:dyDescent="0.35">
      <c r="A289" s="7" t="s">
        <v>1034</v>
      </c>
      <c r="B289" s="8" t="s">
        <v>1035</v>
      </c>
      <c r="C289" s="21" t="s">
        <v>1036</v>
      </c>
      <c r="D289" s="10" t="s">
        <v>141</v>
      </c>
      <c r="E289" s="11" t="s">
        <v>356</v>
      </c>
      <c r="F289" s="11" t="s">
        <v>1037</v>
      </c>
      <c r="G289" s="12">
        <v>38287</v>
      </c>
      <c r="H289" s="11" t="s">
        <v>24</v>
      </c>
      <c r="I289" s="11" t="s">
        <v>1038</v>
      </c>
      <c r="J289" s="11" t="s">
        <v>1039</v>
      </c>
      <c r="K289" s="11" t="s">
        <v>536</v>
      </c>
      <c r="L289" s="23">
        <v>425929471</v>
      </c>
      <c r="M289" s="14">
        <v>214344538</v>
      </c>
      <c r="N289" s="14">
        <v>211584933</v>
      </c>
      <c r="O289" s="14">
        <v>373474666</v>
      </c>
      <c r="P289" s="14">
        <v>26834891</v>
      </c>
      <c r="Q289" s="14">
        <v>16665875</v>
      </c>
      <c r="R289" s="14">
        <v>11131495</v>
      </c>
      <c r="S289" s="15">
        <v>21471450</v>
      </c>
      <c r="T289" s="15">
        <v>2111140</v>
      </c>
      <c r="U289" s="15">
        <v>2926943</v>
      </c>
      <c r="V289" s="15">
        <f>968422+805435+647900+350106+325453+208167+120780+110880+148167+118166+108167+55000*2</f>
        <v>4021643</v>
      </c>
      <c r="W289" s="15">
        <f>429290+12411+4004+5735</f>
        <v>451440</v>
      </c>
      <c r="X289" s="15">
        <v>0</v>
      </c>
      <c r="Z289" s="15">
        <v>2540000</v>
      </c>
      <c r="AA289" s="15">
        <v>0</v>
      </c>
      <c r="AB289" s="74">
        <f t="shared" si="224"/>
        <v>9940026</v>
      </c>
      <c r="AC289" s="75">
        <f t="shared" si="225"/>
        <v>46.294153399048504</v>
      </c>
      <c r="AD289" s="75">
        <f t="shared" si="226"/>
        <v>60.131628251684269</v>
      </c>
      <c r="AE289" s="76">
        <f t="shared" si="265"/>
        <v>1.8039488475505281</v>
      </c>
      <c r="AF289" s="77">
        <f t="shared" si="227"/>
        <v>35.890881912531356</v>
      </c>
      <c r="AG289" s="77">
        <f t="shared" si="228"/>
        <v>51.342287391059337</v>
      </c>
      <c r="AH289" s="77">
        <f t="shared" si="229"/>
        <v>15.451405478527981</v>
      </c>
      <c r="AI289" s="78">
        <f t="shared" si="230"/>
        <v>80</v>
      </c>
      <c r="AJ289" s="79">
        <f t="shared" si="266"/>
        <v>3.2</v>
      </c>
      <c r="AK289" s="113">
        <v>7</v>
      </c>
      <c r="AL289" s="113">
        <v>13</v>
      </c>
      <c r="AM289" s="113">
        <v>2</v>
      </c>
      <c r="AN289" s="81">
        <f t="shared" si="231"/>
        <v>20</v>
      </c>
      <c r="AO289" s="82">
        <f t="shared" si="232"/>
        <v>10</v>
      </c>
      <c r="AP289" s="83">
        <f t="shared" si="233"/>
        <v>80</v>
      </c>
      <c r="AQ289" s="84">
        <f t="shared" si="267"/>
        <v>1.6</v>
      </c>
      <c r="AR289" s="118">
        <v>3</v>
      </c>
      <c r="AS289" s="86">
        <f t="shared" si="234"/>
        <v>0.25</v>
      </c>
      <c r="AT289" s="87">
        <f t="shared" si="235"/>
        <v>1.75</v>
      </c>
      <c r="AU289" s="87">
        <f t="shared" si="236"/>
        <v>1</v>
      </c>
      <c r="AV289" s="88">
        <f t="shared" si="237"/>
        <v>28.571428571428569</v>
      </c>
      <c r="AW289" s="78">
        <f t="shared" si="238"/>
        <v>80</v>
      </c>
      <c r="AX289" s="89">
        <f t="shared" si="268"/>
        <v>0.8</v>
      </c>
      <c r="AY289" s="114">
        <v>13</v>
      </c>
      <c r="AZ289" s="114">
        <f>13*3-1</f>
        <v>38</v>
      </c>
      <c r="BA289" s="91">
        <f t="shared" si="239"/>
        <v>39</v>
      </c>
      <c r="BB289" s="77">
        <f t="shared" si="240"/>
        <v>97.435897435897431</v>
      </c>
      <c r="BC289" s="78">
        <f t="shared" si="241"/>
        <v>100</v>
      </c>
      <c r="BD289" s="79">
        <f t="shared" si="269"/>
        <v>1</v>
      </c>
      <c r="BE289" s="92">
        <v>11807420.648</v>
      </c>
      <c r="BF289" s="92">
        <v>1570922.7549999999</v>
      </c>
      <c r="BG289" s="114">
        <v>259722.875</v>
      </c>
      <c r="BH289" s="94">
        <f t="shared" si="242"/>
        <v>13378343.403000001</v>
      </c>
      <c r="BI289" s="77">
        <f t="shared" si="243"/>
        <v>1.9413679793998928</v>
      </c>
      <c r="BJ289" s="95" t="str">
        <f t="shared" si="244"/>
        <v>전기전자/기계업</v>
      </c>
      <c r="BK289" s="96">
        <f t="shared" si="245"/>
        <v>2.4096449716116446</v>
      </c>
      <c r="BL289" s="97">
        <f t="shared" si="246"/>
        <v>-0.46827699221175179</v>
      </c>
      <c r="BM289" s="98">
        <f t="shared" si="247"/>
        <v>80</v>
      </c>
      <c r="BN289" s="99">
        <f t="shared" si="248"/>
        <v>1.6</v>
      </c>
      <c r="BO289" s="114">
        <v>16339000</v>
      </c>
      <c r="BP289" s="101">
        <f t="shared" si="249"/>
        <v>4.3748616673239082</v>
      </c>
      <c r="BQ289" s="78">
        <f t="shared" si="250"/>
        <v>100</v>
      </c>
      <c r="BR289" s="79">
        <f t="shared" si="270"/>
        <v>2</v>
      </c>
      <c r="BS289" s="102">
        <v>18449358.517999999</v>
      </c>
      <c r="BT289" s="102">
        <v>45784.550999999999</v>
      </c>
      <c r="BU289" s="103">
        <f t="shared" si="251"/>
        <v>18403573.967</v>
      </c>
      <c r="BV289" s="77">
        <f t="shared" si="252"/>
        <v>4.9276632774336564</v>
      </c>
      <c r="BW289" s="96">
        <f t="shared" si="253"/>
        <v>5.2309968128308295</v>
      </c>
      <c r="BX289" s="96">
        <f t="shared" si="254"/>
        <v>9.2011233696548081E-2</v>
      </c>
      <c r="BY289" s="96">
        <f t="shared" si="255"/>
        <v>7.0695458012309631</v>
      </c>
      <c r="BZ289" s="96">
        <f t="shared" si="256"/>
        <v>51.71121957407383</v>
      </c>
      <c r="CA289" s="96">
        <f t="shared" si="257"/>
        <v>55</v>
      </c>
      <c r="CB289" s="104">
        <f t="shared" si="258"/>
        <v>1.1000000000000001</v>
      </c>
      <c r="CC289" s="105">
        <f t="shared" si="271"/>
        <v>101.30425402266239</v>
      </c>
      <c r="CD289" s="106">
        <f t="shared" si="272"/>
        <v>62.196889187438799</v>
      </c>
      <c r="CE289" s="107">
        <f t="shared" si="273"/>
        <v>0.93295333781158196</v>
      </c>
      <c r="CF289" s="108" t="s">
        <v>2189</v>
      </c>
      <c r="CG289" s="108" t="s">
        <v>2189</v>
      </c>
      <c r="CH289" s="108" t="s">
        <v>2189</v>
      </c>
      <c r="CI289" s="108" t="s">
        <v>2189</v>
      </c>
      <c r="CJ289" s="109"/>
      <c r="CK289" s="116" t="s">
        <v>2192</v>
      </c>
      <c r="CL289" s="116" t="s">
        <v>2193</v>
      </c>
      <c r="CM289" s="111">
        <f t="shared" si="259"/>
        <v>25</v>
      </c>
      <c r="CN289" s="107">
        <f t="shared" si="274"/>
        <v>0.375</v>
      </c>
      <c r="CO289" s="114">
        <v>120586000</v>
      </c>
      <c r="CP289" s="88">
        <f t="shared" si="260"/>
        <v>56.991770770369556</v>
      </c>
      <c r="CQ289" s="78">
        <f t="shared" si="261"/>
        <v>40</v>
      </c>
      <c r="CR289" s="79">
        <f t="shared" si="275"/>
        <v>1.2</v>
      </c>
      <c r="CS289" s="92">
        <f>_xlfn.XLOOKUP(C289, '[1]1-1. 관계사체무보증금액 (환율 등)'!$3:$3, '[1]1-1. 관계사체무보증금액 (환율 등)'!$33:$33)</f>
        <v>102765301.18723512</v>
      </c>
      <c r="CT289" s="77">
        <f t="shared" si="262"/>
        <v>48.569290700503295</v>
      </c>
      <c r="CU289" s="78">
        <f t="shared" si="263"/>
        <v>40</v>
      </c>
      <c r="CV289" s="79">
        <f t="shared" si="276"/>
        <v>0.8</v>
      </c>
      <c r="CW289" s="112">
        <f t="shared" si="264"/>
        <v>16.411902185362109</v>
      </c>
    </row>
    <row r="290" spans="1:101" x14ac:dyDescent="0.35">
      <c r="A290" s="7" t="s">
        <v>586</v>
      </c>
      <c r="B290" s="8" t="s">
        <v>587</v>
      </c>
      <c r="C290" s="21" t="s">
        <v>588</v>
      </c>
      <c r="D290" s="10" t="s">
        <v>141</v>
      </c>
      <c r="E290" s="11" t="s">
        <v>356</v>
      </c>
      <c r="F290" s="11" t="s">
        <v>589</v>
      </c>
      <c r="G290" s="12">
        <v>32714</v>
      </c>
      <c r="H290" s="11" t="s">
        <v>24</v>
      </c>
      <c r="I290" s="11" t="s">
        <v>590</v>
      </c>
      <c r="J290" s="11" t="s">
        <v>591</v>
      </c>
      <c r="K290" s="11" t="s">
        <v>102</v>
      </c>
      <c r="L290" s="23">
        <v>250352084</v>
      </c>
      <c r="M290" s="14">
        <v>48446955</v>
      </c>
      <c r="N290" s="14">
        <v>201905129</v>
      </c>
      <c r="O290" s="14">
        <v>318979683</v>
      </c>
      <c r="P290" s="14">
        <v>34727495</v>
      </c>
      <c r="Q290" s="14">
        <v>41272114</v>
      </c>
      <c r="R290" s="14">
        <v>31646295</v>
      </c>
      <c r="S290" s="15">
        <v>28572230</v>
      </c>
      <c r="T290" s="15">
        <v>2671516</v>
      </c>
      <c r="U290" s="15">
        <v>1323692</v>
      </c>
      <c r="V290" s="15">
        <f>1180560+4755566+3613297</f>
        <v>9549423</v>
      </c>
      <c r="W290" s="15">
        <v>0</v>
      </c>
      <c r="X290" s="15">
        <v>0</v>
      </c>
      <c r="Z290" s="15">
        <f>1330940+526834</f>
        <v>1857774</v>
      </c>
      <c r="AA290" s="15">
        <v>0</v>
      </c>
      <c r="AB290" s="74">
        <f t="shared" si="224"/>
        <v>12730889</v>
      </c>
      <c r="AC290" s="75">
        <f t="shared" si="225"/>
        <v>44.556861680029876</v>
      </c>
      <c r="AD290" s="75">
        <f t="shared" si="226"/>
        <v>61.631016961999535</v>
      </c>
      <c r="AE290" s="76">
        <f t="shared" si="265"/>
        <v>1.8489305088599859</v>
      </c>
      <c r="AF290" s="77">
        <f t="shared" si="227"/>
        <v>41.979981710156714</v>
      </c>
      <c r="AG290" s="77">
        <f t="shared" si="228"/>
        <v>49.152656563830632</v>
      </c>
      <c r="AH290" s="77">
        <f t="shared" si="229"/>
        <v>7.172674853673918</v>
      </c>
      <c r="AI290" s="78">
        <f t="shared" si="230"/>
        <v>100</v>
      </c>
      <c r="AJ290" s="79">
        <f t="shared" si="266"/>
        <v>4</v>
      </c>
      <c r="AK290" s="113">
        <v>6</v>
      </c>
      <c r="AL290" s="113">
        <v>1</v>
      </c>
      <c r="AM290" s="113">
        <v>3</v>
      </c>
      <c r="AN290" s="81">
        <f t="shared" si="231"/>
        <v>7</v>
      </c>
      <c r="AO290" s="82">
        <f t="shared" si="232"/>
        <v>42.857142857142854</v>
      </c>
      <c r="AP290" s="83">
        <f t="shared" si="233"/>
        <v>40</v>
      </c>
      <c r="AQ290" s="84">
        <f t="shared" si="267"/>
        <v>0.8</v>
      </c>
      <c r="AR290" s="118">
        <v>3</v>
      </c>
      <c r="AS290" s="86">
        <f t="shared" si="234"/>
        <v>0.25</v>
      </c>
      <c r="AT290" s="87">
        <f t="shared" si="235"/>
        <v>1.5</v>
      </c>
      <c r="AU290" s="87">
        <f t="shared" si="236"/>
        <v>1</v>
      </c>
      <c r="AV290" s="88">
        <f t="shared" si="237"/>
        <v>33.333333333333329</v>
      </c>
      <c r="AW290" s="78">
        <f t="shared" si="238"/>
        <v>80</v>
      </c>
      <c r="AX290" s="89">
        <f t="shared" si="268"/>
        <v>0.8</v>
      </c>
      <c r="AY290" s="114">
        <v>9</v>
      </c>
      <c r="AZ290" s="114">
        <f>9*3-13</f>
        <v>14</v>
      </c>
      <c r="BA290" s="91">
        <f t="shared" si="239"/>
        <v>27</v>
      </c>
      <c r="BB290" s="77">
        <f t="shared" si="240"/>
        <v>51.851851851851848</v>
      </c>
      <c r="BC290" s="78">
        <f t="shared" si="241"/>
        <v>25</v>
      </c>
      <c r="BD290" s="79">
        <f t="shared" si="269"/>
        <v>0.25</v>
      </c>
      <c r="BE290" s="92">
        <v>2701656</v>
      </c>
      <c r="BF290" s="92">
        <v>234110</v>
      </c>
      <c r="BG290" s="114">
        <v>89569</v>
      </c>
      <c r="BH290" s="94">
        <f t="shared" si="242"/>
        <v>2935766</v>
      </c>
      <c r="BI290" s="77">
        <f t="shared" si="243"/>
        <v>3.0509584210730694</v>
      </c>
      <c r="BJ290" s="95" t="str">
        <f t="shared" si="244"/>
        <v>전기전자/기계업</v>
      </c>
      <c r="BK290" s="96">
        <f t="shared" si="245"/>
        <v>2.4096449716116446</v>
      </c>
      <c r="BL290" s="97">
        <f t="shared" si="246"/>
        <v>0.64131344946142477</v>
      </c>
      <c r="BM290" s="98">
        <f t="shared" si="247"/>
        <v>60</v>
      </c>
      <c r="BN290" s="99">
        <f t="shared" si="248"/>
        <v>1.2</v>
      </c>
      <c r="BO290" s="114">
        <v>637355</v>
      </c>
      <c r="BP290" s="101">
        <f t="shared" si="249"/>
        <v>0.1998105315064847</v>
      </c>
      <c r="BQ290" s="78">
        <f t="shared" si="250"/>
        <v>55</v>
      </c>
      <c r="BR290" s="79">
        <f t="shared" si="270"/>
        <v>1.1000000000000001</v>
      </c>
      <c r="BS290" s="102">
        <v>877190</v>
      </c>
      <c r="BT290" s="102">
        <v>96201.75</v>
      </c>
      <c r="BU290" s="103">
        <f t="shared" si="251"/>
        <v>780988.25</v>
      </c>
      <c r="BV290" s="77">
        <f t="shared" si="252"/>
        <v>0.24483949656442539</v>
      </c>
      <c r="BW290" s="96">
        <f t="shared" si="253"/>
        <v>5.2309968128308295</v>
      </c>
      <c r="BX290" s="96">
        <f t="shared" si="254"/>
        <v>24.861764782556985</v>
      </c>
      <c r="BY290" s="96">
        <f t="shared" si="255"/>
        <v>7.0695458012309631</v>
      </c>
      <c r="BZ290" s="96">
        <f t="shared" si="256"/>
        <v>75.968851295401791</v>
      </c>
      <c r="CA290" s="96">
        <f t="shared" si="257"/>
        <v>40</v>
      </c>
      <c r="CB290" s="104">
        <f t="shared" si="258"/>
        <v>0.8</v>
      </c>
      <c r="CC290" s="105">
        <f t="shared" si="271"/>
        <v>23.994910500762959</v>
      </c>
      <c r="CD290" s="106">
        <f t="shared" si="272"/>
        <v>91.333576444436076</v>
      </c>
      <c r="CE290" s="107">
        <f t="shared" si="273"/>
        <v>1.3700036466665411</v>
      </c>
      <c r="CF290" s="108" t="s">
        <v>2189</v>
      </c>
      <c r="CG290" s="108" t="s">
        <v>2189</v>
      </c>
      <c r="CH290" s="108" t="s">
        <v>2189</v>
      </c>
      <c r="CI290" s="108" t="s">
        <v>2189</v>
      </c>
      <c r="CJ290" s="109"/>
      <c r="CK290" s="116" t="s">
        <v>2195</v>
      </c>
      <c r="CL290" s="116" t="s">
        <v>2196</v>
      </c>
      <c r="CM290" s="111">
        <f t="shared" si="259"/>
        <v>55</v>
      </c>
      <c r="CN290" s="107">
        <f t="shared" si="274"/>
        <v>0.82499999999999996</v>
      </c>
      <c r="CO290" s="114">
        <v>57633866</v>
      </c>
      <c r="CP290" s="88">
        <f t="shared" si="260"/>
        <v>28.545023242079203</v>
      </c>
      <c r="CQ290" s="78">
        <f t="shared" si="261"/>
        <v>60</v>
      </c>
      <c r="CR290" s="79">
        <f t="shared" si="275"/>
        <v>1.7999999999999998</v>
      </c>
      <c r="CS290" s="92">
        <f>_xlfn.XLOOKUP(C290, '[1]1-1. 관계사체무보증금액 (환율 등)'!$3:$3, '[1]1-1. 관계사체무보증금액 (환율 등)'!$33:$33)</f>
        <v>9113924.0506329108</v>
      </c>
      <c r="CT290" s="77">
        <f t="shared" si="262"/>
        <v>4.51396361042067</v>
      </c>
      <c r="CU290" s="78">
        <f t="shared" si="263"/>
        <v>80</v>
      </c>
      <c r="CV290" s="79">
        <f t="shared" si="276"/>
        <v>1.6</v>
      </c>
      <c r="CW290" s="112">
        <f t="shared" si="264"/>
        <v>16.393934155526527</v>
      </c>
    </row>
    <row r="291" spans="1:101" x14ac:dyDescent="0.35">
      <c r="A291" s="7" t="s">
        <v>1126</v>
      </c>
      <c r="B291" s="8" t="s">
        <v>1127</v>
      </c>
      <c r="C291" s="21" t="s">
        <v>1128</v>
      </c>
      <c r="D291" s="10" t="s">
        <v>31</v>
      </c>
      <c r="E291" s="11" t="s">
        <v>1129</v>
      </c>
      <c r="F291" s="11" t="s">
        <v>1130</v>
      </c>
      <c r="G291" s="12">
        <v>35054</v>
      </c>
      <c r="H291" s="11" t="s">
        <v>24</v>
      </c>
      <c r="I291" s="11" t="s">
        <v>1131</v>
      </c>
      <c r="J291" s="11" t="s">
        <v>1132</v>
      </c>
      <c r="K291" s="11" t="s">
        <v>50</v>
      </c>
      <c r="L291" s="23">
        <v>426922360</v>
      </c>
      <c r="M291" s="14">
        <v>43331711</v>
      </c>
      <c r="N291" s="14">
        <v>383590648</v>
      </c>
      <c r="O291" s="14">
        <v>226067372</v>
      </c>
      <c r="P291" s="14">
        <v>21433375</v>
      </c>
      <c r="Q291" s="14">
        <v>24456144</v>
      </c>
      <c r="R291" s="14">
        <v>20262547</v>
      </c>
      <c r="S291" s="15">
        <v>4029782</v>
      </c>
      <c r="T291" s="15">
        <v>422855</v>
      </c>
      <c r="U291" s="15">
        <v>639094</v>
      </c>
      <c r="V291" s="15">
        <f>554281+323138+285260+22696</f>
        <v>1185375</v>
      </c>
      <c r="W291" s="15">
        <v>0</v>
      </c>
      <c r="X291" s="15">
        <v>0</v>
      </c>
      <c r="Z291" s="15">
        <f>352325+7064+5751</f>
        <v>365140</v>
      </c>
      <c r="AA291" s="15">
        <f>49830+41</f>
        <v>49871</v>
      </c>
      <c r="AB291" s="74">
        <f t="shared" si="224"/>
        <v>2189609</v>
      </c>
      <c r="AC291" s="75">
        <f t="shared" si="225"/>
        <v>54.33566877811257</v>
      </c>
      <c r="AD291" s="75">
        <f t="shared" si="226"/>
        <v>53.191310030397666</v>
      </c>
      <c r="AE291" s="76">
        <f t="shared" si="265"/>
        <v>1.5957393009119298</v>
      </c>
      <c r="AF291" s="77">
        <f t="shared" si="227"/>
        <v>51.29154559275986</v>
      </c>
      <c r="AG291" s="77">
        <f t="shared" si="228"/>
        <v>60.154745947210273</v>
      </c>
      <c r="AH291" s="77">
        <f t="shared" si="229"/>
        <v>8.863200354450413</v>
      </c>
      <c r="AI291" s="78">
        <f t="shared" si="230"/>
        <v>100</v>
      </c>
      <c r="AJ291" s="79">
        <f t="shared" si="266"/>
        <v>4</v>
      </c>
      <c r="AK291" s="113">
        <v>9</v>
      </c>
      <c r="AL291" s="113">
        <v>4</v>
      </c>
      <c r="AM291" s="113">
        <v>3</v>
      </c>
      <c r="AN291" s="81">
        <f t="shared" si="231"/>
        <v>13</v>
      </c>
      <c r="AO291" s="82">
        <f t="shared" si="232"/>
        <v>23.076923076923077</v>
      </c>
      <c r="AP291" s="83">
        <f t="shared" si="233"/>
        <v>60</v>
      </c>
      <c r="AQ291" s="84">
        <f t="shared" si="267"/>
        <v>1.2</v>
      </c>
      <c r="AR291" s="118">
        <v>3</v>
      </c>
      <c r="AS291" s="86">
        <f t="shared" si="234"/>
        <v>0.25</v>
      </c>
      <c r="AT291" s="87">
        <f t="shared" si="235"/>
        <v>2.25</v>
      </c>
      <c r="AU291" s="87">
        <f t="shared" si="236"/>
        <v>2</v>
      </c>
      <c r="AV291" s="88">
        <f t="shared" si="237"/>
        <v>11.111111111111111</v>
      </c>
      <c r="AW291" s="78">
        <f t="shared" si="238"/>
        <v>60</v>
      </c>
      <c r="AX291" s="89">
        <f t="shared" si="268"/>
        <v>0.6</v>
      </c>
      <c r="AY291" s="114">
        <v>5</v>
      </c>
      <c r="AZ291" s="114">
        <f>3*5-7</f>
        <v>8</v>
      </c>
      <c r="BA291" s="91">
        <f t="shared" si="239"/>
        <v>15</v>
      </c>
      <c r="BB291" s="77">
        <f t="shared" si="240"/>
        <v>53.333333333333336</v>
      </c>
      <c r="BC291" s="78">
        <f t="shared" si="241"/>
        <v>25</v>
      </c>
      <c r="BD291" s="79">
        <f t="shared" si="269"/>
        <v>0.25</v>
      </c>
      <c r="BE291" s="92">
        <v>24745137</v>
      </c>
      <c r="BF291" s="92">
        <v>3443402</v>
      </c>
      <c r="BG291" s="114">
        <v>1151017</v>
      </c>
      <c r="BH291" s="94">
        <f t="shared" si="242"/>
        <v>28188539</v>
      </c>
      <c r="BI291" s="77">
        <f t="shared" si="243"/>
        <v>4.0832800876980535</v>
      </c>
      <c r="BJ291" s="95" t="str">
        <f t="shared" si="244"/>
        <v>식약/섬유/종이업</v>
      </c>
      <c r="BK291" s="96">
        <f t="shared" si="245"/>
        <v>2.1999360555264453</v>
      </c>
      <c r="BL291" s="97">
        <f t="shared" si="246"/>
        <v>1.8833440321716082</v>
      </c>
      <c r="BM291" s="98">
        <f t="shared" si="247"/>
        <v>60</v>
      </c>
      <c r="BN291" s="99">
        <f t="shared" si="248"/>
        <v>1.2</v>
      </c>
      <c r="BO291" s="114">
        <v>0</v>
      </c>
      <c r="BP291" s="101">
        <f t="shared" si="249"/>
        <v>0</v>
      </c>
      <c r="BQ291" s="78">
        <f t="shared" si="250"/>
        <v>25</v>
      </c>
      <c r="BR291" s="79">
        <f t="shared" si="270"/>
        <v>0.5</v>
      </c>
      <c r="BS291" s="102">
        <v>50591021.450999998</v>
      </c>
      <c r="BT291" s="102">
        <v>248559.2</v>
      </c>
      <c r="BU291" s="103">
        <f t="shared" si="251"/>
        <v>50342462.250999995</v>
      </c>
      <c r="BV291" s="77">
        <f t="shared" si="252"/>
        <v>22.268787311333011</v>
      </c>
      <c r="BW291" s="96">
        <f t="shared" si="253"/>
        <v>5.0508176117342298</v>
      </c>
      <c r="BX291" s="96">
        <f t="shared" si="254"/>
        <v>296.45848057630178</v>
      </c>
      <c r="BY291" s="96">
        <f t="shared" si="255"/>
        <v>6.9871618081220923</v>
      </c>
      <c r="BZ291" s="96">
        <f t="shared" si="256"/>
        <v>0.68654095883196042</v>
      </c>
      <c r="CA291" s="96">
        <f t="shared" si="257"/>
        <v>100</v>
      </c>
      <c r="CB291" s="104">
        <f t="shared" si="258"/>
        <v>2</v>
      </c>
      <c r="CC291" s="105">
        <f t="shared" si="271"/>
        <v>11.296341875362927</v>
      </c>
      <c r="CD291" s="106">
        <f t="shared" si="272"/>
        <v>96.119469142451152</v>
      </c>
      <c r="CE291" s="107">
        <f t="shared" si="273"/>
        <v>1.4417920371367672</v>
      </c>
      <c r="CF291" s="108" t="s">
        <v>2189</v>
      </c>
      <c r="CG291" s="108" t="s">
        <v>2189</v>
      </c>
      <c r="CH291" s="108" t="s">
        <v>2189</v>
      </c>
      <c r="CI291" s="108" t="s">
        <v>2189</v>
      </c>
      <c r="CJ291" s="109"/>
      <c r="CK291" s="116" t="s">
        <v>2192</v>
      </c>
      <c r="CL291" s="116" t="s">
        <v>2193</v>
      </c>
      <c r="CM291" s="111">
        <f t="shared" si="259"/>
        <v>25</v>
      </c>
      <c r="CN291" s="107">
        <f t="shared" si="274"/>
        <v>0.375</v>
      </c>
      <c r="CO291" s="114">
        <v>186073000</v>
      </c>
      <c r="CP291" s="88">
        <f t="shared" si="260"/>
        <v>48.508221191044257</v>
      </c>
      <c r="CQ291" s="78">
        <f t="shared" si="261"/>
        <v>40</v>
      </c>
      <c r="CR291" s="79">
        <f t="shared" si="275"/>
        <v>1.2</v>
      </c>
      <c r="CS291" s="92">
        <f>_xlfn.XLOOKUP(C291, '[1]1-1. 관계사체무보증금액 (환율 등)'!$3:$3, '[1]1-1. 관계사체무보증금액 (환율 등)'!$33:$33)</f>
        <v>0</v>
      </c>
      <c r="CT291" s="77">
        <f t="shared" si="262"/>
        <v>0</v>
      </c>
      <c r="CU291" s="78">
        <f t="shared" si="263"/>
        <v>100</v>
      </c>
      <c r="CV291" s="79">
        <f t="shared" si="276"/>
        <v>2</v>
      </c>
      <c r="CW291" s="112">
        <f t="shared" si="264"/>
        <v>16.362531338048697</v>
      </c>
    </row>
    <row r="292" spans="1:101" x14ac:dyDescent="0.35">
      <c r="A292" s="7" t="s">
        <v>478</v>
      </c>
      <c r="B292" s="8" t="s">
        <v>479</v>
      </c>
      <c r="C292" s="21" t="s">
        <v>480</v>
      </c>
      <c r="D292" s="10" t="s">
        <v>141</v>
      </c>
      <c r="E292" s="11" t="s">
        <v>481</v>
      </c>
      <c r="F292" s="11" t="s">
        <v>482</v>
      </c>
      <c r="G292" s="12">
        <v>39385</v>
      </c>
      <c r="H292" s="11" t="s">
        <v>483</v>
      </c>
      <c r="I292" s="11" t="s">
        <v>484</v>
      </c>
      <c r="J292" s="11" t="s">
        <v>485</v>
      </c>
      <c r="K292" s="11" t="s">
        <v>87</v>
      </c>
      <c r="L292" s="23">
        <v>270299658</v>
      </c>
      <c r="M292" s="14">
        <v>18481909</v>
      </c>
      <c r="N292" s="14">
        <v>251817749</v>
      </c>
      <c r="O292" s="14">
        <v>116116871</v>
      </c>
      <c r="P292" s="14">
        <v>9240856</v>
      </c>
      <c r="Q292" s="14">
        <v>9598370</v>
      </c>
      <c r="R292" s="14">
        <v>7492215</v>
      </c>
      <c r="S292" s="15">
        <v>29200000</v>
      </c>
      <c r="T292" s="15">
        <v>0</v>
      </c>
      <c r="U292" s="15">
        <f>17779167</f>
        <v>17779167</v>
      </c>
      <c r="V292" s="15">
        <f>1301669+443569+416178</f>
        <v>2161416</v>
      </c>
      <c r="W292" s="15">
        <f>12032+12142</f>
        <v>24174</v>
      </c>
      <c r="X292" s="15">
        <v>0</v>
      </c>
      <c r="Z292" s="15">
        <f>729762+137000</f>
        <v>866762</v>
      </c>
      <c r="AA292" s="15">
        <v>0</v>
      </c>
      <c r="AB292" s="74">
        <f t="shared" si="224"/>
        <v>20831519</v>
      </c>
      <c r="AC292" s="75">
        <f t="shared" si="225"/>
        <v>71.340818493150678</v>
      </c>
      <c r="AD292" s="75">
        <f t="shared" si="226"/>
        <v>38.514828688304938</v>
      </c>
      <c r="AE292" s="76">
        <f t="shared" si="265"/>
        <v>1.1554448606491481</v>
      </c>
      <c r="AF292" s="77">
        <f t="shared" si="227"/>
        <v>68.289667808219178</v>
      </c>
      <c r="AG292" s="77">
        <f t="shared" si="228"/>
        <v>71.340818493150678</v>
      </c>
      <c r="AH292" s="77">
        <f t="shared" si="229"/>
        <v>3.0511506849314998</v>
      </c>
      <c r="AI292" s="78">
        <f t="shared" si="230"/>
        <v>100</v>
      </c>
      <c r="AJ292" s="79">
        <f t="shared" si="266"/>
        <v>4</v>
      </c>
      <c r="AK292" s="113">
        <v>6</v>
      </c>
      <c r="AL292" s="113">
        <v>5</v>
      </c>
      <c r="AM292" s="113">
        <v>1</v>
      </c>
      <c r="AN292" s="81">
        <f t="shared" si="231"/>
        <v>11</v>
      </c>
      <c r="AO292" s="82">
        <f t="shared" si="232"/>
        <v>9.0909090909090917</v>
      </c>
      <c r="AP292" s="83">
        <f t="shared" si="233"/>
        <v>100</v>
      </c>
      <c r="AQ292" s="84">
        <f t="shared" si="267"/>
        <v>2</v>
      </c>
      <c r="AR292" s="118">
        <v>1</v>
      </c>
      <c r="AS292" s="86">
        <f t="shared" si="234"/>
        <v>0.25</v>
      </c>
      <c r="AT292" s="87">
        <f t="shared" si="235"/>
        <v>1.5</v>
      </c>
      <c r="AU292" s="87">
        <f t="shared" si="236"/>
        <v>1</v>
      </c>
      <c r="AV292" s="88">
        <f t="shared" si="237"/>
        <v>0</v>
      </c>
      <c r="AW292" s="78">
        <f t="shared" si="238"/>
        <v>40</v>
      </c>
      <c r="AX292" s="89">
        <f t="shared" si="268"/>
        <v>0.4</v>
      </c>
      <c r="AY292" s="114">
        <v>4</v>
      </c>
      <c r="AZ292" s="114">
        <v>2</v>
      </c>
      <c r="BA292" s="91">
        <f t="shared" si="239"/>
        <v>4</v>
      </c>
      <c r="BB292" s="77">
        <f t="shared" si="240"/>
        <v>50</v>
      </c>
      <c r="BC292" s="78">
        <f t="shared" si="241"/>
        <v>25</v>
      </c>
      <c r="BD292" s="79">
        <f t="shared" si="269"/>
        <v>0.25</v>
      </c>
      <c r="BE292" s="92">
        <v>5104143</v>
      </c>
      <c r="BF292" s="92">
        <v>681241</v>
      </c>
      <c r="BG292" s="114">
        <v>40919</v>
      </c>
      <c r="BH292" s="94">
        <f t="shared" si="242"/>
        <v>5785384</v>
      </c>
      <c r="BI292" s="77">
        <f t="shared" si="243"/>
        <v>0.70728235152584507</v>
      </c>
      <c r="BJ292" s="95" t="str">
        <f t="shared" si="244"/>
        <v>전기전자/기계업</v>
      </c>
      <c r="BK292" s="96">
        <f t="shared" si="245"/>
        <v>2.4096449716116446</v>
      </c>
      <c r="BL292" s="97">
        <f t="shared" si="246"/>
        <v>-1.7023626200857995</v>
      </c>
      <c r="BM292" s="98">
        <f t="shared" si="247"/>
        <v>80</v>
      </c>
      <c r="BN292" s="99">
        <f t="shared" si="248"/>
        <v>1.6</v>
      </c>
      <c r="BO292" s="114">
        <v>0</v>
      </c>
      <c r="BP292" s="101">
        <f t="shared" si="249"/>
        <v>0</v>
      </c>
      <c r="BQ292" s="78">
        <f t="shared" si="250"/>
        <v>25</v>
      </c>
      <c r="BR292" s="79">
        <f t="shared" si="270"/>
        <v>0.5</v>
      </c>
      <c r="BS292" s="102">
        <v>1752467.469</v>
      </c>
      <c r="BT292" s="102">
        <v>92036</v>
      </c>
      <c r="BU292" s="103">
        <f t="shared" si="251"/>
        <v>1660431.469</v>
      </c>
      <c r="BV292" s="77">
        <f t="shared" si="252"/>
        <v>1.4299657359868059</v>
      </c>
      <c r="BW292" s="96">
        <f t="shared" si="253"/>
        <v>5.2309968128308295</v>
      </c>
      <c r="BX292" s="96">
        <f t="shared" si="254"/>
        <v>14.447837247134037</v>
      </c>
      <c r="BY292" s="96">
        <f t="shared" si="255"/>
        <v>7.0695458012309631</v>
      </c>
      <c r="BZ292" s="96">
        <f t="shared" si="256"/>
        <v>70.459503226916098</v>
      </c>
      <c r="CA292" s="96">
        <f t="shared" si="257"/>
        <v>40</v>
      </c>
      <c r="CB292" s="104">
        <f t="shared" si="258"/>
        <v>0.8</v>
      </c>
      <c r="CC292" s="105">
        <f t="shared" si="271"/>
        <v>7.3393988602447555</v>
      </c>
      <c r="CD292" s="106">
        <f t="shared" si="272"/>
        <v>97.610779324028357</v>
      </c>
      <c r="CE292" s="107">
        <f t="shared" si="273"/>
        <v>1.4641616898604253</v>
      </c>
      <c r="CF292" s="108" t="s">
        <v>2189</v>
      </c>
      <c r="CG292" s="108" t="s">
        <v>2189</v>
      </c>
      <c r="CH292" s="108" t="s">
        <v>2189</v>
      </c>
      <c r="CI292" s="108" t="s">
        <v>2189</v>
      </c>
      <c r="CJ292" s="109"/>
      <c r="CK292" s="116" t="s">
        <v>2192</v>
      </c>
      <c r="CL292" s="116" t="s">
        <v>2193</v>
      </c>
      <c r="CM292" s="111">
        <f t="shared" si="259"/>
        <v>25</v>
      </c>
      <c r="CN292" s="107">
        <f t="shared" si="274"/>
        <v>0.375</v>
      </c>
      <c r="CO292" s="114">
        <f>34216000-5393000</f>
        <v>28823000</v>
      </c>
      <c r="CP292" s="88">
        <f t="shared" si="260"/>
        <v>11.445976351730474</v>
      </c>
      <c r="CQ292" s="78">
        <f t="shared" si="261"/>
        <v>60</v>
      </c>
      <c r="CR292" s="79">
        <f t="shared" si="275"/>
        <v>1.7999999999999998</v>
      </c>
      <c r="CS292" s="92">
        <f>_xlfn.XLOOKUP(C292, '[1]1-1. 관계사체무보증금액 (환율 등)'!$3:$3, '[1]1-1. 관계사체무보증금액 (환율 등)'!$33:$33)</f>
        <v>0</v>
      </c>
      <c r="CT292" s="77">
        <f t="shared" si="262"/>
        <v>0</v>
      </c>
      <c r="CU292" s="78">
        <f t="shared" si="263"/>
        <v>100</v>
      </c>
      <c r="CV292" s="79">
        <f t="shared" si="276"/>
        <v>2</v>
      </c>
      <c r="CW292" s="112">
        <f t="shared" si="264"/>
        <v>16.344606550509575</v>
      </c>
    </row>
    <row r="293" spans="1:101" x14ac:dyDescent="0.35">
      <c r="A293" s="7" t="s">
        <v>493</v>
      </c>
      <c r="B293" s="8" t="s">
        <v>494</v>
      </c>
      <c r="C293" s="21" t="s">
        <v>495</v>
      </c>
      <c r="D293" s="10" t="s">
        <v>21</v>
      </c>
      <c r="E293" s="11" t="s">
        <v>91</v>
      </c>
      <c r="F293" s="11" t="s">
        <v>496</v>
      </c>
      <c r="G293" s="12">
        <v>28122</v>
      </c>
      <c r="H293" s="11" t="s">
        <v>24</v>
      </c>
      <c r="I293" s="11" t="s">
        <v>497</v>
      </c>
      <c r="J293" s="11" t="s">
        <v>498</v>
      </c>
      <c r="K293" s="11" t="s">
        <v>50</v>
      </c>
      <c r="L293" s="23">
        <v>345786655</v>
      </c>
      <c r="M293" s="14">
        <v>238784577</v>
      </c>
      <c r="N293" s="14">
        <v>107002078</v>
      </c>
      <c r="O293" s="14">
        <v>450379452</v>
      </c>
      <c r="P293" s="14">
        <v>11115820</v>
      </c>
      <c r="Q293" s="14">
        <v>15758165</v>
      </c>
      <c r="R293" s="14">
        <v>19332576</v>
      </c>
      <c r="S293" s="15">
        <v>9829014</v>
      </c>
      <c r="T293" s="15">
        <v>8858</v>
      </c>
      <c r="U293" s="15">
        <f>2200000+830000</f>
        <v>3030000</v>
      </c>
      <c r="V293" s="15">
        <v>0</v>
      </c>
      <c r="W293" s="15">
        <v>0</v>
      </c>
      <c r="X293" s="15">
        <v>0</v>
      </c>
      <c r="Z293" s="15">
        <f>2000000+1100000</f>
        <v>3100000</v>
      </c>
      <c r="AA293" s="15">
        <v>0</v>
      </c>
      <c r="AB293" s="74">
        <f t="shared" si="224"/>
        <v>6130000</v>
      </c>
      <c r="AC293" s="75">
        <f t="shared" si="225"/>
        <v>62.366377746536941</v>
      </c>
      <c r="AD293" s="75">
        <f t="shared" si="226"/>
        <v>46.260318400572267</v>
      </c>
      <c r="AE293" s="76">
        <f t="shared" si="265"/>
        <v>1.387809552017168</v>
      </c>
      <c r="AF293" s="77">
        <f t="shared" si="227"/>
        <v>30.854906989257604</v>
      </c>
      <c r="AG293" s="77">
        <f t="shared" si="228"/>
        <v>62.422633611930401</v>
      </c>
      <c r="AH293" s="77">
        <f t="shared" si="229"/>
        <v>31.567726622672797</v>
      </c>
      <c r="AI293" s="78">
        <f t="shared" si="230"/>
        <v>60</v>
      </c>
      <c r="AJ293" s="79">
        <f t="shared" si="266"/>
        <v>2.4</v>
      </c>
      <c r="AK293" s="113">
        <v>5</v>
      </c>
      <c r="AL293" s="113">
        <v>33</v>
      </c>
      <c r="AM293" s="113">
        <v>1</v>
      </c>
      <c r="AN293" s="81">
        <f t="shared" si="231"/>
        <v>38</v>
      </c>
      <c r="AO293" s="82">
        <f t="shared" si="232"/>
        <v>2.6315789473684208</v>
      </c>
      <c r="AP293" s="83">
        <f t="shared" si="233"/>
        <v>100</v>
      </c>
      <c r="AQ293" s="84">
        <f t="shared" si="267"/>
        <v>2</v>
      </c>
      <c r="AR293" s="118">
        <v>1</v>
      </c>
      <c r="AS293" s="86">
        <f t="shared" si="234"/>
        <v>0.25</v>
      </c>
      <c r="AT293" s="87">
        <f t="shared" si="235"/>
        <v>1.25</v>
      </c>
      <c r="AU293" s="87">
        <f t="shared" si="236"/>
        <v>1</v>
      </c>
      <c r="AV293" s="88">
        <f t="shared" si="237"/>
        <v>0</v>
      </c>
      <c r="AW293" s="78">
        <f t="shared" si="238"/>
        <v>40</v>
      </c>
      <c r="AX293" s="89">
        <f t="shared" si="268"/>
        <v>0.4</v>
      </c>
      <c r="AY293" s="114">
        <v>14</v>
      </c>
      <c r="AZ293" s="114">
        <v>14</v>
      </c>
      <c r="BA293" s="91">
        <f t="shared" si="239"/>
        <v>14</v>
      </c>
      <c r="BB293" s="77">
        <f t="shared" si="240"/>
        <v>100</v>
      </c>
      <c r="BC293" s="78">
        <f t="shared" si="241"/>
        <v>100</v>
      </c>
      <c r="BD293" s="79">
        <f t="shared" si="269"/>
        <v>1</v>
      </c>
      <c r="BE293" s="92">
        <v>11357889</v>
      </c>
      <c r="BF293" s="92">
        <v>842318</v>
      </c>
      <c r="BG293" s="114">
        <v>554164</v>
      </c>
      <c r="BH293" s="94">
        <f t="shared" si="242"/>
        <v>12200207</v>
      </c>
      <c r="BI293" s="77">
        <f t="shared" si="243"/>
        <v>4.5422507995151236</v>
      </c>
      <c r="BJ293" s="95" t="str">
        <f t="shared" si="244"/>
        <v>비제조/서비스업</v>
      </c>
      <c r="BK293" s="96">
        <f t="shared" si="245"/>
        <v>1.7464434573900922</v>
      </c>
      <c r="BL293" s="97">
        <f t="shared" si="246"/>
        <v>2.7958073421250313</v>
      </c>
      <c r="BM293" s="98">
        <f t="shared" si="247"/>
        <v>40</v>
      </c>
      <c r="BN293" s="99">
        <f t="shared" si="248"/>
        <v>0.8</v>
      </c>
      <c r="BO293" s="114">
        <v>851468</v>
      </c>
      <c r="BP293" s="101">
        <f t="shared" si="249"/>
        <v>0.18905569430818528</v>
      </c>
      <c r="BQ293" s="78">
        <f t="shared" si="250"/>
        <v>55</v>
      </c>
      <c r="BR293" s="79">
        <f t="shared" si="270"/>
        <v>1.1000000000000001</v>
      </c>
      <c r="BS293" s="102">
        <v>463363.73200000002</v>
      </c>
      <c r="BT293" s="102">
        <v>0</v>
      </c>
      <c r="BU293" s="103">
        <f t="shared" si="251"/>
        <v>463363.73200000002</v>
      </c>
      <c r="BV293" s="77">
        <f t="shared" si="252"/>
        <v>0.10288296456295702</v>
      </c>
      <c r="BW293" s="96">
        <f t="shared" si="253"/>
        <v>2.8482825397737606</v>
      </c>
      <c r="BX293" s="96">
        <f t="shared" si="254"/>
        <v>7.5372188275676599</v>
      </c>
      <c r="BY293" s="96">
        <f t="shared" si="255"/>
        <v>5.5697595856656807</v>
      </c>
      <c r="BZ293" s="96">
        <f t="shared" si="256"/>
        <v>68.89625042935144</v>
      </c>
      <c r="CA293" s="96">
        <f t="shared" si="257"/>
        <v>40</v>
      </c>
      <c r="CB293" s="104">
        <f t="shared" si="258"/>
        <v>0.8</v>
      </c>
      <c r="CC293" s="105">
        <f t="shared" si="271"/>
        <v>223.15882220530332</v>
      </c>
      <c r="CD293" s="106">
        <f t="shared" si="272"/>
        <v>25</v>
      </c>
      <c r="CE293" s="107">
        <f t="shared" si="273"/>
        <v>0.375</v>
      </c>
      <c r="CF293" s="108" t="s">
        <v>2189</v>
      </c>
      <c r="CG293" s="108" t="s">
        <v>2189</v>
      </c>
      <c r="CH293" s="108" t="s">
        <v>2189</v>
      </c>
      <c r="CI293" s="108" t="s">
        <v>2189</v>
      </c>
      <c r="CJ293" s="109"/>
      <c r="CK293" s="116" t="s">
        <v>2207</v>
      </c>
      <c r="CL293" s="116" t="s">
        <v>2204</v>
      </c>
      <c r="CM293" s="111">
        <f t="shared" si="259"/>
        <v>70</v>
      </c>
      <c r="CN293" s="107">
        <f t="shared" si="274"/>
        <v>1.05</v>
      </c>
      <c r="CO293" s="114">
        <v>0</v>
      </c>
      <c r="CP293" s="88">
        <f t="shared" si="260"/>
        <v>0</v>
      </c>
      <c r="CQ293" s="78">
        <f t="shared" si="261"/>
        <v>100</v>
      </c>
      <c r="CR293" s="79">
        <f t="shared" si="275"/>
        <v>3</v>
      </c>
      <c r="CS293" s="92">
        <f>_xlfn.XLOOKUP(C293, '[1]1-1. 관계사체무보증금액 (환율 등)'!$3:$3, '[1]1-1. 관계사체무보증금액 (환율 등)'!$33:$33)</f>
        <v>0</v>
      </c>
      <c r="CT293" s="77">
        <f t="shared" si="262"/>
        <v>0</v>
      </c>
      <c r="CU293" s="78">
        <f t="shared" si="263"/>
        <v>100</v>
      </c>
      <c r="CV293" s="79">
        <f t="shared" si="276"/>
        <v>2</v>
      </c>
      <c r="CW293" s="112">
        <f t="shared" si="264"/>
        <v>16.312809552017171</v>
      </c>
    </row>
    <row r="294" spans="1:101" x14ac:dyDescent="0.35">
      <c r="A294" s="43" t="s">
        <v>1197</v>
      </c>
      <c r="B294" s="8" t="s">
        <v>1198</v>
      </c>
      <c r="C294" s="21" t="s">
        <v>1199</v>
      </c>
      <c r="D294" s="10" t="s">
        <v>141</v>
      </c>
      <c r="E294" s="11" t="s">
        <v>1200</v>
      </c>
      <c r="F294" s="11" t="s">
        <v>1201</v>
      </c>
      <c r="G294" s="12">
        <v>30905</v>
      </c>
      <c r="H294" s="11" t="s">
        <v>24</v>
      </c>
      <c r="I294" s="11" t="s">
        <v>1202</v>
      </c>
      <c r="J294" s="11" t="s">
        <v>1203</v>
      </c>
      <c r="K294" s="11" t="s">
        <v>27</v>
      </c>
      <c r="L294" s="23">
        <v>150922633</v>
      </c>
      <c r="M294" s="14">
        <v>52979361</v>
      </c>
      <c r="N294" s="14">
        <v>97943272</v>
      </c>
      <c r="O294" s="14">
        <v>457295501</v>
      </c>
      <c r="P294" s="14">
        <v>13985109</v>
      </c>
      <c r="Q294" s="14">
        <v>16291509</v>
      </c>
      <c r="R294" s="14">
        <v>13892645</v>
      </c>
      <c r="S294" s="15">
        <v>77124820</v>
      </c>
      <c r="T294" s="15">
        <v>3490</v>
      </c>
      <c r="U294" s="15">
        <f>801890+15607082</f>
        <v>16408972</v>
      </c>
      <c r="V294" s="15">
        <f>1111570+1104370+1393970+3038400</f>
        <v>6648310</v>
      </c>
      <c r="W294" s="15">
        <v>0</v>
      </c>
      <c r="X294" s="15">
        <v>0</v>
      </c>
      <c r="Z294" s="15">
        <v>2739956</v>
      </c>
      <c r="AA294" s="15">
        <v>0</v>
      </c>
      <c r="AB294" s="74">
        <f t="shared" si="224"/>
        <v>25797238</v>
      </c>
      <c r="AC294" s="75">
        <f t="shared" si="225"/>
        <v>33.448684872133249</v>
      </c>
      <c r="AD294" s="75">
        <f t="shared" si="226"/>
        <v>71.218051030955195</v>
      </c>
      <c r="AE294" s="76">
        <f t="shared" si="265"/>
        <v>2.136541530928656</v>
      </c>
      <c r="AF294" s="77">
        <f t="shared" si="227"/>
        <v>29.897412298257827</v>
      </c>
      <c r="AG294" s="77">
        <f t="shared" si="228"/>
        <v>33.450198537810486</v>
      </c>
      <c r="AH294" s="77">
        <f t="shared" si="229"/>
        <v>3.5527862395526597</v>
      </c>
      <c r="AI294" s="78">
        <f t="shared" si="230"/>
        <v>100</v>
      </c>
      <c r="AJ294" s="79">
        <f t="shared" si="266"/>
        <v>4</v>
      </c>
      <c r="AK294" s="113">
        <v>5</v>
      </c>
      <c r="AL294" s="113">
        <v>7</v>
      </c>
      <c r="AM294" s="113">
        <v>4</v>
      </c>
      <c r="AN294" s="81">
        <f t="shared" si="231"/>
        <v>12</v>
      </c>
      <c r="AO294" s="82">
        <f t="shared" si="232"/>
        <v>33.333333333333329</v>
      </c>
      <c r="AP294" s="83">
        <f t="shared" si="233"/>
        <v>40</v>
      </c>
      <c r="AQ294" s="84">
        <f t="shared" si="267"/>
        <v>0.8</v>
      </c>
      <c r="AR294" s="118">
        <v>1</v>
      </c>
      <c r="AS294" s="86">
        <f t="shared" si="234"/>
        <v>0.25</v>
      </c>
      <c r="AT294" s="87">
        <f t="shared" si="235"/>
        <v>1.25</v>
      </c>
      <c r="AU294" s="87">
        <f t="shared" si="236"/>
        <v>1</v>
      </c>
      <c r="AV294" s="88">
        <f t="shared" si="237"/>
        <v>0</v>
      </c>
      <c r="AW294" s="78">
        <f t="shared" si="238"/>
        <v>40</v>
      </c>
      <c r="AX294" s="89">
        <f t="shared" si="268"/>
        <v>0.4</v>
      </c>
      <c r="AY294" s="114">
        <v>14</v>
      </c>
      <c r="AZ294" s="114">
        <v>14</v>
      </c>
      <c r="BA294" s="91">
        <f t="shared" si="239"/>
        <v>14</v>
      </c>
      <c r="BB294" s="77">
        <f t="shared" si="240"/>
        <v>100</v>
      </c>
      <c r="BC294" s="78">
        <f t="shared" si="241"/>
        <v>100</v>
      </c>
      <c r="BD294" s="79">
        <f t="shared" si="269"/>
        <v>1</v>
      </c>
      <c r="BE294" s="132">
        <f>6537566*'[1]1-1. 관계사체무보증금액 (환율 등)'!B4/1000</f>
        <v>8275399.9999999991</v>
      </c>
      <c r="BF294" s="132">
        <f>499579*'[1]1-1. 관계사체무보증금액 (환율 등)'!B4/1000</f>
        <v>632378.4810126581</v>
      </c>
      <c r="BG294" s="133">
        <f>247015*'[1]1-1. 관계사체무보증금액 (환율 등)'!B4/1000</f>
        <v>312677.21518987342</v>
      </c>
      <c r="BH294" s="94">
        <f t="shared" si="242"/>
        <v>8907778.4810126573</v>
      </c>
      <c r="BI294" s="77">
        <f t="shared" si="243"/>
        <v>3.5101593046611943</v>
      </c>
      <c r="BJ294" s="95" t="str">
        <f t="shared" si="244"/>
        <v>전기전자/기계업</v>
      </c>
      <c r="BK294" s="96">
        <f t="shared" si="245"/>
        <v>2.4096449716116446</v>
      </c>
      <c r="BL294" s="97">
        <f t="shared" si="246"/>
        <v>1.1005143330495497</v>
      </c>
      <c r="BM294" s="98">
        <f t="shared" si="247"/>
        <v>60</v>
      </c>
      <c r="BN294" s="99">
        <f t="shared" si="248"/>
        <v>1.2</v>
      </c>
      <c r="BO294" s="133">
        <f>6310*'[1]1-1. 관계사체무보증금액 (환율 등)'!B4</f>
        <v>7987341.7721518977</v>
      </c>
      <c r="BP294" s="101">
        <f t="shared" si="249"/>
        <v>1.7466477922230637</v>
      </c>
      <c r="BQ294" s="78">
        <f t="shared" si="250"/>
        <v>70</v>
      </c>
      <c r="BR294" s="79">
        <f t="shared" si="270"/>
        <v>1.4000000000000001</v>
      </c>
      <c r="BS294" s="134">
        <f>94276*'[1]1-1. 관계사체무보증금액 (환율 등)'!B4/1000</f>
        <v>119336.70886075948</v>
      </c>
      <c r="BT294" s="134">
        <v>0</v>
      </c>
      <c r="BU294" s="103">
        <f t="shared" si="251"/>
        <v>119336.70886075948</v>
      </c>
      <c r="BV294" s="77">
        <f t="shared" si="252"/>
        <v>2.6096191324821164E-2</v>
      </c>
      <c r="BW294" s="96">
        <f t="shared" si="253"/>
        <v>5.2309968128308295</v>
      </c>
      <c r="BX294" s="96">
        <f t="shared" si="254"/>
        <v>27.090990479753636</v>
      </c>
      <c r="BY294" s="96">
        <f t="shared" si="255"/>
        <v>7.0695458012309631</v>
      </c>
      <c r="BZ294" s="96">
        <f t="shared" si="256"/>
        <v>76.920845746391393</v>
      </c>
      <c r="CA294" s="96">
        <f t="shared" si="257"/>
        <v>40</v>
      </c>
      <c r="CB294" s="104">
        <f t="shared" si="258"/>
        <v>0.8</v>
      </c>
      <c r="CC294" s="105">
        <f t="shared" si="271"/>
        <v>54.091883922358655</v>
      </c>
      <c r="CD294" s="106">
        <f t="shared" si="272"/>
        <v>79.990496009161319</v>
      </c>
      <c r="CE294" s="107">
        <f t="shared" si="273"/>
        <v>1.1998574401374198</v>
      </c>
      <c r="CF294" s="108" t="s">
        <v>2189</v>
      </c>
      <c r="CG294" s="108" t="s">
        <v>2189</v>
      </c>
      <c r="CH294" s="108" t="s">
        <v>2189</v>
      </c>
      <c r="CI294" s="108" t="s">
        <v>2189</v>
      </c>
      <c r="CJ294" s="109"/>
      <c r="CK294" s="116" t="s">
        <v>2192</v>
      </c>
      <c r="CL294" s="116" t="s">
        <v>2193</v>
      </c>
      <c r="CM294" s="111">
        <f t="shared" si="259"/>
        <v>25</v>
      </c>
      <c r="CN294" s="107">
        <f t="shared" si="274"/>
        <v>0.375</v>
      </c>
      <c r="CO294" s="114">
        <f>6005000+13257000</f>
        <v>19262000</v>
      </c>
      <c r="CP294" s="88">
        <f t="shared" si="260"/>
        <v>19.666486126785717</v>
      </c>
      <c r="CQ294" s="78">
        <f t="shared" si="261"/>
        <v>60</v>
      </c>
      <c r="CR294" s="79">
        <f t="shared" si="275"/>
        <v>1.7999999999999998</v>
      </c>
      <c r="CS294" s="92">
        <f>_xlfn.XLOOKUP(C294, '[1]1-1. 관계사체무보증금액 (환율 등)'!$3:$3, '[1]1-1. 관계사체무보증금액 (환율 등)'!$33:$33)</f>
        <v>30253164.556962021</v>
      </c>
      <c r="CT294" s="77">
        <f t="shared" si="262"/>
        <v>30.888456081967554</v>
      </c>
      <c r="CU294" s="78">
        <f t="shared" si="263"/>
        <v>60</v>
      </c>
      <c r="CV294" s="79">
        <f t="shared" si="276"/>
        <v>1.2</v>
      </c>
      <c r="CW294" s="112">
        <f t="shared" si="264"/>
        <v>16.311398971066076</v>
      </c>
    </row>
    <row r="295" spans="1:101" x14ac:dyDescent="0.35">
      <c r="A295" s="7" t="s">
        <v>877</v>
      </c>
      <c r="B295" s="8" t="s">
        <v>878</v>
      </c>
      <c r="C295" s="21" t="s">
        <v>879</v>
      </c>
      <c r="D295" s="10" t="s">
        <v>31</v>
      </c>
      <c r="E295" s="11" t="s">
        <v>873</v>
      </c>
      <c r="F295" s="11" t="s">
        <v>880</v>
      </c>
      <c r="G295" s="12">
        <v>31770</v>
      </c>
      <c r="H295" s="11" t="s">
        <v>24</v>
      </c>
      <c r="I295" s="11" t="s">
        <v>881</v>
      </c>
      <c r="J295" s="11" t="s">
        <v>882</v>
      </c>
      <c r="K295" s="11" t="s">
        <v>27</v>
      </c>
      <c r="L295" s="23">
        <v>343207955</v>
      </c>
      <c r="M295" s="14">
        <v>137261542</v>
      </c>
      <c r="N295" s="14">
        <v>205946413</v>
      </c>
      <c r="O295" s="14">
        <v>369125207</v>
      </c>
      <c r="P295" s="14">
        <v>10201023</v>
      </c>
      <c r="Q295" s="14">
        <v>10693290</v>
      </c>
      <c r="R295" s="14">
        <v>8526794</v>
      </c>
      <c r="S295" s="15">
        <v>9422739</v>
      </c>
      <c r="T295" s="15">
        <v>3</v>
      </c>
      <c r="U295" s="15">
        <v>5736569</v>
      </c>
      <c r="V295" s="15">
        <v>0</v>
      </c>
      <c r="W295" s="15">
        <v>0</v>
      </c>
      <c r="X295" s="15">
        <v>0</v>
      </c>
      <c r="Z295" s="15">
        <f>184171+74</f>
        <v>184245</v>
      </c>
      <c r="AA295" s="15">
        <v>74</v>
      </c>
      <c r="AB295" s="74">
        <f t="shared" si="224"/>
        <v>5920814</v>
      </c>
      <c r="AC295" s="75">
        <f t="shared" si="225"/>
        <v>62.835381516987788</v>
      </c>
      <c r="AD295" s="75">
        <f t="shared" si="226"/>
        <v>45.855539542300534</v>
      </c>
      <c r="AE295" s="76">
        <f t="shared" si="265"/>
        <v>1.375666186269016</v>
      </c>
      <c r="AF295" s="77">
        <f t="shared" si="227"/>
        <v>60.880555834434048</v>
      </c>
      <c r="AG295" s="77">
        <f t="shared" si="228"/>
        <v>62.835109653726306</v>
      </c>
      <c r="AH295" s="77">
        <f t="shared" si="229"/>
        <v>1.9545538192922578</v>
      </c>
      <c r="AI295" s="78">
        <f t="shared" si="230"/>
        <v>100</v>
      </c>
      <c r="AJ295" s="79">
        <f t="shared" si="266"/>
        <v>4</v>
      </c>
      <c r="AK295" s="113">
        <v>9</v>
      </c>
      <c r="AL295" s="113">
        <v>5</v>
      </c>
      <c r="AM295" s="80">
        <v>2</v>
      </c>
      <c r="AN295" s="81">
        <f t="shared" si="231"/>
        <v>14</v>
      </c>
      <c r="AO295" s="82">
        <f t="shared" si="232"/>
        <v>14.285714285714285</v>
      </c>
      <c r="AP295" s="83">
        <f t="shared" si="233"/>
        <v>80</v>
      </c>
      <c r="AQ295" s="84">
        <f t="shared" si="267"/>
        <v>1.6</v>
      </c>
      <c r="AR295" s="118">
        <v>5</v>
      </c>
      <c r="AS295" s="86">
        <f t="shared" si="234"/>
        <v>0.25</v>
      </c>
      <c r="AT295" s="87">
        <f t="shared" si="235"/>
        <v>2.25</v>
      </c>
      <c r="AU295" s="87">
        <f t="shared" si="236"/>
        <v>2</v>
      </c>
      <c r="AV295" s="88">
        <f t="shared" si="237"/>
        <v>33.333333333333329</v>
      </c>
      <c r="AW295" s="78">
        <f t="shared" si="238"/>
        <v>80</v>
      </c>
      <c r="AX295" s="89">
        <f t="shared" si="268"/>
        <v>0.8</v>
      </c>
      <c r="AY295" s="114">
        <v>19</v>
      </c>
      <c r="AZ295" s="114">
        <f>12*3+4*2+5*5</f>
        <v>69</v>
      </c>
      <c r="BA295" s="91">
        <f t="shared" si="239"/>
        <v>95</v>
      </c>
      <c r="BB295" s="77">
        <f t="shared" si="240"/>
        <v>72.631578947368425</v>
      </c>
      <c r="BC295" s="78">
        <f t="shared" si="241"/>
        <v>50</v>
      </c>
      <c r="BD295" s="79">
        <f t="shared" si="269"/>
        <v>0.5</v>
      </c>
      <c r="BE295" s="92">
        <v>4669760</v>
      </c>
      <c r="BF295" s="92">
        <v>454097</v>
      </c>
      <c r="BG295" s="114">
        <v>311753</v>
      </c>
      <c r="BH295" s="94">
        <f t="shared" si="242"/>
        <v>5123857</v>
      </c>
      <c r="BI295" s="77">
        <f t="shared" si="243"/>
        <v>6.0843423225901896</v>
      </c>
      <c r="BJ295" s="95" t="str">
        <f t="shared" si="244"/>
        <v>식약/섬유/종이업</v>
      </c>
      <c r="BK295" s="96">
        <f t="shared" si="245"/>
        <v>2.1999360555264453</v>
      </c>
      <c r="BL295" s="97">
        <f t="shared" si="246"/>
        <v>3.8844062670637443</v>
      </c>
      <c r="BM295" s="98">
        <f t="shared" si="247"/>
        <v>40</v>
      </c>
      <c r="BN295" s="99">
        <f t="shared" si="248"/>
        <v>0.8</v>
      </c>
      <c r="BO295" s="114">
        <v>0</v>
      </c>
      <c r="BP295" s="101">
        <f t="shared" si="249"/>
        <v>0</v>
      </c>
      <c r="BQ295" s="78">
        <f t="shared" si="250"/>
        <v>25</v>
      </c>
      <c r="BR295" s="79">
        <f t="shared" si="270"/>
        <v>0.5</v>
      </c>
      <c r="BS295" s="102">
        <v>13885907</v>
      </c>
      <c r="BT295" s="102">
        <v>7309026</v>
      </c>
      <c r="BU295" s="103">
        <f t="shared" si="251"/>
        <v>6576881</v>
      </c>
      <c r="BV295" s="77">
        <f t="shared" si="252"/>
        <v>1.7817480018372194</v>
      </c>
      <c r="BW295" s="96">
        <f t="shared" si="253"/>
        <v>5.0508176117342298</v>
      </c>
      <c r="BX295" s="96">
        <f t="shared" si="254"/>
        <v>10.68681611435219</v>
      </c>
      <c r="BY295" s="96">
        <f t="shared" si="255"/>
        <v>6.9871618081220923</v>
      </c>
      <c r="BZ295" s="96">
        <f t="shared" si="256"/>
        <v>68.006051537021008</v>
      </c>
      <c r="CA295" s="96">
        <f t="shared" si="257"/>
        <v>40</v>
      </c>
      <c r="CB295" s="104">
        <f t="shared" si="258"/>
        <v>0.8</v>
      </c>
      <c r="CC295" s="105">
        <f t="shared" si="271"/>
        <v>66.64915402046843</v>
      </c>
      <c r="CD295" s="106">
        <f t="shared" si="272"/>
        <v>75.257856524949091</v>
      </c>
      <c r="CE295" s="107">
        <f t="shared" si="273"/>
        <v>1.1288678478742362</v>
      </c>
      <c r="CF295" s="108" t="s">
        <v>2189</v>
      </c>
      <c r="CG295" s="108" t="s">
        <v>2189</v>
      </c>
      <c r="CH295" s="108" t="s">
        <v>2189</v>
      </c>
      <c r="CI295" s="108" t="s">
        <v>2189</v>
      </c>
      <c r="CJ295" s="109"/>
      <c r="CK295" s="116" t="s">
        <v>2199</v>
      </c>
      <c r="CL295" s="116" t="s">
        <v>2193</v>
      </c>
      <c r="CM295" s="111">
        <f t="shared" si="259"/>
        <v>25</v>
      </c>
      <c r="CN295" s="107">
        <f t="shared" si="274"/>
        <v>0.375</v>
      </c>
      <c r="CO295" s="114">
        <f>8689000+3116000</f>
        <v>11805000</v>
      </c>
      <c r="CP295" s="88">
        <f t="shared" si="260"/>
        <v>5.7320736147028688</v>
      </c>
      <c r="CQ295" s="78">
        <f t="shared" si="261"/>
        <v>80</v>
      </c>
      <c r="CR295" s="79">
        <f t="shared" si="275"/>
        <v>2.4</v>
      </c>
      <c r="CS295" s="92">
        <f>_xlfn.XLOOKUP(C295, '[1]1-1. 관계사체무보증금액 (환율 등)'!$3:$3, '[1]1-1. 관계사체무보증금액 (환율 등)'!$33:$33)</f>
        <v>0</v>
      </c>
      <c r="CT295" s="77">
        <f t="shared" si="262"/>
        <v>0</v>
      </c>
      <c r="CU295" s="78">
        <f t="shared" si="263"/>
        <v>100</v>
      </c>
      <c r="CV295" s="79">
        <f t="shared" si="276"/>
        <v>2</v>
      </c>
      <c r="CW295" s="112">
        <f t="shared" si="264"/>
        <v>16.279534034143254</v>
      </c>
    </row>
    <row r="296" spans="1:101" x14ac:dyDescent="0.35">
      <c r="A296" s="7" t="s">
        <v>111</v>
      </c>
      <c r="B296" s="8" t="s">
        <v>112</v>
      </c>
      <c r="C296" s="21" t="s">
        <v>113</v>
      </c>
      <c r="D296" s="10" t="s">
        <v>75</v>
      </c>
      <c r="E296" s="11" t="s">
        <v>114</v>
      </c>
      <c r="F296" s="11" t="s">
        <v>115</v>
      </c>
      <c r="G296" s="12">
        <v>37649</v>
      </c>
      <c r="H296" s="11" t="s">
        <v>24</v>
      </c>
      <c r="I296" s="11" t="s">
        <v>116</v>
      </c>
      <c r="J296" s="11" t="s">
        <v>117</v>
      </c>
      <c r="K296" s="11" t="s">
        <v>118</v>
      </c>
      <c r="L296" s="23">
        <v>259398157</v>
      </c>
      <c r="M296" s="14">
        <v>76302600</v>
      </c>
      <c r="N296" s="14">
        <v>183095557</v>
      </c>
      <c r="O296" s="14">
        <v>261687162</v>
      </c>
      <c r="P296" s="14">
        <v>26367414</v>
      </c>
      <c r="Q296" s="14">
        <v>33010683</v>
      </c>
      <c r="R296" s="14">
        <v>28926448</v>
      </c>
      <c r="S296" s="15">
        <v>14400000</v>
      </c>
      <c r="T296" s="15">
        <v>0</v>
      </c>
      <c r="U296" s="15">
        <v>3822430</v>
      </c>
      <c r="V296" s="15">
        <f>2441820+510274+361228+311575+184430+108000+60000</f>
        <v>3977327</v>
      </c>
      <c r="W296" s="15">
        <v>0</v>
      </c>
      <c r="X296" s="15">
        <v>0</v>
      </c>
      <c r="Z296" s="15">
        <v>461000</v>
      </c>
      <c r="AA296" s="15">
        <v>5080</v>
      </c>
      <c r="AB296" s="74">
        <f t="shared" si="224"/>
        <v>8260757</v>
      </c>
      <c r="AC296" s="75">
        <f t="shared" si="225"/>
        <v>57.366368055555562</v>
      </c>
      <c r="AD296" s="75">
        <f t="shared" si="226"/>
        <v>50.575631712696584</v>
      </c>
      <c r="AE296" s="76">
        <f t="shared" si="265"/>
        <v>1.5172689513808975</v>
      </c>
      <c r="AF296" s="77">
        <f t="shared" si="227"/>
        <v>54.184094110978045</v>
      </c>
      <c r="AG296" s="77">
        <f t="shared" si="228"/>
        <v>57.35132254989955</v>
      </c>
      <c r="AH296" s="77">
        <f t="shared" si="229"/>
        <v>3.1672284389215051</v>
      </c>
      <c r="AI296" s="78">
        <f t="shared" si="230"/>
        <v>100</v>
      </c>
      <c r="AJ296" s="79">
        <f t="shared" si="266"/>
        <v>4</v>
      </c>
      <c r="AK296" s="113">
        <v>8</v>
      </c>
      <c r="AL296" s="113">
        <v>3</v>
      </c>
      <c r="AM296" s="113">
        <v>4</v>
      </c>
      <c r="AN296" s="81">
        <f t="shared" si="231"/>
        <v>11</v>
      </c>
      <c r="AO296" s="82">
        <f t="shared" si="232"/>
        <v>36.363636363636367</v>
      </c>
      <c r="AP296" s="83">
        <f t="shared" si="233"/>
        <v>40</v>
      </c>
      <c r="AQ296" s="84">
        <f t="shared" si="267"/>
        <v>0.8</v>
      </c>
      <c r="AR296" s="118">
        <v>3</v>
      </c>
      <c r="AS296" s="86">
        <f t="shared" si="234"/>
        <v>0.25</v>
      </c>
      <c r="AT296" s="87">
        <f t="shared" si="235"/>
        <v>2</v>
      </c>
      <c r="AU296" s="87">
        <f t="shared" si="236"/>
        <v>2</v>
      </c>
      <c r="AV296" s="88">
        <f t="shared" si="237"/>
        <v>12.5</v>
      </c>
      <c r="AW296" s="78">
        <f t="shared" si="238"/>
        <v>60</v>
      </c>
      <c r="AX296" s="89">
        <f t="shared" si="268"/>
        <v>0.6</v>
      </c>
      <c r="AY296" s="114">
        <v>9</v>
      </c>
      <c r="AZ296" s="114">
        <f>9+5+8+3</f>
        <v>25</v>
      </c>
      <c r="BA296" s="91">
        <f t="shared" si="239"/>
        <v>27</v>
      </c>
      <c r="BB296" s="77">
        <f t="shared" si="240"/>
        <v>92.592592592592595</v>
      </c>
      <c r="BC296" s="78">
        <f t="shared" si="241"/>
        <v>100</v>
      </c>
      <c r="BD296" s="79">
        <f t="shared" si="269"/>
        <v>1</v>
      </c>
      <c r="BE296" s="92">
        <f>4140857+1683023</f>
        <v>5823880</v>
      </c>
      <c r="BF296" s="92">
        <f>315559+108562</f>
        <v>424121</v>
      </c>
      <c r="BG296" s="114">
        <v>36991</v>
      </c>
      <c r="BH296" s="94">
        <f t="shared" si="242"/>
        <v>6248001</v>
      </c>
      <c r="BI296" s="77">
        <f t="shared" si="243"/>
        <v>0.59204535978787454</v>
      </c>
      <c r="BJ296" s="95" t="str">
        <f t="shared" si="244"/>
        <v>금속/비금속/화학업</v>
      </c>
      <c r="BK296" s="96">
        <f t="shared" si="245"/>
        <v>3.9534118626990469</v>
      </c>
      <c r="BL296" s="97">
        <f t="shared" si="246"/>
        <v>-3.3613665029111726</v>
      </c>
      <c r="BM296" s="98">
        <f t="shared" si="247"/>
        <v>100</v>
      </c>
      <c r="BN296" s="99">
        <f t="shared" si="248"/>
        <v>2</v>
      </c>
      <c r="BO296" s="114">
        <v>1286949</v>
      </c>
      <c r="BP296" s="101">
        <f t="shared" si="249"/>
        <v>0.49178912338084058</v>
      </c>
      <c r="BQ296" s="78">
        <f t="shared" si="250"/>
        <v>55</v>
      </c>
      <c r="BR296" s="79">
        <f t="shared" si="270"/>
        <v>1.1000000000000001</v>
      </c>
      <c r="BS296" s="102">
        <v>2319003.0610000002</v>
      </c>
      <c r="BT296" s="102">
        <v>194359.58</v>
      </c>
      <c r="BU296" s="103">
        <f t="shared" si="251"/>
        <v>2124643.4810000001</v>
      </c>
      <c r="BV296" s="77">
        <f t="shared" si="252"/>
        <v>0.81190206839416912</v>
      </c>
      <c r="BW296" s="96">
        <f t="shared" si="253"/>
        <v>5.1474158565187738</v>
      </c>
      <c r="BX296" s="96">
        <f t="shared" si="254"/>
        <v>18.796679807018556</v>
      </c>
      <c r="BY296" s="96">
        <f t="shared" si="255"/>
        <v>6.6930498535228535</v>
      </c>
      <c r="BZ296" s="96">
        <f t="shared" si="256"/>
        <v>74.143105564161417</v>
      </c>
      <c r="CA296" s="96">
        <f t="shared" si="257"/>
        <v>40</v>
      </c>
      <c r="CB296" s="104">
        <f t="shared" si="258"/>
        <v>0.8</v>
      </c>
      <c r="CC296" s="105">
        <f t="shared" si="271"/>
        <v>41.673649131748178</v>
      </c>
      <c r="CD296" s="106">
        <f t="shared" si="272"/>
        <v>84.670735251853699</v>
      </c>
      <c r="CE296" s="107">
        <f t="shared" si="273"/>
        <v>1.2700610287778054</v>
      </c>
      <c r="CF296" s="108" t="s">
        <v>2189</v>
      </c>
      <c r="CG296" s="108" t="s">
        <v>2189</v>
      </c>
      <c r="CH296" s="108" t="s">
        <v>2189</v>
      </c>
      <c r="CI296" s="108" t="s">
        <v>2189</v>
      </c>
      <c r="CJ296" s="109"/>
      <c r="CK296" s="116" t="s">
        <v>2192</v>
      </c>
      <c r="CL296" s="116" t="s">
        <v>2193</v>
      </c>
      <c r="CM296" s="111">
        <f t="shared" si="259"/>
        <v>25</v>
      </c>
      <c r="CN296" s="107">
        <f t="shared" si="274"/>
        <v>0.375</v>
      </c>
      <c r="CO296" s="114">
        <f>64619000+1730000+98000+10000</f>
        <v>66457000</v>
      </c>
      <c r="CP296" s="88">
        <f t="shared" si="260"/>
        <v>36.296347704384772</v>
      </c>
      <c r="CQ296" s="78">
        <f t="shared" si="261"/>
        <v>40</v>
      </c>
      <c r="CR296" s="79">
        <f t="shared" si="275"/>
        <v>1.2</v>
      </c>
      <c r="CS296" s="92">
        <f>_xlfn.XLOOKUP(C296, '[1]1-1. 관계사체무보증금액 (환율 등)'!$3:$3, '[1]1-1. 관계사체무보증금액 (환율 등)'!$33:$33)</f>
        <v>10297639.411563462</v>
      </c>
      <c r="CT296" s="77">
        <f t="shared" si="262"/>
        <v>5.624188582338709</v>
      </c>
      <c r="CU296" s="78">
        <f t="shared" si="263"/>
        <v>80</v>
      </c>
      <c r="CV296" s="79">
        <f t="shared" si="276"/>
        <v>1.6</v>
      </c>
      <c r="CW296" s="112">
        <f t="shared" si="264"/>
        <v>16.262329980158704</v>
      </c>
    </row>
    <row r="297" spans="1:101" x14ac:dyDescent="0.35">
      <c r="A297" s="7" t="s">
        <v>1822</v>
      </c>
      <c r="B297" s="8" t="s">
        <v>1823</v>
      </c>
      <c r="C297" s="21" t="s">
        <v>1824</v>
      </c>
      <c r="D297" s="10" t="s">
        <v>31</v>
      </c>
      <c r="E297" s="11" t="s">
        <v>32</v>
      </c>
      <c r="F297" s="11" t="s">
        <v>1825</v>
      </c>
      <c r="G297" s="12">
        <v>39892</v>
      </c>
      <c r="H297" s="11" t="s">
        <v>24</v>
      </c>
      <c r="I297" s="11" t="s">
        <v>1826</v>
      </c>
      <c r="J297" s="11" t="s">
        <v>1827</v>
      </c>
      <c r="K297" s="11" t="s">
        <v>27</v>
      </c>
      <c r="L297" s="23">
        <v>1063253032</v>
      </c>
      <c r="M297" s="14">
        <v>502967240</v>
      </c>
      <c r="N297" s="14">
        <v>560285793</v>
      </c>
      <c r="O297" s="14">
        <v>2146018022</v>
      </c>
      <c r="P297" s="14">
        <v>175483550</v>
      </c>
      <c r="Q297" s="14">
        <v>145218477</v>
      </c>
      <c r="R297" s="14">
        <v>104290709</v>
      </c>
      <c r="S297" s="15">
        <v>40000000</v>
      </c>
      <c r="T297" s="15">
        <v>760530</v>
      </c>
      <c r="U297" s="15">
        <f>16978158+1431102</f>
        <v>18409260</v>
      </c>
      <c r="V297" s="15">
        <f>2195247+1174879+306218+115927</f>
        <v>3792271</v>
      </c>
      <c r="W297" s="15">
        <f>352499+22000+70</f>
        <v>374569</v>
      </c>
      <c r="X297" s="15">
        <v>80000</v>
      </c>
      <c r="Y297" s="24" t="s">
        <v>2116</v>
      </c>
      <c r="Z297" s="15">
        <v>0</v>
      </c>
      <c r="AA297" s="15">
        <v>0</v>
      </c>
      <c r="AB297" s="74">
        <f t="shared" si="224"/>
        <v>22656100</v>
      </c>
      <c r="AC297" s="75">
        <f t="shared" si="225"/>
        <v>56.640250000000002</v>
      </c>
      <c r="AD297" s="75">
        <f t="shared" si="226"/>
        <v>51.20231588032221</v>
      </c>
      <c r="AE297" s="76">
        <f t="shared" si="265"/>
        <v>1.5360694764096663</v>
      </c>
      <c r="AF297" s="77">
        <f t="shared" si="227"/>
        <v>56.579589377736241</v>
      </c>
      <c r="AG297" s="77">
        <f t="shared" si="228"/>
        <v>57.738037746177504</v>
      </c>
      <c r="AH297" s="77">
        <f t="shared" si="229"/>
        <v>1.1584483684412632</v>
      </c>
      <c r="AI297" s="78">
        <f t="shared" si="230"/>
        <v>100</v>
      </c>
      <c r="AJ297" s="79">
        <f t="shared" si="266"/>
        <v>4</v>
      </c>
      <c r="AK297" s="113">
        <v>7</v>
      </c>
      <c r="AL297" s="113">
        <v>7</v>
      </c>
      <c r="AM297" s="113">
        <v>2</v>
      </c>
      <c r="AN297" s="81">
        <f t="shared" si="231"/>
        <v>14</v>
      </c>
      <c r="AO297" s="82">
        <f t="shared" si="232"/>
        <v>14.285714285714285</v>
      </c>
      <c r="AP297" s="83">
        <f t="shared" si="233"/>
        <v>80</v>
      </c>
      <c r="AQ297" s="84">
        <f t="shared" si="267"/>
        <v>1.6</v>
      </c>
      <c r="AR297" s="118">
        <v>3</v>
      </c>
      <c r="AS297" s="86">
        <f t="shared" si="234"/>
        <v>0.25</v>
      </c>
      <c r="AT297" s="87">
        <f t="shared" si="235"/>
        <v>1.75</v>
      </c>
      <c r="AU297" s="87">
        <f t="shared" si="236"/>
        <v>1</v>
      </c>
      <c r="AV297" s="88">
        <f t="shared" si="237"/>
        <v>28.571428571428569</v>
      </c>
      <c r="AW297" s="78">
        <f t="shared" si="238"/>
        <v>80</v>
      </c>
      <c r="AX297" s="89">
        <f t="shared" si="268"/>
        <v>0.8</v>
      </c>
      <c r="AY297" s="114">
        <v>6</v>
      </c>
      <c r="AZ297" s="114">
        <f>18-1</f>
        <v>17</v>
      </c>
      <c r="BA297" s="91">
        <f t="shared" si="239"/>
        <v>18</v>
      </c>
      <c r="BB297" s="77">
        <f t="shared" si="240"/>
        <v>94.444444444444443</v>
      </c>
      <c r="BC297" s="78">
        <f t="shared" si="241"/>
        <v>100</v>
      </c>
      <c r="BD297" s="79">
        <f t="shared" si="269"/>
        <v>1</v>
      </c>
      <c r="BE297" s="92">
        <v>42178502</v>
      </c>
      <c r="BF297" s="92">
        <v>3858982</v>
      </c>
      <c r="BG297" s="114">
        <v>1522667</v>
      </c>
      <c r="BH297" s="94">
        <f t="shared" si="242"/>
        <v>46037484</v>
      </c>
      <c r="BI297" s="77">
        <f t="shared" si="243"/>
        <v>3.3074505114136996</v>
      </c>
      <c r="BJ297" s="95" t="str">
        <f t="shared" si="244"/>
        <v>식약/섬유/종이업</v>
      </c>
      <c r="BK297" s="96">
        <f t="shared" si="245"/>
        <v>2.1999360555264453</v>
      </c>
      <c r="BL297" s="97">
        <f t="shared" si="246"/>
        <v>1.1075144558872543</v>
      </c>
      <c r="BM297" s="98">
        <f t="shared" si="247"/>
        <v>60</v>
      </c>
      <c r="BN297" s="99">
        <f t="shared" si="248"/>
        <v>1.2</v>
      </c>
      <c r="BO297" s="114">
        <v>8882000</v>
      </c>
      <c r="BP297" s="101">
        <f t="shared" si="249"/>
        <v>0.4138828243260671</v>
      </c>
      <c r="BQ297" s="78">
        <f t="shared" si="250"/>
        <v>55</v>
      </c>
      <c r="BR297" s="79">
        <f t="shared" si="270"/>
        <v>1.1000000000000001</v>
      </c>
      <c r="BS297" s="102">
        <v>372520.408</v>
      </c>
      <c r="BT297" s="102">
        <v>44436.362999999998</v>
      </c>
      <c r="BU297" s="103">
        <f t="shared" si="251"/>
        <v>328084.04499999998</v>
      </c>
      <c r="BV297" s="77">
        <f t="shared" si="252"/>
        <v>1.5288037734848063E-2</v>
      </c>
      <c r="BW297" s="96">
        <f t="shared" si="253"/>
        <v>5.0508176117342298</v>
      </c>
      <c r="BX297" s="96">
        <f t="shared" si="254"/>
        <v>25.356558090622396</v>
      </c>
      <c r="BY297" s="96">
        <f t="shared" si="255"/>
        <v>6.9871618081220923</v>
      </c>
      <c r="BZ297" s="96">
        <f t="shared" si="256"/>
        <v>76.444774994431427</v>
      </c>
      <c r="CA297" s="96">
        <f t="shared" si="257"/>
        <v>40</v>
      </c>
      <c r="CB297" s="104">
        <f t="shared" si="258"/>
        <v>0.8</v>
      </c>
      <c r="CC297" s="105">
        <f t="shared" si="271"/>
        <v>89.769765052743352</v>
      </c>
      <c r="CD297" s="106">
        <f t="shared" si="272"/>
        <v>66.54405839720728</v>
      </c>
      <c r="CE297" s="107">
        <f t="shared" si="273"/>
        <v>0.99816087595810921</v>
      </c>
      <c r="CF297" s="108" t="s">
        <v>2189</v>
      </c>
      <c r="CG297" s="108" t="s">
        <v>2189</v>
      </c>
      <c r="CH297" s="108" t="s">
        <v>2189</v>
      </c>
      <c r="CI297" s="108" t="s">
        <v>2189</v>
      </c>
      <c r="CJ297" s="109"/>
      <c r="CK297" s="116" t="s">
        <v>2217</v>
      </c>
      <c r="CL297" s="116" t="s">
        <v>2209</v>
      </c>
      <c r="CM297" s="111">
        <f t="shared" si="259"/>
        <v>40</v>
      </c>
      <c r="CN297" s="107">
        <f t="shared" si="274"/>
        <v>0.6</v>
      </c>
      <c r="CO297" s="114">
        <v>88764000</v>
      </c>
      <c r="CP297" s="88">
        <f t="shared" si="260"/>
        <v>15.842629084832069</v>
      </c>
      <c r="CQ297" s="78">
        <f t="shared" si="261"/>
        <v>60</v>
      </c>
      <c r="CR297" s="79">
        <f t="shared" si="275"/>
        <v>1.7999999999999998</v>
      </c>
      <c r="CS297" s="92">
        <f>_xlfn.XLOOKUP(C297, '[1]1-1. 관계사체무보증금액 (환율 등)'!$3:$3, '[1]1-1. 관계사체무보증금액 (환율 등)'!$33:$33)</f>
        <v>239240000</v>
      </c>
      <c r="CT297" s="77">
        <f t="shared" si="262"/>
        <v>42.699637040413052</v>
      </c>
      <c r="CU297" s="78">
        <f t="shared" si="263"/>
        <v>40</v>
      </c>
      <c r="CV297" s="79">
        <f t="shared" si="276"/>
        <v>0.8</v>
      </c>
      <c r="CW297" s="112">
        <f t="shared" si="264"/>
        <v>16.234230352367778</v>
      </c>
    </row>
    <row r="298" spans="1:101" x14ac:dyDescent="0.35">
      <c r="A298" s="7" t="s">
        <v>1651</v>
      </c>
      <c r="B298" s="8" t="s">
        <v>1652</v>
      </c>
      <c r="C298" s="21" t="s">
        <v>1653</v>
      </c>
      <c r="D298" s="22" t="s">
        <v>31</v>
      </c>
      <c r="E298" s="11" t="s">
        <v>32</v>
      </c>
      <c r="F298" s="11" t="s">
        <v>1654</v>
      </c>
      <c r="G298" s="12">
        <v>34695</v>
      </c>
      <c r="H298" s="11" t="s">
        <v>24</v>
      </c>
      <c r="I298" s="11" t="s">
        <v>1655</v>
      </c>
      <c r="J298" s="11" t="s">
        <v>1656</v>
      </c>
      <c r="K298" s="11" t="s">
        <v>27</v>
      </c>
      <c r="L298" s="23">
        <v>638916718</v>
      </c>
      <c r="M298" s="14">
        <v>398803947</v>
      </c>
      <c r="N298" s="14">
        <v>240112771</v>
      </c>
      <c r="O298" s="14">
        <v>765025412</v>
      </c>
      <c r="P298" s="14">
        <v>47784093</v>
      </c>
      <c r="Q298" s="14">
        <v>26595933</v>
      </c>
      <c r="R298" s="14">
        <v>20153900</v>
      </c>
      <c r="S298" s="15">
        <v>48636071</v>
      </c>
      <c r="T298" s="15">
        <v>2642635</v>
      </c>
      <c r="U298" s="15">
        <v>10897547</v>
      </c>
      <c r="V298" s="15">
        <f>15623298-10897547</f>
        <v>4725751</v>
      </c>
      <c r="W298" s="15">
        <f>35000+16858+1640+22000</f>
        <v>75498</v>
      </c>
      <c r="X298" s="15">
        <v>0</v>
      </c>
      <c r="Z298" s="15">
        <v>0</v>
      </c>
      <c r="AA298" s="15">
        <v>0</v>
      </c>
      <c r="AB298" s="74">
        <f t="shared" si="224"/>
        <v>15698796</v>
      </c>
      <c r="AC298" s="75">
        <f t="shared" si="225"/>
        <v>32.278092529308132</v>
      </c>
      <c r="AD298" s="75">
        <f t="shared" si="226"/>
        <v>72.22834361682267</v>
      </c>
      <c r="AE298" s="76">
        <f t="shared" si="265"/>
        <v>2.1668503085046802</v>
      </c>
      <c r="AF298" s="77">
        <f t="shared" si="227"/>
        <v>33.96853846709778</v>
      </c>
      <c r="AG298" s="77">
        <f t="shared" si="228"/>
        <v>34.13268797747574</v>
      </c>
      <c r="AH298" s="77">
        <f t="shared" si="229"/>
        <v>0.16414951037796044</v>
      </c>
      <c r="AI298" s="78">
        <f t="shared" si="230"/>
        <v>100</v>
      </c>
      <c r="AJ298" s="79">
        <f t="shared" si="266"/>
        <v>4</v>
      </c>
      <c r="AK298" s="113">
        <v>4</v>
      </c>
      <c r="AL298" s="113">
        <v>4</v>
      </c>
      <c r="AM298" s="113">
        <v>1</v>
      </c>
      <c r="AN298" s="81">
        <f t="shared" si="231"/>
        <v>8</v>
      </c>
      <c r="AO298" s="82">
        <f t="shared" si="232"/>
        <v>12.5</v>
      </c>
      <c r="AP298" s="83">
        <f t="shared" si="233"/>
        <v>80</v>
      </c>
      <c r="AQ298" s="84">
        <f t="shared" si="267"/>
        <v>1.6</v>
      </c>
      <c r="AR298" s="118">
        <v>1</v>
      </c>
      <c r="AS298" s="86">
        <f t="shared" si="234"/>
        <v>0.25</v>
      </c>
      <c r="AT298" s="87">
        <f t="shared" si="235"/>
        <v>1</v>
      </c>
      <c r="AU298" s="87">
        <f t="shared" si="236"/>
        <v>1</v>
      </c>
      <c r="AV298" s="88">
        <f t="shared" si="237"/>
        <v>0</v>
      </c>
      <c r="AW298" s="78">
        <f t="shared" si="238"/>
        <v>40</v>
      </c>
      <c r="AX298" s="89">
        <f t="shared" si="268"/>
        <v>0.4</v>
      </c>
      <c r="AY298" s="114">
        <v>10</v>
      </c>
      <c r="AZ298" s="114">
        <v>10</v>
      </c>
      <c r="BA298" s="91">
        <f t="shared" si="239"/>
        <v>10</v>
      </c>
      <c r="BB298" s="77">
        <f t="shared" si="240"/>
        <v>100</v>
      </c>
      <c r="BC298" s="78">
        <f t="shared" si="241"/>
        <v>100</v>
      </c>
      <c r="BD298" s="79">
        <f t="shared" si="269"/>
        <v>1</v>
      </c>
      <c r="BE298" s="92">
        <v>1810646</v>
      </c>
      <c r="BF298" s="92">
        <v>399709</v>
      </c>
      <c r="BG298" s="114">
        <v>227694</v>
      </c>
      <c r="BH298" s="94">
        <f t="shared" si="242"/>
        <v>2210355</v>
      </c>
      <c r="BI298" s="77">
        <f t="shared" si="243"/>
        <v>10.301241203336115</v>
      </c>
      <c r="BJ298" s="95" t="str">
        <f t="shared" si="244"/>
        <v>식약/섬유/종이업</v>
      </c>
      <c r="BK298" s="96">
        <f t="shared" si="245"/>
        <v>2.1999360555264453</v>
      </c>
      <c r="BL298" s="97">
        <f t="shared" si="246"/>
        <v>8.1013051478096703</v>
      </c>
      <c r="BM298" s="98">
        <f t="shared" si="247"/>
        <v>40</v>
      </c>
      <c r="BN298" s="99">
        <f t="shared" si="248"/>
        <v>0.8</v>
      </c>
      <c r="BO298" s="114">
        <v>2632341</v>
      </c>
      <c r="BP298" s="101">
        <f t="shared" si="249"/>
        <v>0.34408543281174037</v>
      </c>
      <c r="BQ298" s="78">
        <f t="shared" si="250"/>
        <v>55</v>
      </c>
      <c r="BR298" s="79">
        <f t="shared" si="270"/>
        <v>1.1000000000000001</v>
      </c>
      <c r="BS298" s="102">
        <v>987212.89800000004</v>
      </c>
      <c r="BT298" s="102">
        <v>1659.0909999999999</v>
      </c>
      <c r="BU298" s="103">
        <f t="shared" si="251"/>
        <v>985553.80700000003</v>
      </c>
      <c r="BV298" s="77">
        <f t="shared" si="252"/>
        <v>0.12882628361631471</v>
      </c>
      <c r="BW298" s="96">
        <f t="shared" si="253"/>
        <v>5.0508176117342298</v>
      </c>
      <c r="BX298" s="96">
        <f t="shared" si="254"/>
        <v>24.22599863406796</v>
      </c>
      <c r="BY298" s="96">
        <f t="shared" si="255"/>
        <v>6.9871618081220923</v>
      </c>
      <c r="BZ298" s="96">
        <f t="shared" si="256"/>
        <v>75.94185965218621</v>
      </c>
      <c r="CA298" s="96">
        <f t="shared" si="257"/>
        <v>40</v>
      </c>
      <c r="CB298" s="104">
        <f t="shared" si="258"/>
        <v>0.8</v>
      </c>
      <c r="CC298" s="105">
        <f t="shared" si="271"/>
        <v>166.09026889286119</v>
      </c>
      <c r="CD298" s="106">
        <f t="shared" si="272"/>
        <v>37.780049412238249</v>
      </c>
      <c r="CE298" s="107">
        <f t="shared" si="273"/>
        <v>0.56670074118357372</v>
      </c>
      <c r="CF298" s="108" t="s">
        <v>2189</v>
      </c>
      <c r="CG298" s="108" t="s">
        <v>2189</v>
      </c>
      <c r="CH298" s="108" t="s">
        <v>2189</v>
      </c>
      <c r="CI298" s="108" t="s">
        <v>2189</v>
      </c>
      <c r="CJ298" s="109"/>
      <c r="CK298" s="116" t="s">
        <v>2231</v>
      </c>
      <c r="CL298" s="116" t="s">
        <v>2209</v>
      </c>
      <c r="CM298" s="111">
        <f t="shared" si="259"/>
        <v>40</v>
      </c>
      <c r="CN298" s="107">
        <f t="shared" si="274"/>
        <v>0.6</v>
      </c>
      <c r="CO298" s="114">
        <v>152908028</v>
      </c>
      <c r="CP298" s="88">
        <f t="shared" si="260"/>
        <v>63.681755603078692</v>
      </c>
      <c r="CQ298" s="78">
        <f t="shared" si="261"/>
        <v>40</v>
      </c>
      <c r="CR298" s="79">
        <f t="shared" si="275"/>
        <v>1.2</v>
      </c>
      <c r="CS298" s="92">
        <f>_xlfn.XLOOKUP(C298, '[1]1-1. 관계사체무보증금액 (환율 등)'!$3:$3, '[1]1-1. 관계사체무보증금액 (환율 등)'!$33:$33)</f>
        <v>0</v>
      </c>
      <c r="CT298" s="77">
        <f t="shared" si="262"/>
        <v>0</v>
      </c>
      <c r="CU298" s="78">
        <f t="shared" si="263"/>
        <v>100</v>
      </c>
      <c r="CV298" s="79">
        <f t="shared" si="276"/>
        <v>2</v>
      </c>
      <c r="CW298" s="112">
        <f t="shared" si="264"/>
        <v>16.233551049688252</v>
      </c>
    </row>
    <row r="299" spans="1:101" x14ac:dyDescent="0.35">
      <c r="A299" s="7" t="s">
        <v>1645</v>
      </c>
      <c r="B299" s="8" t="s">
        <v>1646</v>
      </c>
      <c r="C299" s="21" t="s">
        <v>1647</v>
      </c>
      <c r="D299" s="10" t="s">
        <v>21</v>
      </c>
      <c r="E299" s="11" t="s">
        <v>91</v>
      </c>
      <c r="F299" s="11" t="s">
        <v>1648</v>
      </c>
      <c r="G299" s="12">
        <v>32825</v>
      </c>
      <c r="H299" s="11" t="s">
        <v>24</v>
      </c>
      <c r="I299" s="11" t="s">
        <v>1649</v>
      </c>
      <c r="J299" s="11" t="s">
        <v>1650</v>
      </c>
      <c r="K299" s="11" t="s">
        <v>50</v>
      </c>
      <c r="L299" s="23">
        <v>2966326502</v>
      </c>
      <c r="M299" s="14">
        <v>2073747455</v>
      </c>
      <c r="N299" s="14">
        <v>892579047</v>
      </c>
      <c r="O299" s="14">
        <v>2518358924</v>
      </c>
      <c r="P299" s="14">
        <v>126264508</v>
      </c>
      <c r="Q299" s="14">
        <v>98571424</v>
      </c>
      <c r="R299" s="14">
        <v>79048061</v>
      </c>
      <c r="S299" s="15">
        <v>38899098</v>
      </c>
      <c r="T299" s="15">
        <v>7780</v>
      </c>
      <c r="U299" s="15">
        <f>10805759+3889909</f>
        <v>14695668</v>
      </c>
      <c r="V299" s="15">
        <f>1171046+402012+30347</f>
        <v>1603405</v>
      </c>
      <c r="W299" s="15">
        <f>113355+1288+4401+2210+850+7770+105+45+9042+4778</f>
        <v>143844</v>
      </c>
      <c r="X299" s="15">
        <v>2746445</v>
      </c>
      <c r="Y299" s="24" t="s">
        <v>2108</v>
      </c>
      <c r="Z299" s="15">
        <v>0</v>
      </c>
      <c r="AA299" s="15">
        <v>0</v>
      </c>
      <c r="AB299" s="74">
        <f t="shared" si="224"/>
        <v>19189362</v>
      </c>
      <c r="AC299" s="75">
        <f t="shared" si="225"/>
        <v>49.331123307794947</v>
      </c>
      <c r="AD299" s="75">
        <f t="shared" si="226"/>
        <v>57.510537996724736</v>
      </c>
      <c r="AE299" s="76">
        <f t="shared" si="265"/>
        <v>1.725316139901742</v>
      </c>
      <c r="AF299" s="77">
        <f t="shared" si="227"/>
        <v>41.90928422636641</v>
      </c>
      <c r="AG299" s="77">
        <f t="shared" si="228"/>
        <v>49.340991734967687</v>
      </c>
      <c r="AH299" s="77">
        <f t="shared" si="229"/>
        <v>7.4317075086012778</v>
      </c>
      <c r="AI299" s="78">
        <f t="shared" si="230"/>
        <v>100</v>
      </c>
      <c r="AJ299" s="79">
        <f t="shared" si="266"/>
        <v>4</v>
      </c>
      <c r="AK299" s="113">
        <v>6</v>
      </c>
      <c r="AL299" s="113">
        <v>40</v>
      </c>
      <c r="AM299" s="113">
        <v>2</v>
      </c>
      <c r="AN299" s="81">
        <f t="shared" si="231"/>
        <v>46</v>
      </c>
      <c r="AO299" s="82">
        <f t="shared" si="232"/>
        <v>4.3478260869565215</v>
      </c>
      <c r="AP299" s="83">
        <f t="shared" si="233"/>
        <v>100</v>
      </c>
      <c r="AQ299" s="84">
        <f t="shared" si="267"/>
        <v>2</v>
      </c>
      <c r="AR299" s="118">
        <v>4</v>
      </c>
      <c r="AS299" s="86">
        <f t="shared" si="234"/>
        <v>0.5</v>
      </c>
      <c r="AT299" s="87">
        <f t="shared" si="235"/>
        <v>3</v>
      </c>
      <c r="AU299" s="87">
        <f t="shared" si="236"/>
        <v>3</v>
      </c>
      <c r="AV299" s="88">
        <f t="shared" si="237"/>
        <v>16.666666666666664</v>
      </c>
      <c r="AW299" s="78">
        <f t="shared" si="238"/>
        <v>60</v>
      </c>
      <c r="AX299" s="89">
        <f t="shared" si="268"/>
        <v>0.6</v>
      </c>
      <c r="AY299" s="114">
        <v>18</v>
      </c>
      <c r="AZ299" s="114">
        <f>18*4-2</f>
        <v>70</v>
      </c>
      <c r="BA299" s="91">
        <f t="shared" si="239"/>
        <v>72</v>
      </c>
      <c r="BB299" s="77">
        <f t="shared" si="240"/>
        <v>97.222222222222214</v>
      </c>
      <c r="BC299" s="78">
        <f t="shared" si="241"/>
        <v>100</v>
      </c>
      <c r="BD299" s="79">
        <f t="shared" si="269"/>
        <v>1</v>
      </c>
      <c r="BE299" s="92">
        <v>48013631</v>
      </c>
      <c r="BF299" s="92">
        <v>9960396</v>
      </c>
      <c r="BG299" s="93">
        <v>0</v>
      </c>
      <c r="BH299" s="94">
        <f t="shared" si="242"/>
        <v>57974027</v>
      </c>
      <c r="BI299" s="77">
        <f t="shared" si="243"/>
        <v>0</v>
      </c>
      <c r="BJ299" s="95" t="str">
        <f t="shared" si="244"/>
        <v>비제조/서비스업</v>
      </c>
      <c r="BK299" s="96">
        <f t="shared" si="245"/>
        <v>1.7464434573900922</v>
      </c>
      <c r="BL299" s="97">
        <f t="shared" si="246"/>
        <v>-1.7464434573900922</v>
      </c>
      <c r="BM299" s="98">
        <f t="shared" si="247"/>
        <v>80</v>
      </c>
      <c r="BN299" s="99">
        <f t="shared" si="248"/>
        <v>1.6</v>
      </c>
      <c r="BO299" s="114">
        <v>53457000</v>
      </c>
      <c r="BP299" s="101">
        <f t="shared" si="249"/>
        <v>2.1226918645532988</v>
      </c>
      <c r="BQ299" s="78">
        <f t="shared" si="250"/>
        <v>85</v>
      </c>
      <c r="BR299" s="79">
        <f t="shared" si="270"/>
        <v>1.7</v>
      </c>
      <c r="BS299" s="102">
        <v>681346.23100000003</v>
      </c>
      <c r="BT299" s="102">
        <v>73531.448999999993</v>
      </c>
      <c r="BU299" s="103">
        <f t="shared" si="251"/>
        <v>607814.78200000001</v>
      </c>
      <c r="BV299" s="77">
        <f t="shared" si="252"/>
        <v>2.4135351645371738E-2</v>
      </c>
      <c r="BW299" s="96">
        <f t="shared" si="253"/>
        <v>2.8482825397737606</v>
      </c>
      <c r="BX299" s="96">
        <f t="shared" si="254"/>
        <v>7.9758073402134855</v>
      </c>
      <c r="BY299" s="96">
        <f t="shared" si="255"/>
        <v>5.5697595856656807</v>
      </c>
      <c r="BZ299" s="96">
        <f t="shared" si="256"/>
        <v>69.394016900078199</v>
      </c>
      <c r="CA299" s="96">
        <f t="shared" si="257"/>
        <v>40</v>
      </c>
      <c r="CB299" s="104">
        <f t="shared" si="258"/>
        <v>0.8</v>
      </c>
      <c r="CC299" s="105">
        <f t="shared" si="271"/>
        <v>232.33207881923312</v>
      </c>
      <c r="CD299" s="106">
        <f t="shared" si="272"/>
        <v>25</v>
      </c>
      <c r="CE299" s="107">
        <f t="shared" si="273"/>
        <v>0.375</v>
      </c>
      <c r="CF299" s="108" t="s">
        <v>2189</v>
      </c>
      <c r="CG299" s="108" t="s">
        <v>2189</v>
      </c>
      <c r="CH299" s="108" t="s">
        <v>2189</v>
      </c>
      <c r="CI299" s="108" t="s">
        <v>2189</v>
      </c>
      <c r="CJ299" s="109"/>
      <c r="CK299" s="116" t="s">
        <v>2202</v>
      </c>
      <c r="CL299" s="116" t="s">
        <v>2196</v>
      </c>
      <c r="CM299" s="111">
        <f t="shared" si="259"/>
        <v>55</v>
      </c>
      <c r="CN299" s="107">
        <f t="shared" si="274"/>
        <v>0.82499999999999996</v>
      </c>
      <c r="CO299" s="114">
        <v>333577000</v>
      </c>
      <c r="CP299" s="88">
        <f t="shared" si="260"/>
        <v>37.372264240480206</v>
      </c>
      <c r="CQ299" s="78">
        <f t="shared" si="261"/>
        <v>40</v>
      </c>
      <c r="CR299" s="79">
        <f t="shared" si="275"/>
        <v>1.2</v>
      </c>
      <c r="CS299" s="92">
        <f>_xlfn.XLOOKUP(C299, '[1]1-1. 관계사체무보증금액 (환율 등)'!$3:$3, '[1]1-1. 관계사체무보증금액 (환율 등)'!$33:$33)</f>
        <v>3194809539</v>
      </c>
      <c r="CT299" s="77">
        <f t="shared" si="262"/>
        <v>357.93015192748527</v>
      </c>
      <c r="CU299" s="78">
        <f t="shared" si="263"/>
        <v>20</v>
      </c>
      <c r="CV299" s="79">
        <f t="shared" si="276"/>
        <v>0.4</v>
      </c>
      <c r="CW299" s="112">
        <f t="shared" si="264"/>
        <v>16.225316139901739</v>
      </c>
    </row>
    <row r="300" spans="1:101" x14ac:dyDescent="0.35">
      <c r="A300" s="7" t="s">
        <v>662</v>
      </c>
      <c r="B300" s="8" t="s">
        <v>663</v>
      </c>
      <c r="C300" s="21" t="s">
        <v>664</v>
      </c>
      <c r="D300" s="10" t="s">
        <v>21</v>
      </c>
      <c r="E300" s="11" t="s">
        <v>91</v>
      </c>
      <c r="F300" s="11" t="s">
        <v>665</v>
      </c>
      <c r="G300" s="12">
        <v>28793</v>
      </c>
      <c r="H300" s="11" t="s">
        <v>24</v>
      </c>
      <c r="I300" s="11" t="s">
        <v>666</v>
      </c>
      <c r="J300" s="11" t="s">
        <v>667</v>
      </c>
      <c r="K300" s="11" t="s">
        <v>27</v>
      </c>
      <c r="L300" s="23">
        <v>1256174707</v>
      </c>
      <c r="M300" s="14">
        <v>687867321</v>
      </c>
      <c r="N300" s="14">
        <v>568307386</v>
      </c>
      <c r="O300" s="14">
        <v>1300137418</v>
      </c>
      <c r="P300" s="14">
        <v>26971265</v>
      </c>
      <c r="Q300" s="14">
        <v>57193340</v>
      </c>
      <c r="R300" s="14">
        <v>46104412</v>
      </c>
      <c r="S300" s="15">
        <v>22906975</v>
      </c>
      <c r="T300" s="15">
        <v>4291</v>
      </c>
      <c r="U300" s="15">
        <v>12917647</v>
      </c>
      <c r="V300" s="15">
        <v>0</v>
      </c>
      <c r="W300" s="15">
        <f>3005</f>
        <v>3005</v>
      </c>
      <c r="X300" s="15">
        <v>0</v>
      </c>
      <c r="Z300" s="15">
        <v>0</v>
      </c>
      <c r="AA300" s="15">
        <v>0</v>
      </c>
      <c r="AB300" s="74">
        <f t="shared" si="224"/>
        <v>12920652</v>
      </c>
      <c r="AC300" s="75">
        <f t="shared" si="225"/>
        <v>56.404881046056929</v>
      </c>
      <c r="AD300" s="75">
        <f t="shared" si="226"/>
        <v>51.405453642643614</v>
      </c>
      <c r="AE300" s="76">
        <f t="shared" si="265"/>
        <v>1.5421636092793083</v>
      </c>
      <c r="AF300" s="77">
        <f t="shared" si="227"/>
        <v>56.402328216203834</v>
      </c>
      <c r="AG300" s="77">
        <f t="shared" si="228"/>
        <v>56.415448949127537</v>
      </c>
      <c r="AH300" s="77">
        <f t="shared" si="229"/>
        <v>1.312073292370286E-2</v>
      </c>
      <c r="AI300" s="78">
        <f t="shared" si="230"/>
        <v>100</v>
      </c>
      <c r="AJ300" s="79">
        <f t="shared" si="266"/>
        <v>4</v>
      </c>
      <c r="AK300" s="113">
        <v>6</v>
      </c>
      <c r="AL300" s="113">
        <v>29</v>
      </c>
      <c r="AM300" s="113">
        <v>0</v>
      </c>
      <c r="AN300" s="81">
        <f t="shared" si="231"/>
        <v>35</v>
      </c>
      <c r="AO300" s="82">
        <f t="shared" si="232"/>
        <v>0</v>
      </c>
      <c r="AP300" s="83">
        <f t="shared" si="233"/>
        <v>100</v>
      </c>
      <c r="AQ300" s="84">
        <f t="shared" si="267"/>
        <v>2</v>
      </c>
      <c r="AR300" s="118">
        <v>2</v>
      </c>
      <c r="AS300" s="86">
        <f t="shared" si="234"/>
        <v>0.25</v>
      </c>
      <c r="AT300" s="87">
        <f t="shared" si="235"/>
        <v>1.5</v>
      </c>
      <c r="AU300" s="87">
        <f t="shared" si="236"/>
        <v>1</v>
      </c>
      <c r="AV300" s="88">
        <f t="shared" si="237"/>
        <v>16.666666666666664</v>
      </c>
      <c r="AW300" s="78">
        <f t="shared" si="238"/>
        <v>60</v>
      </c>
      <c r="AX300" s="89">
        <f t="shared" si="268"/>
        <v>0.6</v>
      </c>
      <c r="AY300" s="114">
        <v>27</v>
      </c>
      <c r="AZ300" s="114">
        <f>27*2-1</f>
        <v>53</v>
      </c>
      <c r="BA300" s="91">
        <f t="shared" si="239"/>
        <v>54</v>
      </c>
      <c r="BB300" s="77">
        <f t="shared" si="240"/>
        <v>98.148148148148152</v>
      </c>
      <c r="BC300" s="78">
        <f t="shared" si="241"/>
        <v>100</v>
      </c>
      <c r="BD300" s="79">
        <f t="shared" si="269"/>
        <v>1</v>
      </c>
      <c r="BE300" s="92">
        <v>29574000</v>
      </c>
      <c r="BF300" s="92">
        <v>2094000</v>
      </c>
      <c r="BG300" s="114">
        <v>2405000</v>
      </c>
      <c r="BH300" s="94">
        <f t="shared" si="242"/>
        <v>31668000</v>
      </c>
      <c r="BI300" s="77">
        <f t="shared" si="243"/>
        <v>7.5944170771756987</v>
      </c>
      <c r="BJ300" s="95" t="str">
        <f t="shared" si="244"/>
        <v>비제조/서비스업</v>
      </c>
      <c r="BK300" s="96">
        <f t="shared" si="245"/>
        <v>1.7464434573900922</v>
      </c>
      <c r="BL300" s="97">
        <f t="shared" si="246"/>
        <v>5.8479736197856065</v>
      </c>
      <c r="BM300" s="98">
        <f t="shared" si="247"/>
        <v>40</v>
      </c>
      <c r="BN300" s="99">
        <f t="shared" si="248"/>
        <v>0.8</v>
      </c>
      <c r="BO300" s="114">
        <v>21899116</v>
      </c>
      <c r="BP300" s="101">
        <f t="shared" si="249"/>
        <v>1.684369336411176</v>
      </c>
      <c r="BQ300" s="78">
        <f t="shared" si="250"/>
        <v>70</v>
      </c>
      <c r="BR300" s="79">
        <f t="shared" si="270"/>
        <v>1.4000000000000001</v>
      </c>
      <c r="BS300" s="102">
        <v>660772.59900000005</v>
      </c>
      <c r="BT300" s="102">
        <v>13909909.09</v>
      </c>
      <c r="BU300" s="103">
        <f t="shared" si="251"/>
        <v>-13249136.491</v>
      </c>
      <c r="BV300" s="77">
        <f t="shared" si="252"/>
        <v>-1.0190566249051685</v>
      </c>
      <c r="BW300" s="96">
        <f t="shared" si="253"/>
        <v>2.8482825397737606</v>
      </c>
      <c r="BX300" s="96">
        <f t="shared" si="254"/>
        <v>14.956312214659517</v>
      </c>
      <c r="BY300" s="96">
        <f t="shared" si="255"/>
        <v>5.5697595856656807</v>
      </c>
      <c r="BZ300" s="96">
        <f t="shared" si="256"/>
        <v>75.626731184634636</v>
      </c>
      <c r="CA300" s="96">
        <f t="shared" si="257"/>
        <v>40</v>
      </c>
      <c r="CB300" s="104">
        <f t="shared" si="258"/>
        <v>0.8</v>
      </c>
      <c r="CC300" s="105">
        <f t="shared" si="271"/>
        <v>121.03789919774155</v>
      </c>
      <c r="CD300" s="106">
        <f t="shared" si="272"/>
        <v>54.75958572949439</v>
      </c>
      <c r="CE300" s="107">
        <f t="shared" si="273"/>
        <v>0.82139378594241585</v>
      </c>
      <c r="CF300" s="108" t="s">
        <v>2189</v>
      </c>
      <c r="CG300" s="108" t="s">
        <v>2189</v>
      </c>
      <c r="CH300" s="108" t="s">
        <v>2189</v>
      </c>
      <c r="CI300" s="108" t="s">
        <v>2189</v>
      </c>
      <c r="CJ300" s="109"/>
      <c r="CK300" s="116" t="s">
        <v>2222</v>
      </c>
      <c r="CL300" s="116" t="s">
        <v>2204</v>
      </c>
      <c r="CM300" s="111">
        <f t="shared" si="259"/>
        <v>70</v>
      </c>
      <c r="CN300" s="107">
        <f t="shared" si="274"/>
        <v>1.05</v>
      </c>
      <c r="CO300" s="114">
        <v>86325000</v>
      </c>
      <c r="CP300" s="88">
        <f t="shared" si="260"/>
        <v>15.189843054406477</v>
      </c>
      <c r="CQ300" s="78">
        <f t="shared" si="261"/>
        <v>60</v>
      </c>
      <c r="CR300" s="79">
        <f t="shared" si="275"/>
        <v>1.7999999999999998</v>
      </c>
      <c r="CS300" s="92">
        <f>_xlfn.XLOOKUP(C300, '[1]1-1. 관계사체무보증금액 (환율 등)'!$3:$3, '[1]1-1. 관계사체무보증금액 (환율 등)'!$33:$33)</f>
        <v>675847000</v>
      </c>
      <c r="CT300" s="77">
        <f t="shared" si="262"/>
        <v>118.92279013948976</v>
      </c>
      <c r="CU300" s="78">
        <f t="shared" si="263"/>
        <v>20</v>
      </c>
      <c r="CV300" s="79">
        <f t="shared" si="276"/>
        <v>0.4</v>
      </c>
      <c r="CW300" s="112">
        <f t="shared" si="264"/>
        <v>16.213557395221724</v>
      </c>
    </row>
    <row r="301" spans="1:101" x14ac:dyDescent="0.35">
      <c r="A301" s="7" t="s">
        <v>760</v>
      </c>
      <c r="B301" s="8" t="s">
        <v>761</v>
      </c>
      <c r="C301" s="21" t="s">
        <v>762</v>
      </c>
      <c r="D301" s="22" t="s">
        <v>21</v>
      </c>
      <c r="E301" s="11" t="s">
        <v>310</v>
      </c>
      <c r="F301" s="11" t="s">
        <v>763</v>
      </c>
      <c r="G301" s="12">
        <v>44427</v>
      </c>
      <c r="H301" s="11" t="s">
        <v>24</v>
      </c>
      <c r="I301" s="11" t="s">
        <v>764</v>
      </c>
      <c r="J301" s="11" t="s">
        <v>765</v>
      </c>
      <c r="K301" s="11" t="s">
        <v>50</v>
      </c>
      <c r="L301" s="23">
        <v>6047349340</v>
      </c>
      <c r="M301" s="14">
        <v>4946497236</v>
      </c>
      <c r="N301" s="14">
        <v>1100852104</v>
      </c>
      <c r="O301" s="14">
        <v>2522065710</v>
      </c>
      <c r="P301" s="14">
        <v>286357383</v>
      </c>
      <c r="Q301" s="14">
        <v>120975036</v>
      </c>
      <c r="R301" s="14">
        <v>78010954</v>
      </c>
      <c r="S301" s="15">
        <v>36634063</v>
      </c>
      <c r="T301" s="15">
        <v>0</v>
      </c>
      <c r="U301" s="15">
        <v>13846833</v>
      </c>
      <c r="V301" s="15">
        <v>0</v>
      </c>
      <c r="W301" s="15">
        <f>20+4+10+1000+539+31+3+6</f>
        <v>1613</v>
      </c>
      <c r="X301" s="15">
        <v>0</v>
      </c>
      <c r="Z301" s="15">
        <v>8365230</v>
      </c>
      <c r="AA301" s="15">
        <v>0</v>
      </c>
      <c r="AB301" s="74">
        <f t="shared" si="224"/>
        <v>22213676</v>
      </c>
      <c r="AC301" s="75">
        <f t="shared" si="225"/>
        <v>60.636670303263926</v>
      </c>
      <c r="AD301" s="75">
        <f t="shared" si="226"/>
        <v>47.753161418356797</v>
      </c>
      <c r="AE301" s="76">
        <f t="shared" si="265"/>
        <v>1.4325948425507038</v>
      </c>
      <c r="AF301" s="77">
        <f t="shared" si="227"/>
        <v>37.797699370664944</v>
      </c>
      <c r="AG301" s="77">
        <f t="shared" si="228"/>
        <v>60.636670303263926</v>
      </c>
      <c r="AH301" s="77">
        <f t="shared" si="229"/>
        <v>22.838970932598983</v>
      </c>
      <c r="AI301" s="78">
        <f t="shared" si="230"/>
        <v>80</v>
      </c>
      <c r="AJ301" s="79">
        <f t="shared" si="266"/>
        <v>3.2</v>
      </c>
      <c r="AK301" s="113">
        <v>6</v>
      </c>
      <c r="AL301" s="113">
        <v>13</v>
      </c>
      <c r="AM301" s="113">
        <v>0</v>
      </c>
      <c r="AN301" s="81">
        <f t="shared" si="231"/>
        <v>19</v>
      </c>
      <c r="AO301" s="82">
        <f t="shared" si="232"/>
        <v>0</v>
      </c>
      <c r="AP301" s="83">
        <f t="shared" si="233"/>
        <v>100</v>
      </c>
      <c r="AQ301" s="84">
        <f t="shared" si="267"/>
        <v>2</v>
      </c>
      <c r="AR301" s="118">
        <v>4</v>
      </c>
      <c r="AS301" s="86">
        <f t="shared" si="234"/>
        <v>0.5</v>
      </c>
      <c r="AT301" s="87">
        <f t="shared" si="235"/>
        <v>3</v>
      </c>
      <c r="AU301" s="87">
        <f t="shared" si="236"/>
        <v>3</v>
      </c>
      <c r="AV301" s="88">
        <f t="shared" si="237"/>
        <v>16.666666666666664</v>
      </c>
      <c r="AW301" s="78">
        <f t="shared" si="238"/>
        <v>60</v>
      </c>
      <c r="AX301" s="89">
        <f t="shared" si="268"/>
        <v>0.6</v>
      </c>
      <c r="AY301" s="114">
        <v>11</v>
      </c>
      <c r="AZ301" s="114">
        <f>44-7</f>
        <v>37</v>
      </c>
      <c r="BA301" s="91">
        <f t="shared" si="239"/>
        <v>44</v>
      </c>
      <c r="BB301" s="77">
        <f t="shared" si="240"/>
        <v>84.090909090909093</v>
      </c>
      <c r="BC301" s="78">
        <f t="shared" si="241"/>
        <v>75</v>
      </c>
      <c r="BD301" s="79">
        <f t="shared" si="269"/>
        <v>0.75</v>
      </c>
      <c r="BE301" s="92">
        <v>73931442</v>
      </c>
      <c r="BF301" s="92">
        <v>7327875</v>
      </c>
      <c r="BG301" s="114">
        <v>446850</v>
      </c>
      <c r="BH301" s="94">
        <f t="shared" si="242"/>
        <v>81259317</v>
      </c>
      <c r="BI301" s="77">
        <f t="shared" si="243"/>
        <v>0.54990617260541341</v>
      </c>
      <c r="BJ301" s="95" t="str">
        <f t="shared" si="244"/>
        <v>비제조/서비스업</v>
      </c>
      <c r="BK301" s="96">
        <f t="shared" si="245"/>
        <v>1.7464434573900922</v>
      </c>
      <c r="BL301" s="97">
        <f t="shared" si="246"/>
        <v>-1.1965372847846787</v>
      </c>
      <c r="BM301" s="98">
        <f t="shared" si="247"/>
        <v>80</v>
      </c>
      <c r="BN301" s="99">
        <f t="shared" si="248"/>
        <v>1.6</v>
      </c>
      <c r="BO301" s="114">
        <v>0</v>
      </c>
      <c r="BP301" s="101">
        <f t="shared" si="249"/>
        <v>0</v>
      </c>
      <c r="BQ301" s="78">
        <f t="shared" si="250"/>
        <v>25</v>
      </c>
      <c r="BR301" s="79">
        <f t="shared" si="270"/>
        <v>0.5</v>
      </c>
      <c r="BS301" s="102">
        <f>(7801856510+275981460+1568365214+3250824256+37101230300)/1000</f>
        <v>49998257.740000002</v>
      </c>
      <c r="BT301" s="102">
        <v>33313</v>
      </c>
      <c r="BU301" s="103">
        <f t="shared" si="251"/>
        <v>49964944.740000002</v>
      </c>
      <c r="BV301" s="77">
        <f t="shared" si="252"/>
        <v>1.9811119330431721</v>
      </c>
      <c r="BW301" s="96">
        <f t="shared" si="253"/>
        <v>2.8482825397737606</v>
      </c>
      <c r="BX301" s="96">
        <f t="shared" si="254"/>
        <v>0.75198486117749685</v>
      </c>
      <c r="BY301" s="96">
        <f t="shared" si="255"/>
        <v>5.5697595856656807</v>
      </c>
      <c r="BZ301" s="96">
        <f t="shared" si="256"/>
        <v>56.186235288583163</v>
      </c>
      <c r="CA301" s="96">
        <f t="shared" si="257"/>
        <v>55</v>
      </c>
      <c r="CB301" s="104">
        <f t="shared" si="258"/>
        <v>1.1000000000000001</v>
      </c>
      <c r="CC301" s="105">
        <f t="shared" si="271"/>
        <v>449.33349521036121</v>
      </c>
      <c r="CD301" s="106">
        <f t="shared" si="272"/>
        <v>25</v>
      </c>
      <c r="CE301" s="107">
        <f t="shared" si="273"/>
        <v>0.375</v>
      </c>
      <c r="CF301" s="108" t="s">
        <v>2189</v>
      </c>
      <c r="CG301" s="108" t="s">
        <v>2189</v>
      </c>
      <c r="CH301" s="108" t="s">
        <v>2189</v>
      </c>
      <c r="CI301" s="108" t="s">
        <v>2189</v>
      </c>
      <c r="CJ301" s="109"/>
      <c r="CK301" s="116" t="s">
        <v>2203</v>
      </c>
      <c r="CL301" s="116" t="s">
        <v>2204</v>
      </c>
      <c r="CM301" s="111">
        <f t="shared" si="259"/>
        <v>70</v>
      </c>
      <c r="CN301" s="107">
        <f t="shared" si="274"/>
        <v>1.05</v>
      </c>
      <c r="CO301" s="114">
        <v>103552000</v>
      </c>
      <c r="CP301" s="88">
        <f t="shared" si="260"/>
        <v>9.406531506252179</v>
      </c>
      <c r="CQ301" s="78">
        <f t="shared" si="261"/>
        <v>80</v>
      </c>
      <c r="CR301" s="79">
        <f t="shared" si="275"/>
        <v>2.4</v>
      </c>
      <c r="CS301" s="92">
        <f>_xlfn.XLOOKUP(C301, '[1]1-1. 관계사체무보증금액 (환율 등)'!$3:$3, '[1]1-1. 관계사체무보증금액 (환율 등)'!$33:$33)</f>
        <v>123037974.68354429</v>
      </c>
      <c r="CT301" s="77">
        <f t="shared" si="262"/>
        <v>11.176612574611957</v>
      </c>
      <c r="CU301" s="78">
        <f t="shared" si="263"/>
        <v>60</v>
      </c>
      <c r="CV301" s="79">
        <f t="shared" si="276"/>
        <v>1.2</v>
      </c>
      <c r="CW301" s="112">
        <f t="shared" si="264"/>
        <v>16.207594842550705</v>
      </c>
    </row>
    <row r="302" spans="1:101" x14ac:dyDescent="0.35">
      <c r="A302" s="7" t="s">
        <v>1995</v>
      </c>
      <c r="B302" s="8" t="s">
        <v>1996</v>
      </c>
      <c r="C302" s="21" t="s">
        <v>1997</v>
      </c>
      <c r="D302" s="10" t="s">
        <v>31</v>
      </c>
      <c r="E302" s="11" t="s">
        <v>1998</v>
      </c>
      <c r="F302" s="11">
        <v>0</v>
      </c>
      <c r="G302" s="12">
        <v>42647</v>
      </c>
      <c r="H302" s="11" t="s">
        <v>24</v>
      </c>
      <c r="I302" s="11" t="s">
        <v>1999</v>
      </c>
      <c r="J302" s="11" t="s">
        <v>2000</v>
      </c>
      <c r="K302" s="11" t="s">
        <v>110</v>
      </c>
      <c r="L302" s="23">
        <v>385322070</v>
      </c>
      <c r="M302" s="14">
        <v>21439724</v>
      </c>
      <c r="N302" s="14">
        <v>363882347</v>
      </c>
      <c r="O302" s="14">
        <v>6697506</v>
      </c>
      <c r="P302" s="14">
        <v>3662683</v>
      </c>
      <c r="Q302" s="14">
        <v>13457274</v>
      </c>
      <c r="R302" s="14">
        <v>10765577</v>
      </c>
      <c r="S302" s="15">
        <v>60589276</v>
      </c>
      <c r="T302" s="15">
        <v>0</v>
      </c>
      <c r="U302" s="15">
        <f>43424285+170918</f>
        <v>43595203</v>
      </c>
      <c r="V302" s="15">
        <v>0</v>
      </c>
      <c r="W302" s="15">
        <f>1112+200+100+300</f>
        <v>1712</v>
      </c>
      <c r="X302" s="15">
        <v>0</v>
      </c>
      <c r="Z302" s="15">
        <v>0</v>
      </c>
      <c r="AA302" s="15">
        <v>0</v>
      </c>
      <c r="AB302" s="74">
        <f t="shared" si="224"/>
        <v>43596915</v>
      </c>
      <c r="AC302" s="75">
        <f t="shared" si="225"/>
        <v>71.954837354385944</v>
      </c>
      <c r="AD302" s="75">
        <f t="shared" si="226"/>
        <v>37.984892962267594</v>
      </c>
      <c r="AE302" s="76">
        <f t="shared" si="265"/>
        <v>1.1395467888680277</v>
      </c>
      <c r="AF302" s="77">
        <f t="shared" si="227"/>
        <v>71.95201177185217</v>
      </c>
      <c r="AG302" s="77">
        <f t="shared" si="228"/>
        <v>71.954837354385944</v>
      </c>
      <c r="AH302" s="77">
        <f t="shared" si="229"/>
        <v>2.8255825337737406E-3</v>
      </c>
      <c r="AI302" s="78">
        <f t="shared" si="230"/>
        <v>100</v>
      </c>
      <c r="AJ302" s="79">
        <f t="shared" si="266"/>
        <v>4</v>
      </c>
      <c r="AK302" s="113">
        <v>7</v>
      </c>
      <c r="AL302" s="113">
        <v>0</v>
      </c>
      <c r="AM302" s="113">
        <v>1</v>
      </c>
      <c r="AN302" s="81">
        <f t="shared" si="231"/>
        <v>7</v>
      </c>
      <c r="AO302" s="82">
        <f t="shared" si="232"/>
        <v>14.285714285714285</v>
      </c>
      <c r="AP302" s="83">
        <f t="shared" si="233"/>
        <v>80</v>
      </c>
      <c r="AQ302" s="84">
        <f t="shared" si="267"/>
        <v>1.6</v>
      </c>
      <c r="AR302" s="118">
        <v>3</v>
      </c>
      <c r="AS302" s="86">
        <f t="shared" si="234"/>
        <v>0.25</v>
      </c>
      <c r="AT302" s="87">
        <f t="shared" si="235"/>
        <v>1.75</v>
      </c>
      <c r="AU302" s="87">
        <f t="shared" si="236"/>
        <v>1</v>
      </c>
      <c r="AV302" s="88">
        <f t="shared" si="237"/>
        <v>28.571428571428569</v>
      </c>
      <c r="AW302" s="78">
        <f t="shared" si="238"/>
        <v>80</v>
      </c>
      <c r="AX302" s="89">
        <f t="shared" si="268"/>
        <v>0.8</v>
      </c>
      <c r="AY302" s="114">
        <v>18</v>
      </c>
      <c r="AZ302" s="114">
        <f>18*3</f>
        <v>54</v>
      </c>
      <c r="BA302" s="91">
        <f t="shared" si="239"/>
        <v>54</v>
      </c>
      <c r="BB302" s="77">
        <f t="shared" si="240"/>
        <v>100</v>
      </c>
      <c r="BC302" s="78">
        <f t="shared" si="241"/>
        <v>100</v>
      </c>
      <c r="BD302" s="79">
        <f t="shared" si="269"/>
        <v>1</v>
      </c>
      <c r="BE302" s="92">
        <v>979448</v>
      </c>
      <c r="BF302" s="92">
        <v>136529</v>
      </c>
      <c r="BG302" s="93">
        <v>0</v>
      </c>
      <c r="BH302" s="94">
        <f t="shared" si="242"/>
        <v>1115977</v>
      </c>
      <c r="BI302" s="77">
        <f t="shared" si="243"/>
        <v>0</v>
      </c>
      <c r="BJ302" s="95" t="str">
        <f t="shared" si="244"/>
        <v>식약/섬유/종이업</v>
      </c>
      <c r="BK302" s="96">
        <f t="shared" si="245"/>
        <v>2.1999360555264453</v>
      </c>
      <c r="BL302" s="97">
        <f t="shared" si="246"/>
        <v>-2.1999360555264453</v>
      </c>
      <c r="BM302" s="98">
        <f t="shared" si="247"/>
        <v>100</v>
      </c>
      <c r="BN302" s="99">
        <f t="shared" si="248"/>
        <v>2</v>
      </c>
      <c r="BO302" s="114">
        <v>28030</v>
      </c>
      <c r="BP302" s="101">
        <f t="shared" si="249"/>
        <v>0.41851399610541601</v>
      </c>
      <c r="BQ302" s="78">
        <f t="shared" si="250"/>
        <v>55</v>
      </c>
      <c r="BR302" s="79">
        <f t="shared" si="270"/>
        <v>1.1000000000000001</v>
      </c>
      <c r="BS302" s="102">
        <v>296321</v>
      </c>
      <c r="BT302" s="102">
        <v>0</v>
      </c>
      <c r="BU302" s="103">
        <f t="shared" si="251"/>
        <v>296321</v>
      </c>
      <c r="BV302" s="77">
        <f t="shared" si="252"/>
        <v>4.4243484067054215</v>
      </c>
      <c r="BW302" s="96">
        <f t="shared" si="253"/>
        <v>5.0508176117342298</v>
      </c>
      <c r="BX302" s="96">
        <f t="shared" si="254"/>
        <v>0.39246366484942707</v>
      </c>
      <c r="BY302" s="96">
        <f t="shared" si="255"/>
        <v>6.9871618081220923</v>
      </c>
      <c r="BZ302" s="96">
        <f t="shared" si="256"/>
        <v>53.572131414816241</v>
      </c>
      <c r="CA302" s="96">
        <f t="shared" si="257"/>
        <v>55</v>
      </c>
      <c r="CB302" s="104">
        <f t="shared" si="258"/>
        <v>1.1000000000000001</v>
      </c>
      <c r="CC302" s="105">
        <f t="shared" si="271"/>
        <v>5.8919384731790796</v>
      </c>
      <c r="CD302" s="106">
        <f t="shared" si="272"/>
        <v>98.156304595535516</v>
      </c>
      <c r="CE302" s="107">
        <f t="shared" si="273"/>
        <v>1.4723445689330328</v>
      </c>
      <c r="CF302" s="108" t="s">
        <v>2189</v>
      </c>
      <c r="CG302" s="108" t="s">
        <v>2189</v>
      </c>
      <c r="CH302" s="108" t="s">
        <v>2189</v>
      </c>
      <c r="CI302" s="108" t="s">
        <v>2189</v>
      </c>
      <c r="CJ302" s="109"/>
      <c r="CK302" s="116" t="s">
        <v>2192</v>
      </c>
      <c r="CL302" s="116" t="s">
        <v>2193</v>
      </c>
      <c r="CM302" s="111">
        <f t="shared" si="259"/>
        <v>25</v>
      </c>
      <c r="CN302" s="107">
        <f t="shared" si="274"/>
        <v>0.375</v>
      </c>
      <c r="CO302" s="114">
        <f>219249000-182000</f>
        <v>219067000</v>
      </c>
      <c r="CP302" s="88">
        <f t="shared" si="260"/>
        <v>60.202700627299187</v>
      </c>
      <c r="CQ302" s="78">
        <f t="shared" si="261"/>
        <v>40</v>
      </c>
      <c r="CR302" s="79">
        <f t="shared" si="275"/>
        <v>1.2</v>
      </c>
      <c r="CS302" s="92">
        <f>_xlfn.XLOOKUP(C302, '[1]1-1. 관계사체무보증금액 (환율 등)'!$3:$3, '[1]1-1. 관계사체무보증금액 (환율 등)'!$33:$33)</f>
        <v>492639669.62025309</v>
      </c>
      <c r="CT302" s="77">
        <f t="shared" si="262"/>
        <v>135.38432784161773</v>
      </c>
      <c r="CU302" s="78">
        <f t="shared" si="263"/>
        <v>20</v>
      </c>
      <c r="CV302" s="79">
        <f t="shared" si="276"/>
        <v>0.4</v>
      </c>
      <c r="CW302" s="112">
        <f t="shared" si="264"/>
        <v>16.186891357801056</v>
      </c>
    </row>
    <row r="303" spans="1:101" x14ac:dyDescent="0.35">
      <c r="A303" s="7" t="s">
        <v>1204</v>
      </c>
      <c r="B303" s="8" t="s">
        <v>1205</v>
      </c>
      <c r="C303" s="21" t="s">
        <v>1206</v>
      </c>
      <c r="D303" s="10" t="s">
        <v>75</v>
      </c>
      <c r="E303" s="11" t="s">
        <v>1187</v>
      </c>
      <c r="F303" s="11" t="s">
        <v>1207</v>
      </c>
      <c r="G303" s="12">
        <v>41584</v>
      </c>
      <c r="H303" s="11" t="s">
        <v>24</v>
      </c>
      <c r="I303" s="11" t="s">
        <v>1208</v>
      </c>
      <c r="J303" s="11" t="s">
        <v>1209</v>
      </c>
      <c r="K303" s="11" t="s">
        <v>27</v>
      </c>
      <c r="L303" s="23">
        <v>1177294529</v>
      </c>
      <c r="M303" s="14">
        <v>334705711</v>
      </c>
      <c r="N303" s="14">
        <v>842588818</v>
      </c>
      <c r="O303" s="14">
        <v>479630807</v>
      </c>
      <c r="P303" s="14">
        <v>74104110</v>
      </c>
      <c r="Q303" s="14">
        <v>65510324</v>
      </c>
      <c r="R303" s="14">
        <v>49527867</v>
      </c>
      <c r="S303" s="15">
        <v>38958090</v>
      </c>
      <c r="T303" s="15">
        <v>13270</v>
      </c>
      <c r="U303" s="15">
        <f>96910+21015400</f>
        <v>21112310</v>
      </c>
      <c r="V303" s="15">
        <f>866730+61760+10550+8660+6230+3740</f>
        <v>957670</v>
      </c>
      <c r="W303" s="15">
        <f>3640+3490</f>
        <v>7130</v>
      </c>
      <c r="X303" s="15">
        <v>1675650</v>
      </c>
      <c r="Y303" s="24" t="s">
        <v>2095</v>
      </c>
      <c r="Z303" s="15">
        <v>100000</v>
      </c>
      <c r="AA303" s="15">
        <v>0</v>
      </c>
      <c r="AB303" s="74">
        <f t="shared" si="224"/>
        <v>23852760</v>
      </c>
      <c r="AC303" s="75">
        <f t="shared" si="225"/>
        <v>61.226718250304366</v>
      </c>
      <c r="AD303" s="75">
        <f t="shared" si="226"/>
        <v>47.243914053247096</v>
      </c>
      <c r="AE303" s="76">
        <f t="shared" si="265"/>
        <v>1.4173174215974129</v>
      </c>
      <c r="AF303" s="77">
        <f t="shared" si="227"/>
        <v>56.669872912495165</v>
      </c>
      <c r="AG303" s="77">
        <f t="shared" si="228"/>
        <v>61.247580551149042</v>
      </c>
      <c r="AH303" s="77">
        <f t="shared" si="229"/>
        <v>4.5777076386538766</v>
      </c>
      <c r="AI303" s="78">
        <f t="shared" si="230"/>
        <v>100</v>
      </c>
      <c r="AJ303" s="79">
        <f t="shared" si="266"/>
        <v>4</v>
      </c>
      <c r="AK303" s="113">
        <v>9</v>
      </c>
      <c r="AL303" s="113">
        <v>10</v>
      </c>
      <c r="AM303" s="113">
        <v>1</v>
      </c>
      <c r="AN303" s="81">
        <f t="shared" si="231"/>
        <v>19</v>
      </c>
      <c r="AO303" s="82">
        <f t="shared" si="232"/>
        <v>5.2631578947368416</v>
      </c>
      <c r="AP303" s="83">
        <f t="shared" si="233"/>
        <v>100</v>
      </c>
      <c r="AQ303" s="84">
        <f t="shared" si="267"/>
        <v>2</v>
      </c>
      <c r="AR303" s="118">
        <v>2</v>
      </c>
      <c r="AS303" s="86">
        <f t="shared" si="234"/>
        <v>0.25</v>
      </c>
      <c r="AT303" s="87">
        <f t="shared" si="235"/>
        <v>2.25</v>
      </c>
      <c r="AU303" s="87">
        <f t="shared" si="236"/>
        <v>2</v>
      </c>
      <c r="AV303" s="88">
        <f t="shared" si="237"/>
        <v>0</v>
      </c>
      <c r="AW303" s="78">
        <f t="shared" si="238"/>
        <v>40</v>
      </c>
      <c r="AX303" s="89">
        <f t="shared" si="268"/>
        <v>0.4</v>
      </c>
      <c r="AY303" s="114">
        <v>12</v>
      </c>
      <c r="AZ303" s="114">
        <v>24</v>
      </c>
      <c r="BA303" s="91">
        <f t="shared" si="239"/>
        <v>24</v>
      </c>
      <c r="BB303" s="77">
        <f t="shared" si="240"/>
        <v>100</v>
      </c>
      <c r="BC303" s="78">
        <f t="shared" si="241"/>
        <v>100</v>
      </c>
      <c r="BD303" s="79">
        <f t="shared" si="269"/>
        <v>1</v>
      </c>
      <c r="BE303" s="92">
        <v>14043458</v>
      </c>
      <c r="BF303" s="92">
        <v>1884923</v>
      </c>
      <c r="BG303" s="114">
        <v>1244363</v>
      </c>
      <c r="BH303" s="94">
        <f t="shared" si="242"/>
        <v>15928381</v>
      </c>
      <c r="BI303" s="77">
        <f t="shared" si="243"/>
        <v>7.8122377911477638</v>
      </c>
      <c r="BJ303" s="95" t="str">
        <f t="shared" si="244"/>
        <v>금속/비금속/화학업</v>
      </c>
      <c r="BK303" s="96">
        <f t="shared" si="245"/>
        <v>3.9534118626990469</v>
      </c>
      <c r="BL303" s="97">
        <f t="shared" si="246"/>
        <v>3.858825928448717</v>
      </c>
      <c r="BM303" s="98">
        <f t="shared" si="247"/>
        <v>40</v>
      </c>
      <c r="BN303" s="99">
        <f t="shared" si="248"/>
        <v>0.8</v>
      </c>
      <c r="BO303" s="114">
        <v>3474000</v>
      </c>
      <c r="BP303" s="101">
        <f t="shared" si="249"/>
        <v>0.72430710231672002</v>
      </c>
      <c r="BQ303" s="78">
        <f t="shared" si="250"/>
        <v>70</v>
      </c>
      <c r="BR303" s="79">
        <f t="shared" si="270"/>
        <v>1.4000000000000001</v>
      </c>
      <c r="BS303" s="102">
        <v>36359771.012000002</v>
      </c>
      <c r="BT303" s="102">
        <v>183771.46299999999</v>
      </c>
      <c r="BU303" s="103">
        <f t="shared" si="251"/>
        <v>36175999.549000002</v>
      </c>
      <c r="BV303" s="77">
        <f t="shared" si="252"/>
        <v>7.5424678775898562</v>
      </c>
      <c r="BW303" s="96">
        <f t="shared" si="253"/>
        <v>5.1474158565187738</v>
      </c>
      <c r="BX303" s="96">
        <f t="shared" si="254"/>
        <v>5.7362741836366764</v>
      </c>
      <c r="BY303" s="96">
        <f t="shared" si="255"/>
        <v>6.6930498535228535</v>
      </c>
      <c r="BZ303" s="96">
        <f t="shared" si="256"/>
        <v>36.023090872114508</v>
      </c>
      <c r="CA303" s="96">
        <f t="shared" si="257"/>
        <v>55</v>
      </c>
      <c r="CB303" s="104">
        <f t="shared" si="258"/>
        <v>1.1000000000000001</v>
      </c>
      <c r="CC303" s="105">
        <f t="shared" si="271"/>
        <v>39.723493102420925</v>
      </c>
      <c r="CD303" s="106">
        <f t="shared" si="272"/>
        <v>85.40571867999212</v>
      </c>
      <c r="CE303" s="107">
        <f t="shared" si="273"/>
        <v>1.2810857801998818</v>
      </c>
      <c r="CF303" s="108" t="s">
        <v>2189</v>
      </c>
      <c r="CG303" s="108" t="s">
        <v>2189</v>
      </c>
      <c r="CH303" s="108" t="s">
        <v>2189</v>
      </c>
      <c r="CI303" s="108" t="s">
        <v>2189</v>
      </c>
      <c r="CJ303" s="109"/>
      <c r="CK303" s="116" t="s">
        <v>2199</v>
      </c>
      <c r="CL303" s="116" t="s">
        <v>2193</v>
      </c>
      <c r="CM303" s="111">
        <f t="shared" si="259"/>
        <v>25</v>
      </c>
      <c r="CN303" s="107">
        <f t="shared" si="274"/>
        <v>0.375</v>
      </c>
      <c r="CO303" s="114">
        <f>(478391-1704-80-213)*1000</f>
        <v>476394000</v>
      </c>
      <c r="CP303" s="88">
        <f t="shared" si="260"/>
        <v>56.539321413116596</v>
      </c>
      <c r="CQ303" s="78">
        <f t="shared" si="261"/>
        <v>40</v>
      </c>
      <c r="CR303" s="79">
        <f t="shared" si="275"/>
        <v>1.2</v>
      </c>
      <c r="CS303" s="92">
        <f>_xlfn.XLOOKUP(C303, '[1]1-1. 관계사체무보증금액 (환율 등)'!$3:$3, '[1]1-1. 관계사체무보증금액 (환율 등)'!$33:$33)</f>
        <v>120000000</v>
      </c>
      <c r="CT303" s="77">
        <f t="shared" si="262"/>
        <v>14.241822041364902</v>
      </c>
      <c r="CU303" s="78">
        <f t="shared" si="263"/>
        <v>60</v>
      </c>
      <c r="CV303" s="79">
        <f t="shared" si="276"/>
        <v>1.2</v>
      </c>
      <c r="CW303" s="112">
        <f t="shared" si="264"/>
        <v>16.173403201797296</v>
      </c>
    </row>
    <row r="304" spans="1:101" x14ac:dyDescent="0.35">
      <c r="A304" s="7" t="s">
        <v>1059</v>
      </c>
      <c r="B304" s="8" t="s">
        <v>1060</v>
      </c>
      <c r="C304" s="21" t="s">
        <v>1061</v>
      </c>
      <c r="D304" s="22" t="s">
        <v>21</v>
      </c>
      <c r="E304" s="11" t="s">
        <v>39</v>
      </c>
      <c r="F304" s="11" t="s">
        <v>1062</v>
      </c>
      <c r="G304" s="12">
        <v>28264</v>
      </c>
      <c r="H304" s="11" t="s">
        <v>24</v>
      </c>
      <c r="I304" s="11" t="s">
        <v>1063</v>
      </c>
      <c r="J304" s="11" t="s">
        <v>1064</v>
      </c>
      <c r="K304" s="11" t="s">
        <v>110</v>
      </c>
      <c r="L304" s="23">
        <v>818244152</v>
      </c>
      <c r="M304" s="14">
        <v>212287560</v>
      </c>
      <c r="N304" s="14">
        <v>605956593</v>
      </c>
      <c r="O304" s="14">
        <v>708635837</v>
      </c>
      <c r="P304" s="14">
        <v>24543012</v>
      </c>
      <c r="Q304" s="14">
        <v>35564999</v>
      </c>
      <c r="R304" s="14">
        <v>39359123</v>
      </c>
      <c r="S304" s="15">
        <v>19308690</v>
      </c>
      <c r="T304" s="15">
        <v>923861</v>
      </c>
      <c r="U304" s="15">
        <v>3473022</v>
      </c>
      <c r="V304" s="15">
        <f>91365+30000+25677+317819+27475</f>
        <v>492336</v>
      </c>
      <c r="W304" s="15">
        <f>8050+4550+5538+40+420+420+140+250+1100+2004</f>
        <v>22512</v>
      </c>
      <c r="X304" s="15">
        <v>672000</v>
      </c>
      <c r="Y304" s="24" t="s">
        <v>2088</v>
      </c>
      <c r="Z304" s="15">
        <f>3577634+400000</f>
        <v>3977634</v>
      </c>
      <c r="AA304" s="15">
        <f>4000+400000</f>
        <v>404000</v>
      </c>
      <c r="AB304" s="74">
        <f t="shared" si="224"/>
        <v>8637504</v>
      </c>
      <c r="AC304" s="75">
        <f t="shared" si="225"/>
        <v>44.733764952464412</v>
      </c>
      <c r="AD304" s="75">
        <f t="shared" si="226"/>
        <v>61.478338648621047</v>
      </c>
      <c r="AE304" s="76">
        <f t="shared" si="265"/>
        <v>1.8443501594586313</v>
      </c>
      <c r="AF304" s="77">
        <f t="shared" si="227"/>
        <v>22.053254608005005</v>
      </c>
      <c r="AG304" s="77">
        <f t="shared" si="228"/>
        <v>45.790458270861706</v>
      </c>
      <c r="AH304" s="77">
        <f t="shared" si="229"/>
        <v>23.7372036628567</v>
      </c>
      <c r="AI304" s="78">
        <f t="shared" si="230"/>
        <v>80</v>
      </c>
      <c r="AJ304" s="79">
        <f t="shared" si="266"/>
        <v>3.2</v>
      </c>
      <c r="AK304" s="113">
        <v>7</v>
      </c>
      <c r="AL304" s="113">
        <v>4</v>
      </c>
      <c r="AM304" s="113">
        <v>1</v>
      </c>
      <c r="AN304" s="81">
        <f t="shared" si="231"/>
        <v>11</v>
      </c>
      <c r="AO304" s="82">
        <f t="shared" si="232"/>
        <v>9.0909090909090917</v>
      </c>
      <c r="AP304" s="83">
        <f t="shared" si="233"/>
        <v>100</v>
      </c>
      <c r="AQ304" s="84">
        <f t="shared" si="267"/>
        <v>2</v>
      </c>
      <c r="AR304" s="118">
        <v>3</v>
      </c>
      <c r="AS304" s="86">
        <f t="shared" si="234"/>
        <v>0.25</v>
      </c>
      <c r="AT304" s="87">
        <f t="shared" si="235"/>
        <v>1.75</v>
      </c>
      <c r="AU304" s="87">
        <f t="shared" si="236"/>
        <v>1</v>
      </c>
      <c r="AV304" s="88">
        <f t="shared" si="237"/>
        <v>28.571428571428569</v>
      </c>
      <c r="AW304" s="78">
        <f t="shared" si="238"/>
        <v>80</v>
      </c>
      <c r="AX304" s="89">
        <f t="shared" si="268"/>
        <v>0.8</v>
      </c>
      <c r="AY304" s="114">
        <v>6</v>
      </c>
      <c r="AZ304" s="114">
        <v>18</v>
      </c>
      <c r="BA304" s="91">
        <f t="shared" si="239"/>
        <v>18</v>
      </c>
      <c r="BB304" s="77">
        <f t="shared" si="240"/>
        <v>100</v>
      </c>
      <c r="BC304" s="78">
        <f t="shared" si="241"/>
        <v>100</v>
      </c>
      <c r="BD304" s="79">
        <f t="shared" si="269"/>
        <v>1</v>
      </c>
      <c r="BE304" s="92">
        <v>19376338</v>
      </c>
      <c r="BF304" s="92">
        <v>1642522</v>
      </c>
      <c r="BG304" s="114">
        <v>2474523</v>
      </c>
      <c r="BH304" s="94">
        <f t="shared" si="242"/>
        <v>21018860</v>
      </c>
      <c r="BI304" s="77">
        <f t="shared" si="243"/>
        <v>11.772869698927535</v>
      </c>
      <c r="BJ304" s="95" t="str">
        <f t="shared" si="244"/>
        <v>비제조/서비스업</v>
      </c>
      <c r="BK304" s="96">
        <f t="shared" si="245"/>
        <v>1.7464434573900922</v>
      </c>
      <c r="BL304" s="97">
        <f t="shared" si="246"/>
        <v>10.026426241537443</v>
      </c>
      <c r="BM304" s="98">
        <f t="shared" si="247"/>
        <v>20</v>
      </c>
      <c r="BN304" s="99">
        <f t="shared" si="248"/>
        <v>0.4</v>
      </c>
      <c r="BO304" s="114">
        <v>0</v>
      </c>
      <c r="BP304" s="101">
        <f t="shared" si="249"/>
        <v>0</v>
      </c>
      <c r="BQ304" s="78">
        <f t="shared" si="250"/>
        <v>25</v>
      </c>
      <c r="BR304" s="79">
        <f t="shared" si="270"/>
        <v>0.5</v>
      </c>
      <c r="BS304" s="102">
        <v>32999050.136</v>
      </c>
      <c r="BT304" s="102">
        <v>178597.264</v>
      </c>
      <c r="BU304" s="103">
        <f t="shared" si="251"/>
        <v>32820452.872000001</v>
      </c>
      <c r="BV304" s="77">
        <f t="shared" si="252"/>
        <v>4.6314977536198194</v>
      </c>
      <c r="BW304" s="96">
        <f t="shared" si="253"/>
        <v>2.8482825397737606</v>
      </c>
      <c r="BX304" s="96">
        <f t="shared" si="254"/>
        <v>3.1798564988920455</v>
      </c>
      <c r="BY304" s="96">
        <f t="shared" si="255"/>
        <v>5.5697595856656807</v>
      </c>
      <c r="BZ304" s="96">
        <f t="shared" si="256"/>
        <v>37.442345492478843</v>
      </c>
      <c r="CA304" s="96">
        <f t="shared" si="257"/>
        <v>55</v>
      </c>
      <c r="CB304" s="104">
        <f t="shared" si="258"/>
        <v>1.1000000000000001</v>
      </c>
      <c r="CC304" s="105">
        <f t="shared" si="271"/>
        <v>35.033459896689337</v>
      </c>
      <c r="CD304" s="106">
        <f t="shared" si="272"/>
        <v>87.173319134413561</v>
      </c>
      <c r="CE304" s="107">
        <f t="shared" si="273"/>
        <v>1.3075997870162033</v>
      </c>
      <c r="CF304" s="108" t="s">
        <v>2189</v>
      </c>
      <c r="CG304" s="108" t="s">
        <v>2189</v>
      </c>
      <c r="CH304" s="108" t="s">
        <v>2189</v>
      </c>
      <c r="CI304" s="108" t="s">
        <v>2189</v>
      </c>
      <c r="CJ304" s="109"/>
      <c r="CK304" s="116" t="s">
        <v>2192</v>
      </c>
      <c r="CL304" s="116" t="s">
        <v>2193</v>
      </c>
      <c r="CM304" s="111">
        <f t="shared" si="259"/>
        <v>25</v>
      </c>
      <c r="CN304" s="107">
        <f t="shared" si="274"/>
        <v>0.375</v>
      </c>
      <c r="CO304" s="114">
        <v>52526000</v>
      </c>
      <c r="CP304" s="88">
        <f t="shared" si="260"/>
        <v>8.6682776632483964</v>
      </c>
      <c r="CQ304" s="78">
        <f t="shared" si="261"/>
        <v>80</v>
      </c>
      <c r="CR304" s="79">
        <f t="shared" si="275"/>
        <v>2.4</v>
      </c>
      <c r="CS304" s="92">
        <f>_xlfn.XLOOKUP(C304, '[1]1-1. 관계사체무보증금액 (환율 등)'!$3:$3, '[1]1-1. 관계사체무보증금액 (환율 등)'!$33:$33)</f>
        <v>93776602.088607594</v>
      </c>
      <c r="CT304" s="77">
        <f t="shared" si="262"/>
        <v>15.475795324601343</v>
      </c>
      <c r="CU304" s="78">
        <f t="shared" si="263"/>
        <v>60</v>
      </c>
      <c r="CV304" s="79">
        <f t="shared" si="276"/>
        <v>1.2</v>
      </c>
      <c r="CW304" s="112">
        <f t="shared" si="264"/>
        <v>16.126949946474834</v>
      </c>
    </row>
    <row r="305" spans="1:101" x14ac:dyDescent="0.35">
      <c r="A305" s="7" t="s">
        <v>735</v>
      </c>
      <c r="B305" s="8" t="s">
        <v>736</v>
      </c>
      <c r="C305" s="21" t="s">
        <v>737</v>
      </c>
      <c r="D305" s="10" t="s">
        <v>141</v>
      </c>
      <c r="E305" s="11" t="s">
        <v>356</v>
      </c>
      <c r="F305" s="11" t="s">
        <v>738</v>
      </c>
      <c r="G305" s="12">
        <v>42580</v>
      </c>
      <c r="H305" s="11" t="s">
        <v>24</v>
      </c>
      <c r="I305" s="11" t="s">
        <v>739</v>
      </c>
      <c r="J305" s="11" t="s">
        <v>740</v>
      </c>
      <c r="K305" s="11" t="s">
        <v>27</v>
      </c>
      <c r="L305" s="23">
        <v>287289681</v>
      </c>
      <c r="M305" s="14">
        <v>116203289</v>
      </c>
      <c r="N305" s="14">
        <v>171086392</v>
      </c>
      <c r="O305" s="14">
        <v>227240330</v>
      </c>
      <c r="P305" s="14">
        <v>10840684</v>
      </c>
      <c r="Q305" s="14">
        <v>18488363</v>
      </c>
      <c r="R305" s="14">
        <v>14109027</v>
      </c>
      <c r="S305" s="15">
        <v>33066680</v>
      </c>
      <c r="T305" s="15">
        <v>596916</v>
      </c>
      <c r="U305" s="15">
        <f>3292440+8440383</f>
        <v>11732823</v>
      </c>
      <c r="V305" s="15">
        <f>190180</f>
        <v>190180</v>
      </c>
      <c r="W305" s="15">
        <v>62100</v>
      </c>
      <c r="X305" s="15">
        <v>0</v>
      </c>
      <c r="Z305" s="15">
        <v>0</v>
      </c>
      <c r="AA305" s="15">
        <v>0</v>
      </c>
      <c r="AB305" s="74">
        <f t="shared" si="224"/>
        <v>11985103</v>
      </c>
      <c r="AC305" s="75">
        <f t="shared" si="225"/>
        <v>36.24525655433203</v>
      </c>
      <c r="AD305" s="75">
        <f t="shared" si="226"/>
        <v>68.804439107308383</v>
      </c>
      <c r="AE305" s="76">
        <f t="shared" si="265"/>
        <v>2.0641331732192514</v>
      </c>
      <c r="AF305" s="77">
        <f t="shared" si="227"/>
        <v>36.720325407970321</v>
      </c>
      <c r="AG305" s="77">
        <f t="shared" si="228"/>
        <v>36.911580262794644</v>
      </c>
      <c r="AH305" s="77">
        <f t="shared" si="229"/>
        <v>0.19125485482432225</v>
      </c>
      <c r="AI305" s="78">
        <f t="shared" si="230"/>
        <v>100</v>
      </c>
      <c r="AJ305" s="79">
        <f t="shared" si="266"/>
        <v>4</v>
      </c>
      <c r="AK305" s="113">
        <v>7</v>
      </c>
      <c r="AL305" s="113">
        <v>15</v>
      </c>
      <c r="AM305" s="113">
        <v>1</v>
      </c>
      <c r="AN305" s="81">
        <f t="shared" si="231"/>
        <v>22</v>
      </c>
      <c r="AO305" s="82">
        <f t="shared" si="232"/>
        <v>4.5454545454545459</v>
      </c>
      <c r="AP305" s="83">
        <f t="shared" si="233"/>
        <v>100</v>
      </c>
      <c r="AQ305" s="84">
        <f t="shared" si="267"/>
        <v>2</v>
      </c>
      <c r="AR305" s="118">
        <v>2</v>
      </c>
      <c r="AS305" s="86">
        <f t="shared" si="234"/>
        <v>0.25</v>
      </c>
      <c r="AT305" s="87">
        <f t="shared" si="235"/>
        <v>1.75</v>
      </c>
      <c r="AU305" s="87">
        <f t="shared" si="236"/>
        <v>1</v>
      </c>
      <c r="AV305" s="88">
        <f t="shared" si="237"/>
        <v>14.285714285714285</v>
      </c>
      <c r="AW305" s="78">
        <f t="shared" si="238"/>
        <v>60</v>
      </c>
      <c r="AX305" s="89">
        <f t="shared" si="268"/>
        <v>0.6</v>
      </c>
      <c r="AY305" s="114">
        <v>8</v>
      </c>
      <c r="AZ305" s="114">
        <v>6</v>
      </c>
      <c r="BA305" s="91">
        <f t="shared" si="239"/>
        <v>16</v>
      </c>
      <c r="BB305" s="77">
        <f t="shared" si="240"/>
        <v>37.5</v>
      </c>
      <c r="BC305" s="78">
        <f t="shared" si="241"/>
        <v>25</v>
      </c>
      <c r="BD305" s="79">
        <f t="shared" si="269"/>
        <v>0.25</v>
      </c>
      <c r="BE305" s="92">
        <v>8807718</v>
      </c>
      <c r="BF305" s="92">
        <v>1501970</v>
      </c>
      <c r="BG305" s="114">
        <v>571543</v>
      </c>
      <c r="BH305" s="94">
        <f t="shared" si="242"/>
        <v>10309688</v>
      </c>
      <c r="BI305" s="77">
        <f t="shared" si="243"/>
        <v>5.5437468136766119</v>
      </c>
      <c r="BJ305" s="95" t="str">
        <f t="shared" si="244"/>
        <v>전기전자/기계업</v>
      </c>
      <c r="BK305" s="96">
        <f t="shared" si="245"/>
        <v>2.4096449716116446</v>
      </c>
      <c r="BL305" s="97">
        <f t="shared" si="246"/>
        <v>3.1341018420649673</v>
      </c>
      <c r="BM305" s="98">
        <f t="shared" si="247"/>
        <v>40</v>
      </c>
      <c r="BN305" s="99">
        <f t="shared" si="248"/>
        <v>0.8</v>
      </c>
      <c r="BO305" s="114">
        <v>2591763</v>
      </c>
      <c r="BP305" s="101">
        <f t="shared" si="249"/>
        <v>1.1405383014537955</v>
      </c>
      <c r="BQ305" s="78">
        <f t="shared" si="250"/>
        <v>70</v>
      </c>
      <c r="BR305" s="79">
        <f t="shared" si="270"/>
        <v>1.4000000000000001</v>
      </c>
      <c r="BS305" s="102">
        <v>2708337.6060000001</v>
      </c>
      <c r="BT305" s="102">
        <v>51118.690999999999</v>
      </c>
      <c r="BU305" s="103">
        <f t="shared" si="251"/>
        <v>2657218.915</v>
      </c>
      <c r="BV305" s="77">
        <f t="shared" si="252"/>
        <v>1.1693430101074047</v>
      </c>
      <c r="BW305" s="96">
        <f t="shared" si="253"/>
        <v>5.2309968128308295</v>
      </c>
      <c r="BX305" s="96">
        <f t="shared" si="254"/>
        <v>16.497031613177661</v>
      </c>
      <c r="BY305" s="96">
        <f t="shared" si="255"/>
        <v>7.0695458012309631</v>
      </c>
      <c r="BZ305" s="96">
        <f t="shared" si="256"/>
        <v>71.719480647731942</v>
      </c>
      <c r="CA305" s="96">
        <f t="shared" si="257"/>
        <v>40</v>
      </c>
      <c r="CB305" s="104">
        <f t="shared" si="258"/>
        <v>0.8</v>
      </c>
      <c r="CC305" s="105">
        <f t="shared" si="271"/>
        <v>67.920825053111173</v>
      </c>
      <c r="CD305" s="106">
        <f t="shared" si="272"/>
        <v>74.778583522696792</v>
      </c>
      <c r="CE305" s="107">
        <f t="shared" si="273"/>
        <v>1.1216787528404519</v>
      </c>
      <c r="CF305" s="108" t="s">
        <v>2189</v>
      </c>
      <c r="CG305" s="108" t="s">
        <v>2189</v>
      </c>
      <c r="CH305" s="108" t="s">
        <v>2189</v>
      </c>
      <c r="CI305" s="108" t="s">
        <v>2189</v>
      </c>
      <c r="CJ305" s="109"/>
      <c r="CK305" s="116" t="s">
        <v>2208</v>
      </c>
      <c r="CL305" s="116" t="s">
        <v>2209</v>
      </c>
      <c r="CM305" s="111">
        <f t="shared" si="259"/>
        <v>40</v>
      </c>
      <c r="CN305" s="107">
        <f t="shared" si="274"/>
        <v>0.6</v>
      </c>
      <c r="CO305" s="114">
        <f>88866000-2400000</f>
        <v>86466000</v>
      </c>
      <c r="CP305" s="88">
        <f t="shared" si="260"/>
        <v>50.539378958906333</v>
      </c>
      <c r="CQ305" s="78">
        <f t="shared" si="261"/>
        <v>40</v>
      </c>
      <c r="CR305" s="79">
        <f t="shared" si="275"/>
        <v>1.2</v>
      </c>
      <c r="CS305" s="92">
        <f>_xlfn.XLOOKUP(C305, '[1]1-1. 관계사체무보증금액 (환율 등)'!$3:$3, '[1]1-1. 관계사체무보증금액 (환율 등)'!$33:$33)</f>
        <v>24871941.031941034</v>
      </c>
      <c r="CT305" s="77">
        <f t="shared" si="262"/>
        <v>14.537650096648852</v>
      </c>
      <c r="CU305" s="78">
        <f t="shared" si="263"/>
        <v>60</v>
      </c>
      <c r="CV305" s="79">
        <f t="shared" si="276"/>
        <v>1.2</v>
      </c>
      <c r="CW305" s="112">
        <f t="shared" si="264"/>
        <v>16.035811926059704</v>
      </c>
    </row>
    <row r="306" spans="1:101" x14ac:dyDescent="0.35">
      <c r="A306" s="7" t="s">
        <v>95</v>
      </c>
      <c r="B306" s="8" t="s">
        <v>96</v>
      </c>
      <c r="C306" s="21" t="s">
        <v>97</v>
      </c>
      <c r="D306" s="22" t="s">
        <v>75</v>
      </c>
      <c r="E306" s="11" t="s">
        <v>98</v>
      </c>
      <c r="F306" s="11" t="s">
        <v>99</v>
      </c>
      <c r="G306" s="12">
        <v>32410</v>
      </c>
      <c r="H306" s="11" t="s">
        <v>24</v>
      </c>
      <c r="I306" s="11" t="s">
        <v>100</v>
      </c>
      <c r="J306" s="11" t="s">
        <v>101</v>
      </c>
      <c r="K306" s="11" t="s">
        <v>102</v>
      </c>
      <c r="L306" s="23">
        <v>1632577263</v>
      </c>
      <c r="M306" s="14">
        <v>965677546</v>
      </c>
      <c r="N306" s="14">
        <v>666899717</v>
      </c>
      <c r="O306" s="14">
        <v>772331699</v>
      </c>
      <c r="P306" s="14">
        <v>96511673</v>
      </c>
      <c r="Q306" s="14">
        <v>50588116</v>
      </c>
      <c r="R306" s="14">
        <v>37870319</v>
      </c>
      <c r="S306" s="15">
        <v>9994005</v>
      </c>
      <c r="T306" s="15">
        <v>1375880</v>
      </c>
      <c r="U306" s="18">
        <v>3027814</v>
      </c>
      <c r="V306" s="15">
        <f>1464000+500000+81827+2131</f>
        <v>2047958</v>
      </c>
      <c r="W306" s="15">
        <v>10000</v>
      </c>
      <c r="X306" s="15">
        <v>0</v>
      </c>
      <c r="Z306" s="15">
        <v>0</v>
      </c>
      <c r="AA306" s="15">
        <v>0</v>
      </c>
      <c r="AB306" s="74">
        <f t="shared" si="224"/>
        <v>5085772</v>
      </c>
      <c r="AC306" s="75">
        <f t="shared" si="225"/>
        <v>50.888227492381688</v>
      </c>
      <c r="AD306" s="75">
        <f t="shared" si="226"/>
        <v>56.166662118197628</v>
      </c>
      <c r="AE306" s="76">
        <f t="shared" si="265"/>
        <v>1.6849998635459287</v>
      </c>
      <c r="AF306" s="77">
        <f t="shared" si="227"/>
        <v>58.896476901878316</v>
      </c>
      <c r="AG306" s="77">
        <f t="shared" si="228"/>
        <v>59.012511422148087</v>
      </c>
      <c r="AH306" s="77">
        <f t="shared" si="229"/>
        <v>0.11603452026977124</v>
      </c>
      <c r="AI306" s="78">
        <f t="shared" si="230"/>
        <v>100</v>
      </c>
      <c r="AJ306" s="79">
        <f t="shared" si="266"/>
        <v>4</v>
      </c>
      <c r="AK306" s="113">
        <v>5</v>
      </c>
      <c r="AL306" s="113">
        <v>33</v>
      </c>
      <c r="AM306" s="113">
        <v>1</v>
      </c>
      <c r="AN306" s="81">
        <f t="shared" si="231"/>
        <v>38</v>
      </c>
      <c r="AO306" s="82">
        <f t="shared" si="232"/>
        <v>2.6315789473684208</v>
      </c>
      <c r="AP306" s="83">
        <f t="shared" si="233"/>
        <v>100</v>
      </c>
      <c r="AQ306" s="84">
        <f t="shared" si="267"/>
        <v>2</v>
      </c>
      <c r="AR306" s="118">
        <v>1</v>
      </c>
      <c r="AS306" s="86">
        <f t="shared" si="234"/>
        <v>0.25</v>
      </c>
      <c r="AT306" s="87">
        <f t="shared" si="235"/>
        <v>1.25</v>
      </c>
      <c r="AU306" s="87">
        <f t="shared" si="236"/>
        <v>1</v>
      </c>
      <c r="AV306" s="88">
        <f t="shared" si="237"/>
        <v>0</v>
      </c>
      <c r="AW306" s="78">
        <f t="shared" si="238"/>
        <v>40</v>
      </c>
      <c r="AX306" s="89">
        <f t="shared" si="268"/>
        <v>0.4</v>
      </c>
      <c r="AY306" s="114">
        <v>21</v>
      </c>
      <c r="AZ306" s="114">
        <v>17</v>
      </c>
      <c r="BA306" s="91">
        <f t="shared" si="239"/>
        <v>21</v>
      </c>
      <c r="BB306" s="77">
        <f t="shared" si="240"/>
        <v>80.952380952380949</v>
      </c>
      <c r="BC306" s="78">
        <f t="shared" si="241"/>
        <v>75</v>
      </c>
      <c r="BD306" s="79">
        <f t="shared" si="269"/>
        <v>0.75</v>
      </c>
      <c r="BE306" s="92">
        <v>98950122</v>
      </c>
      <c r="BF306" s="92">
        <v>4632784</v>
      </c>
      <c r="BG306" s="114">
        <v>970372</v>
      </c>
      <c r="BH306" s="94">
        <f t="shared" si="242"/>
        <v>103582906</v>
      </c>
      <c r="BI306" s="77">
        <f t="shared" si="243"/>
        <v>0.9368070828211752</v>
      </c>
      <c r="BJ306" s="95" t="str">
        <f t="shared" si="244"/>
        <v>금속/비금속/화학업</v>
      </c>
      <c r="BK306" s="96">
        <f t="shared" si="245"/>
        <v>3.9534118626990469</v>
      </c>
      <c r="BL306" s="97">
        <f t="shared" si="246"/>
        <v>-3.0166047798778717</v>
      </c>
      <c r="BM306" s="98">
        <f t="shared" si="247"/>
        <v>100</v>
      </c>
      <c r="BN306" s="99">
        <f t="shared" si="248"/>
        <v>2</v>
      </c>
      <c r="BO306" s="114">
        <v>74012427</v>
      </c>
      <c r="BP306" s="101">
        <f t="shared" si="249"/>
        <v>9.5829844995135964</v>
      </c>
      <c r="BQ306" s="78">
        <f t="shared" si="250"/>
        <v>100</v>
      </c>
      <c r="BR306" s="79">
        <f t="shared" si="270"/>
        <v>2</v>
      </c>
      <c r="BS306" s="102">
        <v>55551836.513999999</v>
      </c>
      <c r="BT306" s="102">
        <v>2178713.4330000002</v>
      </c>
      <c r="BU306" s="103">
        <f t="shared" si="251"/>
        <v>53373123.081</v>
      </c>
      <c r="BV306" s="77">
        <f t="shared" si="252"/>
        <v>6.9106477372489667</v>
      </c>
      <c r="BW306" s="96">
        <f t="shared" si="253"/>
        <v>5.1474158565187738</v>
      </c>
      <c r="BX306" s="96">
        <f t="shared" si="254"/>
        <v>3.1089866652233336</v>
      </c>
      <c r="BY306" s="96">
        <f t="shared" si="255"/>
        <v>6.6930498535228535</v>
      </c>
      <c r="BZ306" s="96">
        <f t="shared" si="256"/>
        <v>39.61048781222496</v>
      </c>
      <c r="CA306" s="96">
        <f t="shared" si="257"/>
        <v>55</v>
      </c>
      <c r="CB306" s="104">
        <f t="shared" si="258"/>
        <v>1.1000000000000001</v>
      </c>
      <c r="CC306" s="105">
        <f t="shared" si="271"/>
        <v>144.80101301347531</v>
      </c>
      <c r="CD306" s="106">
        <f t="shared" si="272"/>
        <v>45.80363831150428</v>
      </c>
      <c r="CE306" s="107">
        <f t="shared" si="273"/>
        <v>0.68705457467256414</v>
      </c>
      <c r="CF306" s="108" t="s">
        <v>2189</v>
      </c>
      <c r="CG306" s="108" t="s">
        <v>2189</v>
      </c>
      <c r="CH306" s="108" t="s">
        <v>2189</v>
      </c>
      <c r="CI306" s="108" t="s">
        <v>2189</v>
      </c>
      <c r="CJ306" s="109"/>
      <c r="CK306" s="116" t="s">
        <v>2192</v>
      </c>
      <c r="CL306" s="116" t="s">
        <v>2193</v>
      </c>
      <c r="CM306" s="111">
        <f t="shared" si="259"/>
        <v>25</v>
      </c>
      <c r="CN306" s="107">
        <f t="shared" si="274"/>
        <v>0.375</v>
      </c>
      <c r="CO306" s="114">
        <f>28814000+4128000+24869000+900694000+19733000+1856000+35059000+21454000+361000+570000+10100000+1725000</f>
        <v>1049363000</v>
      </c>
      <c r="CP306" s="88">
        <f t="shared" si="260"/>
        <v>157.34944448926794</v>
      </c>
      <c r="CQ306" s="78">
        <f t="shared" si="261"/>
        <v>20</v>
      </c>
      <c r="CR306" s="79">
        <f t="shared" si="275"/>
        <v>0.6</v>
      </c>
      <c r="CS306" s="92">
        <f>_xlfn.XLOOKUP(C306, '[1]1-1. 관계사체무보증금액 (환율 등)'!$3:$3, '[1]1-1. 관계사체무보증금액 (환율 등)'!$33:$33)</f>
        <v>2652273640.5467606</v>
      </c>
      <c r="CT306" s="77">
        <f t="shared" si="262"/>
        <v>397.70201919980133</v>
      </c>
      <c r="CU306" s="78">
        <f t="shared" si="263"/>
        <v>20</v>
      </c>
      <c r="CV306" s="79">
        <f t="shared" si="276"/>
        <v>0.4</v>
      </c>
      <c r="CW306" s="112">
        <f t="shared" si="264"/>
        <v>15.997054438218491</v>
      </c>
    </row>
    <row r="307" spans="1:101" x14ac:dyDescent="0.35">
      <c r="A307" s="7" t="s">
        <v>300</v>
      </c>
      <c r="B307" s="8" t="s">
        <v>301</v>
      </c>
      <c r="C307" s="21" t="s">
        <v>302</v>
      </c>
      <c r="D307" s="10" t="s">
        <v>21</v>
      </c>
      <c r="E307" s="11" t="s">
        <v>303</v>
      </c>
      <c r="F307" s="11" t="s">
        <v>304</v>
      </c>
      <c r="G307" s="12">
        <v>35669</v>
      </c>
      <c r="H307" s="11" t="s">
        <v>24</v>
      </c>
      <c r="I307" s="11" t="s">
        <v>305</v>
      </c>
      <c r="J307" s="11" t="s">
        <v>306</v>
      </c>
      <c r="K307" s="11" t="s">
        <v>50</v>
      </c>
      <c r="L307" s="23">
        <v>4987103374</v>
      </c>
      <c r="M307" s="14">
        <v>2920774145</v>
      </c>
      <c r="N307" s="14">
        <v>2066329229</v>
      </c>
      <c r="O307" s="14">
        <v>6978937449</v>
      </c>
      <c r="P307" s="14">
        <v>427890389</v>
      </c>
      <c r="Q307" s="14">
        <v>355031852</v>
      </c>
      <c r="R307" s="14">
        <v>268904384</v>
      </c>
      <c r="S307" s="15">
        <v>9230244</v>
      </c>
      <c r="T307" s="15">
        <v>255198</v>
      </c>
      <c r="U307" s="15">
        <v>6664401</v>
      </c>
      <c r="V307" s="15">
        <v>0</v>
      </c>
      <c r="W307" s="15">
        <f>2916+9129+773+300+160+270+461+70+100+402+65+35+633+90+88+150+129+52+2433+60+2110+100+60+1365</f>
        <v>21951</v>
      </c>
      <c r="X307" s="15">
        <v>0</v>
      </c>
      <c r="Z307" s="15">
        <v>0</v>
      </c>
      <c r="AA307" s="15">
        <v>0</v>
      </c>
      <c r="AB307" s="74">
        <f t="shared" si="224"/>
        <v>6686352</v>
      </c>
      <c r="AC307" s="75">
        <f t="shared" si="225"/>
        <v>72.439601813343174</v>
      </c>
      <c r="AD307" s="75">
        <f t="shared" si="226"/>
        <v>37.566511668576084</v>
      </c>
      <c r="AE307" s="76">
        <f t="shared" si="265"/>
        <v>1.1269953500572825</v>
      </c>
      <c r="AF307" s="77">
        <f t="shared" si="227"/>
        <v>74.254783763782385</v>
      </c>
      <c r="AG307" s="77">
        <f t="shared" si="228"/>
        <v>74.499361897420911</v>
      </c>
      <c r="AH307" s="77">
        <f t="shared" si="229"/>
        <v>0.24457813363852665</v>
      </c>
      <c r="AI307" s="78">
        <f t="shared" si="230"/>
        <v>100</v>
      </c>
      <c r="AJ307" s="79">
        <f t="shared" si="266"/>
        <v>4</v>
      </c>
      <c r="AK307" s="113">
        <v>7</v>
      </c>
      <c r="AL307" s="113">
        <v>28</v>
      </c>
      <c r="AM307" s="80">
        <v>1</v>
      </c>
      <c r="AN307" s="81">
        <f t="shared" si="231"/>
        <v>35</v>
      </c>
      <c r="AO307" s="82">
        <f t="shared" si="232"/>
        <v>2.8571428571428572</v>
      </c>
      <c r="AP307" s="83">
        <f t="shared" si="233"/>
        <v>100</v>
      </c>
      <c r="AQ307" s="84">
        <f t="shared" si="267"/>
        <v>2</v>
      </c>
      <c r="AR307" s="118">
        <v>4</v>
      </c>
      <c r="AS307" s="86">
        <f t="shared" si="234"/>
        <v>0.5</v>
      </c>
      <c r="AT307" s="87">
        <f t="shared" si="235"/>
        <v>3.5</v>
      </c>
      <c r="AU307" s="87">
        <f t="shared" si="236"/>
        <v>3</v>
      </c>
      <c r="AV307" s="88">
        <f t="shared" si="237"/>
        <v>14.285714285714285</v>
      </c>
      <c r="AW307" s="78">
        <f t="shared" si="238"/>
        <v>60</v>
      </c>
      <c r="AX307" s="89">
        <f t="shared" si="268"/>
        <v>0.6</v>
      </c>
      <c r="AY307" s="114">
        <v>15</v>
      </c>
      <c r="AZ307" s="114">
        <f>15*4</f>
        <v>60</v>
      </c>
      <c r="BA307" s="91">
        <f t="shared" si="239"/>
        <v>60</v>
      </c>
      <c r="BB307" s="77">
        <f t="shared" si="240"/>
        <v>100</v>
      </c>
      <c r="BC307" s="78">
        <f t="shared" si="241"/>
        <v>100</v>
      </c>
      <c r="BD307" s="79">
        <f t="shared" si="269"/>
        <v>1</v>
      </c>
      <c r="BE307" s="92">
        <v>75219641</v>
      </c>
      <c r="BF307" s="92">
        <v>4259073</v>
      </c>
      <c r="BG307" s="114">
        <v>2415184</v>
      </c>
      <c r="BH307" s="94">
        <f t="shared" si="242"/>
        <v>79478714</v>
      </c>
      <c r="BI307" s="77">
        <f t="shared" si="243"/>
        <v>3.0387809244120381</v>
      </c>
      <c r="BJ307" s="95" t="str">
        <f t="shared" si="244"/>
        <v>비제조/서비스업</v>
      </c>
      <c r="BK307" s="96">
        <f t="shared" si="245"/>
        <v>1.7464434573900922</v>
      </c>
      <c r="BL307" s="97">
        <f t="shared" si="246"/>
        <v>1.2923374670219459</v>
      </c>
      <c r="BM307" s="98">
        <f t="shared" si="247"/>
        <v>60</v>
      </c>
      <c r="BN307" s="99">
        <f t="shared" si="248"/>
        <v>1.2</v>
      </c>
      <c r="BO307" s="114">
        <v>0</v>
      </c>
      <c r="BP307" s="101">
        <f t="shared" si="249"/>
        <v>0</v>
      </c>
      <c r="BQ307" s="78">
        <f t="shared" si="250"/>
        <v>25</v>
      </c>
      <c r="BR307" s="79">
        <f t="shared" si="270"/>
        <v>0.5</v>
      </c>
      <c r="BS307" s="102">
        <v>73343823.185000002</v>
      </c>
      <c r="BT307" s="102">
        <v>43292.017</v>
      </c>
      <c r="BU307" s="103">
        <f t="shared" si="251"/>
        <v>73300531.167999998</v>
      </c>
      <c r="BV307" s="77">
        <f t="shared" si="252"/>
        <v>1.0503107629729953</v>
      </c>
      <c r="BW307" s="96">
        <f t="shared" si="253"/>
        <v>2.8482825397737606</v>
      </c>
      <c r="BX307" s="96">
        <f t="shared" si="254"/>
        <v>3.2327025101721008</v>
      </c>
      <c r="BY307" s="96">
        <f t="shared" si="255"/>
        <v>5.5697595856656807</v>
      </c>
      <c r="BZ307" s="96">
        <f t="shared" si="256"/>
        <v>62.658027298623473</v>
      </c>
      <c r="CA307" s="96">
        <f t="shared" si="257"/>
        <v>40</v>
      </c>
      <c r="CB307" s="104">
        <f t="shared" si="258"/>
        <v>0.8</v>
      </c>
      <c r="CC307" s="105">
        <f t="shared" si="271"/>
        <v>141.35086045380623</v>
      </c>
      <c r="CD307" s="106">
        <f t="shared" si="272"/>
        <v>47.103947065148404</v>
      </c>
      <c r="CE307" s="107">
        <f t="shared" si="273"/>
        <v>0.70655920597722599</v>
      </c>
      <c r="CF307" s="108" t="s">
        <v>2189</v>
      </c>
      <c r="CG307" s="108" t="s">
        <v>2189</v>
      </c>
      <c r="CH307" s="108" t="s">
        <v>2189</v>
      </c>
      <c r="CI307" s="108" t="s">
        <v>2189</v>
      </c>
      <c r="CJ307" s="109"/>
      <c r="CK307" s="116" t="s">
        <v>2203</v>
      </c>
      <c r="CL307" s="116" t="s">
        <v>2204</v>
      </c>
      <c r="CM307" s="111">
        <f t="shared" si="259"/>
        <v>70</v>
      </c>
      <c r="CN307" s="107">
        <f t="shared" si="274"/>
        <v>1.05</v>
      </c>
      <c r="CO307" s="114">
        <v>657540000</v>
      </c>
      <c r="CP307" s="88">
        <f t="shared" si="260"/>
        <v>31.82164733343178</v>
      </c>
      <c r="CQ307" s="78">
        <f t="shared" si="261"/>
        <v>60</v>
      </c>
      <c r="CR307" s="79">
        <f t="shared" si="275"/>
        <v>1.7999999999999998</v>
      </c>
      <c r="CS307" s="92">
        <f>_xlfn.XLOOKUP(C307, '[1]1-1. 관계사체무보증금액 (환율 등)'!$3:$3, '[1]1-1. 관계사체무보증금액 (환율 등)'!$33:$33)</f>
        <v>520401136.82278478</v>
      </c>
      <c r="CT307" s="77">
        <f t="shared" si="262"/>
        <v>25.184812251561329</v>
      </c>
      <c r="CU307" s="78">
        <f t="shared" si="263"/>
        <v>60</v>
      </c>
      <c r="CV307" s="79">
        <f t="shared" si="276"/>
        <v>1.2</v>
      </c>
      <c r="CW307" s="112">
        <f t="shared" si="264"/>
        <v>15.983554556034509</v>
      </c>
    </row>
    <row r="308" spans="1:101" x14ac:dyDescent="0.35">
      <c r="A308" s="7" t="s">
        <v>1052</v>
      </c>
      <c r="B308" s="8" t="s">
        <v>1053</v>
      </c>
      <c r="C308" s="21" t="s">
        <v>1054</v>
      </c>
      <c r="D308" s="22" t="s">
        <v>31</v>
      </c>
      <c r="E308" s="11" t="s">
        <v>1055</v>
      </c>
      <c r="F308" s="11" t="s">
        <v>1056</v>
      </c>
      <c r="G308" s="12">
        <v>40590</v>
      </c>
      <c r="H308" s="11" t="s">
        <v>24</v>
      </c>
      <c r="I308" s="11" t="s">
        <v>1057</v>
      </c>
      <c r="J308" s="8" t="s">
        <v>1058</v>
      </c>
      <c r="K308" s="11" t="s">
        <v>50</v>
      </c>
      <c r="L308" s="23">
        <v>915554063</v>
      </c>
      <c r="M308" s="14">
        <v>489216440</v>
      </c>
      <c r="N308" s="14">
        <v>426337623</v>
      </c>
      <c r="O308" s="14">
        <v>1198282787</v>
      </c>
      <c r="P308" s="14">
        <v>30096580</v>
      </c>
      <c r="Q308" s="14">
        <v>53117187</v>
      </c>
      <c r="R308" s="14">
        <v>41094963</v>
      </c>
      <c r="S308" s="15">
        <v>23779604</v>
      </c>
      <c r="T308" s="15">
        <v>396</v>
      </c>
      <c r="U308" s="15">
        <v>11890211</v>
      </c>
      <c r="V308" s="15">
        <v>0</v>
      </c>
      <c r="W308" s="15">
        <f>1137+4928+3460+5</f>
        <v>9530</v>
      </c>
      <c r="X308" s="15">
        <v>0</v>
      </c>
      <c r="Z308" s="15">
        <v>0</v>
      </c>
      <c r="AA308" s="15">
        <v>0</v>
      </c>
      <c r="AB308" s="74">
        <f t="shared" si="224"/>
        <v>11899741</v>
      </c>
      <c r="AC308" s="75">
        <f t="shared" si="225"/>
        <v>50.041796322596454</v>
      </c>
      <c r="AD308" s="75">
        <f t="shared" si="226"/>
        <v>56.89718384125738</v>
      </c>
      <c r="AE308" s="76">
        <f t="shared" si="265"/>
        <v>1.7069155152377213</v>
      </c>
      <c r="AF308" s="77">
        <f t="shared" si="227"/>
        <v>50.002552650197593</v>
      </c>
      <c r="AG308" s="77">
        <f t="shared" si="228"/>
        <v>50.042629678835397</v>
      </c>
      <c r="AH308" s="77">
        <f t="shared" si="229"/>
        <v>4.007702863780338E-2</v>
      </c>
      <c r="AI308" s="78">
        <f t="shared" si="230"/>
        <v>100</v>
      </c>
      <c r="AJ308" s="79">
        <f t="shared" si="266"/>
        <v>4</v>
      </c>
      <c r="AK308" s="113">
        <v>7</v>
      </c>
      <c r="AL308" s="113">
        <v>12</v>
      </c>
      <c r="AM308" s="113">
        <v>1</v>
      </c>
      <c r="AN308" s="81">
        <f t="shared" si="231"/>
        <v>19</v>
      </c>
      <c r="AO308" s="82">
        <f t="shared" si="232"/>
        <v>5.2631578947368416</v>
      </c>
      <c r="AP308" s="83">
        <f t="shared" si="233"/>
        <v>100</v>
      </c>
      <c r="AQ308" s="84">
        <f t="shared" si="267"/>
        <v>2</v>
      </c>
      <c r="AR308" s="118">
        <v>3</v>
      </c>
      <c r="AS308" s="86">
        <f t="shared" si="234"/>
        <v>0.25</v>
      </c>
      <c r="AT308" s="87">
        <f t="shared" si="235"/>
        <v>1.75</v>
      </c>
      <c r="AU308" s="87">
        <f t="shared" si="236"/>
        <v>1</v>
      </c>
      <c r="AV308" s="88">
        <f t="shared" si="237"/>
        <v>28.571428571428569</v>
      </c>
      <c r="AW308" s="78">
        <f t="shared" si="238"/>
        <v>80</v>
      </c>
      <c r="AX308" s="89">
        <f t="shared" si="268"/>
        <v>0.8</v>
      </c>
      <c r="AY308" s="114">
        <v>6</v>
      </c>
      <c r="AZ308" s="114">
        <v>18</v>
      </c>
      <c r="BA308" s="91">
        <f t="shared" si="239"/>
        <v>18</v>
      </c>
      <c r="BB308" s="77">
        <f t="shared" si="240"/>
        <v>100</v>
      </c>
      <c r="BC308" s="78">
        <f t="shared" si="241"/>
        <v>100</v>
      </c>
      <c r="BD308" s="79">
        <f t="shared" si="269"/>
        <v>1</v>
      </c>
      <c r="BE308" s="92">
        <v>17311620</v>
      </c>
      <c r="BF308" s="92">
        <v>1774733</v>
      </c>
      <c r="BG308" s="114">
        <v>3781331</v>
      </c>
      <c r="BH308" s="94">
        <f t="shared" si="242"/>
        <v>19086353</v>
      </c>
      <c r="BI308" s="77">
        <f t="shared" si="243"/>
        <v>19.811700014140992</v>
      </c>
      <c r="BJ308" s="95" t="str">
        <f t="shared" si="244"/>
        <v>식약/섬유/종이업</v>
      </c>
      <c r="BK308" s="96">
        <f t="shared" si="245"/>
        <v>2.1999360555264453</v>
      </c>
      <c r="BL308" s="97">
        <f t="shared" si="246"/>
        <v>17.611763958614546</v>
      </c>
      <c r="BM308" s="98">
        <f t="shared" si="247"/>
        <v>20</v>
      </c>
      <c r="BN308" s="99">
        <f t="shared" si="248"/>
        <v>0.4</v>
      </c>
      <c r="BO308" s="114">
        <v>6271000</v>
      </c>
      <c r="BP308" s="101">
        <f t="shared" si="249"/>
        <v>0.52333222742020402</v>
      </c>
      <c r="BQ308" s="78">
        <f t="shared" si="250"/>
        <v>70</v>
      </c>
      <c r="BR308" s="79">
        <f t="shared" si="270"/>
        <v>1.4000000000000001</v>
      </c>
      <c r="BS308" s="102">
        <v>11487295</v>
      </c>
      <c r="BT308" s="102">
        <v>1498754</v>
      </c>
      <c r="BU308" s="103">
        <f t="shared" si="251"/>
        <v>9988541</v>
      </c>
      <c r="BV308" s="77">
        <f t="shared" si="252"/>
        <v>0.83357126617892396</v>
      </c>
      <c r="BW308" s="96">
        <f t="shared" si="253"/>
        <v>5.0508176117342298</v>
      </c>
      <c r="BX308" s="96">
        <f t="shared" si="254"/>
        <v>17.78516673909958</v>
      </c>
      <c r="BY308" s="96">
        <f t="shared" si="255"/>
        <v>6.9871618081220923</v>
      </c>
      <c r="BZ308" s="96">
        <f t="shared" si="256"/>
        <v>72.693546076447006</v>
      </c>
      <c r="CA308" s="96">
        <f t="shared" si="257"/>
        <v>40</v>
      </c>
      <c r="CB308" s="104">
        <f t="shared" si="258"/>
        <v>0.8</v>
      </c>
      <c r="CC308" s="105">
        <f t="shared" si="271"/>
        <v>114.74859679461129</v>
      </c>
      <c r="CD308" s="106">
        <f t="shared" si="272"/>
        <v>57.129925831176649</v>
      </c>
      <c r="CE308" s="107">
        <f t="shared" si="273"/>
        <v>0.85694888746764974</v>
      </c>
      <c r="CF308" s="108" t="s">
        <v>2189</v>
      </c>
      <c r="CG308" s="108" t="s">
        <v>2189</v>
      </c>
      <c r="CH308" s="108" t="s">
        <v>2189</v>
      </c>
      <c r="CI308" s="108" t="s">
        <v>2189</v>
      </c>
      <c r="CJ308" s="109"/>
      <c r="CK308" s="116" t="s">
        <v>2208</v>
      </c>
      <c r="CL308" s="116" t="s">
        <v>2209</v>
      </c>
      <c r="CM308" s="111">
        <f t="shared" si="259"/>
        <v>40</v>
      </c>
      <c r="CN308" s="107">
        <f t="shared" si="274"/>
        <v>0.6</v>
      </c>
      <c r="CO308" s="114">
        <v>312831000</v>
      </c>
      <c r="CP308" s="88">
        <f t="shared" si="260"/>
        <v>73.376353181947536</v>
      </c>
      <c r="CQ308" s="78">
        <f t="shared" si="261"/>
        <v>40</v>
      </c>
      <c r="CR308" s="79">
        <f t="shared" si="275"/>
        <v>1.2</v>
      </c>
      <c r="CS308" s="92">
        <f>_xlfn.XLOOKUP(C308, '[1]1-1. 관계사체무보증금액 (환율 등)'!$3:$3, '[1]1-1. 관계사체무보증금액 (환율 등)'!$33:$33)</f>
        <v>77272441</v>
      </c>
      <c r="CT308" s="77">
        <f t="shared" si="262"/>
        <v>18.124706061890297</v>
      </c>
      <c r="CU308" s="78">
        <f t="shared" si="263"/>
        <v>60</v>
      </c>
      <c r="CV308" s="79">
        <f t="shared" si="276"/>
        <v>1.2</v>
      </c>
      <c r="CW308" s="112">
        <f t="shared" si="264"/>
        <v>15.963864402705372</v>
      </c>
    </row>
    <row r="309" spans="1:101" x14ac:dyDescent="0.35">
      <c r="A309" s="7" t="s">
        <v>131</v>
      </c>
      <c r="B309" s="8" t="s">
        <v>132</v>
      </c>
      <c r="C309" s="21" t="s">
        <v>133</v>
      </c>
      <c r="D309" s="27" t="s">
        <v>21</v>
      </c>
      <c r="E309" s="11" t="s">
        <v>134</v>
      </c>
      <c r="F309" s="11" t="s">
        <v>135</v>
      </c>
      <c r="G309" s="12">
        <v>27937</v>
      </c>
      <c r="H309" s="11" t="s">
        <v>24</v>
      </c>
      <c r="I309" s="11" t="s">
        <v>136</v>
      </c>
      <c r="J309" s="11" t="s">
        <v>137</v>
      </c>
      <c r="K309" s="11" t="s">
        <v>27</v>
      </c>
      <c r="L309" s="23">
        <v>997899096</v>
      </c>
      <c r="M309" s="14">
        <v>681241305</v>
      </c>
      <c r="N309" s="14">
        <v>316657791</v>
      </c>
      <c r="O309" s="14">
        <v>4351245277</v>
      </c>
      <c r="P309" s="14">
        <v>72635691</v>
      </c>
      <c r="Q309" s="14">
        <v>36029872</v>
      </c>
      <c r="R309" s="14">
        <v>42401579</v>
      </c>
      <c r="S309" s="15">
        <v>104717922</v>
      </c>
      <c r="T309" s="15">
        <v>2537897</v>
      </c>
      <c r="U309" s="15">
        <v>60633923</v>
      </c>
      <c r="V309" s="15">
        <v>0</v>
      </c>
      <c r="W309" s="15">
        <v>2111</v>
      </c>
      <c r="X309" s="15">
        <v>0</v>
      </c>
      <c r="Z309" s="15">
        <v>0</v>
      </c>
      <c r="AA309" s="15">
        <v>0</v>
      </c>
      <c r="AB309" s="74">
        <f t="shared" si="224"/>
        <v>60636034</v>
      </c>
      <c r="AC309" s="75">
        <f t="shared" si="225"/>
        <v>57.904160856056706</v>
      </c>
      <c r="AD309" s="75">
        <f t="shared" si="226"/>
        <v>50.11148372607304</v>
      </c>
      <c r="AE309" s="76">
        <f t="shared" si="265"/>
        <v>1.5033445117821911</v>
      </c>
      <c r="AF309" s="77">
        <f t="shared" si="227"/>
        <v>59.340289846278658</v>
      </c>
      <c r="AG309" s="77">
        <f t="shared" si="228"/>
        <v>59.342355807800985</v>
      </c>
      <c r="AH309" s="77">
        <f t="shared" si="229"/>
        <v>2.0659615223266314E-3</v>
      </c>
      <c r="AI309" s="78">
        <f t="shared" si="230"/>
        <v>100</v>
      </c>
      <c r="AJ309" s="79">
        <f t="shared" si="266"/>
        <v>4</v>
      </c>
      <c r="AK309" s="113">
        <v>7</v>
      </c>
      <c r="AL309" s="113">
        <v>33</v>
      </c>
      <c r="AM309" s="113">
        <v>0</v>
      </c>
      <c r="AN309" s="81">
        <f t="shared" si="231"/>
        <v>40</v>
      </c>
      <c r="AO309" s="82">
        <f t="shared" si="232"/>
        <v>0</v>
      </c>
      <c r="AP309" s="83">
        <f t="shared" si="233"/>
        <v>100</v>
      </c>
      <c r="AQ309" s="84">
        <f t="shared" si="267"/>
        <v>2</v>
      </c>
      <c r="AR309" s="118">
        <v>4</v>
      </c>
      <c r="AS309" s="86">
        <f t="shared" si="234"/>
        <v>0.25</v>
      </c>
      <c r="AT309" s="87">
        <f t="shared" si="235"/>
        <v>1.75</v>
      </c>
      <c r="AU309" s="87">
        <f t="shared" si="236"/>
        <v>1</v>
      </c>
      <c r="AV309" s="88">
        <f t="shared" si="237"/>
        <v>42.857142857142854</v>
      </c>
      <c r="AW309" s="78">
        <f t="shared" si="238"/>
        <v>100</v>
      </c>
      <c r="AX309" s="89">
        <f t="shared" si="268"/>
        <v>1</v>
      </c>
      <c r="AY309" s="114">
        <v>10</v>
      </c>
      <c r="AZ309" s="114">
        <v>40</v>
      </c>
      <c r="BA309" s="91">
        <f t="shared" si="239"/>
        <v>40</v>
      </c>
      <c r="BB309" s="77">
        <f t="shared" si="240"/>
        <v>100</v>
      </c>
      <c r="BC309" s="78">
        <f t="shared" si="241"/>
        <v>100</v>
      </c>
      <c r="BD309" s="79">
        <f t="shared" si="269"/>
        <v>1</v>
      </c>
      <c r="BE309" s="92">
        <v>392463000</v>
      </c>
      <c r="BF309" s="92">
        <v>35850000</v>
      </c>
      <c r="BG309" s="114">
        <v>2283000</v>
      </c>
      <c r="BH309" s="94">
        <f t="shared" si="242"/>
        <v>428313000</v>
      </c>
      <c r="BI309" s="77">
        <f t="shared" si="243"/>
        <v>0.53302141191138253</v>
      </c>
      <c r="BJ309" s="95" t="str">
        <f t="shared" si="244"/>
        <v>비제조/서비스업</v>
      </c>
      <c r="BK309" s="96">
        <f t="shared" si="245"/>
        <v>1.7464434573900922</v>
      </c>
      <c r="BL309" s="97">
        <f t="shared" si="246"/>
        <v>-1.2134220454787097</v>
      </c>
      <c r="BM309" s="98">
        <f t="shared" si="247"/>
        <v>80</v>
      </c>
      <c r="BN309" s="99">
        <f t="shared" si="248"/>
        <v>1.6</v>
      </c>
      <c r="BO309" s="114">
        <v>1741000</v>
      </c>
      <c r="BP309" s="101">
        <f t="shared" si="249"/>
        <v>4.0011534380804799E-2</v>
      </c>
      <c r="BQ309" s="78">
        <f t="shared" si="250"/>
        <v>40</v>
      </c>
      <c r="BR309" s="79">
        <f t="shared" si="270"/>
        <v>0.8</v>
      </c>
      <c r="BS309" s="102">
        <v>323560350.66600001</v>
      </c>
      <c r="BT309" s="102">
        <v>7064640.0999999996</v>
      </c>
      <c r="BU309" s="103">
        <f t="shared" si="251"/>
        <v>316495710.56599998</v>
      </c>
      <c r="BV309" s="77">
        <f t="shared" si="252"/>
        <v>7.2736812203841206</v>
      </c>
      <c r="BW309" s="96">
        <f t="shared" si="253"/>
        <v>2.8482825397737606</v>
      </c>
      <c r="BX309" s="96">
        <f t="shared" si="254"/>
        <v>19.584153482347919</v>
      </c>
      <c r="BY309" s="96">
        <f t="shared" si="255"/>
        <v>5.5697595856656807</v>
      </c>
      <c r="BZ309" s="96">
        <f t="shared" si="256"/>
        <v>21.344046685705987</v>
      </c>
      <c r="CA309" s="96">
        <f t="shared" si="257"/>
        <v>70</v>
      </c>
      <c r="CB309" s="104">
        <f t="shared" si="258"/>
        <v>1.4000000000000001</v>
      </c>
      <c r="CC309" s="105">
        <f t="shared" si="271"/>
        <v>215.13486304841939</v>
      </c>
      <c r="CD309" s="106">
        <f t="shared" si="272"/>
        <v>25</v>
      </c>
      <c r="CE309" s="107">
        <f t="shared" si="273"/>
        <v>0.375</v>
      </c>
      <c r="CF309" s="108" t="s">
        <v>2189</v>
      </c>
      <c r="CG309" s="108" t="s">
        <v>2189</v>
      </c>
      <c r="CH309" s="108" t="s">
        <v>2189</v>
      </c>
      <c r="CI309" s="108" t="s">
        <v>2189</v>
      </c>
      <c r="CJ309" s="109"/>
      <c r="CK309" s="116" t="s">
        <v>2190</v>
      </c>
      <c r="CL309" s="116" t="s">
        <v>2191</v>
      </c>
      <c r="CM309" s="111">
        <f t="shared" si="259"/>
        <v>85</v>
      </c>
      <c r="CN309" s="107">
        <f t="shared" si="274"/>
        <v>1.2749999999999999</v>
      </c>
      <c r="CO309" s="114">
        <f>4893000+3421000+9139000+2000000+9581000+8013000+776344000+45709000+163033000+1275000+18138000+5580000+69052000+32336000+3575000+8092000+2502000+8457000+9800000+15723000</f>
        <v>1196663000</v>
      </c>
      <c r="CP309" s="88">
        <f t="shared" si="260"/>
        <v>377.90417100459092</v>
      </c>
      <c r="CQ309" s="78">
        <f t="shared" si="261"/>
        <v>20</v>
      </c>
      <c r="CR309" s="79">
        <f t="shared" si="275"/>
        <v>0.6</v>
      </c>
      <c r="CS309" s="92">
        <f>_xlfn.XLOOKUP(C309, '[1]1-1. 관계사체무보증금액 (환율 등)'!$3:$3, '[1]1-1. 관계사체무보증금액 (환율 등)'!$33:$33)</f>
        <v>611998645.56962025</v>
      </c>
      <c r="CT309" s="77">
        <f t="shared" si="262"/>
        <v>193.26814718088531</v>
      </c>
      <c r="CU309" s="78">
        <f t="shared" si="263"/>
        <v>20</v>
      </c>
      <c r="CV309" s="79">
        <f t="shared" si="276"/>
        <v>0.4</v>
      </c>
      <c r="CW309" s="112">
        <f t="shared" si="264"/>
        <v>15.953344511782193</v>
      </c>
    </row>
    <row r="310" spans="1:101" x14ac:dyDescent="0.35">
      <c r="A310" s="7" t="s">
        <v>395</v>
      </c>
      <c r="B310" s="8" t="s">
        <v>396</v>
      </c>
      <c r="C310" s="21" t="s">
        <v>397</v>
      </c>
      <c r="D310" s="10" t="s">
        <v>21</v>
      </c>
      <c r="E310" s="11" t="s">
        <v>91</v>
      </c>
      <c r="F310" s="11" t="s">
        <v>398</v>
      </c>
      <c r="G310" s="12">
        <v>35094</v>
      </c>
      <c r="H310" s="11" t="s">
        <v>24</v>
      </c>
      <c r="I310" s="11" t="s">
        <v>399</v>
      </c>
      <c r="J310" s="11" t="s">
        <v>400</v>
      </c>
      <c r="K310" s="11" t="s">
        <v>212</v>
      </c>
      <c r="L310" s="23">
        <v>1800240035</v>
      </c>
      <c r="M310" s="14">
        <v>1098232792</v>
      </c>
      <c r="N310" s="14">
        <v>702007244</v>
      </c>
      <c r="O310" s="14">
        <v>2052333741</v>
      </c>
      <c r="P310" s="14">
        <v>96367097</v>
      </c>
      <c r="Q310" s="14">
        <v>87514929</v>
      </c>
      <c r="R310" s="14">
        <v>58220411</v>
      </c>
      <c r="S310" s="15">
        <v>8930907</v>
      </c>
      <c r="T310" s="15">
        <v>73110</v>
      </c>
      <c r="U310" s="15">
        <v>2041970</v>
      </c>
      <c r="V310" s="15">
        <f>155474+98824+107525*4+97525+58136+50354+10000+4350+9680</f>
        <v>914443</v>
      </c>
      <c r="W310" s="15">
        <v>0</v>
      </c>
      <c r="X310" s="15">
        <v>499900</v>
      </c>
      <c r="Y310" s="24" t="s">
        <v>2062</v>
      </c>
      <c r="Z310" s="15">
        <v>0</v>
      </c>
      <c r="AA310" s="15">
        <v>0</v>
      </c>
      <c r="AB310" s="74">
        <f t="shared" si="224"/>
        <v>3456313</v>
      </c>
      <c r="AC310" s="75">
        <f t="shared" si="225"/>
        <v>38.700582146919679</v>
      </c>
      <c r="AD310" s="75">
        <f t="shared" si="226"/>
        <v>66.685343371473238</v>
      </c>
      <c r="AE310" s="76">
        <f t="shared" si="265"/>
        <v>2.0005603011441973</v>
      </c>
      <c r="AF310" s="77">
        <f t="shared" si="227"/>
        <v>33.376391443606124</v>
      </c>
      <c r="AG310" s="77">
        <f t="shared" si="228"/>
        <v>39.02000689336186</v>
      </c>
      <c r="AH310" s="77">
        <f t="shared" si="229"/>
        <v>5.6436154497557354</v>
      </c>
      <c r="AI310" s="78">
        <f t="shared" si="230"/>
        <v>100</v>
      </c>
      <c r="AJ310" s="79">
        <f t="shared" si="266"/>
        <v>4</v>
      </c>
      <c r="AK310" s="113">
        <v>10</v>
      </c>
      <c r="AL310" s="113">
        <v>41</v>
      </c>
      <c r="AM310" s="113">
        <v>1</v>
      </c>
      <c r="AN310" s="81">
        <f t="shared" si="231"/>
        <v>51</v>
      </c>
      <c r="AO310" s="82">
        <f t="shared" si="232"/>
        <v>1.9607843137254901</v>
      </c>
      <c r="AP310" s="83">
        <f t="shared" si="233"/>
        <v>100</v>
      </c>
      <c r="AQ310" s="84">
        <f t="shared" si="267"/>
        <v>2</v>
      </c>
      <c r="AR310" s="118">
        <v>3</v>
      </c>
      <c r="AS310" s="86">
        <f t="shared" si="234"/>
        <v>0.25</v>
      </c>
      <c r="AT310" s="87">
        <f t="shared" si="235"/>
        <v>2.5</v>
      </c>
      <c r="AU310" s="87">
        <f t="shared" si="236"/>
        <v>2</v>
      </c>
      <c r="AV310" s="88">
        <f t="shared" si="237"/>
        <v>10</v>
      </c>
      <c r="AW310" s="78">
        <f t="shared" si="238"/>
        <v>60</v>
      </c>
      <c r="AX310" s="89">
        <f t="shared" si="268"/>
        <v>0.6</v>
      </c>
      <c r="AY310" s="114">
        <v>43</v>
      </c>
      <c r="AZ310" s="114">
        <f>43*3-22</f>
        <v>107</v>
      </c>
      <c r="BA310" s="91">
        <f t="shared" si="239"/>
        <v>129</v>
      </c>
      <c r="BB310" s="77">
        <f t="shared" si="240"/>
        <v>82.945736434108525</v>
      </c>
      <c r="BC310" s="78">
        <f t="shared" si="241"/>
        <v>75</v>
      </c>
      <c r="BD310" s="79">
        <f t="shared" si="269"/>
        <v>0.75</v>
      </c>
      <c r="BE310" s="92">
        <v>28364632</v>
      </c>
      <c r="BF310" s="92">
        <v>1812693</v>
      </c>
      <c r="BG310" s="114">
        <v>1252782</v>
      </c>
      <c r="BH310" s="94">
        <f t="shared" si="242"/>
        <v>30177325</v>
      </c>
      <c r="BI310" s="77">
        <f t="shared" si="243"/>
        <v>4.1514017561198679</v>
      </c>
      <c r="BJ310" s="95" t="str">
        <f t="shared" si="244"/>
        <v>비제조/서비스업</v>
      </c>
      <c r="BK310" s="96">
        <f t="shared" si="245"/>
        <v>1.7464434573900922</v>
      </c>
      <c r="BL310" s="97">
        <f t="shared" si="246"/>
        <v>2.4049582987297757</v>
      </c>
      <c r="BM310" s="98">
        <f t="shared" si="247"/>
        <v>40</v>
      </c>
      <c r="BN310" s="99">
        <f t="shared" si="248"/>
        <v>0.8</v>
      </c>
      <c r="BO310" s="114">
        <v>2467634</v>
      </c>
      <c r="BP310" s="101">
        <f t="shared" si="249"/>
        <v>0.12023551290433129</v>
      </c>
      <c r="BQ310" s="78">
        <f t="shared" si="250"/>
        <v>55</v>
      </c>
      <c r="BR310" s="79">
        <f t="shared" si="270"/>
        <v>1.1000000000000001</v>
      </c>
      <c r="BS310" s="102">
        <v>214983.64499999999</v>
      </c>
      <c r="BT310" s="102">
        <v>15000</v>
      </c>
      <c r="BU310" s="103">
        <f t="shared" si="251"/>
        <v>199983.64499999999</v>
      </c>
      <c r="BV310" s="77">
        <f t="shared" si="252"/>
        <v>9.7442068511994512E-3</v>
      </c>
      <c r="BW310" s="96">
        <f t="shared" si="253"/>
        <v>2.8482825397737606</v>
      </c>
      <c r="BX310" s="96">
        <f t="shared" si="254"/>
        <v>8.0572998674707943</v>
      </c>
      <c r="BY310" s="96">
        <f t="shared" si="255"/>
        <v>5.5697595856656807</v>
      </c>
      <c r="BZ310" s="96">
        <f t="shared" si="256"/>
        <v>69.484601736525477</v>
      </c>
      <c r="CA310" s="96">
        <f t="shared" si="257"/>
        <v>40</v>
      </c>
      <c r="CB310" s="104">
        <f t="shared" si="258"/>
        <v>0.8</v>
      </c>
      <c r="CC310" s="105">
        <f t="shared" si="271"/>
        <v>156.44180332703232</v>
      </c>
      <c r="CD310" s="106">
        <f t="shared" si="272"/>
        <v>41.416405781269226</v>
      </c>
      <c r="CE310" s="107">
        <f t="shared" si="273"/>
        <v>0.62124608671903836</v>
      </c>
      <c r="CF310" s="108" t="s">
        <v>2189</v>
      </c>
      <c r="CG310" s="108" t="s">
        <v>2189</v>
      </c>
      <c r="CH310" s="108" t="s">
        <v>2189</v>
      </c>
      <c r="CI310" s="108" t="s">
        <v>2189</v>
      </c>
      <c r="CJ310" s="109"/>
      <c r="CK310" s="116" t="s">
        <v>2208</v>
      </c>
      <c r="CL310" s="116" t="s">
        <v>2209</v>
      </c>
      <c r="CM310" s="111">
        <f t="shared" si="259"/>
        <v>40</v>
      </c>
      <c r="CN310" s="107">
        <f t="shared" si="274"/>
        <v>0.6</v>
      </c>
      <c r="CO310" s="114">
        <f>120356000+19789000+20814000+17451000+3200000+2185000+3250000+160000</f>
        <v>187205000</v>
      </c>
      <c r="CP310" s="88">
        <f t="shared" si="260"/>
        <v>26.667103737180238</v>
      </c>
      <c r="CQ310" s="78">
        <f t="shared" si="261"/>
        <v>60</v>
      </c>
      <c r="CR310" s="79">
        <f t="shared" si="275"/>
        <v>1.7999999999999998</v>
      </c>
      <c r="CS310" s="92">
        <f>_xlfn.XLOOKUP(C310, '[1]1-1. 관계사체무보증금액 (환율 등)'!$3:$3, '[1]1-1. 관계사체무보증금액 (환율 등)'!$33:$33)</f>
        <v>313559000</v>
      </c>
      <c r="CT310" s="77">
        <f t="shared" si="262"/>
        <v>44.666063303472122</v>
      </c>
      <c r="CU310" s="78">
        <f t="shared" si="263"/>
        <v>40</v>
      </c>
      <c r="CV310" s="79">
        <f t="shared" si="276"/>
        <v>0.8</v>
      </c>
      <c r="CW310" s="112">
        <f t="shared" si="264"/>
        <v>15.871806387863238</v>
      </c>
    </row>
    <row r="311" spans="1:101" x14ac:dyDescent="0.35">
      <c r="A311" s="7" t="s">
        <v>1002</v>
      </c>
      <c r="B311" s="8" t="s">
        <v>1003</v>
      </c>
      <c r="C311" s="21" t="s">
        <v>1004</v>
      </c>
      <c r="D311" s="22" t="s">
        <v>31</v>
      </c>
      <c r="E311" s="11" t="s">
        <v>1005</v>
      </c>
      <c r="F311" s="11" t="s">
        <v>1006</v>
      </c>
      <c r="G311" s="12">
        <v>32416</v>
      </c>
      <c r="H311" s="11" t="s">
        <v>24</v>
      </c>
      <c r="I311" s="11" t="s">
        <v>1007</v>
      </c>
      <c r="J311" s="11" t="s">
        <v>1008</v>
      </c>
      <c r="K311" s="11" t="s">
        <v>280</v>
      </c>
      <c r="L311" s="23">
        <v>292340683</v>
      </c>
      <c r="M311" s="14">
        <v>98908853</v>
      </c>
      <c r="N311" s="14">
        <v>193431830</v>
      </c>
      <c r="O311" s="14">
        <v>135261634</v>
      </c>
      <c r="P311" s="14">
        <v>10418758</v>
      </c>
      <c r="Q311" s="14">
        <v>6051762</v>
      </c>
      <c r="R311" s="14">
        <v>3276434</v>
      </c>
      <c r="S311" s="15">
        <v>90530915</v>
      </c>
      <c r="T311" s="15">
        <v>9500000</v>
      </c>
      <c r="U311" s="15">
        <v>16708113</v>
      </c>
      <c r="V311" s="15">
        <v>6553983</v>
      </c>
      <c r="W311" s="15">
        <f>110000+30000</f>
        <v>140000</v>
      </c>
      <c r="X311" s="15">
        <v>2370000</v>
      </c>
      <c r="Y311" s="24" t="s">
        <v>2086</v>
      </c>
      <c r="Z311" s="15">
        <v>11733720</v>
      </c>
      <c r="AA311" s="15">
        <v>0</v>
      </c>
      <c r="AB311" s="74">
        <f t="shared" si="224"/>
        <v>37505816</v>
      </c>
      <c r="AC311" s="75">
        <f t="shared" si="225"/>
        <v>41.428738459121952</v>
      </c>
      <c r="AD311" s="75">
        <f t="shared" si="226"/>
        <v>64.330778084762414</v>
      </c>
      <c r="AE311" s="76">
        <f t="shared" si="265"/>
        <v>1.9299233425428723</v>
      </c>
      <c r="AF311" s="77">
        <f t="shared" si="227"/>
        <v>28.707680272399738</v>
      </c>
      <c r="AG311" s="77">
        <f t="shared" si="228"/>
        <v>46.285810792090899</v>
      </c>
      <c r="AH311" s="77">
        <f t="shared" si="229"/>
        <v>17.578130519691161</v>
      </c>
      <c r="AI311" s="78">
        <f t="shared" si="230"/>
        <v>80</v>
      </c>
      <c r="AJ311" s="79">
        <f t="shared" si="266"/>
        <v>3.2</v>
      </c>
      <c r="AK311" s="113">
        <v>4</v>
      </c>
      <c r="AL311" s="113">
        <v>9</v>
      </c>
      <c r="AM311" s="113">
        <v>1</v>
      </c>
      <c r="AN311" s="81">
        <f t="shared" si="231"/>
        <v>13</v>
      </c>
      <c r="AO311" s="82">
        <f t="shared" si="232"/>
        <v>7.6923076923076925</v>
      </c>
      <c r="AP311" s="83">
        <f t="shared" si="233"/>
        <v>100</v>
      </c>
      <c r="AQ311" s="84">
        <f t="shared" si="267"/>
        <v>2</v>
      </c>
      <c r="AR311" s="118">
        <v>1</v>
      </c>
      <c r="AS311" s="86">
        <f t="shared" si="234"/>
        <v>0.25</v>
      </c>
      <c r="AT311" s="87">
        <f t="shared" si="235"/>
        <v>1</v>
      </c>
      <c r="AU311" s="87">
        <f t="shared" si="236"/>
        <v>1</v>
      </c>
      <c r="AV311" s="88">
        <f t="shared" si="237"/>
        <v>0</v>
      </c>
      <c r="AW311" s="78">
        <f t="shared" si="238"/>
        <v>40</v>
      </c>
      <c r="AX311" s="89">
        <f t="shared" si="268"/>
        <v>0.4</v>
      </c>
      <c r="AY311" s="114">
        <v>16</v>
      </c>
      <c r="AZ311" s="114">
        <v>16</v>
      </c>
      <c r="BA311" s="91">
        <f t="shared" si="239"/>
        <v>16</v>
      </c>
      <c r="BB311" s="77">
        <f t="shared" si="240"/>
        <v>100</v>
      </c>
      <c r="BC311" s="78">
        <f t="shared" si="241"/>
        <v>100</v>
      </c>
      <c r="BD311" s="79">
        <f t="shared" si="269"/>
        <v>1</v>
      </c>
      <c r="BE311" s="92">
        <v>3490547</v>
      </c>
      <c r="BF311" s="92">
        <v>277274</v>
      </c>
      <c r="BG311" s="93">
        <v>0</v>
      </c>
      <c r="BH311" s="94">
        <f t="shared" si="242"/>
        <v>3767821</v>
      </c>
      <c r="BI311" s="77">
        <f t="shared" si="243"/>
        <v>0</v>
      </c>
      <c r="BJ311" s="95" t="str">
        <f t="shared" si="244"/>
        <v>식약/섬유/종이업</v>
      </c>
      <c r="BK311" s="96">
        <f t="shared" si="245"/>
        <v>2.1999360555264453</v>
      </c>
      <c r="BL311" s="97">
        <f t="shared" si="246"/>
        <v>-2.1999360555264453</v>
      </c>
      <c r="BM311" s="98">
        <f t="shared" si="247"/>
        <v>100</v>
      </c>
      <c r="BN311" s="99">
        <f t="shared" si="248"/>
        <v>2</v>
      </c>
      <c r="BO311" s="114">
        <v>0</v>
      </c>
      <c r="BP311" s="101">
        <f t="shared" si="249"/>
        <v>0</v>
      </c>
      <c r="BQ311" s="78">
        <f t="shared" si="250"/>
        <v>25</v>
      </c>
      <c r="BR311" s="79">
        <f t="shared" si="270"/>
        <v>0.5</v>
      </c>
      <c r="BS311" s="102">
        <v>30373.422999999999</v>
      </c>
      <c r="BT311" s="102">
        <v>0</v>
      </c>
      <c r="BU311" s="103">
        <f t="shared" si="251"/>
        <v>30373.422999999999</v>
      </c>
      <c r="BV311" s="77">
        <f t="shared" si="252"/>
        <v>2.2455312790321608E-2</v>
      </c>
      <c r="BW311" s="96">
        <f t="shared" si="253"/>
        <v>5.0508176117342298</v>
      </c>
      <c r="BX311" s="96">
        <f t="shared" si="254"/>
        <v>25.284427409440468</v>
      </c>
      <c r="BY311" s="96">
        <f t="shared" si="255"/>
        <v>6.9871618081220923</v>
      </c>
      <c r="BZ311" s="96">
        <f t="shared" si="256"/>
        <v>76.413200168760227</v>
      </c>
      <c r="CA311" s="96">
        <f t="shared" si="257"/>
        <v>40</v>
      </c>
      <c r="CB311" s="104">
        <f t="shared" si="258"/>
        <v>0.8</v>
      </c>
      <c r="CC311" s="105">
        <f t="shared" si="271"/>
        <v>51.133700694451377</v>
      </c>
      <c r="CD311" s="106">
        <f t="shared" si="272"/>
        <v>81.105389185508272</v>
      </c>
      <c r="CE311" s="107">
        <f t="shared" si="273"/>
        <v>1.2165808377826239</v>
      </c>
      <c r="CF311" s="108" t="s">
        <v>2189</v>
      </c>
      <c r="CG311" s="108" t="s">
        <v>2189</v>
      </c>
      <c r="CH311" s="108" t="s">
        <v>2189</v>
      </c>
      <c r="CI311" s="108" t="s">
        <v>2189</v>
      </c>
      <c r="CJ311" s="109"/>
      <c r="CK311" s="116" t="s">
        <v>2192</v>
      </c>
      <c r="CL311" s="116" t="s">
        <v>2193</v>
      </c>
      <c r="CM311" s="111">
        <f t="shared" si="259"/>
        <v>25</v>
      </c>
      <c r="CN311" s="107">
        <f t="shared" si="274"/>
        <v>0.375</v>
      </c>
      <c r="CO311" s="114">
        <v>181897000</v>
      </c>
      <c r="CP311" s="88">
        <f t="shared" si="260"/>
        <v>94.036746692620341</v>
      </c>
      <c r="CQ311" s="78">
        <f t="shared" si="261"/>
        <v>40</v>
      </c>
      <c r="CR311" s="79">
        <f t="shared" si="275"/>
        <v>1.2</v>
      </c>
      <c r="CS311" s="92">
        <f>_xlfn.XLOOKUP(C311, '[1]1-1. 관계사체무보증금액 (환율 등)'!$3:$3, '[1]1-1. 관계사체무보증금액 (환율 등)'!$33:$33)</f>
        <v>36161477.933629826</v>
      </c>
      <c r="CT311" s="77">
        <f t="shared" si="262"/>
        <v>18.694688425183088</v>
      </c>
      <c r="CU311" s="78">
        <f t="shared" si="263"/>
        <v>60</v>
      </c>
      <c r="CV311" s="79">
        <f t="shared" si="276"/>
        <v>1.2</v>
      </c>
      <c r="CW311" s="112">
        <f t="shared" si="264"/>
        <v>15.821504180325496</v>
      </c>
    </row>
    <row r="312" spans="1:101" x14ac:dyDescent="0.35">
      <c r="A312" s="7" t="s">
        <v>1828</v>
      </c>
      <c r="B312" s="8" t="s">
        <v>1829</v>
      </c>
      <c r="C312" s="21" t="s">
        <v>1830</v>
      </c>
      <c r="D312" s="10" t="s">
        <v>21</v>
      </c>
      <c r="E312" s="11" t="s">
        <v>1831</v>
      </c>
      <c r="F312" s="11" t="s">
        <v>1832</v>
      </c>
      <c r="G312" s="12">
        <v>32825</v>
      </c>
      <c r="H312" s="11" t="s">
        <v>24</v>
      </c>
      <c r="I312" s="11" t="s">
        <v>1833</v>
      </c>
      <c r="J312" s="11" t="s">
        <v>1834</v>
      </c>
      <c r="K312" s="11" t="s">
        <v>27</v>
      </c>
      <c r="L312" s="23">
        <v>155630578</v>
      </c>
      <c r="M312" s="14">
        <v>90528054</v>
      </c>
      <c r="N312" s="14">
        <v>65102524</v>
      </c>
      <c r="O312" s="14">
        <v>645266960</v>
      </c>
      <c r="P312" s="14">
        <v>10863969</v>
      </c>
      <c r="Q312" s="14">
        <v>8506214</v>
      </c>
      <c r="R312" s="14">
        <v>6849115</v>
      </c>
      <c r="S312" s="15">
        <v>27477425</v>
      </c>
      <c r="T312" s="15">
        <v>6691</v>
      </c>
      <c r="U312" s="15">
        <v>5871242</v>
      </c>
      <c r="V312" s="15">
        <v>0</v>
      </c>
      <c r="W312" s="15">
        <v>40000</v>
      </c>
      <c r="X312" s="15">
        <v>0</v>
      </c>
      <c r="Z312" s="15">
        <v>0</v>
      </c>
      <c r="AA312" s="15">
        <v>0</v>
      </c>
      <c r="AB312" s="74">
        <f t="shared" si="224"/>
        <v>5911242</v>
      </c>
      <c r="AC312" s="75">
        <f t="shared" si="225"/>
        <v>21.513085742204737</v>
      </c>
      <c r="AD312" s="75">
        <f t="shared" si="226"/>
        <v>81.519201028016624</v>
      </c>
      <c r="AE312" s="76">
        <f t="shared" si="265"/>
        <v>2.4455760308404986</v>
      </c>
      <c r="AF312" s="77">
        <f t="shared" si="227"/>
        <v>21.372716142204283</v>
      </c>
      <c r="AG312" s="77">
        <f t="shared" si="228"/>
        <v>21.51832564794228</v>
      </c>
      <c r="AH312" s="77">
        <f t="shared" si="229"/>
        <v>0.14560950573799758</v>
      </c>
      <c r="AI312" s="78">
        <f t="shared" si="230"/>
        <v>100</v>
      </c>
      <c r="AJ312" s="79">
        <f t="shared" si="266"/>
        <v>4</v>
      </c>
      <c r="AK312" s="113">
        <v>7</v>
      </c>
      <c r="AL312" s="113">
        <v>0</v>
      </c>
      <c r="AM312" s="113">
        <v>0</v>
      </c>
      <c r="AN312" s="81">
        <f t="shared" si="231"/>
        <v>7</v>
      </c>
      <c r="AO312" s="82">
        <f t="shared" si="232"/>
        <v>0</v>
      </c>
      <c r="AP312" s="83">
        <f t="shared" si="233"/>
        <v>100</v>
      </c>
      <c r="AQ312" s="84">
        <f t="shared" si="267"/>
        <v>2</v>
      </c>
      <c r="AR312" s="118">
        <v>2</v>
      </c>
      <c r="AS312" s="86">
        <f t="shared" si="234"/>
        <v>0.25</v>
      </c>
      <c r="AT312" s="87">
        <f t="shared" si="235"/>
        <v>1.75</v>
      </c>
      <c r="AU312" s="87">
        <f t="shared" si="236"/>
        <v>1</v>
      </c>
      <c r="AV312" s="88">
        <f t="shared" si="237"/>
        <v>14.285714285714285</v>
      </c>
      <c r="AW312" s="78">
        <f t="shared" si="238"/>
        <v>60</v>
      </c>
      <c r="AX312" s="89">
        <f t="shared" si="268"/>
        <v>0.6</v>
      </c>
      <c r="AY312" s="114">
        <v>23</v>
      </c>
      <c r="AZ312" s="114">
        <f>23*2-7</f>
        <v>39</v>
      </c>
      <c r="BA312" s="91">
        <f t="shared" si="239"/>
        <v>46</v>
      </c>
      <c r="BB312" s="77">
        <f t="shared" si="240"/>
        <v>84.782608695652172</v>
      </c>
      <c r="BC312" s="78">
        <f t="shared" si="241"/>
        <v>75</v>
      </c>
      <c r="BD312" s="79">
        <f t="shared" si="269"/>
        <v>0.75</v>
      </c>
      <c r="BE312" s="92">
        <v>9510581</v>
      </c>
      <c r="BF312" s="92">
        <v>828215</v>
      </c>
      <c r="BG312" s="114">
        <f>230011</f>
        <v>230011</v>
      </c>
      <c r="BH312" s="94">
        <f t="shared" si="242"/>
        <v>10338796</v>
      </c>
      <c r="BI312" s="77">
        <f t="shared" si="243"/>
        <v>2.224736806877706</v>
      </c>
      <c r="BJ312" s="95" t="str">
        <f t="shared" si="244"/>
        <v>비제조/서비스업</v>
      </c>
      <c r="BK312" s="96">
        <f t="shared" si="245"/>
        <v>1.7464434573900922</v>
      </c>
      <c r="BL312" s="97">
        <f t="shared" si="246"/>
        <v>0.47829334948761382</v>
      </c>
      <c r="BM312" s="98">
        <f t="shared" si="247"/>
        <v>60</v>
      </c>
      <c r="BN312" s="99">
        <f t="shared" si="248"/>
        <v>1.2</v>
      </c>
      <c r="BO312" s="114">
        <v>0</v>
      </c>
      <c r="BP312" s="101">
        <f t="shared" si="249"/>
        <v>0</v>
      </c>
      <c r="BQ312" s="78">
        <f t="shared" si="250"/>
        <v>25</v>
      </c>
      <c r="BR312" s="79">
        <f t="shared" si="270"/>
        <v>0.5</v>
      </c>
      <c r="BS312" s="102">
        <v>882689.12899999996</v>
      </c>
      <c r="BT312" s="102">
        <v>400452.64199999999</v>
      </c>
      <c r="BU312" s="103">
        <f t="shared" si="251"/>
        <v>482236.48699999996</v>
      </c>
      <c r="BV312" s="77">
        <f t="shared" si="252"/>
        <v>7.4734414884654862E-2</v>
      </c>
      <c r="BW312" s="96">
        <f t="shared" si="253"/>
        <v>2.8482825397737606</v>
      </c>
      <c r="BX312" s="96">
        <f t="shared" si="254"/>
        <v>7.6925692010758739</v>
      </c>
      <c r="BY312" s="96">
        <f t="shared" si="255"/>
        <v>5.5697595856656807</v>
      </c>
      <c r="BZ312" s="96">
        <f t="shared" si="256"/>
        <v>69.074582092328995</v>
      </c>
      <c r="CA312" s="96">
        <f t="shared" si="257"/>
        <v>40</v>
      </c>
      <c r="CB312" s="104">
        <f t="shared" si="258"/>
        <v>0.8</v>
      </c>
      <c r="CC312" s="105">
        <f t="shared" si="271"/>
        <v>139.05459948065914</v>
      </c>
      <c r="CD312" s="106">
        <f t="shared" si="272"/>
        <v>47.969372055027961</v>
      </c>
      <c r="CE312" s="107">
        <f t="shared" si="273"/>
        <v>0.71954058082541938</v>
      </c>
      <c r="CF312" s="108" t="s">
        <v>2189</v>
      </c>
      <c r="CG312" s="108" t="s">
        <v>2189</v>
      </c>
      <c r="CH312" s="108" t="s">
        <v>2189</v>
      </c>
      <c r="CI312" s="108" t="s">
        <v>2189</v>
      </c>
      <c r="CJ312" s="109"/>
      <c r="CK312" s="116" t="s">
        <v>2199</v>
      </c>
      <c r="CL312" s="116" t="s">
        <v>2193</v>
      </c>
      <c r="CM312" s="111">
        <f t="shared" si="259"/>
        <v>25</v>
      </c>
      <c r="CN312" s="107">
        <f t="shared" si="274"/>
        <v>0.375</v>
      </c>
      <c r="CO312" s="114">
        <f>36214000-550000</f>
        <v>35664000</v>
      </c>
      <c r="CP312" s="88">
        <f t="shared" si="260"/>
        <v>54.781286206353542</v>
      </c>
      <c r="CQ312" s="78">
        <f t="shared" si="261"/>
        <v>40</v>
      </c>
      <c r="CR312" s="79">
        <f t="shared" si="275"/>
        <v>1.2</v>
      </c>
      <c r="CS312" s="92">
        <f>_xlfn.XLOOKUP(C312, '[1]1-1. 관계사체무보증금액 (환율 등)'!$3:$3, '[1]1-1. 관계사체무보증금액 (환율 등)'!$33:$33)</f>
        <v>19893090.90909091</v>
      </c>
      <c r="CT312" s="77">
        <f t="shared" si="262"/>
        <v>30.556558619894535</v>
      </c>
      <c r="CU312" s="78">
        <f t="shared" si="263"/>
        <v>60</v>
      </c>
      <c r="CV312" s="79">
        <f t="shared" si="276"/>
        <v>1.2</v>
      </c>
      <c r="CW312" s="112">
        <f t="shared" si="264"/>
        <v>15.790116611665917</v>
      </c>
    </row>
    <row r="313" spans="1:101" x14ac:dyDescent="0.35">
      <c r="A313" s="7" t="s">
        <v>1266</v>
      </c>
      <c r="B313" s="8" t="s">
        <v>1267</v>
      </c>
      <c r="C313" s="21" t="s">
        <v>1268</v>
      </c>
      <c r="D313" s="10" t="s">
        <v>75</v>
      </c>
      <c r="E313" s="11" t="s">
        <v>276</v>
      </c>
      <c r="F313" s="11" t="s">
        <v>1269</v>
      </c>
      <c r="G313" s="12">
        <v>25454</v>
      </c>
      <c r="H313" s="11" t="s">
        <v>24</v>
      </c>
      <c r="I313" s="11" t="s">
        <v>1270</v>
      </c>
      <c r="J313" s="11" t="s">
        <v>1271</v>
      </c>
      <c r="K313" s="11" t="s">
        <v>50</v>
      </c>
      <c r="L313" s="23">
        <v>436729659</v>
      </c>
      <c r="M313" s="14">
        <v>131134120</v>
      </c>
      <c r="N313" s="14">
        <v>305595540</v>
      </c>
      <c r="O313" s="14">
        <v>388455876</v>
      </c>
      <c r="P313" s="14">
        <v>16230918</v>
      </c>
      <c r="Q313" s="14">
        <v>19676309</v>
      </c>
      <c r="R313" s="14">
        <v>17916229</v>
      </c>
      <c r="S313" s="15">
        <v>36720000</v>
      </c>
      <c r="T313" s="15">
        <v>171963</v>
      </c>
      <c r="U313" s="15">
        <v>7651174</v>
      </c>
      <c r="V313" s="15">
        <f>1696794+1661072+1635620+1487960+500282+453650+5000+2570+6849+6800+31228+13006</f>
        <v>7500831</v>
      </c>
      <c r="W313" s="15">
        <v>0</v>
      </c>
      <c r="X313" s="15">
        <v>0</v>
      </c>
      <c r="Z313" s="15">
        <f>4463965+1904858+58600+35590</f>
        <v>6463013</v>
      </c>
      <c r="AA313" s="15">
        <f>1300000+50000</f>
        <v>1350000</v>
      </c>
      <c r="AB313" s="74">
        <f t="shared" si="224"/>
        <v>21615018</v>
      </c>
      <c r="AC313" s="75">
        <f t="shared" si="225"/>
        <v>58.864428104575161</v>
      </c>
      <c r="AD313" s="75">
        <f t="shared" si="226"/>
        <v>49.282714524244682</v>
      </c>
      <c r="AE313" s="76">
        <f t="shared" si="265"/>
        <v>1.4784814357273404</v>
      </c>
      <c r="AF313" s="77">
        <f t="shared" si="227"/>
        <v>43.047869402489688</v>
      </c>
      <c r="AG313" s="77">
        <f t="shared" si="228"/>
        <v>57.574284611383298</v>
      </c>
      <c r="AH313" s="77">
        <f t="shared" si="229"/>
        <v>14.52641520889361</v>
      </c>
      <c r="AI313" s="78">
        <f t="shared" si="230"/>
        <v>80</v>
      </c>
      <c r="AJ313" s="79">
        <f t="shared" si="266"/>
        <v>3.2</v>
      </c>
      <c r="AK313" s="113">
        <v>5</v>
      </c>
      <c r="AL313" s="113">
        <v>8</v>
      </c>
      <c r="AM313" s="113">
        <v>3</v>
      </c>
      <c r="AN313" s="81">
        <f t="shared" si="231"/>
        <v>13</v>
      </c>
      <c r="AO313" s="82">
        <f t="shared" si="232"/>
        <v>23.076923076923077</v>
      </c>
      <c r="AP313" s="83">
        <f t="shared" si="233"/>
        <v>60</v>
      </c>
      <c r="AQ313" s="84">
        <f t="shared" si="267"/>
        <v>1.2</v>
      </c>
      <c r="AR313" s="118">
        <v>1</v>
      </c>
      <c r="AS313" s="86">
        <f t="shared" si="234"/>
        <v>0.25</v>
      </c>
      <c r="AT313" s="87">
        <f t="shared" si="235"/>
        <v>1.25</v>
      </c>
      <c r="AU313" s="87">
        <f t="shared" si="236"/>
        <v>1</v>
      </c>
      <c r="AV313" s="88">
        <f t="shared" si="237"/>
        <v>0</v>
      </c>
      <c r="AW313" s="78">
        <f t="shared" si="238"/>
        <v>40</v>
      </c>
      <c r="AX313" s="89">
        <f t="shared" si="268"/>
        <v>0.4</v>
      </c>
      <c r="AY313" s="114">
        <v>18</v>
      </c>
      <c r="AZ313" s="114">
        <v>16</v>
      </c>
      <c r="BA313" s="91">
        <f t="shared" si="239"/>
        <v>18</v>
      </c>
      <c r="BB313" s="77">
        <f t="shared" si="240"/>
        <v>88.888888888888886</v>
      </c>
      <c r="BC313" s="78">
        <f t="shared" si="241"/>
        <v>75</v>
      </c>
      <c r="BD313" s="79">
        <f t="shared" si="269"/>
        <v>0.75</v>
      </c>
      <c r="BE313" s="92">
        <v>11454848</v>
      </c>
      <c r="BF313" s="92">
        <v>1338165</v>
      </c>
      <c r="BG313" s="114">
        <v>59347</v>
      </c>
      <c r="BH313" s="94">
        <f t="shared" si="242"/>
        <v>12793013</v>
      </c>
      <c r="BI313" s="77">
        <f t="shared" si="243"/>
        <v>0.46390166257159282</v>
      </c>
      <c r="BJ313" s="95" t="str">
        <f t="shared" si="244"/>
        <v>금속/비금속/화학업</v>
      </c>
      <c r="BK313" s="96">
        <f t="shared" si="245"/>
        <v>3.9534118626990469</v>
      </c>
      <c r="BL313" s="97">
        <f t="shared" si="246"/>
        <v>-3.4895102001274543</v>
      </c>
      <c r="BM313" s="98">
        <f t="shared" si="247"/>
        <v>100</v>
      </c>
      <c r="BN313" s="99">
        <f t="shared" si="248"/>
        <v>2</v>
      </c>
      <c r="BO313" s="114">
        <v>2973636</v>
      </c>
      <c r="BP313" s="101">
        <f t="shared" si="249"/>
        <v>0.76550161388213878</v>
      </c>
      <c r="BQ313" s="78">
        <f t="shared" si="250"/>
        <v>70</v>
      </c>
      <c r="BR313" s="79">
        <f t="shared" si="270"/>
        <v>1.4000000000000001</v>
      </c>
      <c r="BS313" s="102">
        <v>35181377.355999999</v>
      </c>
      <c r="BT313" s="102">
        <v>1655872.66</v>
      </c>
      <c r="BU313" s="103">
        <f t="shared" si="251"/>
        <v>33525504.695999999</v>
      </c>
      <c r="BV313" s="77">
        <f t="shared" si="252"/>
        <v>8.6304537445071361</v>
      </c>
      <c r="BW313" s="96">
        <f t="shared" si="253"/>
        <v>5.1474158565187738</v>
      </c>
      <c r="BX313" s="96">
        <f t="shared" si="254"/>
        <v>12.131552929162432</v>
      </c>
      <c r="BY313" s="96">
        <f t="shared" si="255"/>
        <v>6.6930498535228535</v>
      </c>
      <c r="BZ313" s="96">
        <f t="shared" si="256"/>
        <v>30.139371978320916</v>
      </c>
      <c r="CA313" s="96">
        <f t="shared" si="257"/>
        <v>70</v>
      </c>
      <c r="CB313" s="104">
        <f t="shared" si="258"/>
        <v>1.4000000000000001</v>
      </c>
      <c r="CC313" s="105">
        <f t="shared" si="271"/>
        <v>42.911005834705577</v>
      </c>
      <c r="CD313" s="106">
        <f t="shared" si="272"/>
        <v>84.204394785914985</v>
      </c>
      <c r="CE313" s="107">
        <f t="shared" si="273"/>
        <v>1.2630659217887248</v>
      </c>
      <c r="CF313" s="108" t="s">
        <v>2189</v>
      </c>
      <c r="CG313" s="108" t="s">
        <v>2189</v>
      </c>
      <c r="CH313" s="108" t="s">
        <v>2189</v>
      </c>
      <c r="CI313" s="108" t="s">
        <v>2189</v>
      </c>
      <c r="CJ313" s="109"/>
      <c r="CK313" s="116" t="s">
        <v>2199</v>
      </c>
      <c r="CL313" s="116" t="s">
        <v>2193</v>
      </c>
      <c r="CM313" s="111">
        <f t="shared" si="259"/>
        <v>25</v>
      </c>
      <c r="CN313" s="107">
        <f t="shared" si="274"/>
        <v>0.375</v>
      </c>
      <c r="CO313" s="114">
        <v>104835825</v>
      </c>
      <c r="CP313" s="88">
        <f t="shared" si="260"/>
        <v>34.305417219112556</v>
      </c>
      <c r="CQ313" s="78">
        <f t="shared" si="261"/>
        <v>60</v>
      </c>
      <c r="CR313" s="79">
        <f t="shared" si="275"/>
        <v>1.7999999999999998</v>
      </c>
      <c r="CS313" s="92">
        <f>_xlfn.XLOOKUP(C313, '[1]1-1. 관계사체무보증금액 (환율 등)'!$3:$3, '[1]1-1. 관계사체무보증금액 (환율 등)'!$33:$33)</f>
        <v>25112785166.833252</v>
      </c>
      <c r="CT313" s="77">
        <f t="shared" si="262"/>
        <v>8217.6543436573884</v>
      </c>
      <c r="CU313" s="78">
        <f t="shared" si="263"/>
        <v>20</v>
      </c>
      <c r="CV313" s="79">
        <f t="shared" si="276"/>
        <v>0.4</v>
      </c>
      <c r="CW313" s="112">
        <f t="shared" si="264"/>
        <v>15.666547357516064</v>
      </c>
    </row>
    <row r="314" spans="1:101" x14ac:dyDescent="0.35">
      <c r="A314" s="7" t="s">
        <v>870</v>
      </c>
      <c r="B314" s="8" t="s">
        <v>871</v>
      </c>
      <c r="C314" s="21" t="s">
        <v>872</v>
      </c>
      <c r="D314" s="22" t="s">
        <v>31</v>
      </c>
      <c r="E314" s="11" t="s">
        <v>873</v>
      </c>
      <c r="F314" s="11" t="s">
        <v>874</v>
      </c>
      <c r="G314" s="12">
        <v>41089</v>
      </c>
      <c r="H314" s="11" t="s">
        <v>24</v>
      </c>
      <c r="I314" s="11" t="s">
        <v>875</v>
      </c>
      <c r="J314" s="11" t="s">
        <v>876</v>
      </c>
      <c r="K314" s="11" t="s">
        <v>27</v>
      </c>
      <c r="L314" s="23">
        <v>350700455</v>
      </c>
      <c r="M314" s="14">
        <v>111544269</v>
      </c>
      <c r="N314" s="14">
        <v>239156186</v>
      </c>
      <c r="O314" s="14">
        <v>201116170</v>
      </c>
      <c r="P314" s="14">
        <v>13584493</v>
      </c>
      <c r="Q314" s="14">
        <v>10414124</v>
      </c>
      <c r="R314" s="14">
        <v>8295233</v>
      </c>
      <c r="S314" s="15">
        <v>17218543</v>
      </c>
      <c r="T314" s="15">
        <v>0</v>
      </c>
      <c r="U314" s="15">
        <v>9863669</v>
      </c>
      <c r="V314" s="15">
        <v>0</v>
      </c>
      <c r="W314" s="15">
        <v>0</v>
      </c>
      <c r="X314" s="15">
        <v>0</v>
      </c>
      <c r="Z314" s="15">
        <f>45645+688656+121710+148591</f>
        <v>1004602</v>
      </c>
      <c r="AA314" s="15">
        <v>0</v>
      </c>
      <c r="AB314" s="74">
        <f t="shared" si="224"/>
        <v>10868271</v>
      </c>
      <c r="AC314" s="75">
        <f t="shared" si="225"/>
        <v>63.119574054552693</v>
      </c>
      <c r="AD314" s="75">
        <f t="shared" si="226"/>
        <v>45.610264049580536</v>
      </c>
      <c r="AE314" s="76">
        <f t="shared" si="265"/>
        <v>1.3683079214874161</v>
      </c>
      <c r="AF314" s="77">
        <f t="shared" si="227"/>
        <v>57.285154731152346</v>
      </c>
      <c r="AG314" s="77">
        <f t="shared" si="228"/>
        <v>63.119574054552693</v>
      </c>
      <c r="AH314" s="77">
        <f t="shared" si="229"/>
        <v>5.834419323400347</v>
      </c>
      <c r="AI314" s="78">
        <f t="shared" si="230"/>
        <v>100</v>
      </c>
      <c r="AJ314" s="79">
        <f t="shared" si="266"/>
        <v>4</v>
      </c>
      <c r="AK314" s="113">
        <v>7</v>
      </c>
      <c r="AL314" s="113">
        <v>1</v>
      </c>
      <c r="AM314" s="80">
        <v>2</v>
      </c>
      <c r="AN314" s="81">
        <f t="shared" si="231"/>
        <v>8</v>
      </c>
      <c r="AO314" s="82">
        <f t="shared" si="232"/>
        <v>25</v>
      </c>
      <c r="AP314" s="83">
        <f t="shared" si="233"/>
        <v>60</v>
      </c>
      <c r="AQ314" s="84">
        <f t="shared" si="267"/>
        <v>1.2</v>
      </c>
      <c r="AR314" s="118">
        <v>3</v>
      </c>
      <c r="AS314" s="86">
        <f t="shared" si="234"/>
        <v>0.25</v>
      </c>
      <c r="AT314" s="87">
        <f t="shared" si="235"/>
        <v>1.75</v>
      </c>
      <c r="AU314" s="87">
        <f t="shared" si="236"/>
        <v>1</v>
      </c>
      <c r="AV314" s="88">
        <f t="shared" si="237"/>
        <v>28.571428571428569</v>
      </c>
      <c r="AW314" s="78">
        <f t="shared" si="238"/>
        <v>80</v>
      </c>
      <c r="AX314" s="89">
        <f t="shared" si="268"/>
        <v>0.8</v>
      </c>
      <c r="AY314" s="114">
        <v>28</v>
      </c>
      <c r="AZ314" s="114">
        <f>28*3-7*2</f>
        <v>70</v>
      </c>
      <c r="BA314" s="91">
        <f t="shared" si="239"/>
        <v>84</v>
      </c>
      <c r="BB314" s="77">
        <f t="shared" si="240"/>
        <v>83.333333333333343</v>
      </c>
      <c r="BC314" s="78">
        <f t="shared" si="241"/>
        <v>75</v>
      </c>
      <c r="BD314" s="79">
        <f t="shared" si="269"/>
        <v>0.75</v>
      </c>
      <c r="BE314" s="92">
        <v>3836571</v>
      </c>
      <c r="BF314" s="92">
        <v>375804</v>
      </c>
      <c r="BG314" s="114">
        <v>76196</v>
      </c>
      <c r="BH314" s="94">
        <f t="shared" si="242"/>
        <v>4212375</v>
      </c>
      <c r="BI314" s="77">
        <f t="shared" si="243"/>
        <v>1.8088607970562924</v>
      </c>
      <c r="BJ314" s="95" t="str">
        <f t="shared" si="244"/>
        <v>식약/섬유/종이업</v>
      </c>
      <c r="BK314" s="96">
        <f t="shared" si="245"/>
        <v>2.1999360555264453</v>
      </c>
      <c r="BL314" s="97">
        <f t="shared" si="246"/>
        <v>-0.3910752584701529</v>
      </c>
      <c r="BM314" s="98">
        <f t="shared" si="247"/>
        <v>80</v>
      </c>
      <c r="BN314" s="99">
        <f t="shared" si="248"/>
        <v>1.6</v>
      </c>
      <c r="BO314" s="114">
        <v>0</v>
      </c>
      <c r="BP314" s="101">
        <f t="shared" si="249"/>
        <v>0</v>
      </c>
      <c r="BQ314" s="78">
        <f t="shared" si="250"/>
        <v>25</v>
      </c>
      <c r="BR314" s="79">
        <f t="shared" si="270"/>
        <v>0.5</v>
      </c>
      <c r="BS314" s="102">
        <v>1885230.121</v>
      </c>
      <c r="BT314" s="102">
        <v>11800</v>
      </c>
      <c r="BU314" s="103">
        <f t="shared" si="251"/>
        <v>1873430.121</v>
      </c>
      <c r="BV314" s="77">
        <f t="shared" si="252"/>
        <v>0.93151640715910622</v>
      </c>
      <c r="BW314" s="96">
        <f t="shared" si="253"/>
        <v>5.0508176117342298</v>
      </c>
      <c r="BX314" s="96">
        <f t="shared" si="254"/>
        <v>16.968642414014059</v>
      </c>
      <c r="BY314" s="96">
        <f t="shared" si="255"/>
        <v>6.9871618081220923</v>
      </c>
      <c r="BZ314" s="96">
        <f t="shared" si="256"/>
        <v>72.225476716004081</v>
      </c>
      <c r="CA314" s="96">
        <f t="shared" si="257"/>
        <v>40</v>
      </c>
      <c r="CB314" s="104">
        <f t="shared" si="258"/>
        <v>0.8</v>
      </c>
      <c r="CC314" s="105">
        <f t="shared" si="271"/>
        <v>46.640762618617778</v>
      </c>
      <c r="CD314" s="106">
        <f t="shared" si="272"/>
        <v>82.798707555797321</v>
      </c>
      <c r="CE314" s="107">
        <f t="shared" si="273"/>
        <v>1.2419806133369597</v>
      </c>
      <c r="CF314" s="108" t="s">
        <v>2189</v>
      </c>
      <c r="CG314" s="108" t="s">
        <v>2189</v>
      </c>
      <c r="CH314" s="108" t="s">
        <v>2189</v>
      </c>
      <c r="CI314" s="108" t="s">
        <v>2189</v>
      </c>
      <c r="CJ314" s="109"/>
      <c r="CK314" s="116" t="s">
        <v>2192</v>
      </c>
      <c r="CL314" s="116" t="s">
        <v>2193</v>
      </c>
      <c r="CM314" s="111">
        <f t="shared" si="259"/>
        <v>25</v>
      </c>
      <c r="CN314" s="107">
        <f t="shared" si="274"/>
        <v>0.375</v>
      </c>
      <c r="CO314" s="114">
        <f>117768000-147000-3322000</f>
        <v>114299000</v>
      </c>
      <c r="CP314" s="88">
        <f t="shared" si="260"/>
        <v>47.792616997161844</v>
      </c>
      <c r="CQ314" s="78">
        <f t="shared" si="261"/>
        <v>40</v>
      </c>
      <c r="CR314" s="79">
        <f t="shared" si="275"/>
        <v>1.2</v>
      </c>
      <c r="CS314" s="92">
        <f>_xlfn.XLOOKUP(C314, '[1]1-1. 관계사체무보증금액 (환율 등)'!$3:$3, '[1]1-1. 관계사체무보증금액 (환율 등)'!$33:$33)</f>
        <v>8474000</v>
      </c>
      <c r="CT314" s="77">
        <f t="shared" si="262"/>
        <v>3.5432911611995688</v>
      </c>
      <c r="CU314" s="78">
        <f t="shared" si="263"/>
        <v>80</v>
      </c>
      <c r="CV314" s="79">
        <f t="shared" si="276"/>
        <v>1.6</v>
      </c>
      <c r="CW314" s="112">
        <f t="shared" si="264"/>
        <v>15.435288534824375</v>
      </c>
    </row>
    <row r="315" spans="1:101" x14ac:dyDescent="0.35">
      <c r="A315" s="7" t="s">
        <v>1140</v>
      </c>
      <c r="B315" s="8" t="s">
        <v>1141</v>
      </c>
      <c r="C315" s="21" t="s">
        <v>1142</v>
      </c>
      <c r="D315" s="10" t="s">
        <v>21</v>
      </c>
      <c r="E315" s="11" t="s">
        <v>303</v>
      </c>
      <c r="F315" s="11" t="s">
        <v>1143</v>
      </c>
      <c r="G315" s="12">
        <v>27750</v>
      </c>
      <c r="H315" s="11" t="s">
        <v>788</v>
      </c>
      <c r="I315" s="11" t="s">
        <v>1144</v>
      </c>
      <c r="J315" s="11" t="s">
        <v>1145</v>
      </c>
      <c r="K315" s="11" t="s">
        <v>27</v>
      </c>
      <c r="L315" s="23">
        <v>993336394</v>
      </c>
      <c r="M315" s="14">
        <v>651630168</v>
      </c>
      <c r="N315" s="14">
        <v>341706226</v>
      </c>
      <c r="O315" s="14">
        <v>1463883744</v>
      </c>
      <c r="P315" s="14">
        <v>144479752</v>
      </c>
      <c r="Q315" s="14">
        <v>118763976</v>
      </c>
      <c r="R315" s="14">
        <v>84457579</v>
      </c>
      <c r="S315" s="15">
        <v>143708390</v>
      </c>
      <c r="T315" s="15">
        <v>0</v>
      </c>
      <c r="U315" s="15">
        <f>11794272+59858000</f>
        <v>71652272</v>
      </c>
      <c r="V315" s="15">
        <f>4748336*3</f>
        <v>14245008</v>
      </c>
      <c r="W315" s="15">
        <v>150000</v>
      </c>
      <c r="X315" s="15">
        <v>0</v>
      </c>
      <c r="Z315" s="15">
        <v>25376900</v>
      </c>
      <c r="AA315" s="15">
        <v>0</v>
      </c>
      <c r="AB315" s="74">
        <f t="shared" si="224"/>
        <v>111424180</v>
      </c>
      <c r="AC315" s="75">
        <f t="shared" si="225"/>
        <v>77.534916367791752</v>
      </c>
      <c r="AD315" s="75">
        <f t="shared" si="226"/>
        <v>33.16894444666994</v>
      </c>
      <c r="AE315" s="76">
        <f t="shared" si="265"/>
        <v>0.99506833340009815</v>
      </c>
      <c r="AF315" s="77">
        <f t="shared" si="227"/>
        <v>59.771931200398257</v>
      </c>
      <c r="AG315" s="77">
        <f t="shared" si="228"/>
        <v>77.534916367791752</v>
      </c>
      <c r="AH315" s="77">
        <f t="shared" si="229"/>
        <v>17.762985167393495</v>
      </c>
      <c r="AI315" s="78">
        <f t="shared" si="230"/>
        <v>80</v>
      </c>
      <c r="AJ315" s="79">
        <f t="shared" si="266"/>
        <v>3.2</v>
      </c>
      <c r="AK315" s="113">
        <v>4</v>
      </c>
      <c r="AL315" s="113">
        <v>15</v>
      </c>
      <c r="AM315" s="113">
        <v>1</v>
      </c>
      <c r="AN315" s="81">
        <f t="shared" si="231"/>
        <v>19</v>
      </c>
      <c r="AO315" s="82">
        <f t="shared" si="232"/>
        <v>5.2631578947368416</v>
      </c>
      <c r="AP315" s="83">
        <f t="shared" si="233"/>
        <v>100</v>
      </c>
      <c r="AQ315" s="84">
        <f t="shared" si="267"/>
        <v>2</v>
      </c>
      <c r="AR315" s="118">
        <v>1</v>
      </c>
      <c r="AS315" s="86">
        <f t="shared" si="234"/>
        <v>0.25</v>
      </c>
      <c r="AT315" s="87">
        <f t="shared" si="235"/>
        <v>1</v>
      </c>
      <c r="AU315" s="87">
        <f t="shared" si="236"/>
        <v>1</v>
      </c>
      <c r="AV315" s="88">
        <f t="shared" si="237"/>
        <v>0</v>
      </c>
      <c r="AW315" s="78">
        <f t="shared" si="238"/>
        <v>40</v>
      </c>
      <c r="AX315" s="89">
        <f t="shared" si="268"/>
        <v>0.4</v>
      </c>
      <c r="AY315" s="114">
        <v>19</v>
      </c>
      <c r="AZ315" s="114">
        <v>19</v>
      </c>
      <c r="BA315" s="91">
        <f t="shared" si="239"/>
        <v>19</v>
      </c>
      <c r="BB315" s="77">
        <f t="shared" si="240"/>
        <v>100</v>
      </c>
      <c r="BC315" s="78">
        <f t="shared" si="241"/>
        <v>100</v>
      </c>
      <c r="BD315" s="79">
        <f t="shared" si="269"/>
        <v>1</v>
      </c>
      <c r="BE315" s="92">
        <v>50380000</v>
      </c>
      <c r="BF315" s="92">
        <v>3642000</v>
      </c>
      <c r="BG315" s="114">
        <v>807000</v>
      </c>
      <c r="BH315" s="94">
        <f t="shared" si="242"/>
        <v>54022000</v>
      </c>
      <c r="BI315" s="77">
        <f t="shared" si="243"/>
        <v>1.493835844655881</v>
      </c>
      <c r="BJ315" s="95" t="str">
        <f t="shared" si="244"/>
        <v>비제조/서비스업</v>
      </c>
      <c r="BK315" s="96">
        <f t="shared" si="245"/>
        <v>1.7464434573900922</v>
      </c>
      <c r="BL315" s="97">
        <f t="shared" si="246"/>
        <v>-0.25260761273421117</v>
      </c>
      <c r="BM315" s="98">
        <f t="shared" si="247"/>
        <v>80</v>
      </c>
      <c r="BN315" s="99">
        <f t="shared" si="248"/>
        <v>1.6</v>
      </c>
      <c r="BO315" s="114">
        <v>0</v>
      </c>
      <c r="BP315" s="101">
        <f t="shared" si="249"/>
        <v>0</v>
      </c>
      <c r="BQ315" s="78">
        <f t="shared" si="250"/>
        <v>25</v>
      </c>
      <c r="BR315" s="79">
        <f t="shared" si="270"/>
        <v>0.5</v>
      </c>
      <c r="BS315" s="102">
        <v>36774474.288000003</v>
      </c>
      <c r="BT315" s="102">
        <v>446833</v>
      </c>
      <c r="BU315" s="103">
        <f t="shared" si="251"/>
        <v>36327641.288000003</v>
      </c>
      <c r="BV315" s="77">
        <f t="shared" si="252"/>
        <v>2.4815933257607106</v>
      </c>
      <c r="BW315" s="96">
        <f t="shared" si="253"/>
        <v>2.8482825397737606</v>
      </c>
      <c r="BX315" s="96">
        <f t="shared" si="254"/>
        <v>0.13446097967350837</v>
      </c>
      <c r="BY315" s="96">
        <f t="shared" si="255"/>
        <v>5.5697595856656807</v>
      </c>
      <c r="BZ315" s="96">
        <f t="shared" si="256"/>
        <v>52.624569708915139</v>
      </c>
      <c r="CA315" s="96">
        <f t="shared" si="257"/>
        <v>55</v>
      </c>
      <c r="CB315" s="104">
        <f t="shared" si="258"/>
        <v>1.1000000000000001</v>
      </c>
      <c r="CC315" s="105">
        <f t="shared" si="271"/>
        <v>190.69894500546795</v>
      </c>
      <c r="CD315" s="106">
        <f t="shared" si="272"/>
        <v>28.505422736632681</v>
      </c>
      <c r="CE315" s="107">
        <f t="shared" si="273"/>
        <v>0.42758134104949019</v>
      </c>
      <c r="CF315" s="108" t="s">
        <v>2189</v>
      </c>
      <c r="CG315" s="108" t="s">
        <v>2189</v>
      </c>
      <c r="CH315" s="108" t="s">
        <v>2189</v>
      </c>
      <c r="CI315" s="108" t="s">
        <v>2189</v>
      </c>
      <c r="CJ315" s="109"/>
      <c r="CK315" s="116" t="s">
        <v>2217</v>
      </c>
      <c r="CL315" s="116" t="s">
        <v>2209</v>
      </c>
      <c r="CM315" s="111">
        <f t="shared" si="259"/>
        <v>40</v>
      </c>
      <c r="CN315" s="107">
        <f t="shared" si="274"/>
        <v>0.6</v>
      </c>
      <c r="CO315" s="114">
        <v>35887000</v>
      </c>
      <c r="CP315" s="88">
        <f t="shared" si="260"/>
        <v>10.50229620340602</v>
      </c>
      <c r="CQ315" s="78">
        <f t="shared" si="261"/>
        <v>60</v>
      </c>
      <c r="CR315" s="79">
        <f t="shared" si="275"/>
        <v>1.7999999999999998</v>
      </c>
      <c r="CS315" s="92">
        <f>_xlfn.XLOOKUP(C315, '[1]1-1. 관계사체무보증금액 (환율 등)'!$3:$3, '[1]1-1. 관계사체무보증금액 (환율 등)'!$33:$33)</f>
        <v>19866377.445339471</v>
      </c>
      <c r="CT315" s="77">
        <f t="shared" si="262"/>
        <v>5.813876345741348</v>
      </c>
      <c r="CU315" s="78">
        <f t="shared" si="263"/>
        <v>80</v>
      </c>
      <c r="CV315" s="79">
        <f t="shared" si="276"/>
        <v>1.6</v>
      </c>
      <c r="CW315" s="112">
        <f t="shared" si="264"/>
        <v>15.22264967444959</v>
      </c>
    </row>
    <row r="316" spans="1:101" x14ac:dyDescent="0.35">
      <c r="A316" s="7" t="s">
        <v>1639</v>
      </c>
      <c r="B316" s="8" t="s">
        <v>1640</v>
      </c>
      <c r="C316" s="21" t="s">
        <v>1641</v>
      </c>
      <c r="D316" s="10" t="s">
        <v>75</v>
      </c>
      <c r="E316" s="11" t="s">
        <v>76</v>
      </c>
      <c r="F316" s="11" t="s">
        <v>1642</v>
      </c>
      <c r="G316" s="12">
        <v>37649</v>
      </c>
      <c r="H316" s="11" t="s">
        <v>24</v>
      </c>
      <c r="I316" s="11" t="s">
        <v>1643</v>
      </c>
      <c r="J316" s="11" t="s">
        <v>1644</v>
      </c>
      <c r="K316" s="11" t="s">
        <v>27</v>
      </c>
      <c r="L316" s="23">
        <v>162863274</v>
      </c>
      <c r="M316" s="14">
        <v>17371202</v>
      </c>
      <c r="N316" s="14">
        <v>145492071</v>
      </c>
      <c r="O316" s="14">
        <v>56651970</v>
      </c>
      <c r="P316" s="14">
        <v>10708324</v>
      </c>
      <c r="Q316" s="14">
        <v>12207215</v>
      </c>
      <c r="R316" s="14">
        <v>9200816</v>
      </c>
      <c r="S316" s="15">
        <v>11600000</v>
      </c>
      <c r="T316" s="15">
        <v>266101</v>
      </c>
      <c r="U316" s="15">
        <v>4641480</v>
      </c>
      <c r="V316" s="15">
        <v>0</v>
      </c>
      <c r="W316" s="15">
        <v>0</v>
      </c>
      <c r="X316" s="15">
        <v>0</v>
      </c>
      <c r="Z316" s="15">
        <v>1896720</v>
      </c>
      <c r="AA316" s="15">
        <v>1896720</v>
      </c>
      <c r="AB316" s="74">
        <f t="shared" si="224"/>
        <v>6538200</v>
      </c>
      <c r="AC316" s="75">
        <f t="shared" si="225"/>
        <v>56.36379310344828</v>
      </c>
      <c r="AD316" s="75">
        <f t="shared" si="226"/>
        <v>51.440915043053842</v>
      </c>
      <c r="AE316" s="76">
        <f t="shared" si="265"/>
        <v>1.5432274512916151</v>
      </c>
      <c r="AF316" s="77">
        <f t="shared" si="227"/>
        <v>49.182917903750692</v>
      </c>
      <c r="AG316" s="77">
        <f t="shared" si="228"/>
        <v>49.182917903750692</v>
      </c>
      <c r="AH316" s="77">
        <f t="shared" si="229"/>
        <v>0</v>
      </c>
      <c r="AI316" s="78">
        <f t="shared" si="230"/>
        <v>100</v>
      </c>
      <c r="AJ316" s="79">
        <f t="shared" si="266"/>
        <v>4</v>
      </c>
      <c r="AK316" s="113">
        <v>6</v>
      </c>
      <c r="AL316" s="113">
        <v>3</v>
      </c>
      <c r="AM316" s="113">
        <v>1</v>
      </c>
      <c r="AN316" s="81">
        <f t="shared" si="231"/>
        <v>9</v>
      </c>
      <c r="AO316" s="82">
        <f t="shared" si="232"/>
        <v>11.111111111111111</v>
      </c>
      <c r="AP316" s="83">
        <f t="shared" si="233"/>
        <v>80</v>
      </c>
      <c r="AQ316" s="84">
        <f t="shared" si="267"/>
        <v>1.6</v>
      </c>
      <c r="AR316" s="118">
        <v>1</v>
      </c>
      <c r="AS316" s="86">
        <f t="shared" si="234"/>
        <v>0.25</v>
      </c>
      <c r="AT316" s="87">
        <f t="shared" si="235"/>
        <v>1.5</v>
      </c>
      <c r="AU316" s="87">
        <f t="shared" si="236"/>
        <v>1</v>
      </c>
      <c r="AV316" s="88">
        <f t="shared" si="237"/>
        <v>0</v>
      </c>
      <c r="AW316" s="78">
        <f t="shared" si="238"/>
        <v>40</v>
      </c>
      <c r="AX316" s="89">
        <f t="shared" si="268"/>
        <v>0.4</v>
      </c>
      <c r="AY316" s="114">
        <v>9</v>
      </c>
      <c r="AZ316" s="114">
        <v>6</v>
      </c>
      <c r="BA316" s="91">
        <f t="shared" si="239"/>
        <v>9</v>
      </c>
      <c r="BB316" s="77">
        <f t="shared" si="240"/>
        <v>66.666666666666657</v>
      </c>
      <c r="BC316" s="78">
        <f t="shared" si="241"/>
        <v>25</v>
      </c>
      <c r="BD316" s="79">
        <f t="shared" si="269"/>
        <v>0.25</v>
      </c>
      <c r="BE316" s="92">
        <v>2860944</v>
      </c>
      <c r="BF316" s="92">
        <v>231000</v>
      </c>
      <c r="BG316" s="114">
        <v>231000</v>
      </c>
      <c r="BH316" s="94">
        <f t="shared" si="242"/>
        <v>3091944</v>
      </c>
      <c r="BI316" s="77">
        <f t="shared" si="243"/>
        <v>7.4710279358228995</v>
      </c>
      <c r="BJ316" s="95" t="str">
        <f t="shared" si="244"/>
        <v>금속/비금속/화학업</v>
      </c>
      <c r="BK316" s="96">
        <f t="shared" si="245"/>
        <v>3.9534118626990469</v>
      </c>
      <c r="BL316" s="97">
        <f t="shared" si="246"/>
        <v>3.5176160731238526</v>
      </c>
      <c r="BM316" s="98">
        <f t="shared" si="247"/>
        <v>40</v>
      </c>
      <c r="BN316" s="99">
        <f t="shared" si="248"/>
        <v>0.8</v>
      </c>
      <c r="BO316" s="114">
        <v>0</v>
      </c>
      <c r="BP316" s="101">
        <f t="shared" si="249"/>
        <v>0</v>
      </c>
      <c r="BQ316" s="78">
        <f t="shared" si="250"/>
        <v>25</v>
      </c>
      <c r="BR316" s="79">
        <f t="shared" si="270"/>
        <v>0.5</v>
      </c>
      <c r="BS316" s="102">
        <v>4386443.4119999995</v>
      </c>
      <c r="BT316" s="102">
        <v>68545.455000000002</v>
      </c>
      <c r="BU316" s="103">
        <f t="shared" si="251"/>
        <v>4317897.9569999995</v>
      </c>
      <c r="BV316" s="77">
        <f t="shared" si="252"/>
        <v>7.6217966594983366</v>
      </c>
      <c r="BW316" s="96">
        <f t="shared" si="253"/>
        <v>5.1474158565187738</v>
      </c>
      <c r="BX316" s="96">
        <f t="shared" si="254"/>
        <v>6.1225603581537866</v>
      </c>
      <c r="BY316" s="96">
        <f t="shared" si="255"/>
        <v>6.6930498535228535</v>
      </c>
      <c r="BZ316" s="96">
        <f t="shared" si="256"/>
        <v>35.580522747580268</v>
      </c>
      <c r="CA316" s="96">
        <f t="shared" si="257"/>
        <v>55</v>
      </c>
      <c r="CB316" s="104">
        <f t="shared" si="258"/>
        <v>1.1000000000000001</v>
      </c>
      <c r="CC316" s="105">
        <f t="shared" si="271"/>
        <v>11.939621094540609</v>
      </c>
      <c r="CD316" s="106">
        <f t="shared" si="272"/>
        <v>95.877027225675647</v>
      </c>
      <c r="CE316" s="107">
        <f t="shared" si="273"/>
        <v>1.4381554083851347</v>
      </c>
      <c r="CF316" s="108" t="s">
        <v>2189</v>
      </c>
      <c r="CG316" s="108" t="s">
        <v>2189</v>
      </c>
      <c r="CH316" s="108" t="s">
        <v>2189</v>
      </c>
      <c r="CI316" s="108" t="s">
        <v>2189</v>
      </c>
      <c r="CJ316" s="109"/>
      <c r="CK316" s="116" t="s">
        <v>2192</v>
      </c>
      <c r="CL316" s="116" t="s">
        <v>2193</v>
      </c>
      <c r="CM316" s="111">
        <f t="shared" si="259"/>
        <v>25</v>
      </c>
      <c r="CN316" s="107">
        <f t="shared" si="274"/>
        <v>0.375</v>
      </c>
      <c r="CO316" s="114">
        <v>69263000</v>
      </c>
      <c r="CP316" s="88">
        <f t="shared" si="260"/>
        <v>47.606030709398588</v>
      </c>
      <c r="CQ316" s="78">
        <f t="shared" si="261"/>
        <v>40</v>
      </c>
      <c r="CR316" s="79">
        <f t="shared" si="275"/>
        <v>1.2</v>
      </c>
      <c r="CS316" s="92">
        <f>_xlfn.XLOOKUP(C316, '[1]1-1. 관계사체무보증금액 (환율 등)'!$3:$3, '[1]1-1. 관계사체무보증금액 (환율 등)'!$33:$33)</f>
        <v>0</v>
      </c>
      <c r="CT316" s="77">
        <f t="shared" si="262"/>
        <v>0</v>
      </c>
      <c r="CU316" s="78">
        <f t="shared" si="263"/>
        <v>100</v>
      </c>
      <c r="CV316" s="79">
        <f t="shared" si="276"/>
        <v>2</v>
      </c>
      <c r="CW316" s="112">
        <f t="shared" si="264"/>
        <v>15.206382859676751</v>
      </c>
    </row>
    <row r="317" spans="1:101" x14ac:dyDescent="0.35">
      <c r="A317" s="7" t="s">
        <v>610</v>
      </c>
      <c r="B317" s="8" t="s">
        <v>611</v>
      </c>
      <c r="C317" s="21" t="s">
        <v>612</v>
      </c>
      <c r="D317" s="22" t="s">
        <v>31</v>
      </c>
      <c r="E317" s="11" t="s">
        <v>613</v>
      </c>
      <c r="F317" s="11" t="s">
        <v>614</v>
      </c>
      <c r="G317" s="12">
        <v>31404</v>
      </c>
      <c r="H317" s="11" t="s">
        <v>24</v>
      </c>
      <c r="I317" s="11" t="s">
        <v>615</v>
      </c>
      <c r="J317" s="11" t="s">
        <v>616</v>
      </c>
      <c r="K317" s="11" t="s">
        <v>27</v>
      </c>
      <c r="L317" s="23">
        <v>836764532</v>
      </c>
      <c r="M317" s="14">
        <v>122779865</v>
      </c>
      <c r="N317" s="14">
        <v>713984667</v>
      </c>
      <c r="O317" s="14">
        <v>150864212</v>
      </c>
      <c r="P317" s="14">
        <v>6382962</v>
      </c>
      <c r="Q317" s="14">
        <v>23763677</v>
      </c>
      <c r="R317" s="14">
        <v>33439084</v>
      </c>
      <c r="S317" s="15">
        <v>1328000</v>
      </c>
      <c r="T317" s="15">
        <v>204695</v>
      </c>
      <c r="U317" s="15">
        <v>266183</v>
      </c>
      <c r="V317" s="15">
        <v>41799</v>
      </c>
      <c r="W317" s="15">
        <v>0</v>
      </c>
      <c r="X317" s="15">
        <v>66399</v>
      </c>
      <c r="Y317" s="24" t="s">
        <v>2072</v>
      </c>
      <c r="Z317" s="15">
        <v>445212</v>
      </c>
      <c r="AA317" s="15">
        <v>0</v>
      </c>
      <c r="AB317" s="74">
        <f t="shared" si="224"/>
        <v>819593</v>
      </c>
      <c r="AC317" s="75">
        <f t="shared" si="225"/>
        <v>61.716340361445788</v>
      </c>
      <c r="AD317" s="75">
        <f t="shared" si="226"/>
        <v>46.821340309454158</v>
      </c>
      <c r="AE317" s="76">
        <f t="shared" si="265"/>
        <v>1.4046402092836248</v>
      </c>
      <c r="AF317" s="77">
        <f t="shared" si="227"/>
        <v>27.417486791209868</v>
      </c>
      <c r="AG317" s="77">
        <f t="shared" si="228"/>
        <v>72.962641490957495</v>
      </c>
      <c r="AH317" s="77">
        <f t="shared" si="229"/>
        <v>45.545154699747627</v>
      </c>
      <c r="AI317" s="78">
        <f t="shared" si="230"/>
        <v>60</v>
      </c>
      <c r="AJ317" s="79">
        <f t="shared" si="266"/>
        <v>2.4</v>
      </c>
      <c r="AK317" s="113">
        <v>5</v>
      </c>
      <c r="AL317" s="113">
        <v>3</v>
      </c>
      <c r="AM317" s="113">
        <v>0</v>
      </c>
      <c r="AN317" s="81">
        <f t="shared" si="231"/>
        <v>8</v>
      </c>
      <c r="AO317" s="82">
        <f t="shared" si="232"/>
        <v>0</v>
      </c>
      <c r="AP317" s="83">
        <f t="shared" si="233"/>
        <v>100</v>
      </c>
      <c r="AQ317" s="84">
        <f t="shared" si="267"/>
        <v>2</v>
      </c>
      <c r="AR317" s="118">
        <v>3</v>
      </c>
      <c r="AS317" s="86">
        <f t="shared" si="234"/>
        <v>0.25</v>
      </c>
      <c r="AT317" s="87">
        <f t="shared" si="235"/>
        <v>1.25</v>
      </c>
      <c r="AU317" s="87">
        <f t="shared" si="236"/>
        <v>1</v>
      </c>
      <c r="AV317" s="88">
        <f t="shared" si="237"/>
        <v>40</v>
      </c>
      <c r="AW317" s="78">
        <f t="shared" si="238"/>
        <v>100</v>
      </c>
      <c r="AX317" s="89">
        <f t="shared" si="268"/>
        <v>1</v>
      </c>
      <c r="AY317" s="114">
        <v>10</v>
      </c>
      <c r="AZ317" s="114">
        <v>29</v>
      </c>
      <c r="BA317" s="91">
        <f t="shared" si="239"/>
        <v>30</v>
      </c>
      <c r="BB317" s="77">
        <f t="shared" si="240"/>
        <v>96.666666666666671</v>
      </c>
      <c r="BC317" s="78">
        <f t="shared" si="241"/>
        <v>100</v>
      </c>
      <c r="BD317" s="79">
        <f t="shared" si="269"/>
        <v>1</v>
      </c>
      <c r="BE317" s="92">
        <v>1444870</v>
      </c>
      <c r="BF317" s="92">
        <v>168821</v>
      </c>
      <c r="BG317" s="114">
        <v>79374</v>
      </c>
      <c r="BH317" s="94">
        <f t="shared" si="242"/>
        <v>1613691</v>
      </c>
      <c r="BI317" s="77">
        <f t="shared" si="243"/>
        <v>4.9187855667534865</v>
      </c>
      <c r="BJ317" s="95" t="str">
        <f t="shared" si="244"/>
        <v>식약/섬유/종이업</v>
      </c>
      <c r="BK317" s="96">
        <f t="shared" si="245"/>
        <v>2.1999360555264453</v>
      </c>
      <c r="BL317" s="97">
        <f t="shared" si="246"/>
        <v>2.7188495112270412</v>
      </c>
      <c r="BM317" s="98">
        <f t="shared" si="247"/>
        <v>40</v>
      </c>
      <c r="BN317" s="99">
        <f t="shared" si="248"/>
        <v>0.8</v>
      </c>
      <c r="BO317" s="114">
        <v>0</v>
      </c>
      <c r="BP317" s="101">
        <f t="shared" si="249"/>
        <v>0</v>
      </c>
      <c r="BQ317" s="78">
        <f t="shared" si="250"/>
        <v>25</v>
      </c>
      <c r="BR317" s="79">
        <f t="shared" si="270"/>
        <v>0.5</v>
      </c>
      <c r="BS317" s="102">
        <v>5196667.7439999999</v>
      </c>
      <c r="BT317" s="102">
        <v>38270.135999999999</v>
      </c>
      <c r="BU317" s="103">
        <f t="shared" si="251"/>
        <v>5158397.608</v>
      </c>
      <c r="BV317" s="77">
        <f t="shared" si="252"/>
        <v>3.4192321290883751</v>
      </c>
      <c r="BW317" s="96">
        <f t="shared" si="253"/>
        <v>5.0508176117342298</v>
      </c>
      <c r="BX317" s="96">
        <f t="shared" si="254"/>
        <v>2.6620711871807066</v>
      </c>
      <c r="BY317" s="96">
        <f t="shared" si="255"/>
        <v>6.9871618081220923</v>
      </c>
      <c r="BZ317" s="96">
        <f t="shared" si="256"/>
        <v>59.231803791532592</v>
      </c>
      <c r="CA317" s="96">
        <f t="shared" si="257"/>
        <v>55</v>
      </c>
      <c r="CB317" s="104">
        <f t="shared" si="258"/>
        <v>1.1000000000000001</v>
      </c>
      <c r="CC317" s="105">
        <f t="shared" si="271"/>
        <v>17.196428813505598</v>
      </c>
      <c r="CD317" s="106">
        <f t="shared" si="272"/>
        <v>93.895818286367231</v>
      </c>
      <c r="CE317" s="107">
        <f t="shared" si="273"/>
        <v>1.4084372742955085</v>
      </c>
      <c r="CF317" s="108" t="s">
        <v>2189</v>
      </c>
      <c r="CG317" s="108" t="s">
        <v>2189</v>
      </c>
      <c r="CH317" s="108" t="s">
        <v>2189</v>
      </c>
      <c r="CI317" s="108" t="s">
        <v>2189</v>
      </c>
      <c r="CJ317" s="109"/>
      <c r="CK317" s="116" t="s">
        <v>2192</v>
      </c>
      <c r="CL317" s="116" t="s">
        <v>2193</v>
      </c>
      <c r="CM317" s="111">
        <f t="shared" si="259"/>
        <v>25</v>
      </c>
      <c r="CN317" s="107">
        <f t="shared" si="274"/>
        <v>0.375</v>
      </c>
      <c r="CO317" s="114">
        <f>181522000+50355000+50315000+143811000+8849000</f>
        <v>434852000</v>
      </c>
      <c r="CP317" s="88">
        <f t="shared" si="260"/>
        <v>60.904949377575356</v>
      </c>
      <c r="CQ317" s="78">
        <f t="shared" si="261"/>
        <v>40</v>
      </c>
      <c r="CR317" s="79">
        <f t="shared" si="275"/>
        <v>1.2</v>
      </c>
      <c r="CS317" s="92">
        <f>_xlfn.XLOOKUP(C317, '[1]1-1. 관계사체무보증금액 (환율 등)'!$3:$3, '[1]1-1. 관계사체무보증금액 (환율 등)'!$33:$33)</f>
        <v>0</v>
      </c>
      <c r="CT317" s="77">
        <f t="shared" si="262"/>
        <v>0</v>
      </c>
      <c r="CU317" s="78">
        <f t="shared" si="263"/>
        <v>100</v>
      </c>
      <c r="CV317" s="79">
        <f t="shared" si="276"/>
        <v>2</v>
      </c>
      <c r="CW317" s="112">
        <f t="shared" si="264"/>
        <v>15.188077483579132</v>
      </c>
    </row>
    <row r="318" spans="1:101" x14ac:dyDescent="0.35">
      <c r="A318" s="7" t="s">
        <v>1964</v>
      </c>
      <c r="B318" s="8" t="s">
        <v>1965</v>
      </c>
      <c r="C318" s="21" t="s">
        <v>1966</v>
      </c>
      <c r="D318" s="10" t="s">
        <v>21</v>
      </c>
      <c r="E318" s="11" t="s">
        <v>134</v>
      </c>
      <c r="F318" s="11" t="s">
        <v>1967</v>
      </c>
      <c r="G318" s="12">
        <v>28460</v>
      </c>
      <c r="H318" s="11" t="s">
        <v>24</v>
      </c>
      <c r="I318" s="11" t="s">
        <v>1968</v>
      </c>
      <c r="J318" s="11" t="s">
        <v>1969</v>
      </c>
      <c r="K318" s="11" t="s">
        <v>27</v>
      </c>
      <c r="L318" s="23">
        <v>1308741234</v>
      </c>
      <c r="M318" s="14">
        <v>878633042</v>
      </c>
      <c r="N318" s="14">
        <v>430108191</v>
      </c>
      <c r="O318" s="14">
        <v>4311279621</v>
      </c>
      <c r="P318" s="14">
        <v>29265563</v>
      </c>
      <c r="Q318" s="14">
        <v>78592213</v>
      </c>
      <c r="R318" s="14">
        <v>78671213</v>
      </c>
      <c r="S318" s="15">
        <v>13228966</v>
      </c>
      <c r="T318" s="15">
        <v>1218000</v>
      </c>
      <c r="U318" s="15">
        <f>2882000+319601</f>
        <v>3201601</v>
      </c>
      <c r="V318" s="15">
        <v>0</v>
      </c>
      <c r="W318" s="15">
        <v>14000</v>
      </c>
      <c r="X318" s="15">
        <v>0</v>
      </c>
      <c r="Z318" s="15">
        <v>0</v>
      </c>
      <c r="AA318" s="15">
        <v>0</v>
      </c>
      <c r="AB318" s="74">
        <f t="shared" si="224"/>
        <v>3215601</v>
      </c>
      <c r="AC318" s="75">
        <f t="shared" si="225"/>
        <v>24.307273901830271</v>
      </c>
      <c r="AD318" s="75">
        <f t="shared" si="226"/>
        <v>79.107646229720714</v>
      </c>
      <c r="AE318" s="76">
        <f t="shared" si="265"/>
        <v>2.3732293868916212</v>
      </c>
      <c r="AF318" s="77">
        <f t="shared" si="227"/>
        <v>26.655649512287354</v>
      </c>
      <c r="AG318" s="77">
        <f t="shared" si="228"/>
        <v>26.772209662403508</v>
      </c>
      <c r="AH318" s="77">
        <f t="shared" si="229"/>
        <v>0.11656015011615395</v>
      </c>
      <c r="AI318" s="78">
        <f t="shared" si="230"/>
        <v>100</v>
      </c>
      <c r="AJ318" s="79">
        <f t="shared" si="266"/>
        <v>4</v>
      </c>
      <c r="AK318" s="113">
        <v>6</v>
      </c>
      <c r="AL318" s="113">
        <v>12</v>
      </c>
      <c r="AM318" s="113">
        <v>1</v>
      </c>
      <c r="AN318" s="81">
        <f t="shared" si="231"/>
        <v>18</v>
      </c>
      <c r="AO318" s="82">
        <f t="shared" si="232"/>
        <v>5.5555555555555554</v>
      </c>
      <c r="AP318" s="83">
        <f t="shared" si="233"/>
        <v>100</v>
      </c>
      <c r="AQ318" s="84">
        <f t="shared" si="267"/>
        <v>2</v>
      </c>
      <c r="AR318" s="118">
        <v>3</v>
      </c>
      <c r="AS318" s="86">
        <f t="shared" si="234"/>
        <v>0.25</v>
      </c>
      <c r="AT318" s="87">
        <f t="shared" si="235"/>
        <v>1.5</v>
      </c>
      <c r="AU318" s="87">
        <f t="shared" si="236"/>
        <v>1</v>
      </c>
      <c r="AV318" s="88">
        <f t="shared" si="237"/>
        <v>33.333333333333329</v>
      </c>
      <c r="AW318" s="78">
        <f t="shared" si="238"/>
        <v>80</v>
      </c>
      <c r="AX318" s="89">
        <f t="shared" si="268"/>
        <v>0.8</v>
      </c>
      <c r="AY318" s="114">
        <v>6</v>
      </c>
      <c r="AZ318" s="114">
        <v>18</v>
      </c>
      <c r="BA318" s="91">
        <f t="shared" si="239"/>
        <v>18</v>
      </c>
      <c r="BB318" s="77">
        <f t="shared" si="240"/>
        <v>100</v>
      </c>
      <c r="BC318" s="78">
        <f t="shared" si="241"/>
        <v>100</v>
      </c>
      <c r="BD318" s="79">
        <f t="shared" si="269"/>
        <v>1</v>
      </c>
      <c r="BE318" s="92">
        <v>28942000</v>
      </c>
      <c r="BF318" s="92">
        <v>2280000</v>
      </c>
      <c r="BG318" s="114">
        <v>1563000</v>
      </c>
      <c r="BH318" s="94">
        <f t="shared" si="242"/>
        <v>31222000</v>
      </c>
      <c r="BI318" s="77">
        <f t="shared" si="243"/>
        <v>5.0060854525654985</v>
      </c>
      <c r="BJ318" s="95" t="str">
        <f t="shared" si="244"/>
        <v>비제조/서비스업</v>
      </c>
      <c r="BK318" s="96">
        <f t="shared" si="245"/>
        <v>1.7464434573900922</v>
      </c>
      <c r="BL318" s="97">
        <f t="shared" si="246"/>
        <v>3.2596419951754063</v>
      </c>
      <c r="BM318" s="98">
        <f t="shared" si="247"/>
        <v>40</v>
      </c>
      <c r="BN318" s="99">
        <f t="shared" si="248"/>
        <v>0.8</v>
      </c>
      <c r="BO318" s="114">
        <v>0</v>
      </c>
      <c r="BP318" s="101">
        <f t="shared" si="249"/>
        <v>0</v>
      </c>
      <c r="BQ318" s="78">
        <f t="shared" si="250"/>
        <v>25</v>
      </c>
      <c r="BR318" s="79">
        <f t="shared" si="270"/>
        <v>0.5</v>
      </c>
      <c r="BS318" s="102">
        <v>436443.88500000001</v>
      </c>
      <c r="BT318" s="102">
        <v>768185.91</v>
      </c>
      <c r="BU318" s="103">
        <f t="shared" si="251"/>
        <v>-331742.02500000002</v>
      </c>
      <c r="BV318" s="77">
        <f t="shared" si="252"/>
        <v>-7.6947462044471282E-3</v>
      </c>
      <c r="BW318" s="96">
        <f t="shared" si="253"/>
        <v>2.8482825397737606</v>
      </c>
      <c r="BX318" s="96">
        <f t="shared" si="254"/>
        <v>8.156606258023448</v>
      </c>
      <c r="BY318" s="96">
        <f t="shared" si="255"/>
        <v>5.5697595856656807</v>
      </c>
      <c r="BZ318" s="96">
        <f t="shared" si="256"/>
        <v>69.594211168382856</v>
      </c>
      <c r="CA318" s="96">
        <f t="shared" si="257"/>
        <v>40</v>
      </c>
      <c r="CB318" s="104">
        <f t="shared" si="258"/>
        <v>0.8</v>
      </c>
      <c r="CC318" s="105">
        <f t="shared" si="271"/>
        <v>204.28186683847645</v>
      </c>
      <c r="CD318" s="106">
        <f t="shared" si="272"/>
        <v>25</v>
      </c>
      <c r="CE318" s="107">
        <f t="shared" si="273"/>
        <v>0.375</v>
      </c>
      <c r="CF318" s="108" t="s">
        <v>2189</v>
      </c>
      <c r="CG318" s="108" t="s">
        <v>2189</v>
      </c>
      <c r="CH318" s="108" t="s">
        <v>2189</v>
      </c>
      <c r="CI318" s="108" t="s">
        <v>2189</v>
      </c>
      <c r="CJ318" s="109"/>
      <c r="CK318" s="116" t="s">
        <v>2195</v>
      </c>
      <c r="CL318" s="116" t="s">
        <v>2196</v>
      </c>
      <c r="CM318" s="111">
        <f t="shared" si="259"/>
        <v>55</v>
      </c>
      <c r="CN318" s="107">
        <f t="shared" si="274"/>
        <v>0.82499999999999996</v>
      </c>
      <c r="CO318" s="114">
        <v>284848000</v>
      </c>
      <c r="CP318" s="88">
        <f t="shared" si="260"/>
        <v>66.22705774045582</v>
      </c>
      <c r="CQ318" s="78">
        <f t="shared" si="261"/>
        <v>40</v>
      </c>
      <c r="CR318" s="79">
        <f t="shared" si="275"/>
        <v>1.2</v>
      </c>
      <c r="CS318" s="92">
        <f>_xlfn.XLOOKUP(C318, '[1]1-1. 관계사체무보증금액 (환율 등)'!$3:$3, '[1]1-1. 관계사체무보증금액 (환율 등)'!$33:$33)</f>
        <v>467613924.05063283</v>
      </c>
      <c r="CT318" s="77">
        <f t="shared" si="262"/>
        <v>108.72006946983086</v>
      </c>
      <c r="CU318" s="78">
        <f t="shared" si="263"/>
        <v>20</v>
      </c>
      <c r="CV318" s="79">
        <f t="shared" si="276"/>
        <v>0.4</v>
      </c>
      <c r="CW318" s="112">
        <f t="shared" si="264"/>
        <v>15.073229386891622</v>
      </c>
    </row>
    <row r="319" spans="1:101" x14ac:dyDescent="0.35">
      <c r="A319" s="7" t="s">
        <v>414</v>
      </c>
      <c r="B319" s="8" t="s">
        <v>415</v>
      </c>
      <c r="C319" s="21" t="s">
        <v>416</v>
      </c>
      <c r="D319" s="10" t="s">
        <v>75</v>
      </c>
      <c r="E319" s="11" t="s">
        <v>114</v>
      </c>
      <c r="F319" s="11" t="s">
        <v>417</v>
      </c>
      <c r="G319" s="12">
        <v>27905</v>
      </c>
      <c r="H319" s="11" t="s">
        <v>24</v>
      </c>
      <c r="I319" s="11" t="s">
        <v>418</v>
      </c>
      <c r="J319" s="11" t="s">
        <v>419</v>
      </c>
      <c r="K319" s="11" t="s">
        <v>110</v>
      </c>
      <c r="L319" s="23">
        <v>1426860291</v>
      </c>
      <c r="M319" s="14">
        <v>243570816</v>
      </c>
      <c r="N319" s="14">
        <v>1183289475</v>
      </c>
      <c r="O319" s="14">
        <v>559167200</v>
      </c>
      <c r="P319" s="14">
        <v>43001257</v>
      </c>
      <c r="Q319" s="14">
        <v>60233515</v>
      </c>
      <c r="R319" s="14">
        <v>45128788</v>
      </c>
      <c r="S319" s="15">
        <v>23000000</v>
      </c>
      <c r="T319" s="15">
        <v>7973</v>
      </c>
      <c r="U319" s="15">
        <f>4615665</f>
        <v>4615665</v>
      </c>
      <c r="V319" s="15">
        <f>2641856+909001+323476+35691+29577</f>
        <v>3939601</v>
      </c>
      <c r="W319" s="15">
        <f>1915+6261</f>
        <v>8176</v>
      </c>
      <c r="X319" s="15">
        <v>230008</v>
      </c>
      <c r="Y319" s="24" t="s">
        <v>2064</v>
      </c>
      <c r="Z319" s="15">
        <f>3504812+3248625</f>
        <v>6753437</v>
      </c>
      <c r="AA319" s="15">
        <v>86612</v>
      </c>
      <c r="AB319" s="74">
        <f t="shared" si="224"/>
        <v>15546887</v>
      </c>
      <c r="AC319" s="75">
        <f t="shared" si="225"/>
        <v>67.59516086956522</v>
      </c>
      <c r="AD319" s="75">
        <f t="shared" si="226"/>
        <v>41.747559663781452</v>
      </c>
      <c r="AE319" s="76">
        <f t="shared" si="265"/>
        <v>1.2524267899134436</v>
      </c>
      <c r="AF319" s="77">
        <f t="shared" si="227"/>
        <v>37.350408189504535</v>
      </c>
      <c r="AG319" s="77">
        <f t="shared" si="228"/>
        <v>67.4961575679812</v>
      </c>
      <c r="AH319" s="77">
        <f t="shared" si="229"/>
        <v>30.145749378476665</v>
      </c>
      <c r="AI319" s="78">
        <f t="shared" si="230"/>
        <v>60</v>
      </c>
      <c r="AJ319" s="79">
        <f t="shared" si="266"/>
        <v>2.4</v>
      </c>
      <c r="AK319" s="113">
        <v>10</v>
      </c>
      <c r="AL319" s="113">
        <v>9</v>
      </c>
      <c r="AM319" s="113">
        <v>2</v>
      </c>
      <c r="AN319" s="81">
        <f t="shared" si="231"/>
        <v>19</v>
      </c>
      <c r="AO319" s="82">
        <f t="shared" si="232"/>
        <v>10.526315789473683</v>
      </c>
      <c r="AP319" s="83">
        <f t="shared" si="233"/>
        <v>80</v>
      </c>
      <c r="AQ319" s="84">
        <f t="shared" si="267"/>
        <v>1.6</v>
      </c>
      <c r="AR319" s="118">
        <v>4</v>
      </c>
      <c r="AS319" s="86">
        <f t="shared" si="234"/>
        <v>0.25</v>
      </c>
      <c r="AT319" s="87">
        <f t="shared" si="235"/>
        <v>2.5</v>
      </c>
      <c r="AU319" s="87">
        <f t="shared" si="236"/>
        <v>2</v>
      </c>
      <c r="AV319" s="88">
        <f t="shared" si="237"/>
        <v>20</v>
      </c>
      <c r="AW319" s="78">
        <f t="shared" si="238"/>
        <v>80</v>
      </c>
      <c r="AX319" s="89">
        <f t="shared" si="268"/>
        <v>0.8</v>
      </c>
      <c r="AY319" s="114">
        <v>6</v>
      </c>
      <c r="AZ319" s="114">
        <f>24</f>
        <v>24</v>
      </c>
      <c r="BA319" s="91">
        <f t="shared" si="239"/>
        <v>24</v>
      </c>
      <c r="BB319" s="77">
        <f t="shared" si="240"/>
        <v>100</v>
      </c>
      <c r="BC319" s="78">
        <f t="shared" si="241"/>
        <v>100</v>
      </c>
      <c r="BD319" s="79">
        <f t="shared" si="269"/>
        <v>1</v>
      </c>
      <c r="BE319" s="92">
        <v>14868000</v>
      </c>
      <c r="BF319" s="92">
        <v>1336000</v>
      </c>
      <c r="BG319" s="114">
        <v>1241000</v>
      </c>
      <c r="BH319" s="94">
        <f t="shared" si="242"/>
        <v>16204000</v>
      </c>
      <c r="BI319" s="77">
        <f t="shared" si="243"/>
        <v>7.6586028141199707</v>
      </c>
      <c r="BJ319" s="95" t="str">
        <f t="shared" si="244"/>
        <v>금속/비금속/화학업</v>
      </c>
      <c r="BK319" s="96">
        <f t="shared" si="245"/>
        <v>3.9534118626990469</v>
      </c>
      <c r="BL319" s="97">
        <f t="shared" si="246"/>
        <v>3.7051909514209238</v>
      </c>
      <c r="BM319" s="98">
        <f t="shared" si="247"/>
        <v>40</v>
      </c>
      <c r="BN319" s="99">
        <f t="shared" si="248"/>
        <v>0.8</v>
      </c>
      <c r="BO319" s="114">
        <v>9500000</v>
      </c>
      <c r="BP319" s="101">
        <f t="shared" si="249"/>
        <v>1.6989551604600557</v>
      </c>
      <c r="BQ319" s="78">
        <f t="shared" si="250"/>
        <v>70</v>
      </c>
      <c r="BR319" s="79">
        <f t="shared" si="270"/>
        <v>1.4000000000000001</v>
      </c>
      <c r="BS319" s="102">
        <v>9108388.6089999992</v>
      </c>
      <c r="BT319" s="102">
        <v>985894.598</v>
      </c>
      <c r="BU319" s="103">
        <f t="shared" si="251"/>
        <v>8122494.010999999</v>
      </c>
      <c r="BV319" s="77">
        <f t="shared" si="252"/>
        <v>1.4526055911362468</v>
      </c>
      <c r="BW319" s="96">
        <f t="shared" si="253"/>
        <v>5.1474158565187738</v>
      </c>
      <c r="BX319" s="96">
        <f t="shared" si="254"/>
        <v>13.6516228971761</v>
      </c>
      <c r="BY319" s="96">
        <f t="shared" si="255"/>
        <v>6.6930498535228535</v>
      </c>
      <c r="BZ319" s="96">
        <f t="shared" si="256"/>
        <v>70.953845229304306</v>
      </c>
      <c r="CA319" s="96">
        <f t="shared" si="257"/>
        <v>40</v>
      </c>
      <c r="CB319" s="104">
        <f t="shared" si="258"/>
        <v>0.8</v>
      </c>
      <c r="CC319" s="105">
        <f t="shared" si="271"/>
        <v>20.584212159919701</v>
      </c>
      <c r="CD319" s="106">
        <f t="shared" si="272"/>
        <v>92.619015517618209</v>
      </c>
      <c r="CE319" s="107">
        <f t="shared" si="273"/>
        <v>1.3892852327642731</v>
      </c>
      <c r="CF319" s="108" t="s">
        <v>2189</v>
      </c>
      <c r="CG319" s="108" t="s">
        <v>2189</v>
      </c>
      <c r="CH319" s="108" t="s">
        <v>2189</v>
      </c>
      <c r="CI319" s="108" t="s">
        <v>2189</v>
      </c>
      <c r="CJ319" s="109"/>
      <c r="CK319" s="116" t="s">
        <v>2195</v>
      </c>
      <c r="CL319" s="116" t="s">
        <v>2196</v>
      </c>
      <c r="CM319" s="111">
        <f t="shared" si="259"/>
        <v>55</v>
      </c>
      <c r="CN319" s="107">
        <f t="shared" si="274"/>
        <v>0.82499999999999996</v>
      </c>
      <c r="CO319" s="114">
        <v>544514000</v>
      </c>
      <c r="CP319" s="88">
        <f t="shared" si="260"/>
        <v>46.016973150209083</v>
      </c>
      <c r="CQ319" s="78">
        <f t="shared" si="261"/>
        <v>40</v>
      </c>
      <c r="CR319" s="79">
        <f t="shared" si="275"/>
        <v>1.2</v>
      </c>
      <c r="CS319" s="92">
        <f>_xlfn.XLOOKUP(C319, '[1]1-1. 관계사체무보증금액 (환율 등)'!$3:$3, '[1]1-1. 관계사체무보증금액 (환율 등)'!$33:$33)</f>
        <v>95625477.324988514</v>
      </c>
      <c r="CT319" s="77">
        <f t="shared" si="262"/>
        <v>8.0813257740662756</v>
      </c>
      <c r="CU319" s="78">
        <f t="shared" si="263"/>
        <v>80</v>
      </c>
      <c r="CV319" s="79">
        <f t="shared" si="276"/>
        <v>1.6</v>
      </c>
      <c r="CW319" s="112">
        <f t="shared" si="264"/>
        <v>15.066712022677715</v>
      </c>
    </row>
    <row r="320" spans="1:101" x14ac:dyDescent="0.35">
      <c r="A320" s="7" t="s">
        <v>167</v>
      </c>
      <c r="B320" s="8" t="s">
        <v>168</v>
      </c>
      <c r="C320" s="21" t="s">
        <v>169</v>
      </c>
      <c r="D320" s="27" t="s">
        <v>21</v>
      </c>
      <c r="E320" s="11" t="s">
        <v>91</v>
      </c>
      <c r="F320" s="11" t="s">
        <v>170</v>
      </c>
      <c r="G320" s="12">
        <v>34558</v>
      </c>
      <c r="H320" s="11" t="s">
        <v>24</v>
      </c>
      <c r="I320" s="11" t="s">
        <v>171</v>
      </c>
      <c r="J320" s="11" t="s">
        <v>172</v>
      </c>
      <c r="K320" s="11" t="s">
        <v>27</v>
      </c>
      <c r="L320" s="23">
        <v>1405053368</v>
      </c>
      <c r="M320" s="14">
        <v>1006454557</v>
      </c>
      <c r="N320" s="14">
        <v>398598812</v>
      </c>
      <c r="O320" s="14">
        <v>1379461788</v>
      </c>
      <c r="P320" s="14">
        <v>37587942</v>
      </c>
      <c r="Q320" s="14">
        <v>27839730</v>
      </c>
      <c r="R320" s="14">
        <v>18200083</v>
      </c>
      <c r="S320" s="15">
        <v>37858601</v>
      </c>
      <c r="T320" s="15">
        <v>0</v>
      </c>
      <c r="U320" s="15">
        <v>6630563</v>
      </c>
      <c r="V320" s="15">
        <f>97237+18860+17000+34000</f>
        <v>167097</v>
      </c>
      <c r="W320" s="15">
        <f>24350+17000+18956+13249+15721+2190+525+6600+20000+8608+1000+748+25000</f>
        <v>153947</v>
      </c>
      <c r="X320" s="15">
        <v>869509</v>
      </c>
      <c r="Y320" s="24" t="s">
        <v>2055</v>
      </c>
      <c r="Z320" s="15">
        <f>6161208+9006833</f>
        <v>15168041</v>
      </c>
      <c r="AA320" s="15">
        <v>0</v>
      </c>
      <c r="AB320" s="74">
        <f t="shared" si="224"/>
        <v>22989157</v>
      </c>
      <c r="AC320" s="75">
        <f t="shared" si="225"/>
        <v>60.723736199338163</v>
      </c>
      <c r="AD320" s="75">
        <f t="shared" si="226"/>
        <v>47.678018239926793</v>
      </c>
      <c r="AE320" s="76">
        <f t="shared" si="265"/>
        <v>1.4303405471978037</v>
      </c>
      <c r="AF320" s="77">
        <f t="shared" si="227"/>
        <v>17.955391431394943</v>
      </c>
      <c r="AG320" s="77">
        <f t="shared" si="228"/>
        <v>60.723736199338163</v>
      </c>
      <c r="AH320" s="77">
        <f t="shared" si="229"/>
        <v>42.768344767943219</v>
      </c>
      <c r="AI320" s="78">
        <f t="shared" si="230"/>
        <v>60</v>
      </c>
      <c r="AJ320" s="79">
        <f t="shared" si="266"/>
        <v>2.4</v>
      </c>
      <c r="AK320" s="113">
        <v>8</v>
      </c>
      <c r="AL320" s="113">
        <v>26</v>
      </c>
      <c r="AM320" s="113">
        <v>1</v>
      </c>
      <c r="AN320" s="81">
        <f t="shared" si="231"/>
        <v>34</v>
      </c>
      <c r="AO320" s="82">
        <f t="shared" si="232"/>
        <v>2.9411764705882351</v>
      </c>
      <c r="AP320" s="83">
        <f t="shared" si="233"/>
        <v>100</v>
      </c>
      <c r="AQ320" s="84">
        <f t="shared" si="267"/>
        <v>2</v>
      </c>
      <c r="AR320" s="118">
        <v>4</v>
      </c>
      <c r="AS320" s="86">
        <f t="shared" si="234"/>
        <v>0.25</v>
      </c>
      <c r="AT320" s="87">
        <f t="shared" si="235"/>
        <v>2</v>
      </c>
      <c r="AU320" s="87">
        <f t="shared" si="236"/>
        <v>2</v>
      </c>
      <c r="AV320" s="88">
        <f t="shared" si="237"/>
        <v>25</v>
      </c>
      <c r="AW320" s="78">
        <f t="shared" si="238"/>
        <v>80</v>
      </c>
      <c r="AX320" s="89">
        <f t="shared" si="268"/>
        <v>0.8</v>
      </c>
      <c r="AY320" s="114">
        <v>9</v>
      </c>
      <c r="AZ320" s="114">
        <f>9*4-1</f>
        <v>35</v>
      </c>
      <c r="BA320" s="91">
        <f t="shared" si="239"/>
        <v>36</v>
      </c>
      <c r="BB320" s="77">
        <f t="shared" si="240"/>
        <v>97.222222222222214</v>
      </c>
      <c r="BC320" s="78">
        <f t="shared" si="241"/>
        <v>100</v>
      </c>
      <c r="BD320" s="79">
        <f t="shared" si="269"/>
        <v>1</v>
      </c>
      <c r="BE320" s="92">
        <v>37627818</v>
      </c>
      <c r="BF320" s="92">
        <v>3211789</v>
      </c>
      <c r="BG320" s="114">
        <v>1444334</v>
      </c>
      <c r="BH320" s="94">
        <f t="shared" si="242"/>
        <v>40839607</v>
      </c>
      <c r="BI320" s="77">
        <f t="shared" si="243"/>
        <v>3.5366011235122805</v>
      </c>
      <c r="BJ320" s="95" t="str">
        <f t="shared" si="244"/>
        <v>비제조/서비스업</v>
      </c>
      <c r="BK320" s="96">
        <f t="shared" si="245"/>
        <v>1.7464434573900922</v>
      </c>
      <c r="BL320" s="97">
        <f t="shared" si="246"/>
        <v>1.7901576661221883</v>
      </c>
      <c r="BM320" s="98">
        <f t="shared" si="247"/>
        <v>60</v>
      </c>
      <c r="BN320" s="99">
        <f t="shared" si="248"/>
        <v>1.2</v>
      </c>
      <c r="BO320" s="114">
        <v>3880000</v>
      </c>
      <c r="BP320" s="101">
        <f t="shared" si="249"/>
        <v>0.2812691176915732</v>
      </c>
      <c r="BQ320" s="78">
        <f t="shared" si="250"/>
        <v>55</v>
      </c>
      <c r="BR320" s="79">
        <f t="shared" si="270"/>
        <v>1.1000000000000001</v>
      </c>
      <c r="BS320" s="102">
        <v>332911.141</v>
      </c>
      <c r="BT320" s="102">
        <v>515990.91</v>
      </c>
      <c r="BU320" s="103">
        <f t="shared" si="251"/>
        <v>-183079.76899999997</v>
      </c>
      <c r="BV320" s="77">
        <f t="shared" si="252"/>
        <v>-1.3271826055104904E-2</v>
      </c>
      <c r="BW320" s="96">
        <f t="shared" si="253"/>
        <v>2.8482825397737606</v>
      </c>
      <c r="BX320" s="96">
        <f t="shared" si="254"/>
        <v>8.1884933885942406</v>
      </c>
      <c r="BY320" s="96">
        <f t="shared" si="255"/>
        <v>5.5697595856656807</v>
      </c>
      <c r="BZ320" s="96">
        <f t="shared" si="256"/>
        <v>69.629227839792961</v>
      </c>
      <c r="CA320" s="96">
        <f t="shared" si="257"/>
        <v>40</v>
      </c>
      <c r="CB320" s="104">
        <f t="shared" si="258"/>
        <v>0.8</v>
      </c>
      <c r="CC320" s="105">
        <f t="shared" si="271"/>
        <v>252.49813263367176</v>
      </c>
      <c r="CD320" s="106">
        <f t="shared" si="272"/>
        <v>25</v>
      </c>
      <c r="CE320" s="107">
        <f t="shared" si="273"/>
        <v>0.375</v>
      </c>
      <c r="CF320" s="108" t="s">
        <v>2189</v>
      </c>
      <c r="CG320" s="108" t="s">
        <v>2189</v>
      </c>
      <c r="CH320" s="108" t="s">
        <v>2189</v>
      </c>
      <c r="CI320" s="108" t="s">
        <v>2189</v>
      </c>
      <c r="CJ320" s="109"/>
      <c r="CK320" s="116" t="s">
        <v>2208</v>
      </c>
      <c r="CL320" s="116" t="s">
        <v>2209</v>
      </c>
      <c r="CM320" s="111">
        <f t="shared" si="259"/>
        <v>40</v>
      </c>
      <c r="CN320" s="107">
        <f t="shared" si="274"/>
        <v>0.6</v>
      </c>
      <c r="CO320" s="114">
        <f>2076000+115531000+10826000+272000+100000+1000+7405000+123685000</f>
        <v>259896000</v>
      </c>
      <c r="CP320" s="88">
        <f t="shared" si="260"/>
        <v>65.202402058338294</v>
      </c>
      <c r="CQ320" s="78">
        <f t="shared" si="261"/>
        <v>40</v>
      </c>
      <c r="CR320" s="79">
        <f t="shared" si="275"/>
        <v>1.2</v>
      </c>
      <c r="CS320" s="92">
        <f>_xlfn.XLOOKUP(C320, '[1]1-1. 관계사체무보증금액 (환율 등)'!$3:$3, '[1]1-1. 관계사체무보증금액 (환율 등)'!$33:$33)</f>
        <v>8308000</v>
      </c>
      <c r="CT320" s="77">
        <f t="shared" si="262"/>
        <v>2.0843012447312561</v>
      </c>
      <c r="CU320" s="78">
        <f t="shared" si="263"/>
        <v>100</v>
      </c>
      <c r="CV320" s="79">
        <f t="shared" si="276"/>
        <v>2</v>
      </c>
      <c r="CW320" s="112">
        <f t="shared" si="264"/>
        <v>14.905340547197802</v>
      </c>
    </row>
    <row r="321" spans="1:101" x14ac:dyDescent="0.35">
      <c r="A321" s="7" t="s">
        <v>281</v>
      </c>
      <c r="B321" s="8" t="s">
        <v>282</v>
      </c>
      <c r="C321" s="21" t="s">
        <v>283</v>
      </c>
      <c r="D321" s="22" t="s">
        <v>141</v>
      </c>
      <c r="E321" s="11" t="s">
        <v>284</v>
      </c>
      <c r="F321" s="11" t="s">
        <v>285</v>
      </c>
      <c r="G321" s="12">
        <v>33975</v>
      </c>
      <c r="H321" s="11" t="s">
        <v>24</v>
      </c>
      <c r="I321" s="11" t="s">
        <v>286</v>
      </c>
      <c r="J321" s="11" t="s">
        <v>287</v>
      </c>
      <c r="K321" s="11" t="s">
        <v>27</v>
      </c>
      <c r="L321" s="23">
        <v>1689083868</v>
      </c>
      <c r="M321" s="14">
        <v>1058363402</v>
      </c>
      <c r="N321" s="14">
        <v>630720466</v>
      </c>
      <c r="O321" s="14">
        <v>903462137</v>
      </c>
      <c r="P321" s="14">
        <v>135794969</v>
      </c>
      <c r="Q321" s="14">
        <v>110455021</v>
      </c>
      <c r="R321" s="14">
        <v>82620907</v>
      </c>
      <c r="S321" s="15">
        <v>14677004</v>
      </c>
      <c r="T321" s="15">
        <v>269762</v>
      </c>
      <c r="U321" s="15">
        <v>2822815</v>
      </c>
      <c r="V321" s="15">
        <f>1512002+2598902+103000+20415</f>
        <v>4234319</v>
      </c>
      <c r="W321" s="15">
        <f>4000+2000</f>
        <v>6000</v>
      </c>
      <c r="X321" s="15">
        <v>0</v>
      </c>
      <c r="Z321" s="15">
        <f>819018+468354</f>
        <v>1287372</v>
      </c>
      <c r="AA321" s="15">
        <v>820849</v>
      </c>
      <c r="AB321" s="74">
        <f t="shared" si="224"/>
        <v>8350506</v>
      </c>
      <c r="AC321" s="75">
        <f t="shared" si="225"/>
        <v>56.895167433353564</v>
      </c>
      <c r="AD321" s="75">
        <f t="shared" si="226"/>
        <v>50.982306588014765</v>
      </c>
      <c r="AE321" s="76">
        <f t="shared" si="265"/>
        <v>1.5294691976404429</v>
      </c>
      <c r="AF321" s="77">
        <f t="shared" si="227"/>
        <v>51.942660572235766</v>
      </c>
      <c r="AG321" s="77">
        <f t="shared" si="228"/>
        <v>55.420574099394891</v>
      </c>
      <c r="AH321" s="77">
        <f t="shared" si="229"/>
        <v>3.4779135271591244</v>
      </c>
      <c r="AI321" s="78">
        <f t="shared" si="230"/>
        <v>100</v>
      </c>
      <c r="AJ321" s="79">
        <f t="shared" si="266"/>
        <v>4</v>
      </c>
      <c r="AK321" s="113">
        <v>7</v>
      </c>
      <c r="AL321" s="113">
        <v>8</v>
      </c>
      <c r="AM321" s="113">
        <v>2</v>
      </c>
      <c r="AN321" s="81">
        <f t="shared" si="231"/>
        <v>15</v>
      </c>
      <c r="AO321" s="82">
        <f t="shared" si="232"/>
        <v>13.333333333333334</v>
      </c>
      <c r="AP321" s="83">
        <f t="shared" si="233"/>
        <v>80</v>
      </c>
      <c r="AQ321" s="84">
        <f t="shared" si="267"/>
        <v>1.6</v>
      </c>
      <c r="AR321" s="118">
        <v>2</v>
      </c>
      <c r="AS321" s="86">
        <f t="shared" si="234"/>
        <v>0.25</v>
      </c>
      <c r="AT321" s="87">
        <f t="shared" si="235"/>
        <v>1.75</v>
      </c>
      <c r="AU321" s="87">
        <f t="shared" si="236"/>
        <v>1</v>
      </c>
      <c r="AV321" s="88">
        <f t="shared" si="237"/>
        <v>14.285714285714285</v>
      </c>
      <c r="AW321" s="78">
        <f t="shared" si="238"/>
        <v>60</v>
      </c>
      <c r="AX321" s="89">
        <f t="shared" si="268"/>
        <v>0.6</v>
      </c>
      <c r="AY321" s="114">
        <v>14</v>
      </c>
      <c r="AZ321" s="114">
        <v>28</v>
      </c>
      <c r="BA321" s="91">
        <f t="shared" si="239"/>
        <v>28</v>
      </c>
      <c r="BB321" s="77">
        <f t="shared" si="240"/>
        <v>100</v>
      </c>
      <c r="BC321" s="78">
        <f t="shared" si="241"/>
        <v>100</v>
      </c>
      <c r="BD321" s="79">
        <f t="shared" si="269"/>
        <v>1</v>
      </c>
      <c r="BE321" s="92">
        <v>3968983</v>
      </c>
      <c r="BF321" s="92">
        <v>319873</v>
      </c>
      <c r="BG321" s="114">
        <v>206124</v>
      </c>
      <c r="BH321" s="94">
        <f t="shared" si="242"/>
        <v>4288856</v>
      </c>
      <c r="BI321" s="77">
        <f t="shared" si="243"/>
        <v>4.8060368545831338</v>
      </c>
      <c r="BJ321" s="95" t="str">
        <f t="shared" si="244"/>
        <v>전기전자/기계업</v>
      </c>
      <c r="BK321" s="96">
        <f t="shared" si="245"/>
        <v>2.4096449716116446</v>
      </c>
      <c r="BL321" s="97">
        <f t="shared" si="246"/>
        <v>2.3963918829714892</v>
      </c>
      <c r="BM321" s="98">
        <f t="shared" si="247"/>
        <v>40</v>
      </c>
      <c r="BN321" s="99">
        <f t="shared" si="248"/>
        <v>0.8</v>
      </c>
      <c r="BO321" s="114">
        <v>255809</v>
      </c>
      <c r="BP321" s="101">
        <f t="shared" si="249"/>
        <v>2.8314302229579768E-2</v>
      </c>
      <c r="BQ321" s="78">
        <f t="shared" si="250"/>
        <v>40</v>
      </c>
      <c r="BR321" s="79">
        <f t="shared" si="270"/>
        <v>0.8</v>
      </c>
      <c r="BS321" s="102">
        <v>35539606.410999998</v>
      </c>
      <c r="BT321" s="102">
        <v>135709.29999999999</v>
      </c>
      <c r="BU321" s="103">
        <f t="shared" si="251"/>
        <v>35403897.111000001</v>
      </c>
      <c r="BV321" s="77">
        <f t="shared" si="252"/>
        <v>3.9186918478466359</v>
      </c>
      <c r="BW321" s="96">
        <f t="shared" si="253"/>
        <v>5.2309968128308295</v>
      </c>
      <c r="BX321" s="96">
        <f t="shared" si="254"/>
        <v>1.7221443211221654</v>
      </c>
      <c r="BY321" s="96">
        <f t="shared" si="255"/>
        <v>7.0695458012309631</v>
      </c>
      <c r="BZ321" s="96">
        <f t="shared" si="256"/>
        <v>57.363171494041886</v>
      </c>
      <c r="CA321" s="96">
        <f t="shared" si="257"/>
        <v>55</v>
      </c>
      <c r="CB321" s="104">
        <f t="shared" si="258"/>
        <v>1.1000000000000001</v>
      </c>
      <c r="CC321" s="105">
        <f t="shared" si="271"/>
        <v>167.8022926245111</v>
      </c>
      <c r="CD321" s="106">
        <f t="shared" si="272"/>
        <v>37.134814337495818</v>
      </c>
      <c r="CE321" s="107">
        <f t="shared" si="273"/>
        <v>0.55702221506243721</v>
      </c>
      <c r="CF321" s="108" t="s">
        <v>2189</v>
      </c>
      <c r="CG321" s="108" t="s">
        <v>2189</v>
      </c>
      <c r="CH321" s="108" t="s">
        <v>2189</v>
      </c>
      <c r="CI321" s="108" t="s">
        <v>2189</v>
      </c>
      <c r="CJ321" s="109"/>
      <c r="CK321" s="116" t="s">
        <v>2207</v>
      </c>
      <c r="CL321" s="116" t="s">
        <v>2204</v>
      </c>
      <c r="CM321" s="111">
        <f t="shared" si="259"/>
        <v>70</v>
      </c>
      <c r="CN321" s="107">
        <f t="shared" si="274"/>
        <v>1.05</v>
      </c>
      <c r="CO321" s="114">
        <v>318993000</v>
      </c>
      <c r="CP321" s="88">
        <f t="shared" si="260"/>
        <v>50.575971003928068</v>
      </c>
      <c r="CQ321" s="78">
        <f t="shared" si="261"/>
        <v>40</v>
      </c>
      <c r="CR321" s="79">
        <f t="shared" si="275"/>
        <v>1.2</v>
      </c>
      <c r="CS321" s="92">
        <f>_xlfn.XLOOKUP(C321, '[1]1-1. 관계사체무보증금액 (환율 등)'!$3:$3, '[1]1-1. 관계사체무보증금액 (환율 등)'!$33:$33)</f>
        <v>1144339697</v>
      </c>
      <c r="CT321" s="77">
        <f t="shared" si="262"/>
        <v>181.43373470300551</v>
      </c>
      <c r="CU321" s="78">
        <f t="shared" si="263"/>
        <v>20</v>
      </c>
      <c r="CV321" s="79">
        <f t="shared" si="276"/>
        <v>0.4</v>
      </c>
      <c r="CW321" s="112">
        <f t="shared" si="264"/>
        <v>14.636491412702881</v>
      </c>
    </row>
    <row r="322" spans="1:101" x14ac:dyDescent="0.35">
      <c r="A322" s="7" t="s">
        <v>1989</v>
      </c>
      <c r="B322" s="8" t="s">
        <v>1990</v>
      </c>
      <c r="C322" s="21" t="s">
        <v>1991</v>
      </c>
      <c r="D322" s="22" t="s">
        <v>141</v>
      </c>
      <c r="E322" s="11" t="s">
        <v>356</v>
      </c>
      <c r="F322" s="11" t="s">
        <v>1992</v>
      </c>
      <c r="G322" s="12">
        <v>44270</v>
      </c>
      <c r="H322" s="11" t="s">
        <v>24</v>
      </c>
      <c r="I322" s="11" t="s">
        <v>1993</v>
      </c>
      <c r="J322" s="11" t="s">
        <v>1994</v>
      </c>
      <c r="K322" s="11" t="s">
        <v>102</v>
      </c>
      <c r="L322" s="23">
        <v>395294330</v>
      </c>
      <c r="M322" s="14">
        <v>302633820</v>
      </c>
      <c r="N322" s="14">
        <v>92660510</v>
      </c>
      <c r="O322" s="14">
        <v>657241500</v>
      </c>
      <c r="P322" s="14">
        <v>12719529</v>
      </c>
      <c r="Q322" s="14">
        <v>15411762</v>
      </c>
      <c r="R322" s="14">
        <v>12684598</v>
      </c>
      <c r="S322" s="15">
        <v>18993623</v>
      </c>
      <c r="T322" s="15">
        <v>2836</v>
      </c>
      <c r="U322" s="15">
        <v>4170110</v>
      </c>
      <c r="V322" s="15">
        <v>2560893</v>
      </c>
      <c r="W322" s="15">
        <v>0</v>
      </c>
      <c r="X322" s="15">
        <v>0</v>
      </c>
      <c r="Z322" s="15">
        <f>2141216+1758079</f>
        <v>3899295</v>
      </c>
      <c r="AA322" s="15">
        <v>0</v>
      </c>
      <c r="AB322" s="74">
        <f t="shared" si="224"/>
        <v>10630298</v>
      </c>
      <c r="AC322" s="75">
        <f t="shared" ref="AC322:AC385" si="277">(AB322/S322)*100</f>
        <v>55.967721376801052</v>
      </c>
      <c r="AD322" s="75">
        <f t="shared" ref="AD322:AD385" si="278">100-(75*(AC322-0.1))/(87-0.1)</f>
        <v>51.782749099423718</v>
      </c>
      <c r="AE322" s="76">
        <f t="shared" si="265"/>
        <v>1.5534824729827115</v>
      </c>
      <c r="AF322" s="77">
        <f t="shared" si="227"/>
        <v>35.44351795425856</v>
      </c>
      <c r="AG322" s="77">
        <f t="shared" si="228"/>
        <v>55.976079348370348</v>
      </c>
      <c r="AH322" s="77">
        <f t="shared" ref="AH322:AH385" si="279">AG322-AF322</f>
        <v>20.532561394111788</v>
      </c>
      <c r="AI322" s="78">
        <f t="shared" ref="AI322:AI385" si="280">IF(AH322&lt;10, 100, IF(AH322&lt;30, 80, IF(AH322&lt;50, 60, IF(AH322&lt;80, 40, IF(AH322&lt;=100, 20)))))</f>
        <v>80</v>
      </c>
      <c r="AJ322" s="79">
        <f t="shared" si="266"/>
        <v>3.2</v>
      </c>
      <c r="AK322" s="113">
        <v>9</v>
      </c>
      <c r="AL322" s="113">
        <v>7</v>
      </c>
      <c r="AM322" s="113">
        <v>2</v>
      </c>
      <c r="AN322" s="81">
        <f t="shared" si="231"/>
        <v>16</v>
      </c>
      <c r="AO322" s="82">
        <f t="shared" ref="AO322:AO385" si="281">(AM322/AN322)*100</f>
        <v>12.5</v>
      </c>
      <c r="AP322" s="83">
        <f t="shared" ref="AP322:AP385" si="282">IF(AO322&lt;10, 100, IF(AO322&lt;20, 80, IF(AO322&lt;30, 60, IF(AO322&lt;50, 40, IF(AO322&gt;=50, 20)))))</f>
        <v>80</v>
      </c>
      <c r="AQ322" s="84">
        <f t="shared" si="267"/>
        <v>1.6</v>
      </c>
      <c r="AR322" s="118">
        <v>3</v>
      </c>
      <c r="AS322" s="86">
        <f t="shared" si="234"/>
        <v>0.25</v>
      </c>
      <c r="AT322" s="87">
        <f t="shared" ref="AT322:AT385" si="283">AK322*AS322</f>
        <v>2.25</v>
      </c>
      <c r="AU322" s="87">
        <f t="shared" ref="AU322:AU385" si="284">ROUNDDOWN(AT322,0)</f>
        <v>2</v>
      </c>
      <c r="AV322" s="88">
        <f t="shared" ref="AV322:AV385" si="285">(AR322-AU322)/AK322*100</f>
        <v>11.111111111111111</v>
      </c>
      <c r="AW322" s="78">
        <f t="shared" ref="AW322:AW385" si="286">IF(AV322&lt;0, 20, IF(AV322=0, 40, IF(AV322&lt;20, 60, IF(AV322&lt;40, 80, IF(AV322&gt;=40, 100)))))</f>
        <v>60</v>
      </c>
      <c r="AX322" s="89">
        <f t="shared" si="268"/>
        <v>0.6</v>
      </c>
      <c r="AY322" s="114">
        <v>8</v>
      </c>
      <c r="AZ322" s="114">
        <v>24</v>
      </c>
      <c r="BA322" s="91">
        <f t="shared" si="239"/>
        <v>24</v>
      </c>
      <c r="BB322" s="77">
        <f t="shared" ref="BB322:BB385" si="287">(AZ322/BA322)*100</f>
        <v>100</v>
      </c>
      <c r="BC322" s="78">
        <f t="shared" ref="BC322:BC385" si="288">IF(BB322&lt;70, 25, IF(BB322&lt;80, 50, IF(BB322&lt;90, 75, IF(BB322&gt;=90, 100))))</f>
        <v>100</v>
      </c>
      <c r="BD322" s="79">
        <f t="shared" si="269"/>
        <v>1</v>
      </c>
      <c r="BE322" s="199">
        <f>15980390</f>
        <v>15980390</v>
      </c>
      <c r="BF322" s="92">
        <v>2309595</v>
      </c>
      <c r="BG322" s="114">
        <v>470718</v>
      </c>
      <c r="BH322" s="94">
        <f t="shared" si="242"/>
        <v>18289985</v>
      </c>
      <c r="BI322" s="77">
        <f t="shared" ref="BI322:BI385" si="289">(BG322/BH322)*100</f>
        <v>2.5736379772864768</v>
      </c>
      <c r="BJ322" s="95" t="str">
        <f t="shared" si="244"/>
        <v>전기전자/기계업</v>
      </c>
      <c r="BK322" s="96">
        <f t="shared" ref="BK322:BK385" si="290">AVERAGEIF(BJ:BJ, BJ322, BI:BI)</f>
        <v>2.4096449716116446</v>
      </c>
      <c r="BL322" s="97">
        <f t="shared" ref="BL322:BL385" si="291">BI322-BK322</f>
        <v>0.16399300567483222</v>
      </c>
      <c r="BM322" s="98">
        <f t="shared" ref="BM322:BM385" si="292">IF(BL322&lt;-2, 100, IF(BL322&lt;0, 80, IF(BL322&lt;2, 60, IF(BL322&lt;10, 40, 20))))</f>
        <v>60</v>
      </c>
      <c r="BN322" s="99">
        <f t="shared" ref="BN322:BN385" si="293">BM322*0.02</f>
        <v>1.2</v>
      </c>
      <c r="BO322" s="114">
        <f>17286528-1140702</f>
        <v>16145826</v>
      </c>
      <c r="BP322" s="101">
        <f t="shared" ref="BP322:BP385" si="294">(BO322/O322)*100</f>
        <v>2.456604764002273</v>
      </c>
      <c r="BQ322" s="78">
        <f t="shared" ref="BQ322:BQ385" si="295">IF(BP322=0, 25, IF(BP322&lt;0.1, 40, IF(BP322&lt;0.5, 55, IF(BP322&lt;2, 70, IF(BP322&lt;4, 85, IF(BP322&gt;=4, 100))))))</f>
        <v>85</v>
      </c>
      <c r="BR322" s="79">
        <f t="shared" si="270"/>
        <v>1.7</v>
      </c>
      <c r="BS322" s="102">
        <v>8692005.8190000001</v>
      </c>
      <c r="BT322" s="102">
        <v>1611052.68</v>
      </c>
      <c r="BU322" s="103">
        <f t="shared" ref="BU322:BU385" si="296">BS322-BT322</f>
        <v>7080953.1390000004</v>
      </c>
      <c r="BV322" s="77">
        <f t="shared" ref="BV322:BV385" si="297">BU322/O322*100</f>
        <v>1.077374623939602</v>
      </c>
      <c r="BW322" s="96">
        <f t="shared" ref="BW322:BW385" si="298">AVERAGEIF(BJ:BJ, BJ322, BV:BV)</f>
        <v>5.2309968128308295</v>
      </c>
      <c r="BX322" s="96">
        <f t="shared" ref="BX322:BX385" si="299">(BV322-BW322)^2</f>
        <v>17.252577288049551</v>
      </c>
      <c r="BY322" s="96">
        <f t="shared" ref="BY322:BY385" si="300">SQRT(SUMIF(BJ:BJ, BJ322, BX:BX)/COUNTIF(BJ:BJ, BJ322))</f>
        <v>7.0695458012309631</v>
      </c>
      <c r="BZ322" s="96">
        <f t="shared" ref="BZ322:BZ385" si="301">(1-_xlfn.NORM.DIST(BV322, BW322, BY322, TRUE))*100</f>
        <v>72.157856248463332</v>
      </c>
      <c r="CA322" s="96">
        <f t="shared" ref="CA322:CA385" si="302">IF(BZ322&lt;=5, 100, IF(BZ322&lt;=15, 85, IF(BZ322&lt;=35, 70, IF(BZ322&lt;=60, 55, IF(BZ322&lt;=90, 40, 25)))))</f>
        <v>40</v>
      </c>
      <c r="CB322" s="104">
        <f t="shared" ref="CB322:CB385" si="303">CA322*0.02</f>
        <v>0.8</v>
      </c>
      <c r="CC322" s="105">
        <f t="shared" si="271"/>
        <v>326.60495825028374</v>
      </c>
      <c r="CD322" s="106">
        <f t="shared" si="272"/>
        <v>25</v>
      </c>
      <c r="CE322" s="107">
        <f t="shared" si="273"/>
        <v>0.375</v>
      </c>
      <c r="CF322" s="108" t="s">
        <v>2189</v>
      </c>
      <c r="CG322" s="108" t="s">
        <v>2189</v>
      </c>
      <c r="CH322" s="108" t="s">
        <v>2189</v>
      </c>
      <c r="CI322" s="108" t="s">
        <v>2189</v>
      </c>
      <c r="CJ322" s="109"/>
      <c r="CK322" s="116" t="s">
        <v>2211</v>
      </c>
      <c r="CL322" s="116" t="s">
        <v>2193</v>
      </c>
      <c r="CM322" s="111">
        <f t="shared" ref="CM322:CM385" si="304">IF(CL322="A", 100, IF(CL322="B", 85, IF(CL322="C", 70, IF(CL322="D", 55, IF(CL322="E", 40, 25)))))</f>
        <v>25</v>
      </c>
      <c r="CN322" s="107">
        <f t="shared" si="274"/>
        <v>0.375</v>
      </c>
      <c r="CO322" s="114">
        <v>62009000</v>
      </c>
      <c r="CP322" s="88">
        <f t="shared" ref="CP322:CP385" si="305">(CO322/N322)*100</f>
        <v>66.920633180197271</v>
      </c>
      <c r="CQ322" s="78">
        <f t="shared" ref="CQ322:CQ385" si="306">IF(CP322&lt;3, 100, IF(CP322&lt;10, 80, IF(CP322&lt;35, 60, IF(CP322&lt;100, 40, IF(CP322&gt;=100, 20)))))</f>
        <v>40</v>
      </c>
      <c r="CR322" s="79">
        <f t="shared" si="275"/>
        <v>1.2</v>
      </c>
      <c r="CS322" s="92">
        <f>_xlfn.XLOOKUP(C322, '[1]1-1. 관계사체무보증금액 (환율 등)'!$3:$3, '[1]1-1. 관계사체무보증금액 (환율 등)'!$33:$33)</f>
        <v>87810100.115074798</v>
      </c>
      <c r="CT322" s="77">
        <f t="shared" ref="CT322:CT385" si="307">(CS322/N322)*100</f>
        <v>94.765396947496612</v>
      </c>
      <c r="CU322" s="78">
        <f t="shared" ref="CU322:CU385" si="308">IF(CT322&lt;3, 100, IF(CT322&lt;10, 80, IF(CT322&lt;35, 60, IF(CT322&lt;100, 40, 20))))</f>
        <v>40</v>
      </c>
      <c r="CV322" s="79">
        <f t="shared" si="276"/>
        <v>0.8</v>
      </c>
      <c r="CW322" s="112">
        <f t="shared" ref="CW322:CW385" si="309">AE322+AJ322+AQ322+AX322+BD322+BN322+BR322+CB322+CE322+CJ322+CN322+CR322+CV322</f>
        <v>14.403482472982711</v>
      </c>
    </row>
  </sheetData>
  <autoFilter ref="A1:CW1" xr:uid="{00000000-0009-0000-0000-000000000000}">
    <sortState xmlns:xlrd2="http://schemas.microsoft.com/office/spreadsheetml/2017/richdata2" ref="A2:CW322">
      <sortCondition descending="1" ref="CW1"/>
    </sortState>
  </autoFilter>
  <phoneticPr fontId="2" type="noConversion"/>
  <dataValidations count="1">
    <dataValidation type="list" allowBlank="1" showInputMessage="1" showErrorMessage="1" sqref="CL2:CL322" xr:uid="{00000000-0002-0000-0000-000000000000}">
      <formula1>"A, B, C, D, E, F"</formula1>
    </dataValidation>
  </dataValidations>
  <hyperlinks>
    <hyperlink ref="B121" r:id="rId1" xr:uid="{00000000-0004-0000-0000-000000000000}"/>
    <hyperlink ref="B230" r:id="rId2" xr:uid="{00000000-0004-0000-0000-000001000000}"/>
    <hyperlink ref="B189" r:id="rId3" xr:uid="{00000000-0004-0000-0000-000002000000}"/>
    <hyperlink ref="B106" r:id="rId4" xr:uid="{00000000-0004-0000-0000-000003000000}"/>
    <hyperlink ref="B186" r:id="rId5" xr:uid="{00000000-0004-0000-0000-000004000000}"/>
    <hyperlink ref="B288" r:id="rId6" xr:uid="{00000000-0004-0000-0000-000005000000}"/>
    <hyperlink ref="B10" r:id="rId7" xr:uid="{00000000-0004-0000-0000-000006000000}"/>
    <hyperlink ref="B155" r:id="rId8" xr:uid="{00000000-0004-0000-0000-000007000000}"/>
    <hyperlink ref="B176" r:id="rId9" xr:uid="{00000000-0004-0000-0000-000008000000}"/>
    <hyperlink ref="B109" r:id="rId10" xr:uid="{00000000-0004-0000-0000-000009000000}"/>
    <hyperlink ref="B306" r:id="rId11" xr:uid="{00000000-0004-0000-0000-00000A000000}"/>
    <hyperlink ref="B178" r:id="rId12" xr:uid="{00000000-0004-0000-0000-00000B000000}"/>
    <hyperlink ref="B296" r:id="rId13" xr:uid="{00000000-0004-0000-0000-00000C000000}"/>
    <hyperlink ref="B287" r:id="rId14" xr:uid="{00000000-0004-0000-0000-00000D000000}"/>
    <hyperlink ref="B260" r:id="rId15" xr:uid="{00000000-0004-0000-0000-00000E000000}"/>
    <hyperlink ref="B309" r:id="rId16" xr:uid="{00000000-0004-0000-0000-00000F000000}"/>
    <hyperlink ref="B275" r:id="rId17" xr:uid="{00000000-0004-0000-0000-000010000000}"/>
    <hyperlink ref="B268" r:id="rId18" xr:uid="{00000000-0004-0000-0000-000011000000}"/>
    <hyperlink ref="B162" r:id="rId19" xr:uid="{00000000-0004-0000-0000-000012000000}"/>
    <hyperlink ref="B85" r:id="rId20" xr:uid="{00000000-0004-0000-0000-000013000000}"/>
    <hyperlink ref="B320" r:id="rId21" xr:uid="{00000000-0004-0000-0000-000014000000}"/>
    <hyperlink ref="B46" r:id="rId22" xr:uid="{00000000-0004-0000-0000-000015000000}"/>
    <hyperlink ref="B221" r:id="rId23" xr:uid="{00000000-0004-0000-0000-000016000000}"/>
    <hyperlink ref="B173" r:id="rId24" xr:uid="{00000000-0004-0000-0000-000017000000}"/>
    <hyperlink ref="B119" r:id="rId25" xr:uid="{00000000-0004-0000-0000-000018000000}"/>
    <hyperlink ref="B74" r:id="rId26" xr:uid="{00000000-0004-0000-0000-000019000000}"/>
    <hyperlink ref="B184" r:id="rId27" xr:uid="{00000000-0004-0000-0000-00001A000000}"/>
    <hyperlink ref="B122" r:id="rId28" xr:uid="{00000000-0004-0000-0000-00001B000000}"/>
    <hyperlink ref="B177" r:id="rId29" xr:uid="{00000000-0004-0000-0000-00001C000000}"/>
    <hyperlink ref="B53" r:id="rId30" xr:uid="{00000000-0004-0000-0000-00001D000000}"/>
    <hyperlink ref="B42" r:id="rId31" xr:uid="{00000000-0004-0000-0000-00001E000000}"/>
    <hyperlink ref="B82" r:id="rId32" xr:uid="{00000000-0004-0000-0000-00001F000000}"/>
    <hyperlink ref="B54" r:id="rId33" xr:uid="{00000000-0004-0000-0000-000020000000}"/>
    <hyperlink ref="B266" r:id="rId34" xr:uid="{00000000-0004-0000-0000-000021000000}"/>
    <hyperlink ref="B26" r:id="rId35" xr:uid="{00000000-0004-0000-0000-000022000000}"/>
    <hyperlink ref="B170" r:id="rId36" xr:uid="{00000000-0004-0000-0000-000023000000}"/>
    <hyperlink ref="B44" r:id="rId37" xr:uid="{00000000-0004-0000-0000-000024000000}"/>
    <hyperlink ref="B321" r:id="rId38" xr:uid="{00000000-0004-0000-0000-000025000000}"/>
    <hyperlink ref="B249" r:id="rId39" xr:uid="{00000000-0004-0000-0000-000026000000}"/>
    <hyperlink ref="B271" r:id="rId40" xr:uid="{00000000-0004-0000-0000-000027000000}"/>
    <hyperlink ref="B307" r:id="rId41" xr:uid="{00000000-0004-0000-0000-000028000000}"/>
    <hyperlink ref="B182" r:id="rId42" xr:uid="{00000000-0004-0000-0000-000029000000}"/>
    <hyperlink ref="B36" r:id="rId43" xr:uid="{00000000-0004-0000-0000-00002A000000}"/>
    <hyperlink ref="B135" r:id="rId44" xr:uid="{00000000-0004-0000-0000-00002B000000}"/>
    <hyperlink ref="B27" r:id="rId45" xr:uid="{00000000-0004-0000-0000-00002C000000}"/>
    <hyperlink ref="B73" r:id="rId46" xr:uid="{00000000-0004-0000-0000-00002D000000}"/>
    <hyperlink ref="B63" r:id="rId47" xr:uid="{00000000-0004-0000-0000-00002E000000}"/>
    <hyperlink ref="B32" r:id="rId48" xr:uid="{00000000-0004-0000-0000-00002F000000}"/>
    <hyperlink ref="B229" r:id="rId49" xr:uid="{00000000-0004-0000-0000-000030000000}"/>
    <hyperlink ref="B187" r:id="rId50" xr:uid="{00000000-0004-0000-0000-000031000000}"/>
    <hyperlink ref="B191" r:id="rId51" xr:uid="{00000000-0004-0000-0000-000032000000}"/>
    <hyperlink ref="B258" r:id="rId52" xr:uid="{00000000-0004-0000-0000-000033000000}"/>
    <hyperlink ref="B125" r:id="rId53" xr:uid="{00000000-0004-0000-0000-000034000000}"/>
    <hyperlink ref="B241" r:id="rId54" xr:uid="{00000000-0004-0000-0000-000035000000}"/>
    <hyperlink ref="B310" r:id="rId55" xr:uid="{00000000-0004-0000-0000-000036000000}"/>
    <hyperlink ref="B251" r:id="rId56" xr:uid="{00000000-0004-0000-0000-000037000000}"/>
    <hyperlink ref="B198" r:id="rId57" xr:uid="{00000000-0004-0000-0000-000038000000}"/>
    <hyperlink ref="B319" r:id="rId58" xr:uid="{00000000-0004-0000-0000-000039000000}"/>
    <hyperlink ref="B127" r:id="rId59" xr:uid="{00000000-0004-0000-0000-00003A000000}"/>
    <hyperlink ref="B218" r:id="rId60" xr:uid="{00000000-0004-0000-0000-00003B000000}"/>
    <hyperlink ref="B41" r:id="rId61" xr:uid="{00000000-0004-0000-0000-00003C000000}"/>
    <hyperlink ref="B25" r:id="rId62" xr:uid="{00000000-0004-0000-0000-00003D000000}"/>
    <hyperlink ref="B257" r:id="rId63" xr:uid="{00000000-0004-0000-0000-00003E000000}"/>
    <hyperlink ref="B195" r:id="rId64" xr:uid="{00000000-0004-0000-0000-00003F000000}"/>
    <hyperlink ref="B259" r:id="rId65" xr:uid="{00000000-0004-0000-0000-000040000000}"/>
    <hyperlink ref="B181" r:id="rId66" xr:uid="{00000000-0004-0000-0000-000041000000}"/>
    <hyperlink ref="B65" r:id="rId67" xr:uid="{00000000-0004-0000-0000-000042000000}"/>
    <hyperlink ref="B292" r:id="rId68" xr:uid="{00000000-0004-0000-0000-000043000000}"/>
    <hyperlink ref="B43" r:id="rId69" xr:uid="{00000000-0004-0000-0000-000044000000}"/>
    <hyperlink ref="B293" r:id="rId70" xr:uid="{00000000-0004-0000-0000-000045000000}"/>
    <hyperlink ref="B123" r:id="rId71" xr:uid="{00000000-0004-0000-0000-000046000000}"/>
    <hyperlink ref="B167" r:id="rId72" xr:uid="{00000000-0004-0000-0000-000047000000}"/>
    <hyperlink ref="B134" r:id="rId73" xr:uid="{00000000-0004-0000-0000-000048000000}"/>
    <hyperlink ref="B60" r:id="rId74" xr:uid="{00000000-0004-0000-0000-000049000000}"/>
    <hyperlink ref="B28" r:id="rId75" xr:uid="{00000000-0004-0000-0000-00004A000000}"/>
    <hyperlink ref="B96" r:id="rId76" xr:uid="{00000000-0004-0000-0000-00004B000000}"/>
    <hyperlink ref="B203" r:id="rId77" xr:uid="{00000000-0004-0000-0000-00004C000000}"/>
    <hyperlink ref="B124" r:id="rId78" xr:uid="{00000000-0004-0000-0000-00004D000000}"/>
    <hyperlink ref="J124" r:id="rId79" xr:uid="{00000000-0004-0000-0000-00004E000000}"/>
    <hyperlink ref="B161" r:id="rId80" xr:uid="{00000000-0004-0000-0000-00004F000000}"/>
    <hyperlink ref="B238" r:id="rId81" xr:uid="{00000000-0004-0000-0000-000050000000}"/>
    <hyperlink ref="B236" r:id="rId82" xr:uid="{00000000-0004-0000-0000-000051000000}"/>
    <hyperlink ref="B120" r:id="rId83" xr:uid="{00000000-0004-0000-0000-000052000000}"/>
    <hyperlink ref="B261" r:id="rId84" xr:uid="{00000000-0004-0000-0000-000053000000}"/>
    <hyperlink ref="B50" r:id="rId85" xr:uid="{00000000-0004-0000-0000-000054000000}"/>
    <hyperlink ref="B290" r:id="rId86" xr:uid="{00000000-0004-0000-0000-000055000000}"/>
    <hyperlink ref="J134" r:id="rId87" xr:uid="{00000000-0004-0000-0000-000056000000}"/>
    <hyperlink ref="J109" r:id="rId88" xr:uid="{00000000-0004-0000-0000-000057000000}"/>
    <hyperlink ref="B89" r:id="rId89" xr:uid="{00000000-0004-0000-0000-000058000000}"/>
    <hyperlink ref="B246" r:id="rId90" xr:uid="{00000000-0004-0000-0000-000059000000}"/>
    <hyperlink ref="B280" r:id="rId91" xr:uid="{00000000-0004-0000-0000-00005A000000}"/>
    <hyperlink ref="B317" r:id="rId92" xr:uid="{00000000-0004-0000-0000-00005B000000}"/>
    <hyperlink ref="B137" r:id="rId93" xr:uid="{00000000-0004-0000-0000-00005C000000}"/>
    <hyperlink ref="B61" r:id="rId94" xr:uid="{00000000-0004-0000-0000-00005D000000}"/>
    <hyperlink ref="B183" r:id="rId95" xr:uid="{00000000-0004-0000-0000-00005E000000}"/>
    <hyperlink ref="B105" r:id="rId96" xr:uid="{00000000-0004-0000-0000-00005F000000}"/>
    <hyperlink ref="B235" r:id="rId97" xr:uid="{00000000-0004-0000-0000-000060000000}"/>
    <hyperlink ref="B225" r:id="rId98" xr:uid="{00000000-0004-0000-0000-000061000000}"/>
    <hyperlink ref="B108" r:id="rId99" xr:uid="{00000000-0004-0000-0000-000062000000}"/>
    <hyperlink ref="B300" r:id="rId100" xr:uid="{00000000-0004-0000-0000-000063000000}"/>
    <hyperlink ref="B232" r:id="rId101" xr:uid="{00000000-0004-0000-0000-000064000000}"/>
    <hyperlink ref="B35" r:id="rId102" xr:uid="{00000000-0004-0000-0000-000065000000}"/>
    <hyperlink ref="B272" r:id="rId103" xr:uid="{00000000-0004-0000-0000-000066000000}"/>
    <hyperlink ref="B9" r:id="rId104" xr:uid="{00000000-0004-0000-0000-000067000000}"/>
    <hyperlink ref="B274" r:id="rId105" xr:uid="{00000000-0004-0000-0000-000068000000}"/>
    <hyperlink ref="B278" r:id="rId106" xr:uid="{00000000-0004-0000-0000-000069000000}"/>
    <hyperlink ref="B270" r:id="rId107" xr:uid="{00000000-0004-0000-0000-00006A000000}"/>
    <hyperlink ref="B179" r:id="rId108" xr:uid="{00000000-0004-0000-0000-00006B000000}"/>
    <hyperlink ref="B175" r:id="rId109" xr:uid="{00000000-0004-0000-0000-00006C000000}"/>
    <hyperlink ref="B39" r:id="rId110" xr:uid="{00000000-0004-0000-0000-00006D000000}"/>
    <hyperlink ref="B30" r:id="rId111" xr:uid="{00000000-0004-0000-0000-00006E000000}"/>
    <hyperlink ref="B305" r:id="rId112" xr:uid="{00000000-0004-0000-0000-00006F000000}"/>
    <hyperlink ref="B237" r:id="rId113" xr:uid="{00000000-0004-0000-0000-000070000000}"/>
    <hyperlink ref="B220" r:id="rId114" xr:uid="{00000000-0004-0000-0000-000071000000}"/>
    <hyperlink ref="B174" r:id="rId115" xr:uid="{00000000-0004-0000-0000-000072000000}"/>
    <hyperlink ref="B301" r:id="rId116" xr:uid="{00000000-0004-0000-0000-000073000000}"/>
    <hyperlink ref="B146" r:id="rId117" xr:uid="{00000000-0004-0000-0000-000074000000}"/>
    <hyperlink ref="B276" r:id="rId118" xr:uid="{00000000-0004-0000-0000-000075000000}"/>
    <hyperlink ref="B115" r:id="rId119" xr:uid="{00000000-0004-0000-0000-000076000000}"/>
    <hyperlink ref="B149" r:id="rId120" xr:uid="{00000000-0004-0000-0000-000077000000}"/>
    <hyperlink ref="B57" r:id="rId121" xr:uid="{00000000-0004-0000-0000-000078000000}"/>
    <hyperlink ref="B285" r:id="rId122" xr:uid="{00000000-0004-0000-0000-000079000000}"/>
    <hyperlink ref="B14" r:id="rId123" xr:uid="{00000000-0004-0000-0000-00007A000000}"/>
    <hyperlink ref="B20" r:id="rId124" xr:uid="{00000000-0004-0000-0000-00007B000000}"/>
    <hyperlink ref="B158" r:id="rId125" xr:uid="{00000000-0004-0000-0000-00007C000000}"/>
    <hyperlink ref="B190" r:id="rId126" xr:uid="{00000000-0004-0000-0000-00007D000000}"/>
    <hyperlink ref="B210" r:id="rId127" xr:uid="{00000000-0004-0000-0000-00007E000000}"/>
    <hyperlink ref="B101" r:id="rId128" xr:uid="{00000000-0004-0000-0000-00007F000000}"/>
    <hyperlink ref="B243" r:id="rId129" xr:uid="{00000000-0004-0000-0000-000080000000}"/>
    <hyperlink ref="B256" r:id="rId130" xr:uid="{00000000-0004-0000-0000-000081000000}"/>
    <hyperlink ref="B130" r:id="rId131" xr:uid="{00000000-0004-0000-0000-000082000000}"/>
    <hyperlink ref="B8" r:id="rId132" xr:uid="{00000000-0004-0000-0000-000083000000}"/>
    <hyperlink ref="B262" r:id="rId133" xr:uid="{00000000-0004-0000-0000-000084000000}"/>
    <hyperlink ref="B314" r:id="rId134" xr:uid="{00000000-0004-0000-0000-000085000000}"/>
    <hyperlink ref="B295" r:id="rId135" xr:uid="{00000000-0004-0000-0000-000086000000}"/>
    <hyperlink ref="B67" r:id="rId136" xr:uid="{00000000-0004-0000-0000-000087000000}"/>
    <hyperlink ref="B12" r:id="rId137" xr:uid="{00000000-0004-0000-0000-000088000000}"/>
    <hyperlink ref="B52" r:id="rId138" xr:uid="{00000000-0004-0000-0000-000089000000}"/>
    <hyperlink ref="B188" r:id="rId139" xr:uid="{00000000-0004-0000-0000-00008A000000}"/>
    <hyperlink ref="B58" r:id="rId140" xr:uid="{00000000-0004-0000-0000-00008B000000}"/>
    <hyperlink ref="B31" r:id="rId141" xr:uid="{00000000-0004-0000-0000-00008C000000}"/>
    <hyperlink ref="B4" r:id="rId142" xr:uid="{00000000-0004-0000-0000-00008D000000}"/>
    <hyperlink ref="B6" r:id="rId143" xr:uid="{00000000-0004-0000-0000-00008E000000}"/>
    <hyperlink ref="B3" r:id="rId144" xr:uid="{00000000-0004-0000-0000-00008F000000}"/>
    <hyperlink ref="B160" r:id="rId145" xr:uid="{00000000-0004-0000-0000-000090000000}"/>
    <hyperlink ref="B200" r:id="rId146" xr:uid="{00000000-0004-0000-0000-000091000000}"/>
    <hyperlink ref="B104" r:id="rId147" xr:uid="{00000000-0004-0000-0000-000092000000}"/>
    <hyperlink ref="B153" r:id="rId148" xr:uid="{00000000-0004-0000-0000-000093000000}"/>
    <hyperlink ref="B68" r:id="rId149" xr:uid="{00000000-0004-0000-0000-000094000000}"/>
    <hyperlink ref="B152" r:id="rId150" xr:uid="{00000000-0004-0000-0000-000095000000}"/>
    <hyperlink ref="B92" r:id="rId151" xr:uid="{00000000-0004-0000-0000-000096000000}"/>
    <hyperlink ref="B222" r:id="rId152" xr:uid="{00000000-0004-0000-0000-000097000000}"/>
    <hyperlink ref="B277" r:id="rId153" xr:uid="{00000000-0004-0000-0000-000098000000}"/>
    <hyperlink ref="B311" r:id="rId154" xr:uid="{00000000-0004-0000-0000-000099000000}"/>
    <hyperlink ref="B113" r:id="rId155" xr:uid="{00000000-0004-0000-0000-00009A000000}"/>
    <hyperlink ref="B197" r:id="rId156" xr:uid="{00000000-0004-0000-0000-00009B000000}"/>
    <hyperlink ref="B226" r:id="rId157" xr:uid="{00000000-0004-0000-0000-00009C000000}"/>
    <hyperlink ref="B77" r:id="rId158" xr:uid="{00000000-0004-0000-0000-00009D000000}"/>
    <hyperlink ref="B289" r:id="rId159" xr:uid="{00000000-0004-0000-0000-00009E000000}"/>
    <hyperlink ref="B64" r:id="rId160" xr:uid="{00000000-0004-0000-0000-00009F000000}"/>
    <hyperlink ref="B283" r:id="rId161" xr:uid="{00000000-0004-0000-0000-0000A0000000}"/>
    <hyperlink ref="B308" r:id="rId162" xr:uid="{00000000-0004-0000-0000-0000A1000000}"/>
    <hyperlink ref="B304" r:id="rId163" xr:uid="{00000000-0004-0000-0000-0000A2000000}"/>
    <hyperlink ref="B233" r:id="rId164" xr:uid="{00000000-0004-0000-0000-0000A3000000}"/>
    <hyperlink ref="B102" r:id="rId165" xr:uid="{00000000-0004-0000-0000-0000A4000000}"/>
    <hyperlink ref="B217" r:id="rId166" xr:uid="{00000000-0004-0000-0000-0000A5000000}"/>
    <hyperlink ref="B163" r:id="rId167" xr:uid="{00000000-0004-0000-0000-0000A6000000}"/>
    <hyperlink ref="B273" r:id="rId168" xr:uid="{00000000-0004-0000-0000-0000A7000000}"/>
    <hyperlink ref="B117" r:id="rId169" xr:uid="{00000000-0004-0000-0000-0000A8000000}"/>
    <hyperlink ref="B156" r:id="rId170" xr:uid="{00000000-0004-0000-0000-0000A9000000}"/>
    <hyperlink ref="B267" r:id="rId171" xr:uid="{00000000-0004-0000-0000-0000AA000000}"/>
    <hyperlink ref="B255" r:id="rId172" xr:uid="{00000000-0004-0000-0000-0000AB000000}"/>
    <hyperlink ref="B209" r:id="rId173" xr:uid="{00000000-0004-0000-0000-0000AC000000}"/>
    <hyperlink ref="B291" r:id="rId174" xr:uid="{00000000-0004-0000-0000-0000AD000000}"/>
    <hyperlink ref="B223" r:id="rId175" xr:uid="{00000000-0004-0000-0000-0000AE000000}"/>
    <hyperlink ref="B315" r:id="rId176" xr:uid="{00000000-0004-0000-0000-0000AF000000}"/>
    <hyperlink ref="B95" r:id="rId177" xr:uid="{00000000-0004-0000-0000-0000B0000000}"/>
    <hyperlink ref="B103" r:id="rId178" xr:uid="{00000000-0004-0000-0000-0000B1000000}"/>
    <hyperlink ref="B253" r:id="rId179" xr:uid="{00000000-0004-0000-0000-0000B2000000}"/>
    <hyperlink ref="B18" r:id="rId180" xr:uid="{00000000-0004-0000-0000-0000B3000000}"/>
    <hyperlink ref="B132" r:id="rId181" xr:uid="{00000000-0004-0000-0000-0000B4000000}"/>
    <hyperlink ref="B208" r:id="rId182" xr:uid="{00000000-0004-0000-0000-0000B5000000}"/>
    <hyperlink ref="B252" r:id="rId183" xr:uid="{00000000-0004-0000-0000-0000B6000000}"/>
    <hyperlink ref="B49" r:id="rId184" xr:uid="{00000000-0004-0000-0000-0000B7000000}"/>
    <hyperlink ref="B294" r:id="rId185" xr:uid="{00000000-0004-0000-0000-0000B8000000}"/>
    <hyperlink ref="B303" r:id="rId186" xr:uid="{00000000-0004-0000-0000-0000B9000000}"/>
    <hyperlink ref="B239" r:id="rId187" xr:uid="{00000000-0004-0000-0000-0000BA000000}"/>
    <hyperlink ref="B284" r:id="rId188" xr:uid="{00000000-0004-0000-0000-0000BB000000}"/>
    <hyperlink ref="B248" r:id="rId189" xr:uid="{00000000-0004-0000-0000-0000BC000000}"/>
    <hyperlink ref="B131" r:id="rId190" xr:uid="{00000000-0004-0000-0000-0000BD000000}"/>
    <hyperlink ref="B247" r:id="rId191" xr:uid="{00000000-0004-0000-0000-0000BE000000}"/>
    <hyperlink ref="B214" r:id="rId192" xr:uid="{00000000-0004-0000-0000-0000BF000000}"/>
    <hyperlink ref="B139" r:id="rId193" xr:uid="{00000000-0004-0000-0000-0000C0000000}"/>
    <hyperlink ref="B33" r:id="rId194" xr:uid="{00000000-0004-0000-0000-0000C1000000}"/>
    <hyperlink ref="B24" r:id="rId195" xr:uid="{00000000-0004-0000-0000-0000C2000000}"/>
    <hyperlink ref="B313" r:id="rId196" xr:uid="{00000000-0004-0000-0000-0000C3000000}"/>
    <hyperlink ref="B151" r:id="rId197" xr:uid="{00000000-0004-0000-0000-0000C4000000}"/>
    <hyperlink ref="B207" r:id="rId198" xr:uid="{00000000-0004-0000-0000-0000C5000000}"/>
    <hyperlink ref="B211" r:id="rId199" xr:uid="{00000000-0004-0000-0000-0000C6000000}"/>
    <hyperlink ref="B133" r:id="rId200" xr:uid="{00000000-0004-0000-0000-0000C7000000}"/>
    <hyperlink ref="B114" r:id="rId201" xr:uid="{00000000-0004-0000-0000-0000C8000000}"/>
    <hyperlink ref="B199" r:id="rId202" xr:uid="{00000000-0004-0000-0000-0000C9000000}"/>
    <hyperlink ref="B240" r:id="rId203" xr:uid="{00000000-0004-0000-0000-0000CA000000}"/>
    <hyperlink ref="B126" r:id="rId204" xr:uid="{00000000-0004-0000-0000-0000CB000000}"/>
    <hyperlink ref="B231" r:id="rId205" xr:uid="{00000000-0004-0000-0000-0000CC000000}"/>
    <hyperlink ref="B185" r:id="rId206" xr:uid="{00000000-0004-0000-0000-0000CD000000}"/>
    <hyperlink ref="B136" r:id="rId207" xr:uid="{00000000-0004-0000-0000-0000CE000000}"/>
    <hyperlink ref="B15" r:id="rId208" xr:uid="{00000000-0004-0000-0000-0000CF000000}"/>
    <hyperlink ref="B19" r:id="rId209" xr:uid="{00000000-0004-0000-0000-0000D0000000}"/>
    <hyperlink ref="B79" r:id="rId210" xr:uid="{00000000-0004-0000-0000-0000D1000000}"/>
    <hyperlink ref="B245" r:id="rId211" xr:uid="{00000000-0004-0000-0000-0000D2000000}"/>
    <hyperlink ref="B192" r:id="rId212" xr:uid="{00000000-0004-0000-0000-0000D3000000}"/>
    <hyperlink ref="B145" r:id="rId213" xr:uid="{00000000-0004-0000-0000-0000D4000000}"/>
    <hyperlink ref="B40" r:id="rId214" xr:uid="{00000000-0004-0000-0000-0000D5000000}"/>
    <hyperlink ref="B265" r:id="rId215" xr:uid="{00000000-0004-0000-0000-0000D6000000}"/>
    <hyperlink ref="B202" r:id="rId216" xr:uid="{00000000-0004-0000-0000-0000D7000000}"/>
    <hyperlink ref="B169" r:id="rId217" xr:uid="{00000000-0004-0000-0000-0000D8000000}"/>
    <hyperlink ref="B282" r:id="rId218" xr:uid="{00000000-0004-0000-0000-0000D9000000}"/>
    <hyperlink ref="B263" r:id="rId219" xr:uid="{00000000-0004-0000-0000-0000DA000000}"/>
    <hyperlink ref="B196" r:id="rId220" xr:uid="{00000000-0004-0000-0000-0000DB000000}"/>
    <hyperlink ref="B71" r:id="rId221" xr:uid="{00000000-0004-0000-0000-0000DC000000}"/>
    <hyperlink ref="B107" r:id="rId222" xr:uid="{00000000-0004-0000-0000-0000DD000000}"/>
    <hyperlink ref="B34" r:id="rId223" xr:uid="{00000000-0004-0000-0000-0000DE000000}"/>
    <hyperlink ref="B165" r:id="rId224" xr:uid="{00000000-0004-0000-0000-0000DF000000}"/>
    <hyperlink ref="B219" r:id="rId225" xr:uid="{00000000-0004-0000-0000-0000E0000000}"/>
    <hyperlink ref="B69" r:id="rId226" xr:uid="{00000000-0004-0000-0000-0000E1000000}"/>
    <hyperlink ref="B5" r:id="rId227" xr:uid="{00000000-0004-0000-0000-0000E2000000}"/>
    <hyperlink ref="B97" r:id="rId228" xr:uid="{00000000-0004-0000-0000-0000E3000000}"/>
    <hyperlink ref="B193" r:id="rId229" xr:uid="{00000000-0004-0000-0000-0000E4000000}"/>
    <hyperlink ref="B91" r:id="rId230" xr:uid="{00000000-0004-0000-0000-0000E5000000}"/>
    <hyperlink ref="B159" r:id="rId231" xr:uid="{00000000-0004-0000-0000-0000E6000000}"/>
    <hyperlink ref="B37" r:id="rId232" xr:uid="{00000000-0004-0000-0000-0000E7000000}"/>
    <hyperlink ref="B148" r:id="rId233" xr:uid="{00000000-0004-0000-0000-0000E8000000}"/>
    <hyperlink ref="B143" r:id="rId234" xr:uid="{00000000-0004-0000-0000-0000E9000000}"/>
    <hyperlink ref="B216" r:id="rId235" xr:uid="{00000000-0004-0000-0000-0000EA000000}"/>
    <hyperlink ref="B224" r:id="rId236" xr:uid="{00000000-0004-0000-0000-0000EB000000}"/>
    <hyperlink ref="B2" r:id="rId237" xr:uid="{00000000-0004-0000-0000-0000EC000000}"/>
    <hyperlink ref="B118" r:id="rId238" xr:uid="{00000000-0004-0000-0000-0000ED000000}"/>
    <hyperlink ref="B116" r:id="rId239" xr:uid="{00000000-0004-0000-0000-0000EE000000}"/>
    <hyperlink ref="B59" r:id="rId240" xr:uid="{00000000-0004-0000-0000-0000EF000000}"/>
    <hyperlink ref="B228" r:id="rId241" xr:uid="{00000000-0004-0000-0000-0000F0000000}"/>
    <hyperlink ref="B244" r:id="rId242" xr:uid="{00000000-0004-0000-0000-0000F1000000}"/>
    <hyperlink ref="B47" r:id="rId243" xr:uid="{00000000-0004-0000-0000-0000F2000000}"/>
    <hyperlink ref="B215" r:id="rId244" xr:uid="{00000000-0004-0000-0000-0000F3000000}"/>
    <hyperlink ref="B48" r:id="rId245" xr:uid="{00000000-0004-0000-0000-0000F4000000}"/>
    <hyperlink ref="B141" r:id="rId246" xr:uid="{00000000-0004-0000-0000-0000F5000000}"/>
    <hyperlink ref="B11" r:id="rId247" xr:uid="{00000000-0004-0000-0000-0000F6000000}"/>
    <hyperlink ref="B129" r:id="rId248" xr:uid="{00000000-0004-0000-0000-0000F7000000}"/>
    <hyperlink ref="B51" r:id="rId249" xr:uid="{00000000-0004-0000-0000-0000F8000000}"/>
    <hyperlink ref="B142" r:id="rId250" xr:uid="{00000000-0004-0000-0000-0000F9000000}"/>
    <hyperlink ref="B110" r:id="rId251" xr:uid="{00000000-0004-0000-0000-0000FA000000}"/>
    <hyperlink ref="B94" r:id="rId252" xr:uid="{00000000-0004-0000-0000-0000FB000000}"/>
    <hyperlink ref="B22" r:id="rId253" xr:uid="{00000000-0004-0000-0000-0000FC000000}"/>
    <hyperlink ref="B212" r:id="rId254" xr:uid="{00000000-0004-0000-0000-0000FD000000}"/>
    <hyperlink ref="B286" r:id="rId255" xr:uid="{00000000-0004-0000-0000-0000FE000000}"/>
    <hyperlink ref="B316" r:id="rId256" xr:uid="{00000000-0004-0000-0000-0000FF000000}"/>
    <hyperlink ref="B299" r:id="rId257" xr:uid="{00000000-0004-0000-0000-000000010000}"/>
    <hyperlink ref="B298" r:id="rId258" xr:uid="{00000000-0004-0000-0000-000001010000}"/>
    <hyperlink ref="B78" r:id="rId259" xr:uid="{00000000-0004-0000-0000-000002010000}"/>
    <hyperlink ref="B144" r:id="rId260" xr:uid="{00000000-0004-0000-0000-000003010000}"/>
    <hyperlink ref="B45" r:id="rId261" xr:uid="{00000000-0004-0000-0000-000004010000}"/>
    <hyperlink ref="B29" r:id="rId262" xr:uid="{00000000-0004-0000-0000-000005010000}"/>
    <hyperlink ref="B168" r:id="rId263" xr:uid="{00000000-0004-0000-0000-000006010000}"/>
    <hyperlink ref="B264" r:id="rId264" xr:uid="{00000000-0004-0000-0000-000007010000}"/>
    <hyperlink ref="B205" r:id="rId265" xr:uid="{00000000-0004-0000-0000-000008010000}"/>
    <hyperlink ref="B147" r:id="rId266" xr:uid="{00000000-0004-0000-0000-000009010000}"/>
    <hyperlink ref="B72" r:id="rId267" xr:uid="{00000000-0004-0000-0000-00000A010000}"/>
    <hyperlink ref="B204" r:id="rId268" xr:uid="{00000000-0004-0000-0000-00000B010000}"/>
    <hyperlink ref="B172" r:id="rId269" xr:uid="{00000000-0004-0000-0000-00000C010000}"/>
    <hyperlink ref="B90" r:id="rId270" xr:uid="{00000000-0004-0000-0000-00000D010000}"/>
    <hyperlink ref="B128" r:id="rId271" xr:uid="{00000000-0004-0000-0000-00000E010000}"/>
    <hyperlink ref="B201" r:id="rId272" xr:uid="{00000000-0004-0000-0000-00000F010000}"/>
    <hyperlink ref="J201" r:id="rId273" xr:uid="{00000000-0004-0000-0000-000010010000}"/>
    <hyperlink ref="B87" r:id="rId274" xr:uid="{00000000-0004-0000-0000-000011010000}"/>
    <hyperlink ref="B281" r:id="rId275" xr:uid="{00000000-0004-0000-0000-000012010000}"/>
    <hyperlink ref="B227" r:id="rId276" xr:uid="{00000000-0004-0000-0000-000013010000}"/>
    <hyperlink ref="B100" r:id="rId277" xr:uid="{00000000-0004-0000-0000-000014010000}"/>
    <hyperlink ref="B81" r:id="rId278" xr:uid="{00000000-0004-0000-0000-000015010000}"/>
    <hyperlink ref="B164" r:id="rId279" xr:uid="{00000000-0004-0000-0000-000016010000}"/>
    <hyperlink ref="B84" r:id="rId280" xr:uid="{00000000-0004-0000-0000-000017010000}"/>
    <hyperlink ref="B194" r:id="rId281" xr:uid="{00000000-0004-0000-0000-000018010000}"/>
    <hyperlink ref="B99" r:id="rId282" xr:uid="{00000000-0004-0000-0000-000019010000}"/>
    <hyperlink ref="B93" r:id="rId283" xr:uid="{00000000-0004-0000-0000-00001A010000}"/>
    <hyperlink ref="B86" r:id="rId284" xr:uid="{00000000-0004-0000-0000-00001B010000}"/>
    <hyperlink ref="B62" r:id="rId285" xr:uid="{00000000-0004-0000-0000-00001C010000}"/>
    <hyperlink ref="B80" r:id="rId286" xr:uid="{00000000-0004-0000-0000-00001D010000}"/>
    <hyperlink ref="B297" r:id="rId287" xr:uid="{00000000-0004-0000-0000-00001E010000}"/>
    <hyperlink ref="B312" r:id="rId288" xr:uid="{00000000-0004-0000-0000-00001F010000}"/>
    <hyperlink ref="B75" r:id="rId289" xr:uid="{00000000-0004-0000-0000-000020010000}"/>
    <hyperlink ref="B279" r:id="rId290" xr:uid="{00000000-0004-0000-0000-000021010000}"/>
    <hyperlink ref="B234" r:id="rId291" xr:uid="{00000000-0004-0000-0000-000022010000}"/>
    <hyperlink ref="B21" r:id="rId292" xr:uid="{00000000-0004-0000-0000-000023010000}"/>
    <hyperlink ref="B38" r:id="rId293" xr:uid="{00000000-0004-0000-0000-000024010000}"/>
    <hyperlink ref="B269" r:id="rId294" xr:uid="{00000000-0004-0000-0000-000025010000}"/>
    <hyperlink ref="B154" r:id="rId295" xr:uid="{00000000-0004-0000-0000-000026010000}"/>
    <hyperlink ref="B66" r:id="rId296" xr:uid="{00000000-0004-0000-0000-000027010000}"/>
    <hyperlink ref="B112" r:id="rId297" xr:uid="{00000000-0004-0000-0000-000028010000}"/>
    <hyperlink ref="B140" r:id="rId298" xr:uid="{00000000-0004-0000-0000-000029010000}"/>
    <hyperlink ref="B16" r:id="rId299" xr:uid="{00000000-0004-0000-0000-00002A010000}"/>
    <hyperlink ref="B13" r:id="rId300" xr:uid="{00000000-0004-0000-0000-00002B010000}"/>
    <hyperlink ref="B83" r:id="rId301" xr:uid="{00000000-0004-0000-0000-00002C010000}"/>
    <hyperlink ref="B206" r:id="rId302" xr:uid="{00000000-0004-0000-0000-00002D010000}"/>
    <hyperlink ref="B76" r:id="rId303" xr:uid="{00000000-0004-0000-0000-00002E010000}"/>
    <hyperlink ref="B98" r:id="rId304" xr:uid="{00000000-0004-0000-0000-00002F010000}"/>
    <hyperlink ref="B55" r:id="rId305" xr:uid="{00000000-0004-0000-0000-000030010000}"/>
    <hyperlink ref="B150" r:id="rId306" xr:uid="{00000000-0004-0000-0000-000031010000}"/>
    <hyperlink ref="B138" r:id="rId307" xr:uid="{00000000-0004-0000-0000-000032010000}"/>
    <hyperlink ref="B157" r:id="rId308" xr:uid="{00000000-0004-0000-0000-000033010000}"/>
    <hyperlink ref="B70" r:id="rId309" xr:uid="{00000000-0004-0000-0000-000034010000}"/>
    <hyperlink ref="B17" r:id="rId310" xr:uid="{00000000-0004-0000-0000-000035010000}"/>
    <hyperlink ref="B318" r:id="rId311" xr:uid="{00000000-0004-0000-0000-000036010000}"/>
    <hyperlink ref="B7" r:id="rId312" xr:uid="{00000000-0004-0000-0000-000037010000}"/>
    <hyperlink ref="B213" r:id="rId313" xr:uid="{00000000-0004-0000-0000-000038010000}"/>
    <hyperlink ref="B111" r:id="rId314" xr:uid="{00000000-0004-0000-0000-000039010000}"/>
    <hyperlink ref="B322" r:id="rId315" xr:uid="{00000000-0004-0000-0000-00003A010000}"/>
    <hyperlink ref="B302" r:id="rId316" xr:uid="{00000000-0004-0000-0000-00003B010000}"/>
    <hyperlink ref="B180" r:id="rId317" xr:uid="{00000000-0004-0000-0000-00003C010000}"/>
    <hyperlink ref="B166" r:id="rId318" xr:uid="{00000000-0004-0000-0000-00003D010000}"/>
    <hyperlink ref="B254" r:id="rId319" xr:uid="{00000000-0004-0000-0000-00003E010000}"/>
    <hyperlink ref="B171" r:id="rId320" xr:uid="{00000000-0004-0000-0000-00003F010000}"/>
    <hyperlink ref="B250" r:id="rId321" xr:uid="{00000000-0004-0000-0000-000040010000}"/>
    <hyperlink ref="B242" r:id="rId322" xr:uid="{00000000-0004-0000-0000-000041010000}"/>
    <hyperlink ref="B56" r:id="rId323" xr:uid="{00000000-0004-0000-0000-000042010000}"/>
    <hyperlink ref="B23" r:id="rId324" xr:uid="{00000000-0004-0000-0000-000043010000}"/>
    <hyperlink ref="B88" r:id="rId325" xr:uid="{00000000-0004-0000-0000-000044010000}"/>
    <hyperlink ref="J308" r:id="rId326" xr:uid="{00000000-0004-0000-0000-000045010000}"/>
    <hyperlink ref="J24" r:id="rId327" xr:uid="{00000000-0004-0000-0000-000046010000}"/>
    <hyperlink ref="J211" r:id="rId328" xr:uid="{00000000-0004-0000-0000-000047010000}"/>
    <hyperlink ref="J107" r:id="rId329" xr:uid="{00000000-0004-0000-0000-000048010000}"/>
    <hyperlink ref="J2" r:id="rId330" xr:uid="{00000000-0004-0000-0000-000049010000}"/>
    <hyperlink ref="J62" r:id="rId331" xr:uid="{00000000-0004-0000-0000-00004A010000}"/>
  </hyperlinks>
  <pageMargins left="0.7" right="0.7" top="0.75" bottom="0.75" header="0.3" footer="0.3"/>
  <pageSetup paperSize="0" orientation="portrait" r:id="rId332"/>
  <legacyDrawing r:id="rId33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322"/>
  <sheetViews>
    <sheetView zoomScale="70" zoomScaleNormal="70" workbookViewId="0">
      <selection activeCell="V39" sqref="V39"/>
    </sheetView>
  </sheetViews>
  <sheetFormatPr defaultColWidth="9" defaultRowHeight="12.9" x14ac:dyDescent="0.55000000000000004"/>
  <cols>
    <col min="1" max="1" width="20.5703125" style="44" customWidth="1"/>
    <col min="2" max="2" width="11.35546875" style="44" customWidth="1"/>
    <col min="3" max="3" width="9.2109375" style="45" customWidth="1"/>
    <col min="4" max="4" width="20.5703125" style="44" customWidth="1"/>
    <col min="5" max="6" width="9" style="44"/>
    <col min="7" max="7" width="11.0703125" style="44" customWidth="1"/>
    <col min="8" max="11" width="9" style="44"/>
    <col min="12" max="13" width="15.0703125" style="44" customWidth="1"/>
    <col min="14" max="17" width="15.7109375" style="44" customWidth="1"/>
    <col min="18" max="18" width="14.5" style="44" customWidth="1"/>
    <col min="19" max="24" width="15.5703125" style="15" customWidth="1"/>
    <col min="25" max="25" width="15.5703125" style="24" customWidth="1"/>
    <col min="26" max="27" width="15.5703125" style="15" customWidth="1"/>
    <col min="28" max="28" width="15.5703125" style="136" customWidth="1"/>
    <col min="29" max="30" width="15.5703125" style="137" customWidth="1"/>
    <col min="31" max="31" width="10.5703125" style="137" customWidth="1"/>
    <col min="32" max="36" width="10.5703125" style="127" customWidth="1"/>
    <col min="37" max="40" width="10.5703125" style="113" customWidth="1"/>
    <col min="41" max="41" width="10.5703125" style="138" customWidth="1"/>
    <col min="42" max="42" width="10.5703125" style="113" customWidth="1"/>
    <col min="43" max="43" width="10.5703125" style="138" customWidth="1"/>
    <col min="44" max="49" width="10.5703125" style="118" customWidth="1"/>
    <col min="50" max="50" width="10.5703125" style="139" customWidth="1"/>
    <col min="51" max="55" width="10.5703125" style="114" customWidth="1"/>
    <col min="56" max="56" width="10.5703125" style="140" customWidth="1"/>
    <col min="57" max="58" width="15.5703125" style="141" customWidth="1"/>
    <col min="59" max="60" width="15.5703125" style="114" customWidth="1"/>
    <col min="61" max="64" width="15.5703125" style="127" customWidth="1"/>
    <col min="65" max="65" width="15.5703125" style="114" customWidth="1"/>
    <col min="66" max="66" width="10.5703125" style="127" customWidth="1"/>
    <col min="67" max="67" width="15.5703125" style="114" customWidth="1"/>
    <col min="68" max="68" width="10.5703125" style="127" customWidth="1"/>
    <col min="69" max="69" width="10.5703125" style="141" customWidth="1"/>
    <col min="70" max="70" width="10.5703125" style="127" customWidth="1"/>
    <col min="71" max="73" width="15.5703125" style="114" customWidth="1"/>
    <col min="74" max="77" width="10.5703125" style="114" customWidth="1"/>
    <col min="78" max="78" width="10.5703125" style="127" customWidth="1"/>
    <col min="79" max="80" width="10.5703125" style="114" customWidth="1"/>
    <col min="81" max="82" width="15.5703125" style="44" customWidth="1"/>
    <col min="83" max="83" width="10.5703125" style="44" customWidth="1"/>
    <col min="84" max="86" width="12.5703125" style="127" customWidth="1"/>
    <col min="87" max="87" width="10.5703125" style="114" customWidth="1"/>
    <col min="88" max="88" width="10.5703125" style="127" customWidth="1"/>
    <col min="89" max="90" width="10.5703125" style="116" customWidth="1"/>
    <col min="91" max="92" width="10.5703125" style="44" customWidth="1"/>
    <col min="93" max="93" width="15.5703125" style="114" customWidth="1"/>
    <col min="94" max="94" width="10.5703125" style="127" customWidth="1"/>
    <col min="95" max="95" width="10.5703125" style="142" customWidth="1"/>
    <col min="96" max="96" width="10.5703125" style="127" customWidth="1"/>
    <col min="97" max="97" width="15.5703125" style="114" customWidth="1"/>
    <col min="98" max="99" width="10.5703125" style="114" customWidth="1"/>
    <col min="100" max="101" width="10.5703125" style="127" customWidth="1"/>
    <col min="102" max="16384" width="9" style="44"/>
  </cols>
  <sheetData>
    <row r="1" spans="1:101" ht="100" customHeight="1" x14ac:dyDescent="0.55000000000000004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5" t="s">
        <v>2125</v>
      </c>
      <c r="T1" s="5" t="s">
        <v>2126</v>
      </c>
      <c r="U1" s="5" t="s">
        <v>2127</v>
      </c>
      <c r="V1" s="5" t="s">
        <v>2128</v>
      </c>
      <c r="W1" s="5" t="s">
        <v>2129</v>
      </c>
      <c r="X1" s="5" t="s">
        <v>2130</v>
      </c>
      <c r="Y1" s="6" t="s">
        <v>2131</v>
      </c>
      <c r="Z1" s="5" t="s">
        <v>2132</v>
      </c>
      <c r="AA1" s="5" t="s">
        <v>2133</v>
      </c>
      <c r="AB1" s="46" t="s">
        <v>2134</v>
      </c>
      <c r="AC1" s="47" t="s">
        <v>2135</v>
      </c>
      <c r="AD1" s="47" t="s">
        <v>2136</v>
      </c>
      <c r="AE1" s="48" t="s">
        <v>2137</v>
      </c>
      <c r="AF1" s="49" t="s">
        <v>2138</v>
      </c>
      <c r="AG1" s="49" t="s">
        <v>2139</v>
      </c>
      <c r="AH1" s="50" t="s">
        <v>2140</v>
      </c>
      <c r="AI1" s="50" t="s">
        <v>2141</v>
      </c>
      <c r="AJ1" s="51" t="s">
        <v>2142</v>
      </c>
      <c r="AK1" s="52" t="s">
        <v>2247</v>
      </c>
      <c r="AL1" s="52" t="s">
        <v>2248</v>
      </c>
      <c r="AM1" s="52" t="s">
        <v>2249</v>
      </c>
      <c r="AN1" s="53" t="s">
        <v>2143</v>
      </c>
      <c r="AO1" s="54" t="s">
        <v>2144</v>
      </c>
      <c r="AP1" s="55" t="s">
        <v>2145</v>
      </c>
      <c r="AQ1" s="56" t="s">
        <v>2146</v>
      </c>
      <c r="AR1" s="57" t="s">
        <v>2250</v>
      </c>
      <c r="AS1" s="58" t="s">
        <v>2147</v>
      </c>
      <c r="AT1" s="59" t="s">
        <v>2148</v>
      </c>
      <c r="AU1" s="59" t="s">
        <v>2149</v>
      </c>
      <c r="AV1" s="59" t="s">
        <v>2150</v>
      </c>
      <c r="AW1" s="59" t="s">
        <v>2151</v>
      </c>
      <c r="AX1" s="51" t="s">
        <v>2152</v>
      </c>
      <c r="AY1" s="57" t="s">
        <v>2251</v>
      </c>
      <c r="AZ1" s="57" t="s">
        <v>2252</v>
      </c>
      <c r="BA1" s="60" t="s">
        <v>2153</v>
      </c>
      <c r="BB1" s="58" t="s">
        <v>2154</v>
      </c>
      <c r="BC1" s="58" t="s">
        <v>2155</v>
      </c>
      <c r="BD1" s="51" t="s">
        <v>2156</v>
      </c>
      <c r="BE1" s="57" t="s">
        <v>2253</v>
      </c>
      <c r="BF1" s="57" t="s">
        <v>2254</v>
      </c>
      <c r="BG1" s="57" t="s">
        <v>2255</v>
      </c>
      <c r="BH1" s="61" t="s">
        <v>2157</v>
      </c>
      <c r="BI1" s="49" t="s">
        <v>2158</v>
      </c>
      <c r="BJ1" s="49" t="s">
        <v>2159</v>
      </c>
      <c r="BK1" s="62" t="s">
        <v>2160</v>
      </c>
      <c r="BL1" s="49" t="s">
        <v>2161</v>
      </c>
      <c r="BM1" s="60" t="s">
        <v>2162</v>
      </c>
      <c r="BN1" s="51" t="s">
        <v>2163</v>
      </c>
      <c r="BO1" s="63" t="s">
        <v>2256</v>
      </c>
      <c r="BP1" s="64" t="s">
        <v>2164</v>
      </c>
      <c r="BQ1" s="65" t="s">
        <v>2165</v>
      </c>
      <c r="BR1" s="51" t="s">
        <v>2166</v>
      </c>
      <c r="BS1" s="63" t="s">
        <v>2257</v>
      </c>
      <c r="BT1" s="63" t="s">
        <v>2258</v>
      </c>
      <c r="BU1" s="58" t="s">
        <v>2167</v>
      </c>
      <c r="BV1" s="58" t="s">
        <v>2168</v>
      </c>
      <c r="BW1" s="61" t="s">
        <v>2169</v>
      </c>
      <c r="BX1" s="61" t="s">
        <v>2170</v>
      </c>
      <c r="BY1" s="61" t="s">
        <v>2171</v>
      </c>
      <c r="BZ1" s="66" t="s">
        <v>2172</v>
      </c>
      <c r="CA1" s="60" t="s">
        <v>2173</v>
      </c>
      <c r="CB1" s="67" t="s">
        <v>2174</v>
      </c>
      <c r="CC1" s="68" t="s">
        <v>2175</v>
      </c>
      <c r="CD1" s="69" t="s">
        <v>2176</v>
      </c>
      <c r="CE1" s="70" t="s">
        <v>2177</v>
      </c>
      <c r="CF1" s="71" t="s">
        <v>2259</v>
      </c>
      <c r="CG1" s="71" t="s">
        <v>2260</v>
      </c>
      <c r="CH1" s="71" t="s">
        <v>2261</v>
      </c>
      <c r="CI1" s="60" t="s">
        <v>2178</v>
      </c>
      <c r="CJ1" s="51" t="s">
        <v>2179</v>
      </c>
      <c r="CK1" s="6" t="s">
        <v>2262</v>
      </c>
      <c r="CL1" s="6" t="s">
        <v>2263</v>
      </c>
      <c r="CM1" s="72" t="s">
        <v>2180</v>
      </c>
      <c r="CN1" s="70" t="s">
        <v>2181</v>
      </c>
      <c r="CO1" s="63" t="s">
        <v>2264</v>
      </c>
      <c r="CP1" s="50" t="s">
        <v>2182</v>
      </c>
      <c r="CQ1" s="65" t="s">
        <v>2183</v>
      </c>
      <c r="CR1" s="51" t="s">
        <v>2184</v>
      </c>
      <c r="CS1" s="63" t="s">
        <v>2265</v>
      </c>
      <c r="CT1" s="59" t="s">
        <v>2185</v>
      </c>
      <c r="CU1" s="59" t="s">
        <v>2186</v>
      </c>
      <c r="CV1" s="51" t="s">
        <v>2187</v>
      </c>
      <c r="CW1" s="73" t="s">
        <v>2188</v>
      </c>
    </row>
    <row r="2" spans="1:101" x14ac:dyDescent="0.35">
      <c r="A2" s="7" t="s">
        <v>18</v>
      </c>
      <c r="B2" s="8" t="s">
        <v>19</v>
      </c>
      <c r="C2" s="9" t="s">
        <v>20</v>
      </c>
      <c r="D2" s="10" t="s">
        <v>21</v>
      </c>
      <c r="E2" s="11" t="s">
        <v>22</v>
      </c>
      <c r="F2" s="11" t="s">
        <v>23</v>
      </c>
      <c r="G2" s="12">
        <v>43077</v>
      </c>
      <c r="H2" s="11" t="s">
        <v>24</v>
      </c>
      <c r="I2" s="11" t="s">
        <v>25</v>
      </c>
      <c r="J2" s="11" t="s">
        <v>26</v>
      </c>
      <c r="K2" s="11" t="s">
        <v>27</v>
      </c>
      <c r="L2" s="13">
        <v>2857090834</v>
      </c>
      <c r="M2" s="13">
        <v>1925834121</v>
      </c>
      <c r="N2" s="13">
        <v>931256713</v>
      </c>
      <c r="O2" s="13">
        <v>7577772993</v>
      </c>
      <c r="P2" s="13">
        <v>249222456</v>
      </c>
      <c r="Q2" s="13">
        <v>250446471</v>
      </c>
      <c r="R2" s="14">
        <v>190700183</v>
      </c>
      <c r="U2" s="16"/>
      <c r="V2" s="16"/>
      <c r="W2" s="16"/>
      <c r="X2" s="16"/>
      <c r="Y2" s="17"/>
      <c r="Z2" s="16"/>
      <c r="AA2" s="16"/>
      <c r="AB2" s="74">
        <f>SUM(U2,V2,Z2,W2,X2)</f>
        <v>0</v>
      </c>
      <c r="AC2" s="75" t="e">
        <f>(AB2/S2)*100</f>
        <v>#DIV/0!</v>
      </c>
      <c r="AD2" s="75" t="e">
        <f>100-(75*(AC2-0.1))/(87-0.1)</f>
        <v>#DIV/0!</v>
      </c>
      <c r="AE2" s="76" t="e">
        <f t="shared" ref="AE2:AE7" si="0">AD2*0.03</f>
        <v>#DIV/0!</v>
      </c>
      <c r="AF2" s="77" t="e">
        <f>(U2+V2)/(S2-T2-AA2)*100</f>
        <v>#DIV/0!</v>
      </c>
      <c r="AG2" s="77" t="e">
        <f>(U2+V2+Z2+W2+X2-AA2)/(S2-T2-AA2)*100</f>
        <v>#DIV/0!</v>
      </c>
      <c r="AH2" s="77" t="e">
        <f>AG2-AF2</f>
        <v>#DIV/0!</v>
      </c>
      <c r="AI2" s="78" t="e">
        <f>IF(AH2&lt;10, 100, IF(AH2&lt;30, 80, IF(AH2&lt;50, 60, IF(AH2&lt;80, 40, IF(AH2&lt;=100, 20)))))</f>
        <v>#DIV/0!</v>
      </c>
      <c r="AJ2" s="79" t="e">
        <f t="shared" ref="AJ2:AJ7" si="1">AI2*0.04</f>
        <v>#DIV/0!</v>
      </c>
      <c r="AK2" s="80"/>
      <c r="AL2" s="80"/>
      <c r="AM2" s="80"/>
      <c r="AN2" s="81">
        <f t="shared" ref="AN2:AN65" si="2">SUM(AK2:AL2)</f>
        <v>0</v>
      </c>
      <c r="AO2" s="82" t="e">
        <f t="shared" ref="AO2:AO65" si="3">(AM2/AN2)*100</f>
        <v>#DIV/0!</v>
      </c>
      <c r="AP2" s="83" t="e">
        <f>IF(AO2&lt;10, 100, IF(AO2&lt;20, 80, IF(AO2&lt;30, 60, IF(AO2&lt;50, 40, IF(AO2&gt;=50, 20)))))</f>
        <v>#DIV/0!</v>
      </c>
      <c r="AQ2" s="84" t="e">
        <f t="shared" ref="AQ2:AQ7" si="4">AP2*0.02</f>
        <v>#DIV/0!</v>
      </c>
      <c r="AR2" s="85"/>
      <c r="AS2" s="86">
        <f t="shared" ref="AS2:AS65" si="5">IF(L2&gt;=2000000000, 0.5, IF(L2&lt;2000000000, 0.25))</f>
        <v>0.5</v>
      </c>
      <c r="AT2" s="87">
        <f>AK2*AS2</f>
        <v>0</v>
      </c>
      <c r="AU2" s="87">
        <f>ROUNDDOWN(AT2,0)</f>
        <v>0</v>
      </c>
      <c r="AV2" s="88" t="e">
        <f t="shared" ref="AV2:AV65" si="6">(AR2-AU2)/AK2*100</f>
        <v>#DIV/0!</v>
      </c>
      <c r="AW2" s="78" t="e">
        <f>IF(AV2&lt;0, 20, IF(AV2=0, 40, IF(AV2&lt;20, 60, IF(AV2&lt;40, 80, IF(AV2&gt;=40, 100)))))</f>
        <v>#DIV/0!</v>
      </c>
      <c r="AX2" s="89" t="e">
        <f t="shared" ref="AX2:AX7" si="7">AW2*0.01</f>
        <v>#DIV/0!</v>
      </c>
      <c r="AY2" s="90"/>
      <c r="AZ2" s="85"/>
      <c r="BA2" s="91">
        <f t="shared" ref="BA2:BA65" si="8">AR2*AY2</f>
        <v>0</v>
      </c>
      <c r="BB2" s="77" t="e">
        <f>(AZ2/BA2)*100</f>
        <v>#DIV/0!</v>
      </c>
      <c r="BC2" s="78" t="e">
        <f>IF(BB2&lt;70, 25, IF(BB2&lt;80, 50, IF(BB2&lt;90, 75, IF(BB2&gt;=90, 100))))</f>
        <v>#DIV/0!</v>
      </c>
      <c r="BD2" s="79" t="e">
        <f t="shared" ref="BD2:BD7" si="9">BC2*0.01</f>
        <v>#DIV/0!</v>
      </c>
      <c r="BE2" s="92"/>
      <c r="BF2" s="92"/>
      <c r="BG2" s="93">
        <v>0</v>
      </c>
      <c r="BH2" s="94">
        <f t="shared" ref="BH2:BH65" si="10">SUM(BE2:BF2)</f>
        <v>0</v>
      </c>
      <c r="BI2" s="77" t="e">
        <f t="shared" ref="BI2:BI65" si="11">(BG2/BH2)*100</f>
        <v>#DIV/0!</v>
      </c>
      <c r="BJ2" s="95" t="str">
        <f>IF(D2="금융업(보험)", "금융업", IF(D2="금융업(증권)", "금융업", IF(D2="금융업(종금)", "금융업", D2)))</f>
        <v>비제조/서비스업</v>
      </c>
      <c r="BK2" s="96" t="e">
        <f t="shared" ref="BK2:BK65" si="12">AVERAGEIF(BJ:BJ, BJ2, BI:BI)</f>
        <v>#DIV/0!</v>
      </c>
      <c r="BL2" s="97" t="e">
        <f>BI2-BK2</f>
        <v>#DIV/0!</v>
      </c>
      <c r="BM2" s="98" t="e">
        <f>IF(BL2&lt;-2, 100, IF(BL2&lt;0, 80, IF(BL2&lt;2, 60, IF(BL2&lt;10, 40, 20))))</f>
        <v>#DIV/0!</v>
      </c>
      <c r="BN2" s="99" t="e">
        <f>BM2*0.02</f>
        <v>#DIV/0!</v>
      </c>
      <c r="BO2" s="100"/>
      <c r="BP2" s="101">
        <f>(BO2/O2)*100</f>
        <v>0</v>
      </c>
      <c r="BQ2" s="78">
        <f>IF(BP2=0, 25, IF(BP2&lt;0.1, 40, IF(BP2&lt;0.5, 55, IF(BP2&lt;2, 70, IF(BP2&lt;4, 85, IF(BP2&gt;=4, 100))))))</f>
        <v>25</v>
      </c>
      <c r="BR2" s="79">
        <f t="shared" ref="BR2:BR7" si="13">BQ2*0.02</f>
        <v>0.5</v>
      </c>
      <c r="BS2" s="102"/>
      <c r="BT2" s="102"/>
      <c r="BU2" s="103">
        <f>BS2-BT2</f>
        <v>0</v>
      </c>
      <c r="BV2" s="77">
        <f t="shared" ref="BV2:BV65" si="14">BU2/O2*100</f>
        <v>0</v>
      </c>
      <c r="BW2" s="96">
        <f t="shared" ref="BW2:BW65" si="15">AVERAGEIF(BJ:BJ, BJ2, BV:BV)</f>
        <v>0</v>
      </c>
      <c r="BX2" s="96">
        <f>(BV2-BW2)^2</f>
        <v>0</v>
      </c>
      <c r="BY2" s="96">
        <f t="shared" ref="BY2:BY65" si="16">SQRT(SUMIF(BJ:BJ, BJ2, BX:BX)/COUNTIF(BJ:BJ, BJ2))</f>
        <v>0</v>
      </c>
      <c r="BZ2" s="96" t="e">
        <f>(1-_xlfn.NORM.DIST(BV2, BW2, BY2, TRUE))*100</f>
        <v>#NUM!</v>
      </c>
      <c r="CA2" s="96" t="e">
        <f t="shared" ref="CA2:CA65" si="17">IF(BZ2&lt;=5, 100, IF(BZ2&lt;=15, 85, IF(BZ2&lt;=35, 70, IF(BZ2&lt;=60, 55, IF(BZ2&lt;=90, 40, 25)))))</f>
        <v>#NUM!</v>
      </c>
      <c r="CB2" s="104" t="e">
        <f>CA2*0.02</f>
        <v>#NUM!</v>
      </c>
      <c r="CC2" s="105">
        <f t="shared" ref="CC2:CC7" si="18">(M2/N2)*100</f>
        <v>206.79948870339041</v>
      </c>
      <c r="CD2" s="106">
        <f t="shared" ref="CD2:CD7" si="19">IF((100-(75*(CC2-1)/(200-1)))&gt;100, 100, IF((100-(75*(CC2-1)/(200-1)))&lt;25, 25, (100-(75*(CC2-1)/(200-1)))))</f>
        <v>25</v>
      </c>
      <c r="CE2" s="107">
        <f t="shared" ref="CE2:CE7" si="20">CD2*0.015</f>
        <v>0.375</v>
      </c>
      <c r="CF2" s="108" t="s">
        <v>2189</v>
      </c>
      <c r="CG2" s="108" t="s">
        <v>2189</v>
      </c>
      <c r="CH2" s="108" t="s">
        <v>2189</v>
      </c>
      <c r="CI2" s="108" t="s">
        <v>2189</v>
      </c>
      <c r="CJ2" s="109"/>
      <c r="CK2" s="110"/>
      <c r="CL2" s="110"/>
      <c r="CM2" s="111">
        <f>IF(CL2="A", 100, IF(CL2="B", 85, IF(CL2="C", 70, IF(CL2="D", 55, IF(CL2="E", 40, 25)))))</f>
        <v>25</v>
      </c>
      <c r="CN2" s="107">
        <f t="shared" ref="CN2:CN7" si="21">CM2*0.015</f>
        <v>0.375</v>
      </c>
      <c r="CO2" s="92"/>
      <c r="CP2" s="88">
        <f>(CO2/N2)*100</f>
        <v>0</v>
      </c>
      <c r="CQ2" s="78">
        <f>IF(CP2&lt;3, 100, IF(CP2&lt;10, 80, IF(CP2&lt;35, 60, IF(CP2&lt;100, 40, IF(CP2&gt;=100, 20)))))</f>
        <v>100</v>
      </c>
      <c r="CR2" s="79">
        <f t="shared" ref="CR2:CR7" si="22">CQ2*0.03</f>
        <v>3</v>
      </c>
      <c r="CS2" s="92"/>
      <c r="CT2" s="77">
        <f t="shared" ref="CT2:CT65" si="23">(CS2/N2)*100</f>
        <v>0</v>
      </c>
      <c r="CU2" s="78">
        <f>IF(CT2&lt;3, 100, IF(CT2&lt;10, 80, IF(CT2&lt;35, 60, IF(CT2&lt;100, 40, 20))))</f>
        <v>100</v>
      </c>
      <c r="CV2" s="79">
        <f t="shared" ref="CV2:CV7" si="24">CU2*0.02</f>
        <v>2</v>
      </c>
      <c r="CW2" s="112" t="e">
        <f>AE2+AJ2+AQ2+AX2+BD2+BN2+BR2+CB2+CE2+CJ2+CN2+CR2+CV2</f>
        <v>#DIV/0!</v>
      </c>
    </row>
    <row r="3" spans="1:101" s="117" customFormat="1" x14ac:dyDescent="0.35">
      <c r="A3" s="7" t="s">
        <v>28</v>
      </c>
      <c r="B3" s="8" t="s">
        <v>29</v>
      </c>
      <c r="C3" s="9" t="s">
        <v>30</v>
      </c>
      <c r="D3" s="10" t="s">
        <v>31</v>
      </c>
      <c r="E3" s="11" t="s">
        <v>32</v>
      </c>
      <c r="F3" s="11" t="s">
        <v>33</v>
      </c>
      <c r="G3" s="12">
        <v>27547</v>
      </c>
      <c r="H3" s="11" t="s">
        <v>24</v>
      </c>
      <c r="I3" s="11" t="s">
        <v>34</v>
      </c>
      <c r="J3" s="11" t="s">
        <v>35</v>
      </c>
      <c r="K3" s="11" t="s">
        <v>27</v>
      </c>
      <c r="L3" s="13">
        <v>657344581</v>
      </c>
      <c r="M3" s="13">
        <v>145796846</v>
      </c>
      <c r="N3" s="13">
        <v>511547734</v>
      </c>
      <c r="O3" s="13">
        <v>168169259</v>
      </c>
      <c r="P3" s="13">
        <v>24457946</v>
      </c>
      <c r="Q3" s="13">
        <v>48325988</v>
      </c>
      <c r="R3" s="14">
        <v>35650140</v>
      </c>
      <c r="S3" s="18"/>
      <c r="T3" s="18"/>
      <c r="U3" s="19"/>
      <c r="V3" s="19"/>
      <c r="W3" s="19"/>
      <c r="X3" s="19"/>
      <c r="Y3" s="20"/>
      <c r="Z3" s="19"/>
      <c r="AA3" s="19"/>
      <c r="AB3" s="74">
        <f>SUM(U3,V3,Z3,W3,X3)</f>
        <v>0</v>
      </c>
      <c r="AC3" s="75" t="e">
        <f t="shared" ref="AC3:AC66" si="25">(AB3/S3)*100</f>
        <v>#DIV/0!</v>
      </c>
      <c r="AD3" s="75" t="e">
        <f>100-(75*(AC3-0.1))/(87-0.1)</f>
        <v>#DIV/0!</v>
      </c>
      <c r="AE3" s="76" t="e">
        <f t="shared" si="0"/>
        <v>#DIV/0!</v>
      </c>
      <c r="AF3" s="77" t="e">
        <f t="shared" ref="AF3:AF66" si="26">(U3+V3)/(S3-T3-AA3)*100</f>
        <v>#DIV/0!</v>
      </c>
      <c r="AG3" s="77" t="e">
        <f t="shared" ref="AG3:AG66" si="27">(U3+V3+Z3+W3+X3-AA3)/(S3-T3-AA3)*100</f>
        <v>#DIV/0!</v>
      </c>
      <c r="AH3" s="77" t="e">
        <f>AG3-AF3</f>
        <v>#DIV/0!</v>
      </c>
      <c r="AI3" s="78" t="e">
        <f>IF(AH3&lt;10, 100, IF(AH3&lt;30, 80, IF(AH3&lt;50, 60, IF(AH3&lt;80, 40, IF(AH3&lt;=100, 20)))))</f>
        <v>#DIV/0!</v>
      </c>
      <c r="AJ3" s="79" t="e">
        <f t="shared" si="1"/>
        <v>#DIV/0!</v>
      </c>
      <c r="AK3" s="113"/>
      <c r="AL3" s="113"/>
      <c r="AM3" s="80"/>
      <c r="AN3" s="81">
        <f t="shared" si="2"/>
        <v>0</v>
      </c>
      <c r="AO3" s="82" t="e">
        <f t="shared" si="3"/>
        <v>#DIV/0!</v>
      </c>
      <c r="AP3" s="83" t="e">
        <f t="shared" ref="AP3:AP66" si="28">IF(AO3&lt;10, 100, IF(AO3&lt;20, 80, IF(AO3&lt;30, 60, IF(AO3&lt;50, 40, IF(AO3&gt;=50, 20)))))</f>
        <v>#DIV/0!</v>
      </c>
      <c r="AQ3" s="84" t="e">
        <f t="shared" si="4"/>
        <v>#DIV/0!</v>
      </c>
      <c r="AR3" s="114"/>
      <c r="AS3" s="86">
        <f t="shared" si="5"/>
        <v>0.25</v>
      </c>
      <c r="AT3" s="87">
        <f t="shared" ref="AT3:AT66" si="29">AK3*AS3</f>
        <v>0</v>
      </c>
      <c r="AU3" s="87">
        <f t="shared" ref="AU3:AU66" si="30">ROUNDDOWN(AT3,0)</f>
        <v>0</v>
      </c>
      <c r="AV3" s="88" t="e">
        <f t="shared" si="6"/>
        <v>#DIV/0!</v>
      </c>
      <c r="AW3" s="78" t="e">
        <f t="shared" ref="AW3:AW66" si="31">IF(AV3&lt;0, 20, IF(AV3=0, 40, IF(AV3&lt;20, 60, IF(AV3&lt;40, 80, IF(AV3&gt;=40, 100)))))</f>
        <v>#DIV/0!</v>
      </c>
      <c r="AX3" s="89" t="e">
        <f t="shared" si="7"/>
        <v>#DIV/0!</v>
      </c>
      <c r="AY3" s="114"/>
      <c r="AZ3" s="114"/>
      <c r="BA3" s="91">
        <f t="shared" si="8"/>
        <v>0</v>
      </c>
      <c r="BB3" s="77" t="e">
        <f t="shared" ref="BB3:BB66" si="32">(AZ3/BA3)*100</f>
        <v>#DIV/0!</v>
      </c>
      <c r="BC3" s="78" t="e">
        <f t="shared" ref="BC3:BC66" si="33">IF(BB3&lt;70, 25, IF(BB3&lt;80, 50, IF(BB3&lt;90, 75, IF(BB3&gt;=90, 100))))</f>
        <v>#DIV/0!</v>
      </c>
      <c r="BD3" s="79" t="e">
        <f t="shared" si="9"/>
        <v>#DIV/0!</v>
      </c>
      <c r="BE3" s="92"/>
      <c r="BF3" s="92"/>
      <c r="BG3" s="114">
        <v>72540.59</v>
      </c>
      <c r="BH3" s="94">
        <f t="shared" si="10"/>
        <v>0</v>
      </c>
      <c r="BI3" s="77" t="e">
        <f t="shared" si="11"/>
        <v>#DIV/0!</v>
      </c>
      <c r="BJ3" s="95" t="str">
        <f t="shared" ref="BJ3:BJ66" si="34">IF(D3="금융업(보험)", "금융업", IF(D3="금융업(증권)", "금융업", IF(D3="금융업(종금)", "금융업", D3)))</f>
        <v>식약/섬유/종이업</v>
      </c>
      <c r="BK3" s="96" t="e">
        <f t="shared" si="12"/>
        <v>#DIV/0!</v>
      </c>
      <c r="BL3" s="97" t="e">
        <f t="shared" ref="BL3:BL66" si="35">BI3-BK3</f>
        <v>#DIV/0!</v>
      </c>
      <c r="BM3" s="98" t="e">
        <f t="shared" ref="BM3:BM66" si="36">IF(BL3&lt;-2, 100, IF(BL3&lt;0, 80, IF(BL3&lt;2, 60, IF(BL3&lt;10, 40, 20))))</f>
        <v>#DIV/0!</v>
      </c>
      <c r="BN3" s="99" t="e">
        <f t="shared" ref="BN3:BN66" si="37">BM3*0.02</f>
        <v>#DIV/0!</v>
      </c>
      <c r="BO3" s="115"/>
      <c r="BP3" s="101">
        <f t="shared" ref="BP3:BP66" si="38">(BO3/O3)*100</f>
        <v>0</v>
      </c>
      <c r="BQ3" s="78">
        <f t="shared" ref="BQ3:BQ66" si="39">IF(BP3=0, 25, IF(BP3&lt;0.1, 40, IF(BP3&lt;0.5, 55, IF(BP3&lt;2, 70, IF(BP3&lt;4, 85, IF(BP3&gt;=4, 100))))))</f>
        <v>25</v>
      </c>
      <c r="BR3" s="79">
        <f t="shared" si="13"/>
        <v>0.5</v>
      </c>
      <c r="BS3" s="102"/>
      <c r="BT3" s="102"/>
      <c r="BU3" s="103">
        <f t="shared" ref="BU3:BU66" si="40">BS3-BT3</f>
        <v>0</v>
      </c>
      <c r="BV3" s="77">
        <f t="shared" si="14"/>
        <v>0</v>
      </c>
      <c r="BW3" s="96">
        <f t="shared" si="15"/>
        <v>0</v>
      </c>
      <c r="BX3" s="96">
        <f t="shared" ref="BX3:BX66" si="41">(BV3-BW3)^2</f>
        <v>0</v>
      </c>
      <c r="BY3" s="96">
        <f t="shared" si="16"/>
        <v>0</v>
      </c>
      <c r="BZ3" s="96" t="e">
        <f t="shared" ref="BZ3:BZ66" si="42">(1-_xlfn.NORM.DIST(BV3, BW3, BY3, TRUE))*100</f>
        <v>#NUM!</v>
      </c>
      <c r="CA3" s="96" t="e">
        <f t="shared" si="17"/>
        <v>#NUM!</v>
      </c>
      <c r="CB3" s="104" t="e">
        <f t="shared" ref="CB3:CB66" si="43">CA3*0.02</f>
        <v>#NUM!</v>
      </c>
      <c r="CC3" s="105">
        <f t="shared" si="18"/>
        <v>28.501122438751725</v>
      </c>
      <c r="CD3" s="106">
        <f t="shared" si="19"/>
        <v>89.635255362279509</v>
      </c>
      <c r="CE3" s="107">
        <f t="shared" si="20"/>
        <v>1.3445288304341925</v>
      </c>
      <c r="CF3" s="108" t="s">
        <v>2189</v>
      </c>
      <c r="CG3" s="108" t="s">
        <v>2189</v>
      </c>
      <c r="CH3" s="108" t="s">
        <v>2189</v>
      </c>
      <c r="CI3" s="108" t="s">
        <v>2189</v>
      </c>
      <c r="CJ3" s="109"/>
      <c r="CK3" s="116"/>
      <c r="CL3" s="116"/>
      <c r="CM3" s="111">
        <f t="shared" ref="CM3:CM66" si="44">IF(CL3="A", 100, IF(CL3="B", 85, IF(CL3="C", 70, IF(CL3="D", 55, IF(CL3="E", 40, 25)))))</f>
        <v>25</v>
      </c>
      <c r="CN3" s="107">
        <f t="shared" si="21"/>
        <v>0.375</v>
      </c>
      <c r="CO3" s="114"/>
      <c r="CP3" s="88">
        <f t="shared" ref="CP3:CP66" si="45">(CO3/N3)*100</f>
        <v>0</v>
      </c>
      <c r="CQ3" s="78">
        <f t="shared" ref="CQ3:CQ66" si="46">IF(CP3&lt;3, 100, IF(CP3&lt;10, 80, IF(CP3&lt;35, 60, IF(CP3&lt;100, 40, IF(CP3&gt;=100, 20)))))</f>
        <v>100</v>
      </c>
      <c r="CR3" s="79">
        <f t="shared" si="22"/>
        <v>3</v>
      </c>
      <c r="CS3" s="92"/>
      <c r="CT3" s="77">
        <f t="shared" si="23"/>
        <v>0</v>
      </c>
      <c r="CU3" s="78">
        <f t="shared" ref="CU3:CU66" si="47">IF(CT3&lt;3, 100, IF(CT3&lt;10, 80, IF(CT3&lt;35, 60, IF(CT3&lt;100, 40, 20))))</f>
        <v>100</v>
      </c>
      <c r="CV3" s="79">
        <f t="shared" si="24"/>
        <v>2</v>
      </c>
      <c r="CW3" s="112" t="e">
        <f t="shared" ref="CW3:CW66" si="48">AE3+AJ3+AQ3+AX3+BD3+BN3+BR3+CB3+CE3+CJ3+CN3+CR3+CV3</f>
        <v>#DIV/0!</v>
      </c>
    </row>
    <row r="4" spans="1:101" x14ac:dyDescent="0.35">
      <c r="A4" s="7" t="s">
        <v>36</v>
      </c>
      <c r="B4" s="8" t="s">
        <v>37</v>
      </c>
      <c r="C4" s="21" t="s">
        <v>38</v>
      </c>
      <c r="D4" s="22" t="s">
        <v>21</v>
      </c>
      <c r="E4" s="11" t="s">
        <v>39</v>
      </c>
      <c r="F4" s="11" t="s">
        <v>40</v>
      </c>
      <c r="G4" s="12">
        <v>20638</v>
      </c>
      <c r="H4" s="11" t="s">
        <v>24</v>
      </c>
      <c r="I4" s="11" t="s">
        <v>41</v>
      </c>
      <c r="J4" s="11" t="s">
        <v>42</v>
      </c>
      <c r="K4" s="11" t="s">
        <v>27</v>
      </c>
      <c r="L4" s="23">
        <v>7825113458</v>
      </c>
      <c r="M4" s="14">
        <v>4398363795</v>
      </c>
      <c r="N4" s="14">
        <v>3426749663</v>
      </c>
      <c r="O4" s="14">
        <v>8214653866</v>
      </c>
      <c r="P4" s="14">
        <v>262723385</v>
      </c>
      <c r="Q4" s="14">
        <v>247777952</v>
      </c>
      <c r="R4" s="14">
        <v>200576209</v>
      </c>
      <c r="AB4" s="74">
        <f t="shared" ref="AB4:AB67" si="49">SUM(U4,V4,Z4,W4,X4)</f>
        <v>0</v>
      </c>
      <c r="AC4" s="75" t="e">
        <f t="shared" si="25"/>
        <v>#DIV/0!</v>
      </c>
      <c r="AD4" s="75" t="e">
        <f t="shared" ref="AD4:AD67" si="50">100-(75*(AC4-0.1))/(87-0.1)</f>
        <v>#DIV/0!</v>
      </c>
      <c r="AE4" s="76" t="e">
        <f t="shared" si="0"/>
        <v>#DIV/0!</v>
      </c>
      <c r="AF4" s="77" t="e">
        <f t="shared" si="26"/>
        <v>#DIV/0!</v>
      </c>
      <c r="AG4" s="77" t="e">
        <f t="shared" si="27"/>
        <v>#DIV/0!</v>
      </c>
      <c r="AH4" s="77" t="e">
        <f t="shared" ref="AH4:AH67" si="51">AG4-AF4</f>
        <v>#DIV/0!</v>
      </c>
      <c r="AI4" s="78" t="e">
        <f t="shared" ref="AI4:AI67" si="52">IF(AH4&lt;10, 100, IF(AH4&lt;30, 80, IF(AH4&lt;50, 60, IF(AH4&lt;80, 40, IF(AH4&lt;=100, 20)))))</f>
        <v>#DIV/0!</v>
      </c>
      <c r="AJ4" s="79" t="e">
        <f t="shared" si="1"/>
        <v>#DIV/0!</v>
      </c>
      <c r="AN4" s="81">
        <f t="shared" si="2"/>
        <v>0</v>
      </c>
      <c r="AO4" s="82" t="e">
        <f t="shared" si="3"/>
        <v>#DIV/0!</v>
      </c>
      <c r="AP4" s="83" t="e">
        <f t="shared" si="28"/>
        <v>#DIV/0!</v>
      </c>
      <c r="AQ4" s="84" t="e">
        <f t="shared" si="4"/>
        <v>#DIV/0!</v>
      </c>
      <c r="AS4" s="86">
        <f t="shared" si="5"/>
        <v>0.5</v>
      </c>
      <c r="AT4" s="87">
        <f t="shared" si="29"/>
        <v>0</v>
      </c>
      <c r="AU4" s="87">
        <f t="shared" si="30"/>
        <v>0</v>
      </c>
      <c r="AV4" s="88" t="e">
        <f t="shared" si="6"/>
        <v>#DIV/0!</v>
      </c>
      <c r="AW4" s="78" t="e">
        <f t="shared" si="31"/>
        <v>#DIV/0!</v>
      </c>
      <c r="AX4" s="89" t="e">
        <f t="shared" si="7"/>
        <v>#DIV/0!</v>
      </c>
      <c r="BA4" s="91">
        <f t="shared" si="8"/>
        <v>0</v>
      </c>
      <c r="BB4" s="77" t="e">
        <f t="shared" si="32"/>
        <v>#DIV/0!</v>
      </c>
      <c r="BC4" s="78" t="e">
        <f t="shared" si="33"/>
        <v>#DIV/0!</v>
      </c>
      <c r="BD4" s="79" t="e">
        <f t="shared" si="9"/>
        <v>#DIV/0!</v>
      </c>
      <c r="BE4" s="92"/>
      <c r="BF4" s="92"/>
      <c r="BG4" s="114">
        <v>4026318</v>
      </c>
      <c r="BH4" s="94">
        <f t="shared" si="10"/>
        <v>0</v>
      </c>
      <c r="BI4" s="77" t="e">
        <f t="shared" si="11"/>
        <v>#DIV/0!</v>
      </c>
      <c r="BJ4" s="95" t="str">
        <f t="shared" si="34"/>
        <v>비제조/서비스업</v>
      </c>
      <c r="BK4" s="96" t="e">
        <f t="shared" si="12"/>
        <v>#DIV/0!</v>
      </c>
      <c r="BL4" s="97" t="e">
        <f t="shared" si="35"/>
        <v>#DIV/0!</v>
      </c>
      <c r="BM4" s="98" t="e">
        <f t="shared" si="36"/>
        <v>#DIV/0!</v>
      </c>
      <c r="BN4" s="99" t="e">
        <f t="shared" si="37"/>
        <v>#DIV/0!</v>
      </c>
      <c r="BP4" s="101">
        <f t="shared" si="38"/>
        <v>0</v>
      </c>
      <c r="BQ4" s="78">
        <f t="shared" si="39"/>
        <v>25</v>
      </c>
      <c r="BR4" s="79">
        <f t="shared" si="13"/>
        <v>0.5</v>
      </c>
      <c r="BS4" s="102"/>
      <c r="BT4" s="102"/>
      <c r="BU4" s="103">
        <f t="shared" si="40"/>
        <v>0</v>
      </c>
      <c r="BV4" s="77">
        <f t="shared" si="14"/>
        <v>0</v>
      </c>
      <c r="BW4" s="96">
        <f t="shared" si="15"/>
        <v>0</v>
      </c>
      <c r="BX4" s="96">
        <f t="shared" si="41"/>
        <v>0</v>
      </c>
      <c r="BY4" s="96">
        <f t="shared" si="16"/>
        <v>0</v>
      </c>
      <c r="BZ4" s="96" t="e">
        <f t="shared" si="42"/>
        <v>#NUM!</v>
      </c>
      <c r="CA4" s="96" t="e">
        <f t="shared" si="17"/>
        <v>#NUM!</v>
      </c>
      <c r="CB4" s="104" t="e">
        <f t="shared" si="43"/>
        <v>#NUM!</v>
      </c>
      <c r="CC4" s="105">
        <f t="shared" si="18"/>
        <v>128.35381126584502</v>
      </c>
      <c r="CD4" s="106">
        <f t="shared" si="19"/>
        <v>52.002332437495596</v>
      </c>
      <c r="CE4" s="107">
        <f t="shared" si="20"/>
        <v>0.78003498656243386</v>
      </c>
      <c r="CF4" s="108" t="s">
        <v>2189</v>
      </c>
      <c r="CG4" s="108" t="s">
        <v>2189</v>
      </c>
      <c r="CH4" s="108" t="s">
        <v>2189</v>
      </c>
      <c r="CI4" s="108" t="s">
        <v>2189</v>
      </c>
      <c r="CJ4" s="109"/>
      <c r="CM4" s="111">
        <f t="shared" si="44"/>
        <v>25</v>
      </c>
      <c r="CN4" s="107">
        <f t="shared" si="21"/>
        <v>0.375</v>
      </c>
      <c r="CP4" s="88">
        <f t="shared" si="45"/>
        <v>0</v>
      </c>
      <c r="CQ4" s="78">
        <f t="shared" si="46"/>
        <v>100</v>
      </c>
      <c r="CR4" s="79">
        <f t="shared" si="22"/>
        <v>3</v>
      </c>
      <c r="CS4" s="92"/>
      <c r="CT4" s="77">
        <f t="shared" si="23"/>
        <v>0</v>
      </c>
      <c r="CU4" s="78">
        <f t="shared" si="47"/>
        <v>100</v>
      </c>
      <c r="CV4" s="79">
        <f t="shared" si="24"/>
        <v>2</v>
      </c>
      <c r="CW4" s="112" t="e">
        <f t="shared" si="48"/>
        <v>#DIV/0!</v>
      </c>
    </row>
    <row r="5" spans="1:101" x14ac:dyDescent="0.35">
      <c r="A5" s="7" t="s">
        <v>43</v>
      </c>
      <c r="B5" s="8" t="s">
        <v>44</v>
      </c>
      <c r="C5" s="21" t="s">
        <v>45</v>
      </c>
      <c r="D5" s="10" t="s">
        <v>31</v>
      </c>
      <c r="E5" s="11" t="s">
        <v>46</v>
      </c>
      <c r="F5" s="11" t="s">
        <v>47</v>
      </c>
      <c r="G5" s="12">
        <v>32473</v>
      </c>
      <c r="H5" s="11" t="s">
        <v>24</v>
      </c>
      <c r="I5" s="11" t="s">
        <v>48</v>
      </c>
      <c r="J5" s="11" t="s">
        <v>49</v>
      </c>
      <c r="K5" s="11" t="s">
        <v>50</v>
      </c>
      <c r="L5" s="23">
        <v>143409087</v>
      </c>
      <c r="M5" s="14">
        <v>67719807</v>
      </c>
      <c r="N5" s="14">
        <v>75689279</v>
      </c>
      <c r="O5" s="14">
        <v>152701472</v>
      </c>
      <c r="P5" s="14">
        <v>4135028</v>
      </c>
      <c r="Q5" s="14">
        <v>6675009</v>
      </c>
      <c r="R5" s="14">
        <v>7419861</v>
      </c>
      <c r="AB5" s="74">
        <f t="shared" si="49"/>
        <v>0</v>
      </c>
      <c r="AC5" s="75" t="e">
        <f t="shared" si="25"/>
        <v>#DIV/0!</v>
      </c>
      <c r="AD5" s="75" t="e">
        <f t="shared" si="50"/>
        <v>#DIV/0!</v>
      </c>
      <c r="AE5" s="76" t="e">
        <f t="shared" si="0"/>
        <v>#DIV/0!</v>
      </c>
      <c r="AF5" s="77" t="e">
        <f t="shared" si="26"/>
        <v>#DIV/0!</v>
      </c>
      <c r="AG5" s="77" t="e">
        <f t="shared" si="27"/>
        <v>#DIV/0!</v>
      </c>
      <c r="AH5" s="77" t="e">
        <f t="shared" si="51"/>
        <v>#DIV/0!</v>
      </c>
      <c r="AI5" s="78" t="e">
        <f t="shared" si="52"/>
        <v>#DIV/0!</v>
      </c>
      <c r="AJ5" s="79" t="e">
        <f t="shared" si="1"/>
        <v>#DIV/0!</v>
      </c>
      <c r="AN5" s="81">
        <f t="shared" si="2"/>
        <v>0</v>
      </c>
      <c r="AO5" s="82" t="e">
        <f t="shared" si="3"/>
        <v>#DIV/0!</v>
      </c>
      <c r="AP5" s="83" t="e">
        <f t="shared" si="28"/>
        <v>#DIV/0!</v>
      </c>
      <c r="AQ5" s="84" t="e">
        <f t="shared" si="4"/>
        <v>#DIV/0!</v>
      </c>
      <c r="AS5" s="86">
        <f t="shared" si="5"/>
        <v>0.25</v>
      </c>
      <c r="AT5" s="87">
        <f t="shared" si="29"/>
        <v>0</v>
      </c>
      <c r="AU5" s="87">
        <f t="shared" si="30"/>
        <v>0</v>
      </c>
      <c r="AV5" s="88" t="e">
        <f t="shared" si="6"/>
        <v>#DIV/0!</v>
      </c>
      <c r="AW5" s="78" t="e">
        <f t="shared" si="31"/>
        <v>#DIV/0!</v>
      </c>
      <c r="AX5" s="89" t="e">
        <f t="shared" si="7"/>
        <v>#DIV/0!</v>
      </c>
      <c r="BA5" s="91">
        <f t="shared" si="8"/>
        <v>0</v>
      </c>
      <c r="BB5" s="77" t="e">
        <f t="shared" si="32"/>
        <v>#DIV/0!</v>
      </c>
      <c r="BC5" s="78" t="e">
        <f t="shared" si="33"/>
        <v>#DIV/0!</v>
      </c>
      <c r="BD5" s="79" t="e">
        <f t="shared" si="9"/>
        <v>#DIV/0!</v>
      </c>
      <c r="BE5" s="92"/>
      <c r="BF5" s="92"/>
      <c r="BG5" s="93">
        <v>0</v>
      </c>
      <c r="BH5" s="94">
        <f t="shared" si="10"/>
        <v>0</v>
      </c>
      <c r="BI5" s="77" t="e">
        <f t="shared" si="11"/>
        <v>#DIV/0!</v>
      </c>
      <c r="BJ5" s="95" t="str">
        <f t="shared" si="34"/>
        <v>식약/섬유/종이업</v>
      </c>
      <c r="BK5" s="96" t="e">
        <f t="shared" si="12"/>
        <v>#DIV/0!</v>
      </c>
      <c r="BL5" s="97" t="e">
        <f t="shared" si="35"/>
        <v>#DIV/0!</v>
      </c>
      <c r="BM5" s="98" t="e">
        <f t="shared" si="36"/>
        <v>#DIV/0!</v>
      </c>
      <c r="BN5" s="99" t="e">
        <f t="shared" si="37"/>
        <v>#DIV/0!</v>
      </c>
      <c r="BP5" s="101">
        <f t="shared" si="38"/>
        <v>0</v>
      </c>
      <c r="BQ5" s="78">
        <f t="shared" si="39"/>
        <v>25</v>
      </c>
      <c r="BR5" s="79">
        <f t="shared" si="13"/>
        <v>0.5</v>
      </c>
      <c r="BS5" s="102"/>
      <c r="BT5" s="102"/>
      <c r="BU5" s="103">
        <f t="shared" si="40"/>
        <v>0</v>
      </c>
      <c r="BV5" s="77">
        <f t="shared" si="14"/>
        <v>0</v>
      </c>
      <c r="BW5" s="96">
        <f t="shared" si="15"/>
        <v>0</v>
      </c>
      <c r="BX5" s="96">
        <f t="shared" si="41"/>
        <v>0</v>
      </c>
      <c r="BY5" s="96">
        <f t="shared" si="16"/>
        <v>0</v>
      </c>
      <c r="BZ5" s="96" t="e">
        <f t="shared" si="42"/>
        <v>#NUM!</v>
      </c>
      <c r="CA5" s="96" t="e">
        <f t="shared" si="17"/>
        <v>#NUM!</v>
      </c>
      <c r="CB5" s="104" t="e">
        <f t="shared" si="43"/>
        <v>#NUM!</v>
      </c>
      <c r="CC5" s="105">
        <f t="shared" si="18"/>
        <v>89.470804709343312</v>
      </c>
      <c r="CD5" s="106">
        <f t="shared" si="19"/>
        <v>66.656731893463586</v>
      </c>
      <c r="CE5" s="107">
        <f t="shared" si="20"/>
        <v>0.9998509784019538</v>
      </c>
      <c r="CF5" s="108" t="s">
        <v>2189</v>
      </c>
      <c r="CG5" s="108" t="s">
        <v>2189</v>
      </c>
      <c r="CH5" s="108" t="s">
        <v>2189</v>
      </c>
      <c r="CI5" s="108" t="s">
        <v>2189</v>
      </c>
      <c r="CJ5" s="109"/>
      <c r="CM5" s="111">
        <f t="shared" si="44"/>
        <v>25</v>
      </c>
      <c r="CN5" s="107">
        <f t="shared" si="21"/>
        <v>0.375</v>
      </c>
      <c r="CP5" s="88">
        <f t="shared" si="45"/>
        <v>0</v>
      </c>
      <c r="CQ5" s="78">
        <f t="shared" si="46"/>
        <v>100</v>
      </c>
      <c r="CR5" s="79">
        <f t="shared" si="22"/>
        <v>3</v>
      </c>
      <c r="CS5" s="92"/>
      <c r="CT5" s="77">
        <f t="shared" si="23"/>
        <v>0</v>
      </c>
      <c r="CU5" s="78">
        <f t="shared" si="47"/>
        <v>100</v>
      </c>
      <c r="CV5" s="79">
        <f t="shared" si="24"/>
        <v>2</v>
      </c>
      <c r="CW5" s="112" t="e">
        <f t="shared" si="48"/>
        <v>#DIV/0!</v>
      </c>
    </row>
    <row r="6" spans="1:101" x14ac:dyDescent="0.35">
      <c r="A6" s="7" t="s">
        <v>51</v>
      </c>
      <c r="B6" s="8" t="s">
        <v>52</v>
      </c>
      <c r="C6" s="21" t="s">
        <v>53</v>
      </c>
      <c r="D6" s="22" t="s">
        <v>31</v>
      </c>
      <c r="E6" s="11" t="s">
        <v>46</v>
      </c>
      <c r="F6" s="11" t="s">
        <v>54</v>
      </c>
      <c r="G6" s="12">
        <v>39353</v>
      </c>
      <c r="H6" s="11" t="s">
        <v>24</v>
      </c>
      <c r="I6" s="11" t="s">
        <v>55</v>
      </c>
      <c r="J6" s="11" t="s">
        <v>56</v>
      </c>
      <c r="K6" s="11" t="s">
        <v>27</v>
      </c>
      <c r="L6" s="23">
        <v>11450867716</v>
      </c>
      <c r="M6" s="14">
        <v>6158689194</v>
      </c>
      <c r="N6" s="14">
        <v>5292178522</v>
      </c>
      <c r="O6" s="14">
        <v>7842662871</v>
      </c>
      <c r="P6" s="14">
        <v>405033974</v>
      </c>
      <c r="Q6" s="14">
        <v>333649782</v>
      </c>
      <c r="R6" s="14">
        <v>265820089</v>
      </c>
      <c r="AB6" s="74">
        <f t="shared" si="49"/>
        <v>0</v>
      </c>
      <c r="AC6" s="75" t="e">
        <f t="shared" si="25"/>
        <v>#DIV/0!</v>
      </c>
      <c r="AD6" s="75" t="e">
        <f t="shared" si="50"/>
        <v>#DIV/0!</v>
      </c>
      <c r="AE6" s="76" t="e">
        <f t="shared" si="0"/>
        <v>#DIV/0!</v>
      </c>
      <c r="AF6" s="77" t="e">
        <f t="shared" si="26"/>
        <v>#DIV/0!</v>
      </c>
      <c r="AG6" s="77" t="e">
        <f t="shared" si="27"/>
        <v>#DIV/0!</v>
      </c>
      <c r="AH6" s="77" t="e">
        <f t="shared" si="51"/>
        <v>#DIV/0!</v>
      </c>
      <c r="AI6" s="78" t="e">
        <f t="shared" si="52"/>
        <v>#DIV/0!</v>
      </c>
      <c r="AJ6" s="79" t="e">
        <f t="shared" si="1"/>
        <v>#DIV/0!</v>
      </c>
      <c r="AM6" s="80"/>
      <c r="AN6" s="81">
        <f t="shared" si="2"/>
        <v>0</v>
      </c>
      <c r="AO6" s="82" t="e">
        <f t="shared" si="3"/>
        <v>#DIV/0!</v>
      </c>
      <c r="AP6" s="83" t="e">
        <f t="shared" si="28"/>
        <v>#DIV/0!</v>
      </c>
      <c r="AQ6" s="84" t="e">
        <f t="shared" si="4"/>
        <v>#DIV/0!</v>
      </c>
      <c r="AS6" s="86">
        <f t="shared" si="5"/>
        <v>0.5</v>
      </c>
      <c r="AT6" s="87">
        <f t="shared" si="29"/>
        <v>0</v>
      </c>
      <c r="AU6" s="87">
        <f t="shared" si="30"/>
        <v>0</v>
      </c>
      <c r="AV6" s="88" t="e">
        <f t="shared" si="6"/>
        <v>#DIV/0!</v>
      </c>
      <c r="AW6" s="78" t="e">
        <f t="shared" si="31"/>
        <v>#DIV/0!</v>
      </c>
      <c r="AX6" s="89" t="e">
        <f t="shared" si="7"/>
        <v>#DIV/0!</v>
      </c>
      <c r="BA6" s="91">
        <f t="shared" si="8"/>
        <v>0</v>
      </c>
      <c r="BB6" s="77" t="e">
        <f t="shared" si="32"/>
        <v>#DIV/0!</v>
      </c>
      <c r="BC6" s="78" t="e">
        <f t="shared" si="33"/>
        <v>#DIV/0!</v>
      </c>
      <c r="BD6" s="79" t="e">
        <f t="shared" si="9"/>
        <v>#DIV/0!</v>
      </c>
      <c r="BE6" s="92"/>
      <c r="BF6" s="92"/>
      <c r="BG6" s="93">
        <v>0</v>
      </c>
      <c r="BH6" s="94">
        <f t="shared" si="10"/>
        <v>0</v>
      </c>
      <c r="BI6" s="77" t="e">
        <f t="shared" si="11"/>
        <v>#DIV/0!</v>
      </c>
      <c r="BJ6" s="95" t="str">
        <f t="shared" si="34"/>
        <v>식약/섬유/종이업</v>
      </c>
      <c r="BK6" s="96" t="e">
        <f t="shared" si="12"/>
        <v>#DIV/0!</v>
      </c>
      <c r="BL6" s="97" t="e">
        <f t="shared" si="35"/>
        <v>#DIV/0!</v>
      </c>
      <c r="BM6" s="98" t="e">
        <f t="shared" si="36"/>
        <v>#DIV/0!</v>
      </c>
      <c r="BN6" s="99" t="e">
        <f t="shared" si="37"/>
        <v>#DIV/0!</v>
      </c>
      <c r="BP6" s="101">
        <f t="shared" si="38"/>
        <v>0</v>
      </c>
      <c r="BQ6" s="78">
        <f t="shared" si="39"/>
        <v>25</v>
      </c>
      <c r="BR6" s="79">
        <f t="shared" si="13"/>
        <v>0.5</v>
      </c>
      <c r="BS6" s="102"/>
      <c r="BT6" s="102"/>
      <c r="BU6" s="103">
        <f t="shared" si="40"/>
        <v>0</v>
      </c>
      <c r="BV6" s="77">
        <f t="shared" si="14"/>
        <v>0</v>
      </c>
      <c r="BW6" s="96">
        <f t="shared" si="15"/>
        <v>0</v>
      </c>
      <c r="BX6" s="96">
        <f t="shared" si="41"/>
        <v>0</v>
      </c>
      <c r="BY6" s="96">
        <f t="shared" si="16"/>
        <v>0</v>
      </c>
      <c r="BZ6" s="96" t="e">
        <f t="shared" si="42"/>
        <v>#NUM!</v>
      </c>
      <c r="CA6" s="96" t="e">
        <f t="shared" si="17"/>
        <v>#NUM!</v>
      </c>
      <c r="CB6" s="104" t="e">
        <f t="shared" si="43"/>
        <v>#NUM!</v>
      </c>
      <c r="CC6" s="105">
        <f t="shared" si="18"/>
        <v>116.37342104764319</v>
      </c>
      <c r="CD6" s="106">
        <f t="shared" si="19"/>
        <v>56.517554881541514</v>
      </c>
      <c r="CE6" s="107">
        <f t="shared" si="20"/>
        <v>0.84776332322312264</v>
      </c>
      <c r="CF6" s="108" t="s">
        <v>2189</v>
      </c>
      <c r="CG6" s="108" t="s">
        <v>2189</v>
      </c>
      <c r="CH6" s="108" t="s">
        <v>2189</v>
      </c>
      <c r="CI6" s="108" t="s">
        <v>2189</v>
      </c>
      <c r="CJ6" s="109"/>
      <c r="CM6" s="111">
        <f t="shared" si="44"/>
        <v>25</v>
      </c>
      <c r="CN6" s="107">
        <f t="shared" si="21"/>
        <v>0.375</v>
      </c>
      <c r="CP6" s="88">
        <f t="shared" si="45"/>
        <v>0</v>
      </c>
      <c r="CQ6" s="78">
        <f t="shared" si="46"/>
        <v>100</v>
      </c>
      <c r="CR6" s="79">
        <f t="shared" si="22"/>
        <v>3</v>
      </c>
      <c r="CS6" s="92"/>
      <c r="CT6" s="77">
        <f t="shared" si="23"/>
        <v>0</v>
      </c>
      <c r="CU6" s="78">
        <f t="shared" si="47"/>
        <v>100</v>
      </c>
      <c r="CV6" s="79">
        <f t="shared" si="24"/>
        <v>2</v>
      </c>
      <c r="CW6" s="112" t="e">
        <f t="shared" si="48"/>
        <v>#DIV/0!</v>
      </c>
    </row>
    <row r="7" spans="1:101" x14ac:dyDescent="0.35">
      <c r="A7" s="7" t="s">
        <v>57</v>
      </c>
      <c r="B7" s="8" t="s">
        <v>58</v>
      </c>
      <c r="C7" s="21" t="s">
        <v>59</v>
      </c>
      <c r="D7" s="10" t="s">
        <v>21</v>
      </c>
      <c r="E7" s="11" t="s">
        <v>60</v>
      </c>
      <c r="F7" s="11" t="s">
        <v>61</v>
      </c>
      <c r="G7" s="12">
        <v>33975</v>
      </c>
      <c r="H7" s="11" t="s">
        <v>24</v>
      </c>
      <c r="I7" s="11" t="s">
        <v>62</v>
      </c>
      <c r="J7" s="11" t="s">
        <v>63</v>
      </c>
      <c r="K7" s="11" t="s">
        <v>27</v>
      </c>
      <c r="L7" s="23">
        <v>428747549</v>
      </c>
      <c r="M7" s="14">
        <v>121241747</v>
      </c>
      <c r="N7" s="14">
        <v>307505802</v>
      </c>
      <c r="O7" s="14">
        <v>347588559</v>
      </c>
      <c r="P7" s="14">
        <v>12401397</v>
      </c>
      <c r="Q7" s="14">
        <v>14089238</v>
      </c>
      <c r="R7" s="14">
        <v>10922265</v>
      </c>
      <c r="AB7" s="74">
        <f t="shared" si="49"/>
        <v>0</v>
      </c>
      <c r="AC7" s="75" t="e">
        <f t="shared" si="25"/>
        <v>#DIV/0!</v>
      </c>
      <c r="AD7" s="75" t="e">
        <f t="shared" si="50"/>
        <v>#DIV/0!</v>
      </c>
      <c r="AE7" s="76" t="e">
        <f t="shared" si="0"/>
        <v>#DIV/0!</v>
      </c>
      <c r="AF7" s="77" t="e">
        <f t="shared" si="26"/>
        <v>#DIV/0!</v>
      </c>
      <c r="AG7" s="77" t="e">
        <f t="shared" si="27"/>
        <v>#DIV/0!</v>
      </c>
      <c r="AH7" s="77" t="e">
        <f t="shared" si="51"/>
        <v>#DIV/0!</v>
      </c>
      <c r="AI7" s="78" t="e">
        <f t="shared" si="52"/>
        <v>#DIV/0!</v>
      </c>
      <c r="AJ7" s="79" t="e">
        <f t="shared" si="1"/>
        <v>#DIV/0!</v>
      </c>
      <c r="AN7" s="81">
        <f t="shared" si="2"/>
        <v>0</v>
      </c>
      <c r="AO7" s="82" t="e">
        <f t="shared" si="3"/>
        <v>#DIV/0!</v>
      </c>
      <c r="AP7" s="83" t="e">
        <f t="shared" si="28"/>
        <v>#DIV/0!</v>
      </c>
      <c r="AQ7" s="84" t="e">
        <f t="shared" si="4"/>
        <v>#DIV/0!</v>
      </c>
      <c r="AS7" s="86">
        <f t="shared" si="5"/>
        <v>0.25</v>
      </c>
      <c r="AT7" s="87">
        <f t="shared" si="29"/>
        <v>0</v>
      </c>
      <c r="AU7" s="87">
        <f t="shared" si="30"/>
        <v>0</v>
      </c>
      <c r="AV7" s="88" t="e">
        <f t="shared" si="6"/>
        <v>#DIV/0!</v>
      </c>
      <c r="AW7" s="78" t="e">
        <f t="shared" si="31"/>
        <v>#DIV/0!</v>
      </c>
      <c r="AX7" s="89" t="e">
        <f t="shared" si="7"/>
        <v>#DIV/0!</v>
      </c>
      <c r="BA7" s="91">
        <f t="shared" si="8"/>
        <v>0</v>
      </c>
      <c r="BB7" s="77" t="e">
        <f t="shared" si="32"/>
        <v>#DIV/0!</v>
      </c>
      <c r="BC7" s="78" t="e">
        <f t="shared" si="33"/>
        <v>#DIV/0!</v>
      </c>
      <c r="BD7" s="79" t="e">
        <f t="shared" si="9"/>
        <v>#DIV/0!</v>
      </c>
      <c r="BE7" s="92"/>
      <c r="BF7" s="92"/>
      <c r="BG7" s="93">
        <v>0</v>
      </c>
      <c r="BH7" s="94">
        <f t="shared" si="10"/>
        <v>0</v>
      </c>
      <c r="BI7" s="77" t="e">
        <f t="shared" si="11"/>
        <v>#DIV/0!</v>
      </c>
      <c r="BJ7" s="95" t="str">
        <f t="shared" si="34"/>
        <v>비제조/서비스업</v>
      </c>
      <c r="BK7" s="96" t="e">
        <f t="shared" si="12"/>
        <v>#DIV/0!</v>
      </c>
      <c r="BL7" s="97" t="e">
        <f t="shared" si="35"/>
        <v>#DIV/0!</v>
      </c>
      <c r="BM7" s="98" t="e">
        <f t="shared" si="36"/>
        <v>#DIV/0!</v>
      </c>
      <c r="BN7" s="99" t="e">
        <f t="shared" si="37"/>
        <v>#DIV/0!</v>
      </c>
      <c r="BP7" s="101">
        <f t="shared" si="38"/>
        <v>0</v>
      </c>
      <c r="BQ7" s="78">
        <f t="shared" si="39"/>
        <v>25</v>
      </c>
      <c r="BR7" s="79">
        <f t="shared" si="13"/>
        <v>0.5</v>
      </c>
      <c r="BS7" s="102"/>
      <c r="BT7" s="102"/>
      <c r="BU7" s="103">
        <f t="shared" si="40"/>
        <v>0</v>
      </c>
      <c r="BV7" s="77">
        <f t="shared" si="14"/>
        <v>0</v>
      </c>
      <c r="BW7" s="96">
        <f t="shared" si="15"/>
        <v>0</v>
      </c>
      <c r="BX7" s="96">
        <f t="shared" si="41"/>
        <v>0</v>
      </c>
      <c r="BY7" s="96">
        <f t="shared" si="16"/>
        <v>0</v>
      </c>
      <c r="BZ7" s="96" t="e">
        <f t="shared" si="42"/>
        <v>#NUM!</v>
      </c>
      <c r="CA7" s="96" t="e">
        <f t="shared" si="17"/>
        <v>#NUM!</v>
      </c>
      <c r="CB7" s="104" t="e">
        <f t="shared" si="43"/>
        <v>#NUM!</v>
      </c>
      <c r="CC7" s="105">
        <f t="shared" si="18"/>
        <v>39.427466477526821</v>
      </c>
      <c r="CD7" s="106">
        <f t="shared" si="19"/>
        <v>85.517286503444666</v>
      </c>
      <c r="CE7" s="107">
        <f t="shared" si="20"/>
        <v>1.28275929755167</v>
      </c>
      <c r="CF7" s="108" t="s">
        <v>2189</v>
      </c>
      <c r="CG7" s="108" t="s">
        <v>2189</v>
      </c>
      <c r="CH7" s="108" t="s">
        <v>2189</v>
      </c>
      <c r="CI7" s="108" t="s">
        <v>2189</v>
      </c>
      <c r="CJ7" s="109"/>
      <c r="CM7" s="111">
        <f t="shared" si="44"/>
        <v>25</v>
      </c>
      <c r="CN7" s="107">
        <f t="shared" si="21"/>
        <v>0.375</v>
      </c>
      <c r="CP7" s="88">
        <f t="shared" si="45"/>
        <v>0</v>
      </c>
      <c r="CQ7" s="78">
        <f t="shared" si="46"/>
        <v>100</v>
      </c>
      <c r="CR7" s="79">
        <f t="shared" si="22"/>
        <v>3</v>
      </c>
      <c r="CS7" s="92"/>
      <c r="CT7" s="77">
        <f t="shared" si="23"/>
        <v>0</v>
      </c>
      <c r="CU7" s="78">
        <f t="shared" si="47"/>
        <v>100</v>
      </c>
      <c r="CV7" s="79">
        <f t="shared" si="24"/>
        <v>2</v>
      </c>
      <c r="CW7" s="112" t="e">
        <f t="shared" si="48"/>
        <v>#DIV/0!</v>
      </c>
    </row>
    <row r="8" spans="1:101" x14ac:dyDescent="0.35">
      <c r="A8" s="7" t="s">
        <v>64</v>
      </c>
      <c r="B8" s="8" t="s">
        <v>65</v>
      </c>
      <c r="C8" s="21" t="s">
        <v>66</v>
      </c>
      <c r="D8" s="25" t="s">
        <v>67</v>
      </c>
      <c r="E8" s="11" t="s">
        <v>68</v>
      </c>
      <c r="F8" s="11" t="s">
        <v>69</v>
      </c>
      <c r="G8" s="12">
        <v>26843</v>
      </c>
      <c r="H8" s="11" t="s">
        <v>24</v>
      </c>
      <c r="I8" s="11" t="s">
        <v>70</v>
      </c>
      <c r="J8" s="11" t="s">
        <v>71</v>
      </c>
      <c r="K8" s="11" t="s">
        <v>27</v>
      </c>
      <c r="L8" s="23">
        <v>50491197385</v>
      </c>
      <c r="M8" s="14">
        <v>45440998151</v>
      </c>
      <c r="N8" s="14">
        <v>5050199234</v>
      </c>
      <c r="O8" s="14">
        <v>14569718977</v>
      </c>
      <c r="P8" s="14">
        <v>1292467004</v>
      </c>
      <c r="Q8" s="14">
        <v>1295672581</v>
      </c>
      <c r="R8" s="14">
        <v>980567336</v>
      </c>
      <c r="AB8" s="74">
        <f t="shared" si="49"/>
        <v>0</v>
      </c>
      <c r="AC8" s="75" t="e">
        <f t="shared" si="25"/>
        <v>#DIV/0!</v>
      </c>
      <c r="AD8" s="75" t="e">
        <f t="shared" si="50"/>
        <v>#DIV/0!</v>
      </c>
      <c r="AE8" s="119" t="e">
        <f>AD8*0.04</f>
        <v>#DIV/0!</v>
      </c>
      <c r="AF8" s="77" t="e">
        <f t="shared" si="26"/>
        <v>#DIV/0!</v>
      </c>
      <c r="AG8" s="77" t="e">
        <f t="shared" si="27"/>
        <v>#DIV/0!</v>
      </c>
      <c r="AH8" s="77" t="e">
        <f t="shared" si="51"/>
        <v>#DIV/0!</v>
      </c>
      <c r="AI8" s="78" t="e">
        <f t="shared" si="52"/>
        <v>#DIV/0!</v>
      </c>
      <c r="AJ8" s="120" t="e">
        <f>AI8*0.05</f>
        <v>#DIV/0!</v>
      </c>
      <c r="AN8" s="81">
        <f t="shared" si="2"/>
        <v>0</v>
      </c>
      <c r="AO8" s="82" t="e">
        <f t="shared" si="3"/>
        <v>#DIV/0!</v>
      </c>
      <c r="AP8" s="83" t="e">
        <f t="shared" si="28"/>
        <v>#DIV/0!</v>
      </c>
      <c r="AQ8" s="121" t="e">
        <f>AP8*0.03</f>
        <v>#DIV/0!</v>
      </c>
      <c r="AS8" s="86">
        <f t="shared" si="5"/>
        <v>0.5</v>
      </c>
      <c r="AT8" s="87">
        <f t="shared" si="29"/>
        <v>0</v>
      </c>
      <c r="AU8" s="87">
        <f t="shared" si="30"/>
        <v>0</v>
      </c>
      <c r="AV8" s="88" t="e">
        <f t="shared" si="6"/>
        <v>#DIV/0!</v>
      </c>
      <c r="AW8" s="78" t="e">
        <f t="shared" si="31"/>
        <v>#DIV/0!</v>
      </c>
      <c r="AX8" s="122" t="e">
        <f>AW8*0.02</f>
        <v>#DIV/0!</v>
      </c>
      <c r="BA8" s="91">
        <f t="shared" si="8"/>
        <v>0</v>
      </c>
      <c r="BB8" s="77" t="e">
        <f t="shared" si="32"/>
        <v>#DIV/0!</v>
      </c>
      <c r="BC8" s="78" t="e">
        <f t="shared" si="33"/>
        <v>#DIV/0!</v>
      </c>
      <c r="BD8" s="120" t="e">
        <f>BC8*0.02</f>
        <v>#DIV/0!</v>
      </c>
      <c r="BE8" s="92"/>
      <c r="BF8" s="92"/>
      <c r="BG8" s="93">
        <v>0</v>
      </c>
      <c r="BH8" s="94">
        <f t="shared" si="10"/>
        <v>0</v>
      </c>
      <c r="BI8" s="77" t="e">
        <f t="shared" si="11"/>
        <v>#DIV/0!</v>
      </c>
      <c r="BJ8" s="95" t="str">
        <f t="shared" si="34"/>
        <v>금융업</v>
      </c>
      <c r="BK8" s="96" t="e">
        <f t="shared" si="12"/>
        <v>#DIV/0!</v>
      </c>
      <c r="BL8" s="97" t="e">
        <f t="shared" si="35"/>
        <v>#DIV/0!</v>
      </c>
      <c r="BM8" s="98" t="e">
        <f t="shared" si="36"/>
        <v>#DIV/0!</v>
      </c>
      <c r="BN8" s="99" t="e">
        <f t="shared" si="37"/>
        <v>#DIV/0!</v>
      </c>
      <c r="BP8" s="101">
        <f t="shared" si="38"/>
        <v>0</v>
      </c>
      <c r="BQ8" s="78">
        <f t="shared" si="39"/>
        <v>25</v>
      </c>
      <c r="BR8" s="120">
        <f>BQ8*0.01</f>
        <v>0.25</v>
      </c>
      <c r="BS8" s="102"/>
      <c r="BT8" s="102"/>
      <c r="BU8" s="103">
        <f t="shared" si="40"/>
        <v>0</v>
      </c>
      <c r="BV8" s="77">
        <f t="shared" si="14"/>
        <v>0</v>
      </c>
      <c r="BW8" s="96">
        <f t="shared" si="15"/>
        <v>0</v>
      </c>
      <c r="BX8" s="96">
        <f t="shared" si="41"/>
        <v>0</v>
      </c>
      <c r="BY8" s="96">
        <f t="shared" si="16"/>
        <v>0</v>
      </c>
      <c r="BZ8" s="96" t="e">
        <f t="shared" si="42"/>
        <v>#NUM!</v>
      </c>
      <c r="CA8" s="96" t="e">
        <f t="shared" si="17"/>
        <v>#NUM!</v>
      </c>
      <c r="CB8" s="104" t="e">
        <f t="shared" si="43"/>
        <v>#NUM!</v>
      </c>
      <c r="CC8" s="123" t="s">
        <v>2200</v>
      </c>
      <c r="CD8" s="124" t="s">
        <v>2200</v>
      </c>
      <c r="CE8" s="125"/>
      <c r="CF8" s="126" t="s">
        <v>2201</v>
      </c>
      <c r="CG8" s="126" t="s">
        <v>2201</v>
      </c>
      <c r="CH8" s="127">
        <v>0.11</v>
      </c>
      <c r="CI8" s="128">
        <f>IF((100-(75*(CH8-10)/40))&gt;100, 100, IF((100-(75*(CH8-10)/40))&lt;25, 25, (100-(75*(CH8-10)/40))))</f>
        <v>100</v>
      </c>
      <c r="CJ8" s="129">
        <f>CI8*0.04</f>
        <v>4</v>
      </c>
      <c r="CM8" s="111">
        <f t="shared" si="44"/>
        <v>25</v>
      </c>
      <c r="CN8" s="130">
        <f>CM8*0.03</f>
        <v>0.75</v>
      </c>
      <c r="CP8" s="88">
        <f t="shared" si="45"/>
        <v>0</v>
      </c>
      <c r="CQ8" s="78">
        <f t="shared" si="46"/>
        <v>100</v>
      </c>
      <c r="CR8" s="120">
        <f>CQ8*0.04</f>
        <v>4</v>
      </c>
      <c r="CS8" s="92"/>
      <c r="CT8" s="77">
        <f t="shared" si="23"/>
        <v>0</v>
      </c>
      <c r="CU8" s="78">
        <f t="shared" si="47"/>
        <v>100</v>
      </c>
      <c r="CV8" s="131">
        <f>CU8*0.03</f>
        <v>3</v>
      </c>
      <c r="CW8" s="112" t="e">
        <f t="shared" si="48"/>
        <v>#DIV/0!</v>
      </c>
    </row>
    <row r="9" spans="1:101" x14ac:dyDescent="0.35">
      <c r="A9" s="7" t="s">
        <v>72</v>
      </c>
      <c r="B9" s="8" t="s">
        <v>73</v>
      </c>
      <c r="C9" s="21" t="s">
        <v>74</v>
      </c>
      <c r="D9" s="22" t="s">
        <v>75</v>
      </c>
      <c r="E9" s="11" t="s">
        <v>76</v>
      </c>
      <c r="F9" s="11" t="s">
        <v>77</v>
      </c>
      <c r="G9" s="12">
        <v>27792</v>
      </c>
      <c r="H9" s="11" t="s">
        <v>24</v>
      </c>
      <c r="I9" s="11" t="s">
        <v>78</v>
      </c>
      <c r="J9" s="11" t="s">
        <v>79</v>
      </c>
      <c r="K9" s="11" t="s">
        <v>27</v>
      </c>
      <c r="L9" s="23">
        <v>3649116385</v>
      </c>
      <c r="M9" s="14">
        <v>587165440</v>
      </c>
      <c r="N9" s="14">
        <v>3061950944</v>
      </c>
      <c r="O9" s="14">
        <v>223739892</v>
      </c>
      <c r="P9" s="14">
        <v>195878366</v>
      </c>
      <c r="Q9" s="14">
        <v>167506991</v>
      </c>
      <c r="R9" s="14">
        <v>146629624</v>
      </c>
      <c r="AB9" s="74">
        <f t="shared" si="49"/>
        <v>0</v>
      </c>
      <c r="AC9" s="75" t="e">
        <f t="shared" si="25"/>
        <v>#DIV/0!</v>
      </c>
      <c r="AD9" s="75" t="e">
        <f t="shared" si="50"/>
        <v>#DIV/0!</v>
      </c>
      <c r="AE9" s="76" t="e">
        <f t="shared" ref="AE9:AE35" si="53">AD9*0.03</f>
        <v>#DIV/0!</v>
      </c>
      <c r="AF9" s="77" t="e">
        <f t="shared" si="26"/>
        <v>#DIV/0!</v>
      </c>
      <c r="AG9" s="77" t="e">
        <f t="shared" si="27"/>
        <v>#DIV/0!</v>
      </c>
      <c r="AH9" s="77" t="e">
        <f t="shared" si="51"/>
        <v>#DIV/0!</v>
      </c>
      <c r="AI9" s="78" t="e">
        <f t="shared" si="52"/>
        <v>#DIV/0!</v>
      </c>
      <c r="AJ9" s="79" t="e">
        <f t="shared" ref="AJ9:AJ35" si="54">AI9*0.04</f>
        <v>#DIV/0!</v>
      </c>
      <c r="AM9" s="80"/>
      <c r="AN9" s="81">
        <f t="shared" si="2"/>
        <v>0</v>
      </c>
      <c r="AO9" s="82" t="e">
        <f t="shared" si="3"/>
        <v>#DIV/0!</v>
      </c>
      <c r="AP9" s="83" t="e">
        <f t="shared" si="28"/>
        <v>#DIV/0!</v>
      </c>
      <c r="AQ9" s="84" t="e">
        <f t="shared" ref="AQ9:AQ35" si="55">AP9*0.02</f>
        <v>#DIV/0!</v>
      </c>
      <c r="AS9" s="86">
        <f t="shared" si="5"/>
        <v>0.5</v>
      </c>
      <c r="AT9" s="87">
        <f t="shared" si="29"/>
        <v>0</v>
      </c>
      <c r="AU9" s="87">
        <f t="shared" si="30"/>
        <v>0</v>
      </c>
      <c r="AV9" s="88" t="e">
        <f t="shared" si="6"/>
        <v>#DIV/0!</v>
      </c>
      <c r="AW9" s="78" t="e">
        <f t="shared" si="31"/>
        <v>#DIV/0!</v>
      </c>
      <c r="AX9" s="89" t="e">
        <f t="shared" ref="AX9:AX35" si="56">AW9*0.01</f>
        <v>#DIV/0!</v>
      </c>
      <c r="BA9" s="91">
        <f t="shared" si="8"/>
        <v>0</v>
      </c>
      <c r="BB9" s="77" t="e">
        <f t="shared" si="32"/>
        <v>#DIV/0!</v>
      </c>
      <c r="BC9" s="78" t="e">
        <f t="shared" si="33"/>
        <v>#DIV/0!</v>
      </c>
      <c r="BD9" s="79" t="e">
        <f t="shared" ref="BD9:BD35" si="57">BC9*0.01</f>
        <v>#DIV/0!</v>
      </c>
      <c r="BE9" s="92"/>
      <c r="BF9" s="92"/>
      <c r="BG9" s="93">
        <v>0</v>
      </c>
      <c r="BH9" s="94">
        <f t="shared" si="10"/>
        <v>0</v>
      </c>
      <c r="BI9" s="77" t="e">
        <f t="shared" si="11"/>
        <v>#DIV/0!</v>
      </c>
      <c r="BJ9" s="95" t="str">
        <f t="shared" si="34"/>
        <v>금속/비금속/화학업</v>
      </c>
      <c r="BK9" s="96" t="e">
        <f t="shared" si="12"/>
        <v>#DIV/0!</v>
      </c>
      <c r="BL9" s="97" t="e">
        <f t="shared" si="35"/>
        <v>#DIV/0!</v>
      </c>
      <c r="BM9" s="98" t="e">
        <f t="shared" si="36"/>
        <v>#DIV/0!</v>
      </c>
      <c r="BN9" s="99" t="e">
        <f t="shared" si="37"/>
        <v>#DIV/0!</v>
      </c>
      <c r="BP9" s="101">
        <f t="shared" si="38"/>
        <v>0</v>
      </c>
      <c r="BQ9" s="78">
        <f t="shared" si="39"/>
        <v>25</v>
      </c>
      <c r="BR9" s="79">
        <f t="shared" ref="BR9:BR35" si="58">BQ9*0.02</f>
        <v>0.5</v>
      </c>
      <c r="BS9" s="102"/>
      <c r="BT9" s="102"/>
      <c r="BU9" s="103">
        <f t="shared" si="40"/>
        <v>0</v>
      </c>
      <c r="BV9" s="77">
        <f t="shared" si="14"/>
        <v>0</v>
      </c>
      <c r="BW9" s="96">
        <f t="shared" si="15"/>
        <v>0</v>
      </c>
      <c r="BX9" s="96">
        <f t="shared" si="41"/>
        <v>0</v>
      </c>
      <c r="BY9" s="96">
        <f t="shared" si="16"/>
        <v>0</v>
      </c>
      <c r="BZ9" s="96" t="e">
        <f t="shared" si="42"/>
        <v>#NUM!</v>
      </c>
      <c r="CA9" s="96" t="e">
        <f t="shared" si="17"/>
        <v>#NUM!</v>
      </c>
      <c r="CB9" s="104" t="e">
        <f t="shared" si="43"/>
        <v>#NUM!</v>
      </c>
      <c r="CC9" s="105">
        <f t="shared" ref="CC9:CC35" si="59">(M9/N9)*100</f>
        <v>19.1761870369142</v>
      </c>
      <c r="CD9" s="106">
        <f t="shared" ref="CD9:CD35" si="60">IF((100-(75*(CC9-1)/(200-1)))&gt;100, 100, IF((100-(75*(CC9-1)/(200-1)))&lt;25, 25, (100-(75*(CC9-1)/(200-1)))))</f>
        <v>93.149678252419278</v>
      </c>
      <c r="CE9" s="107">
        <f t="shared" ref="CE9:CE35" si="61">CD9*0.015</f>
        <v>1.3972451737862892</v>
      </c>
      <c r="CF9" s="108" t="s">
        <v>2189</v>
      </c>
      <c r="CG9" s="108" t="s">
        <v>2189</v>
      </c>
      <c r="CH9" s="108" t="s">
        <v>2189</v>
      </c>
      <c r="CI9" s="108" t="s">
        <v>2189</v>
      </c>
      <c r="CJ9" s="109"/>
      <c r="CM9" s="111">
        <f t="shared" si="44"/>
        <v>25</v>
      </c>
      <c r="CN9" s="107">
        <f t="shared" ref="CN9:CN35" si="62">CM9*0.015</f>
        <v>0.375</v>
      </c>
      <c r="CP9" s="88">
        <f t="shared" si="45"/>
        <v>0</v>
      </c>
      <c r="CQ9" s="78">
        <f t="shared" si="46"/>
        <v>100</v>
      </c>
      <c r="CR9" s="79">
        <f t="shared" ref="CR9:CR35" si="63">CQ9*0.03</f>
        <v>3</v>
      </c>
      <c r="CS9" s="92"/>
      <c r="CT9" s="77">
        <f t="shared" si="23"/>
        <v>0</v>
      </c>
      <c r="CU9" s="78">
        <f t="shared" si="47"/>
        <v>100</v>
      </c>
      <c r="CV9" s="79">
        <f t="shared" ref="CV9:CV35" si="64">CU9*0.02</f>
        <v>2</v>
      </c>
      <c r="CW9" s="112" t="e">
        <f t="shared" si="48"/>
        <v>#DIV/0!</v>
      </c>
    </row>
    <row r="10" spans="1:101" x14ac:dyDescent="0.35">
      <c r="A10" s="7" t="s">
        <v>80</v>
      </c>
      <c r="B10" s="8" t="s">
        <v>81</v>
      </c>
      <c r="C10" s="21" t="s">
        <v>82</v>
      </c>
      <c r="D10" s="10" t="s">
        <v>21</v>
      </c>
      <c r="E10" s="11" t="s">
        <v>83</v>
      </c>
      <c r="F10" s="11" t="s">
        <v>84</v>
      </c>
      <c r="G10" s="12">
        <v>28481</v>
      </c>
      <c r="H10" s="11" t="s">
        <v>24</v>
      </c>
      <c r="I10" s="11" t="s">
        <v>85</v>
      </c>
      <c r="J10" s="11" t="s">
        <v>86</v>
      </c>
      <c r="K10" s="11" t="s">
        <v>87</v>
      </c>
      <c r="L10" s="23">
        <v>1746816808</v>
      </c>
      <c r="M10" s="14">
        <v>748120989</v>
      </c>
      <c r="N10" s="14">
        <v>998695819</v>
      </c>
      <c r="O10" s="14">
        <v>1962419335</v>
      </c>
      <c r="P10" s="14">
        <v>81072832</v>
      </c>
      <c r="Q10" s="14">
        <v>84339672</v>
      </c>
      <c r="R10" s="14">
        <v>55421181</v>
      </c>
      <c r="AB10" s="74">
        <f t="shared" si="49"/>
        <v>0</v>
      </c>
      <c r="AC10" s="75" t="e">
        <f t="shared" si="25"/>
        <v>#DIV/0!</v>
      </c>
      <c r="AD10" s="75" t="e">
        <f t="shared" si="50"/>
        <v>#DIV/0!</v>
      </c>
      <c r="AE10" s="76" t="e">
        <f t="shared" si="53"/>
        <v>#DIV/0!</v>
      </c>
      <c r="AF10" s="77" t="e">
        <f t="shared" si="26"/>
        <v>#DIV/0!</v>
      </c>
      <c r="AG10" s="77" t="e">
        <f t="shared" si="27"/>
        <v>#DIV/0!</v>
      </c>
      <c r="AH10" s="77" t="e">
        <f t="shared" si="51"/>
        <v>#DIV/0!</v>
      </c>
      <c r="AI10" s="78" t="e">
        <f t="shared" si="52"/>
        <v>#DIV/0!</v>
      </c>
      <c r="AJ10" s="79" t="e">
        <f t="shared" si="54"/>
        <v>#DIV/0!</v>
      </c>
      <c r="AN10" s="81">
        <f t="shared" si="2"/>
        <v>0</v>
      </c>
      <c r="AO10" s="82" t="e">
        <f t="shared" si="3"/>
        <v>#DIV/0!</v>
      </c>
      <c r="AP10" s="83" t="e">
        <f t="shared" si="28"/>
        <v>#DIV/0!</v>
      </c>
      <c r="AQ10" s="84" t="e">
        <f t="shared" si="55"/>
        <v>#DIV/0!</v>
      </c>
      <c r="AS10" s="86">
        <f t="shared" si="5"/>
        <v>0.25</v>
      </c>
      <c r="AT10" s="87">
        <f t="shared" si="29"/>
        <v>0</v>
      </c>
      <c r="AU10" s="87">
        <f t="shared" si="30"/>
        <v>0</v>
      </c>
      <c r="AV10" s="88" t="e">
        <f t="shared" si="6"/>
        <v>#DIV/0!</v>
      </c>
      <c r="AW10" s="78" t="e">
        <f t="shared" si="31"/>
        <v>#DIV/0!</v>
      </c>
      <c r="AX10" s="89" t="e">
        <f t="shared" si="56"/>
        <v>#DIV/0!</v>
      </c>
      <c r="BA10" s="91">
        <f t="shared" si="8"/>
        <v>0</v>
      </c>
      <c r="BB10" s="77" t="e">
        <f t="shared" si="32"/>
        <v>#DIV/0!</v>
      </c>
      <c r="BC10" s="78" t="e">
        <f t="shared" si="33"/>
        <v>#DIV/0!</v>
      </c>
      <c r="BD10" s="79" t="e">
        <f t="shared" si="57"/>
        <v>#DIV/0!</v>
      </c>
      <c r="BE10" s="92"/>
      <c r="BF10" s="92"/>
      <c r="BG10" s="114">
        <v>159000</v>
      </c>
      <c r="BH10" s="94">
        <f t="shared" si="10"/>
        <v>0</v>
      </c>
      <c r="BI10" s="77" t="e">
        <f t="shared" si="11"/>
        <v>#DIV/0!</v>
      </c>
      <c r="BJ10" s="95" t="str">
        <f t="shared" si="34"/>
        <v>비제조/서비스업</v>
      </c>
      <c r="BK10" s="96" t="e">
        <f t="shared" si="12"/>
        <v>#DIV/0!</v>
      </c>
      <c r="BL10" s="97" t="e">
        <f t="shared" si="35"/>
        <v>#DIV/0!</v>
      </c>
      <c r="BM10" s="98" t="e">
        <f t="shared" si="36"/>
        <v>#DIV/0!</v>
      </c>
      <c r="BN10" s="99" t="e">
        <f t="shared" si="37"/>
        <v>#DIV/0!</v>
      </c>
      <c r="BP10" s="101">
        <f t="shared" si="38"/>
        <v>0</v>
      </c>
      <c r="BQ10" s="78">
        <f t="shared" si="39"/>
        <v>25</v>
      </c>
      <c r="BR10" s="79">
        <f t="shared" si="58"/>
        <v>0.5</v>
      </c>
      <c r="BS10" s="102"/>
      <c r="BT10" s="102"/>
      <c r="BU10" s="103">
        <f t="shared" si="40"/>
        <v>0</v>
      </c>
      <c r="BV10" s="77">
        <f t="shared" si="14"/>
        <v>0</v>
      </c>
      <c r="BW10" s="96">
        <f t="shared" si="15"/>
        <v>0</v>
      </c>
      <c r="BX10" s="96">
        <f t="shared" si="41"/>
        <v>0</v>
      </c>
      <c r="BY10" s="96">
        <f t="shared" si="16"/>
        <v>0</v>
      </c>
      <c r="BZ10" s="96" t="e">
        <f t="shared" si="42"/>
        <v>#NUM!</v>
      </c>
      <c r="CA10" s="96" t="e">
        <f t="shared" si="17"/>
        <v>#NUM!</v>
      </c>
      <c r="CB10" s="104" t="e">
        <f t="shared" si="43"/>
        <v>#NUM!</v>
      </c>
      <c r="CC10" s="105">
        <f t="shared" si="59"/>
        <v>74.909794831132658</v>
      </c>
      <c r="CD10" s="106">
        <f t="shared" si="60"/>
        <v>72.144549686759049</v>
      </c>
      <c r="CE10" s="107">
        <f t="shared" si="61"/>
        <v>1.0821682453013857</v>
      </c>
      <c r="CF10" s="108" t="s">
        <v>2189</v>
      </c>
      <c r="CG10" s="108" t="s">
        <v>2189</v>
      </c>
      <c r="CH10" s="108" t="s">
        <v>2189</v>
      </c>
      <c r="CI10" s="108" t="s">
        <v>2189</v>
      </c>
      <c r="CJ10" s="109"/>
      <c r="CM10" s="111">
        <f t="shared" si="44"/>
        <v>25</v>
      </c>
      <c r="CN10" s="107">
        <f t="shared" si="62"/>
        <v>0.375</v>
      </c>
      <c r="CP10" s="88">
        <f t="shared" si="45"/>
        <v>0</v>
      </c>
      <c r="CQ10" s="78">
        <f t="shared" si="46"/>
        <v>100</v>
      </c>
      <c r="CR10" s="79">
        <f t="shared" si="63"/>
        <v>3</v>
      </c>
      <c r="CS10" s="92"/>
      <c r="CT10" s="77">
        <f t="shared" si="23"/>
        <v>0</v>
      </c>
      <c r="CU10" s="78">
        <f t="shared" si="47"/>
        <v>100</v>
      </c>
      <c r="CV10" s="79">
        <f t="shared" si="64"/>
        <v>2</v>
      </c>
      <c r="CW10" s="112" t="e">
        <f t="shared" si="48"/>
        <v>#DIV/0!</v>
      </c>
    </row>
    <row r="11" spans="1:101" x14ac:dyDescent="0.35">
      <c r="A11" s="7" t="s">
        <v>88</v>
      </c>
      <c r="B11" s="8" t="s">
        <v>89</v>
      </c>
      <c r="C11" s="21" t="s">
        <v>90</v>
      </c>
      <c r="D11" s="22" t="s">
        <v>21</v>
      </c>
      <c r="E11" s="11" t="s">
        <v>91</v>
      </c>
      <c r="F11" s="11" t="s">
        <v>92</v>
      </c>
      <c r="G11" s="12">
        <v>44221</v>
      </c>
      <c r="H11" s="11" t="s">
        <v>24</v>
      </c>
      <c r="I11" s="11" t="s">
        <v>93</v>
      </c>
      <c r="J11" s="8" t="s">
        <v>94</v>
      </c>
      <c r="K11" s="11" t="s">
        <v>27</v>
      </c>
      <c r="L11" s="23">
        <v>6952036110</v>
      </c>
      <c r="M11" s="14">
        <v>3038424778</v>
      </c>
      <c r="N11" s="14">
        <v>3913611332</v>
      </c>
      <c r="O11" s="14">
        <v>5275660012</v>
      </c>
      <c r="P11" s="14">
        <v>402580787</v>
      </c>
      <c r="Q11" s="14">
        <v>469747452</v>
      </c>
      <c r="R11" s="14">
        <v>310207542</v>
      </c>
      <c r="AB11" s="74">
        <f t="shared" si="49"/>
        <v>0</v>
      </c>
      <c r="AC11" s="75" t="e">
        <f t="shared" si="25"/>
        <v>#DIV/0!</v>
      </c>
      <c r="AD11" s="75" t="e">
        <f t="shared" si="50"/>
        <v>#DIV/0!</v>
      </c>
      <c r="AE11" s="76" t="e">
        <f t="shared" si="53"/>
        <v>#DIV/0!</v>
      </c>
      <c r="AF11" s="77" t="e">
        <f t="shared" si="26"/>
        <v>#DIV/0!</v>
      </c>
      <c r="AG11" s="77" t="e">
        <f t="shared" si="27"/>
        <v>#DIV/0!</v>
      </c>
      <c r="AH11" s="77" t="e">
        <f t="shared" si="51"/>
        <v>#DIV/0!</v>
      </c>
      <c r="AI11" s="78" t="e">
        <f t="shared" si="52"/>
        <v>#DIV/0!</v>
      </c>
      <c r="AJ11" s="79" t="e">
        <f t="shared" si="54"/>
        <v>#DIV/0!</v>
      </c>
      <c r="AM11" s="80"/>
      <c r="AN11" s="81">
        <f t="shared" si="2"/>
        <v>0</v>
      </c>
      <c r="AO11" s="82" t="e">
        <f t="shared" si="3"/>
        <v>#DIV/0!</v>
      </c>
      <c r="AP11" s="83" t="e">
        <f t="shared" si="28"/>
        <v>#DIV/0!</v>
      </c>
      <c r="AQ11" s="84" t="e">
        <f t="shared" si="55"/>
        <v>#DIV/0!</v>
      </c>
      <c r="AS11" s="86">
        <f t="shared" si="5"/>
        <v>0.5</v>
      </c>
      <c r="AT11" s="87">
        <f t="shared" si="29"/>
        <v>0</v>
      </c>
      <c r="AU11" s="87">
        <f t="shared" si="30"/>
        <v>0</v>
      </c>
      <c r="AV11" s="88" t="e">
        <f t="shared" si="6"/>
        <v>#DIV/0!</v>
      </c>
      <c r="AW11" s="78" t="e">
        <f t="shared" si="31"/>
        <v>#DIV/0!</v>
      </c>
      <c r="AX11" s="89" t="e">
        <f t="shared" si="56"/>
        <v>#DIV/0!</v>
      </c>
      <c r="BA11" s="91">
        <f t="shared" si="8"/>
        <v>0</v>
      </c>
      <c r="BB11" s="77" t="e">
        <f t="shared" si="32"/>
        <v>#DIV/0!</v>
      </c>
      <c r="BC11" s="78" t="e">
        <f t="shared" si="33"/>
        <v>#DIV/0!</v>
      </c>
      <c r="BD11" s="79" t="e">
        <f t="shared" si="57"/>
        <v>#DIV/0!</v>
      </c>
      <c r="BE11" s="92"/>
      <c r="BF11" s="92"/>
      <c r="BG11" s="93">
        <v>0</v>
      </c>
      <c r="BH11" s="94">
        <f t="shared" si="10"/>
        <v>0</v>
      </c>
      <c r="BI11" s="77" t="e">
        <f t="shared" si="11"/>
        <v>#DIV/0!</v>
      </c>
      <c r="BJ11" s="95" t="str">
        <f t="shared" si="34"/>
        <v>비제조/서비스업</v>
      </c>
      <c r="BK11" s="96" t="e">
        <f t="shared" si="12"/>
        <v>#DIV/0!</v>
      </c>
      <c r="BL11" s="97" t="e">
        <f t="shared" si="35"/>
        <v>#DIV/0!</v>
      </c>
      <c r="BM11" s="98" t="e">
        <f t="shared" si="36"/>
        <v>#DIV/0!</v>
      </c>
      <c r="BN11" s="99" t="e">
        <f t="shared" si="37"/>
        <v>#DIV/0!</v>
      </c>
      <c r="BP11" s="101">
        <f t="shared" si="38"/>
        <v>0</v>
      </c>
      <c r="BQ11" s="78">
        <f t="shared" si="39"/>
        <v>25</v>
      </c>
      <c r="BR11" s="79">
        <f t="shared" si="58"/>
        <v>0.5</v>
      </c>
      <c r="BS11" s="102"/>
      <c r="BT11" s="102"/>
      <c r="BU11" s="103">
        <f t="shared" si="40"/>
        <v>0</v>
      </c>
      <c r="BV11" s="77">
        <f t="shared" si="14"/>
        <v>0</v>
      </c>
      <c r="BW11" s="96">
        <f t="shared" si="15"/>
        <v>0</v>
      </c>
      <c r="BX11" s="96">
        <f t="shared" si="41"/>
        <v>0</v>
      </c>
      <c r="BY11" s="96">
        <f t="shared" si="16"/>
        <v>0</v>
      </c>
      <c r="BZ11" s="96" t="e">
        <f t="shared" si="42"/>
        <v>#NUM!</v>
      </c>
      <c r="CA11" s="96" t="e">
        <f t="shared" si="17"/>
        <v>#NUM!</v>
      </c>
      <c r="CB11" s="104" t="e">
        <f t="shared" si="43"/>
        <v>#NUM!</v>
      </c>
      <c r="CC11" s="105">
        <f t="shared" si="59"/>
        <v>77.637366622383851</v>
      </c>
      <c r="CD11" s="106">
        <f t="shared" si="60"/>
        <v>71.116570368448293</v>
      </c>
      <c r="CE11" s="107">
        <f t="shared" si="61"/>
        <v>1.0667485555267244</v>
      </c>
      <c r="CF11" s="108" t="s">
        <v>2189</v>
      </c>
      <c r="CG11" s="108" t="s">
        <v>2189</v>
      </c>
      <c r="CH11" s="108" t="s">
        <v>2189</v>
      </c>
      <c r="CI11" s="108" t="s">
        <v>2189</v>
      </c>
      <c r="CJ11" s="109"/>
      <c r="CM11" s="111">
        <f t="shared" si="44"/>
        <v>25</v>
      </c>
      <c r="CN11" s="107">
        <f t="shared" si="62"/>
        <v>0.375</v>
      </c>
      <c r="CP11" s="88">
        <f t="shared" si="45"/>
        <v>0</v>
      </c>
      <c r="CQ11" s="78">
        <f t="shared" si="46"/>
        <v>100</v>
      </c>
      <c r="CR11" s="79">
        <f t="shared" si="63"/>
        <v>3</v>
      </c>
      <c r="CS11" s="92"/>
      <c r="CT11" s="77">
        <f t="shared" si="23"/>
        <v>0</v>
      </c>
      <c r="CU11" s="78">
        <f t="shared" si="47"/>
        <v>100</v>
      </c>
      <c r="CV11" s="79">
        <f t="shared" si="64"/>
        <v>2</v>
      </c>
      <c r="CW11" s="112" t="e">
        <f t="shared" si="48"/>
        <v>#DIV/0!</v>
      </c>
    </row>
    <row r="12" spans="1:101" x14ac:dyDescent="0.35">
      <c r="A12" s="7" t="s">
        <v>95</v>
      </c>
      <c r="B12" s="8" t="s">
        <v>96</v>
      </c>
      <c r="C12" s="21" t="s">
        <v>97</v>
      </c>
      <c r="D12" s="22" t="s">
        <v>75</v>
      </c>
      <c r="E12" s="11" t="s">
        <v>98</v>
      </c>
      <c r="F12" s="11" t="s">
        <v>99</v>
      </c>
      <c r="G12" s="12">
        <v>32410</v>
      </c>
      <c r="H12" s="11" t="s">
        <v>24</v>
      </c>
      <c r="I12" s="11" t="s">
        <v>100</v>
      </c>
      <c r="J12" s="11" t="s">
        <v>101</v>
      </c>
      <c r="K12" s="11" t="s">
        <v>102</v>
      </c>
      <c r="L12" s="23">
        <v>1632577263</v>
      </c>
      <c r="M12" s="14">
        <v>965677546</v>
      </c>
      <c r="N12" s="14">
        <v>666899717</v>
      </c>
      <c r="O12" s="14">
        <v>772331699</v>
      </c>
      <c r="P12" s="14">
        <v>96511673</v>
      </c>
      <c r="Q12" s="14">
        <v>50588116</v>
      </c>
      <c r="R12" s="14">
        <v>37870319</v>
      </c>
      <c r="U12" s="26"/>
      <c r="AB12" s="74">
        <f t="shared" si="49"/>
        <v>0</v>
      </c>
      <c r="AC12" s="75" t="e">
        <f t="shared" si="25"/>
        <v>#DIV/0!</v>
      </c>
      <c r="AD12" s="75" t="e">
        <f t="shared" si="50"/>
        <v>#DIV/0!</v>
      </c>
      <c r="AE12" s="76" t="e">
        <f t="shared" si="53"/>
        <v>#DIV/0!</v>
      </c>
      <c r="AF12" s="77" t="e">
        <f t="shared" si="26"/>
        <v>#DIV/0!</v>
      </c>
      <c r="AG12" s="77" t="e">
        <f t="shared" si="27"/>
        <v>#DIV/0!</v>
      </c>
      <c r="AH12" s="77" t="e">
        <f t="shared" si="51"/>
        <v>#DIV/0!</v>
      </c>
      <c r="AI12" s="78" t="e">
        <f t="shared" si="52"/>
        <v>#DIV/0!</v>
      </c>
      <c r="AJ12" s="79" t="e">
        <f t="shared" si="54"/>
        <v>#DIV/0!</v>
      </c>
      <c r="AN12" s="81">
        <f t="shared" si="2"/>
        <v>0</v>
      </c>
      <c r="AO12" s="82" t="e">
        <f t="shared" si="3"/>
        <v>#DIV/0!</v>
      </c>
      <c r="AP12" s="83" t="e">
        <f t="shared" si="28"/>
        <v>#DIV/0!</v>
      </c>
      <c r="AQ12" s="84" t="e">
        <f t="shared" si="55"/>
        <v>#DIV/0!</v>
      </c>
      <c r="AS12" s="86">
        <f t="shared" si="5"/>
        <v>0.25</v>
      </c>
      <c r="AT12" s="87">
        <f t="shared" si="29"/>
        <v>0</v>
      </c>
      <c r="AU12" s="87">
        <f t="shared" si="30"/>
        <v>0</v>
      </c>
      <c r="AV12" s="88" t="e">
        <f t="shared" si="6"/>
        <v>#DIV/0!</v>
      </c>
      <c r="AW12" s="78" t="e">
        <f t="shared" si="31"/>
        <v>#DIV/0!</v>
      </c>
      <c r="AX12" s="89" t="e">
        <f t="shared" si="56"/>
        <v>#DIV/0!</v>
      </c>
      <c r="BA12" s="91">
        <f t="shared" si="8"/>
        <v>0</v>
      </c>
      <c r="BB12" s="77" t="e">
        <f t="shared" si="32"/>
        <v>#DIV/0!</v>
      </c>
      <c r="BC12" s="78" t="e">
        <f t="shared" si="33"/>
        <v>#DIV/0!</v>
      </c>
      <c r="BD12" s="79" t="e">
        <f t="shared" si="57"/>
        <v>#DIV/0!</v>
      </c>
      <c r="BE12" s="92"/>
      <c r="BF12" s="92"/>
      <c r="BG12" s="114">
        <v>970372</v>
      </c>
      <c r="BH12" s="94">
        <f t="shared" si="10"/>
        <v>0</v>
      </c>
      <c r="BI12" s="77" t="e">
        <f t="shared" si="11"/>
        <v>#DIV/0!</v>
      </c>
      <c r="BJ12" s="95" t="str">
        <f t="shared" si="34"/>
        <v>금속/비금속/화학업</v>
      </c>
      <c r="BK12" s="96" t="e">
        <f t="shared" si="12"/>
        <v>#DIV/0!</v>
      </c>
      <c r="BL12" s="97" t="e">
        <f t="shared" si="35"/>
        <v>#DIV/0!</v>
      </c>
      <c r="BM12" s="98" t="e">
        <f t="shared" si="36"/>
        <v>#DIV/0!</v>
      </c>
      <c r="BN12" s="99" t="e">
        <f t="shared" si="37"/>
        <v>#DIV/0!</v>
      </c>
      <c r="BP12" s="101">
        <f t="shared" si="38"/>
        <v>0</v>
      </c>
      <c r="BQ12" s="78">
        <f t="shared" si="39"/>
        <v>25</v>
      </c>
      <c r="BR12" s="79">
        <f t="shared" si="58"/>
        <v>0.5</v>
      </c>
      <c r="BS12" s="102"/>
      <c r="BT12" s="102"/>
      <c r="BU12" s="103">
        <f t="shared" si="40"/>
        <v>0</v>
      </c>
      <c r="BV12" s="77">
        <f t="shared" si="14"/>
        <v>0</v>
      </c>
      <c r="BW12" s="96">
        <f t="shared" si="15"/>
        <v>0</v>
      </c>
      <c r="BX12" s="96">
        <f t="shared" si="41"/>
        <v>0</v>
      </c>
      <c r="BY12" s="96">
        <f t="shared" si="16"/>
        <v>0</v>
      </c>
      <c r="BZ12" s="96" t="e">
        <f t="shared" si="42"/>
        <v>#NUM!</v>
      </c>
      <c r="CA12" s="96" t="e">
        <f t="shared" si="17"/>
        <v>#NUM!</v>
      </c>
      <c r="CB12" s="104" t="e">
        <f t="shared" si="43"/>
        <v>#NUM!</v>
      </c>
      <c r="CC12" s="105">
        <f t="shared" si="59"/>
        <v>144.80101301347531</v>
      </c>
      <c r="CD12" s="106">
        <f t="shared" si="60"/>
        <v>45.80363831150428</v>
      </c>
      <c r="CE12" s="107">
        <f t="shared" si="61"/>
        <v>0.68705457467256414</v>
      </c>
      <c r="CF12" s="108" t="s">
        <v>2189</v>
      </c>
      <c r="CG12" s="108" t="s">
        <v>2189</v>
      </c>
      <c r="CH12" s="108" t="s">
        <v>2189</v>
      </c>
      <c r="CI12" s="108" t="s">
        <v>2189</v>
      </c>
      <c r="CJ12" s="109"/>
      <c r="CM12" s="111">
        <f t="shared" si="44"/>
        <v>25</v>
      </c>
      <c r="CN12" s="107">
        <f t="shared" si="62"/>
        <v>0.375</v>
      </c>
      <c r="CP12" s="88">
        <f t="shared" si="45"/>
        <v>0</v>
      </c>
      <c r="CQ12" s="78">
        <f t="shared" si="46"/>
        <v>100</v>
      </c>
      <c r="CR12" s="79">
        <f t="shared" si="63"/>
        <v>3</v>
      </c>
      <c r="CS12" s="92"/>
      <c r="CT12" s="77">
        <f t="shared" si="23"/>
        <v>0</v>
      </c>
      <c r="CU12" s="78">
        <f t="shared" si="47"/>
        <v>100</v>
      </c>
      <c r="CV12" s="79">
        <f t="shared" si="64"/>
        <v>2</v>
      </c>
      <c r="CW12" s="112" t="e">
        <f t="shared" si="48"/>
        <v>#DIV/0!</v>
      </c>
    </row>
    <row r="13" spans="1:101" x14ac:dyDescent="0.35">
      <c r="A13" s="7" t="s">
        <v>103</v>
      </c>
      <c r="B13" s="8" t="s">
        <v>104</v>
      </c>
      <c r="C13" s="21" t="s">
        <v>105</v>
      </c>
      <c r="D13" s="10" t="s">
        <v>75</v>
      </c>
      <c r="E13" s="11" t="s">
        <v>106</v>
      </c>
      <c r="F13" s="11" t="s">
        <v>107</v>
      </c>
      <c r="G13" s="12">
        <v>41409</v>
      </c>
      <c r="H13" s="11" t="s">
        <v>24</v>
      </c>
      <c r="I13" s="11" t="s">
        <v>108</v>
      </c>
      <c r="J13" s="11" t="s">
        <v>109</v>
      </c>
      <c r="K13" s="11" t="s">
        <v>110</v>
      </c>
      <c r="L13" s="23">
        <v>279626168</v>
      </c>
      <c r="M13" s="14">
        <v>94093073</v>
      </c>
      <c r="N13" s="14">
        <v>185533095</v>
      </c>
      <c r="O13" s="14">
        <v>246405810</v>
      </c>
      <c r="P13" s="14">
        <v>31078773</v>
      </c>
      <c r="Q13" s="14">
        <v>26528544</v>
      </c>
      <c r="R13" s="14">
        <v>19234317</v>
      </c>
      <c r="AB13" s="74">
        <f t="shared" si="49"/>
        <v>0</v>
      </c>
      <c r="AC13" s="75" t="e">
        <f t="shared" si="25"/>
        <v>#DIV/0!</v>
      </c>
      <c r="AD13" s="75" t="e">
        <f t="shared" si="50"/>
        <v>#DIV/0!</v>
      </c>
      <c r="AE13" s="76" t="e">
        <f t="shared" si="53"/>
        <v>#DIV/0!</v>
      </c>
      <c r="AF13" s="77" t="e">
        <f t="shared" si="26"/>
        <v>#DIV/0!</v>
      </c>
      <c r="AG13" s="77" t="e">
        <f t="shared" si="27"/>
        <v>#DIV/0!</v>
      </c>
      <c r="AH13" s="77" t="e">
        <f t="shared" si="51"/>
        <v>#DIV/0!</v>
      </c>
      <c r="AI13" s="78" t="e">
        <f t="shared" si="52"/>
        <v>#DIV/0!</v>
      </c>
      <c r="AJ13" s="79" t="e">
        <f t="shared" si="54"/>
        <v>#DIV/0!</v>
      </c>
      <c r="AN13" s="81">
        <f t="shared" si="2"/>
        <v>0</v>
      </c>
      <c r="AO13" s="82" t="e">
        <f t="shared" si="3"/>
        <v>#DIV/0!</v>
      </c>
      <c r="AP13" s="83" t="e">
        <f t="shared" si="28"/>
        <v>#DIV/0!</v>
      </c>
      <c r="AQ13" s="84" t="e">
        <f t="shared" si="55"/>
        <v>#DIV/0!</v>
      </c>
      <c r="AS13" s="86">
        <f t="shared" si="5"/>
        <v>0.25</v>
      </c>
      <c r="AT13" s="87">
        <f t="shared" si="29"/>
        <v>0</v>
      </c>
      <c r="AU13" s="87">
        <f t="shared" si="30"/>
        <v>0</v>
      </c>
      <c r="AV13" s="88" t="e">
        <f t="shared" si="6"/>
        <v>#DIV/0!</v>
      </c>
      <c r="AW13" s="78" t="e">
        <f t="shared" si="31"/>
        <v>#DIV/0!</v>
      </c>
      <c r="AX13" s="89" t="e">
        <f t="shared" si="56"/>
        <v>#DIV/0!</v>
      </c>
      <c r="BA13" s="91">
        <f t="shared" si="8"/>
        <v>0</v>
      </c>
      <c r="BB13" s="77" t="e">
        <f t="shared" si="32"/>
        <v>#DIV/0!</v>
      </c>
      <c r="BC13" s="78" t="e">
        <f t="shared" si="33"/>
        <v>#DIV/0!</v>
      </c>
      <c r="BD13" s="79" t="e">
        <f t="shared" si="57"/>
        <v>#DIV/0!</v>
      </c>
      <c r="BE13" s="92"/>
      <c r="BF13" s="92"/>
      <c r="BG13" s="93">
        <v>0</v>
      </c>
      <c r="BH13" s="94">
        <f t="shared" si="10"/>
        <v>0</v>
      </c>
      <c r="BI13" s="77" t="e">
        <f t="shared" si="11"/>
        <v>#DIV/0!</v>
      </c>
      <c r="BJ13" s="95" t="str">
        <f t="shared" si="34"/>
        <v>금속/비금속/화학업</v>
      </c>
      <c r="BK13" s="96" t="e">
        <f t="shared" si="12"/>
        <v>#DIV/0!</v>
      </c>
      <c r="BL13" s="97" t="e">
        <f t="shared" si="35"/>
        <v>#DIV/0!</v>
      </c>
      <c r="BM13" s="98" t="e">
        <f t="shared" si="36"/>
        <v>#DIV/0!</v>
      </c>
      <c r="BN13" s="99" t="e">
        <f t="shared" si="37"/>
        <v>#DIV/0!</v>
      </c>
      <c r="BP13" s="101">
        <f t="shared" si="38"/>
        <v>0</v>
      </c>
      <c r="BQ13" s="78">
        <f t="shared" si="39"/>
        <v>25</v>
      </c>
      <c r="BR13" s="79">
        <f t="shared" si="58"/>
        <v>0.5</v>
      </c>
      <c r="BS13" s="102"/>
      <c r="BT13" s="102"/>
      <c r="BU13" s="103">
        <f t="shared" si="40"/>
        <v>0</v>
      </c>
      <c r="BV13" s="77">
        <f t="shared" si="14"/>
        <v>0</v>
      </c>
      <c r="BW13" s="96">
        <f t="shared" si="15"/>
        <v>0</v>
      </c>
      <c r="BX13" s="96">
        <f t="shared" si="41"/>
        <v>0</v>
      </c>
      <c r="BY13" s="96">
        <f t="shared" si="16"/>
        <v>0</v>
      </c>
      <c r="BZ13" s="96" t="e">
        <f t="shared" si="42"/>
        <v>#NUM!</v>
      </c>
      <c r="CA13" s="96" t="e">
        <f t="shared" si="17"/>
        <v>#NUM!</v>
      </c>
      <c r="CB13" s="104" t="e">
        <f t="shared" si="43"/>
        <v>#NUM!</v>
      </c>
      <c r="CC13" s="105">
        <f t="shared" si="59"/>
        <v>50.714980526789574</v>
      </c>
      <c r="CD13" s="106">
        <f t="shared" si="60"/>
        <v>81.263198293923523</v>
      </c>
      <c r="CE13" s="107">
        <f t="shared" si="61"/>
        <v>1.2189479744088527</v>
      </c>
      <c r="CF13" s="108" t="s">
        <v>2189</v>
      </c>
      <c r="CG13" s="108" t="s">
        <v>2189</v>
      </c>
      <c r="CH13" s="108" t="s">
        <v>2189</v>
      </c>
      <c r="CI13" s="108" t="s">
        <v>2189</v>
      </c>
      <c r="CJ13" s="109"/>
      <c r="CM13" s="111">
        <f t="shared" si="44"/>
        <v>25</v>
      </c>
      <c r="CN13" s="107">
        <f t="shared" si="62"/>
        <v>0.375</v>
      </c>
      <c r="CP13" s="88">
        <f t="shared" si="45"/>
        <v>0</v>
      </c>
      <c r="CQ13" s="78">
        <f t="shared" si="46"/>
        <v>100</v>
      </c>
      <c r="CR13" s="79">
        <f t="shared" si="63"/>
        <v>3</v>
      </c>
      <c r="CS13" s="92"/>
      <c r="CT13" s="77">
        <f t="shared" si="23"/>
        <v>0</v>
      </c>
      <c r="CU13" s="78">
        <f t="shared" si="47"/>
        <v>100</v>
      </c>
      <c r="CV13" s="79">
        <f t="shared" si="64"/>
        <v>2</v>
      </c>
      <c r="CW13" s="112" t="e">
        <f t="shared" si="48"/>
        <v>#DIV/0!</v>
      </c>
    </row>
    <row r="14" spans="1:101" x14ac:dyDescent="0.35">
      <c r="A14" s="7" t="s">
        <v>111</v>
      </c>
      <c r="B14" s="8" t="s">
        <v>112</v>
      </c>
      <c r="C14" s="21" t="s">
        <v>113</v>
      </c>
      <c r="D14" s="10" t="s">
        <v>75</v>
      </c>
      <c r="E14" s="11" t="s">
        <v>114</v>
      </c>
      <c r="F14" s="11" t="s">
        <v>115</v>
      </c>
      <c r="G14" s="12">
        <v>37649</v>
      </c>
      <c r="H14" s="11" t="s">
        <v>24</v>
      </c>
      <c r="I14" s="11" t="s">
        <v>116</v>
      </c>
      <c r="J14" s="11" t="s">
        <v>117</v>
      </c>
      <c r="K14" s="11" t="s">
        <v>118</v>
      </c>
      <c r="L14" s="23">
        <v>259398157</v>
      </c>
      <c r="M14" s="14">
        <v>76302600</v>
      </c>
      <c r="N14" s="14">
        <v>183095557</v>
      </c>
      <c r="O14" s="14">
        <v>261687162</v>
      </c>
      <c r="P14" s="14">
        <v>26367414</v>
      </c>
      <c r="Q14" s="14">
        <v>33010683</v>
      </c>
      <c r="R14" s="14">
        <v>28926448</v>
      </c>
      <c r="AB14" s="74">
        <f t="shared" si="49"/>
        <v>0</v>
      </c>
      <c r="AC14" s="75" t="e">
        <f t="shared" si="25"/>
        <v>#DIV/0!</v>
      </c>
      <c r="AD14" s="75" t="e">
        <f t="shared" si="50"/>
        <v>#DIV/0!</v>
      </c>
      <c r="AE14" s="76" t="e">
        <f t="shared" si="53"/>
        <v>#DIV/0!</v>
      </c>
      <c r="AF14" s="77" t="e">
        <f t="shared" si="26"/>
        <v>#DIV/0!</v>
      </c>
      <c r="AG14" s="77" t="e">
        <f t="shared" si="27"/>
        <v>#DIV/0!</v>
      </c>
      <c r="AH14" s="77" t="e">
        <f t="shared" si="51"/>
        <v>#DIV/0!</v>
      </c>
      <c r="AI14" s="78" t="e">
        <f t="shared" si="52"/>
        <v>#DIV/0!</v>
      </c>
      <c r="AJ14" s="79" t="e">
        <f t="shared" si="54"/>
        <v>#DIV/0!</v>
      </c>
      <c r="AN14" s="81">
        <f t="shared" si="2"/>
        <v>0</v>
      </c>
      <c r="AO14" s="82" t="e">
        <f t="shared" si="3"/>
        <v>#DIV/0!</v>
      </c>
      <c r="AP14" s="83" t="e">
        <f t="shared" si="28"/>
        <v>#DIV/0!</v>
      </c>
      <c r="AQ14" s="84" t="e">
        <f t="shared" si="55"/>
        <v>#DIV/0!</v>
      </c>
      <c r="AS14" s="86">
        <f t="shared" si="5"/>
        <v>0.25</v>
      </c>
      <c r="AT14" s="87">
        <f t="shared" si="29"/>
        <v>0</v>
      </c>
      <c r="AU14" s="87">
        <f t="shared" si="30"/>
        <v>0</v>
      </c>
      <c r="AV14" s="88" t="e">
        <f t="shared" si="6"/>
        <v>#DIV/0!</v>
      </c>
      <c r="AW14" s="78" t="e">
        <f t="shared" si="31"/>
        <v>#DIV/0!</v>
      </c>
      <c r="AX14" s="89" t="e">
        <f t="shared" si="56"/>
        <v>#DIV/0!</v>
      </c>
      <c r="BA14" s="91">
        <f t="shared" si="8"/>
        <v>0</v>
      </c>
      <c r="BB14" s="77" t="e">
        <f t="shared" si="32"/>
        <v>#DIV/0!</v>
      </c>
      <c r="BC14" s="78" t="e">
        <f t="shared" si="33"/>
        <v>#DIV/0!</v>
      </c>
      <c r="BD14" s="79" t="e">
        <f t="shared" si="57"/>
        <v>#DIV/0!</v>
      </c>
      <c r="BE14" s="92"/>
      <c r="BF14" s="92"/>
      <c r="BG14" s="114">
        <v>36991</v>
      </c>
      <c r="BH14" s="94">
        <f t="shared" si="10"/>
        <v>0</v>
      </c>
      <c r="BI14" s="77" t="e">
        <f t="shared" si="11"/>
        <v>#DIV/0!</v>
      </c>
      <c r="BJ14" s="95" t="str">
        <f t="shared" si="34"/>
        <v>금속/비금속/화학업</v>
      </c>
      <c r="BK14" s="96" t="e">
        <f t="shared" si="12"/>
        <v>#DIV/0!</v>
      </c>
      <c r="BL14" s="97" t="e">
        <f t="shared" si="35"/>
        <v>#DIV/0!</v>
      </c>
      <c r="BM14" s="98" t="e">
        <f t="shared" si="36"/>
        <v>#DIV/0!</v>
      </c>
      <c r="BN14" s="99" t="e">
        <f t="shared" si="37"/>
        <v>#DIV/0!</v>
      </c>
      <c r="BP14" s="101">
        <f t="shared" si="38"/>
        <v>0</v>
      </c>
      <c r="BQ14" s="78">
        <f t="shared" si="39"/>
        <v>25</v>
      </c>
      <c r="BR14" s="79">
        <f t="shared" si="58"/>
        <v>0.5</v>
      </c>
      <c r="BS14" s="102"/>
      <c r="BT14" s="102"/>
      <c r="BU14" s="103">
        <f t="shared" si="40"/>
        <v>0</v>
      </c>
      <c r="BV14" s="77">
        <f t="shared" si="14"/>
        <v>0</v>
      </c>
      <c r="BW14" s="96">
        <f t="shared" si="15"/>
        <v>0</v>
      </c>
      <c r="BX14" s="96">
        <f t="shared" si="41"/>
        <v>0</v>
      </c>
      <c r="BY14" s="96">
        <f t="shared" si="16"/>
        <v>0</v>
      </c>
      <c r="BZ14" s="96" t="e">
        <f t="shared" si="42"/>
        <v>#NUM!</v>
      </c>
      <c r="CA14" s="96" t="e">
        <f t="shared" si="17"/>
        <v>#NUM!</v>
      </c>
      <c r="CB14" s="104" t="e">
        <f t="shared" si="43"/>
        <v>#NUM!</v>
      </c>
      <c r="CC14" s="105">
        <f t="shared" si="59"/>
        <v>41.673649131748178</v>
      </c>
      <c r="CD14" s="106">
        <f t="shared" si="60"/>
        <v>84.670735251853699</v>
      </c>
      <c r="CE14" s="107">
        <f t="shared" si="61"/>
        <v>1.2700610287778054</v>
      </c>
      <c r="CF14" s="108" t="s">
        <v>2189</v>
      </c>
      <c r="CG14" s="108" t="s">
        <v>2189</v>
      </c>
      <c r="CH14" s="108" t="s">
        <v>2189</v>
      </c>
      <c r="CI14" s="108" t="s">
        <v>2189</v>
      </c>
      <c r="CJ14" s="109"/>
      <c r="CM14" s="111">
        <f t="shared" si="44"/>
        <v>25</v>
      </c>
      <c r="CN14" s="107">
        <f t="shared" si="62"/>
        <v>0.375</v>
      </c>
      <c r="CP14" s="88">
        <f t="shared" si="45"/>
        <v>0</v>
      </c>
      <c r="CQ14" s="78">
        <f t="shared" si="46"/>
        <v>100</v>
      </c>
      <c r="CR14" s="79">
        <f t="shared" si="63"/>
        <v>3</v>
      </c>
      <c r="CS14" s="92"/>
      <c r="CT14" s="77">
        <f t="shared" si="23"/>
        <v>0</v>
      </c>
      <c r="CU14" s="78">
        <f t="shared" si="47"/>
        <v>100</v>
      </c>
      <c r="CV14" s="79">
        <f t="shared" si="64"/>
        <v>2</v>
      </c>
      <c r="CW14" s="112" t="e">
        <f t="shared" si="48"/>
        <v>#DIV/0!</v>
      </c>
    </row>
    <row r="15" spans="1:101" x14ac:dyDescent="0.35">
      <c r="A15" s="7" t="s">
        <v>119</v>
      </c>
      <c r="B15" s="8" t="s">
        <v>120</v>
      </c>
      <c r="C15" s="21" t="s">
        <v>121</v>
      </c>
      <c r="D15" s="22" t="s">
        <v>31</v>
      </c>
      <c r="E15" s="11" t="s">
        <v>32</v>
      </c>
      <c r="F15" s="11" t="s">
        <v>122</v>
      </c>
      <c r="G15" s="12">
        <v>44337</v>
      </c>
      <c r="H15" s="11" t="s">
        <v>24</v>
      </c>
      <c r="I15" s="11" t="s">
        <v>123</v>
      </c>
      <c r="J15" s="11" t="s">
        <v>124</v>
      </c>
      <c r="K15" s="11" t="s">
        <v>27</v>
      </c>
      <c r="L15" s="23">
        <v>1329134616</v>
      </c>
      <c r="M15" s="14">
        <v>413421862</v>
      </c>
      <c r="N15" s="14">
        <v>915712754</v>
      </c>
      <c r="O15" s="14">
        <v>1615587865</v>
      </c>
      <c r="P15" s="14">
        <v>523701828</v>
      </c>
      <c r="Q15" s="14">
        <v>528169893</v>
      </c>
      <c r="R15" s="14">
        <v>385627456</v>
      </c>
      <c r="AB15" s="74">
        <f t="shared" si="49"/>
        <v>0</v>
      </c>
      <c r="AC15" s="75" t="e">
        <f t="shared" si="25"/>
        <v>#DIV/0!</v>
      </c>
      <c r="AD15" s="75" t="e">
        <f t="shared" si="50"/>
        <v>#DIV/0!</v>
      </c>
      <c r="AE15" s="76" t="e">
        <f t="shared" si="53"/>
        <v>#DIV/0!</v>
      </c>
      <c r="AF15" s="77" t="e">
        <f t="shared" si="26"/>
        <v>#DIV/0!</v>
      </c>
      <c r="AG15" s="77" t="e">
        <f t="shared" si="27"/>
        <v>#DIV/0!</v>
      </c>
      <c r="AH15" s="77" t="e">
        <f t="shared" si="51"/>
        <v>#DIV/0!</v>
      </c>
      <c r="AI15" s="78" t="e">
        <f t="shared" si="52"/>
        <v>#DIV/0!</v>
      </c>
      <c r="AJ15" s="79" t="e">
        <f t="shared" si="54"/>
        <v>#DIV/0!</v>
      </c>
      <c r="AN15" s="81">
        <f t="shared" si="2"/>
        <v>0</v>
      </c>
      <c r="AO15" s="82" t="e">
        <f t="shared" si="3"/>
        <v>#DIV/0!</v>
      </c>
      <c r="AP15" s="83" t="e">
        <f t="shared" si="28"/>
        <v>#DIV/0!</v>
      </c>
      <c r="AQ15" s="84" t="e">
        <f t="shared" si="55"/>
        <v>#DIV/0!</v>
      </c>
      <c r="AS15" s="86">
        <f t="shared" si="5"/>
        <v>0.25</v>
      </c>
      <c r="AT15" s="87">
        <f t="shared" si="29"/>
        <v>0</v>
      </c>
      <c r="AU15" s="87">
        <f t="shared" si="30"/>
        <v>0</v>
      </c>
      <c r="AV15" s="88" t="e">
        <f t="shared" si="6"/>
        <v>#DIV/0!</v>
      </c>
      <c r="AW15" s="78" t="e">
        <f t="shared" si="31"/>
        <v>#DIV/0!</v>
      </c>
      <c r="AX15" s="89" t="e">
        <f t="shared" si="56"/>
        <v>#DIV/0!</v>
      </c>
      <c r="BA15" s="91">
        <f t="shared" si="8"/>
        <v>0</v>
      </c>
      <c r="BB15" s="77" t="e">
        <f t="shared" si="32"/>
        <v>#DIV/0!</v>
      </c>
      <c r="BC15" s="78" t="e">
        <f t="shared" si="33"/>
        <v>#DIV/0!</v>
      </c>
      <c r="BD15" s="79" t="e">
        <f t="shared" si="57"/>
        <v>#DIV/0!</v>
      </c>
      <c r="BE15" s="92"/>
      <c r="BF15" s="92"/>
      <c r="BG15" s="114">
        <v>284451</v>
      </c>
      <c r="BH15" s="94">
        <f t="shared" si="10"/>
        <v>0</v>
      </c>
      <c r="BI15" s="77" t="e">
        <f t="shared" si="11"/>
        <v>#DIV/0!</v>
      </c>
      <c r="BJ15" s="95" t="str">
        <f t="shared" si="34"/>
        <v>식약/섬유/종이업</v>
      </c>
      <c r="BK15" s="96" t="e">
        <f t="shared" si="12"/>
        <v>#DIV/0!</v>
      </c>
      <c r="BL15" s="97" t="e">
        <f t="shared" si="35"/>
        <v>#DIV/0!</v>
      </c>
      <c r="BM15" s="98" t="e">
        <f t="shared" si="36"/>
        <v>#DIV/0!</v>
      </c>
      <c r="BN15" s="99" t="e">
        <f t="shared" si="37"/>
        <v>#DIV/0!</v>
      </c>
      <c r="BP15" s="101">
        <f t="shared" si="38"/>
        <v>0</v>
      </c>
      <c r="BQ15" s="78">
        <f t="shared" si="39"/>
        <v>25</v>
      </c>
      <c r="BR15" s="79">
        <f t="shared" si="58"/>
        <v>0.5</v>
      </c>
      <c r="BS15" s="102"/>
      <c r="BT15" s="102"/>
      <c r="BU15" s="103">
        <f t="shared" si="40"/>
        <v>0</v>
      </c>
      <c r="BV15" s="77">
        <f t="shared" si="14"/>
        <v>0</v>
      </c>
      <c r="BW15" s="96">
        <f t="shared" si="15"/>
        <v>0</v>
      </c>
      <c r="BX15" s="96">
        <f t="shared" si="41"/>
        <v>0</v>
      </c>
      <c r="BY15" s="96">
        <f t="shared" si="16"/>
        <v>0</v>
      </c>
      <c r="BZ15" s="96" t="e">
        <f t="shared" si="42"/>
        <v>#NUM!</v>
      </c>
      <c r="CA15" s="96" t="e">
        <f t="shared" si="17"/>
        <v>#NUM!</v>
      </c>
      <c r="CB15" s="104" t="e">
        <f t="shared" si="43"/>
        <v>#NUM!</v>
      </c>
      <c r="CC15" s="105">
        <f t="shared" si="59"/>
        <v>45.147548747584658</v>
      </c>
      <c r="CD15" s="106">
        <f t="shared" si="60"/>
        <v>83.3614766026691</v>
      </c>
      <c r="CE15" s="107">
        <f t="shared" si="61"/>
        <v>1.2504221490400365</v>
      </c>
      <c r="CF15" s="108" t="s">
        <v>2189</v>
      </c>
      <c r="CG15" s="108" t="s">
        <v>2189</v>
      </c>
      <c r="CH15" s="108" t="s">
        <v>2189</v>
      </c>
      <c r="CI15" s="108" t="s">
        <v>2189</v>
      </c>
      <c r="CJ15" s="109"/>
      <c r="CM15" s="111">
        <f t="shared" si="44"/>
        <v>25</v>
      </c>
      <c r="CN15" s="107">
        <f t="shared" si="62"/>
        <v>0.375</v>
      </c>
      <c r="CP15" s="88">
        <f t="shared" si="45"/>
        <v>0</v>
      </c>
      <c r="CQ15" s="78">
        <f t="shared" si="46"/>
        <v>100</v>
      </c>
      <c r="CR15" s="79">
        <f t="shared" si="63"/>
        <v>3</v>
      </c>
      <c r="CS15" s="92"/>
      <c r="CT15" s="77">
        <f t="shared" si="23"/>
        <v>0</v>
      </c>
      <c r="CU15" s="78">
        <f t="shared" si="47"/>
        <v>100</v>
      </c>
      <c r="CV15" s="79">
        <f t="shared" si="64"/>
        <v>2</v>
      </c>
      <c r="CW15" s="112" t="e">
        <f t="shared" si="48"/>
        <v>#DIV/0!</v>
      </c>
    </row>
    <row r="16" spans="1:101" x14ac:dyDescent="0.35">
      <c r="A16" s="7" t="s">
        <v>125</v>
      </c>
      <c r="B16" s="8" t="s">
        <v>126</v>
      </c>
      <c r="C16" s="21" t="s">
        <v>127</v>
      </c>
      <c r="D16" s="22" t="s">
        <v>21</v>
      </c>
      <c r="E16" s="11" t="s">
        <v>83</v>
      </c>
      <c r="F16" s="11" t="s">
        <v>128</v>
      </c>
      <c r="G16" s="12">
        <v>29801</v>
      </c>
      <c r="H16" s="11" t="s">
        <v>24</v>
      </c>
      <c r="I16" s="11" t="s">
        <v>129</v>
      </c>
      <c r="J16" s="11" t="s">
        <v>130</v>
      </c>
      <c r="K16" s="11" t="s">
        <v>27</v>
      </c>
      <c r="L16" s="23">
        <v>12739404443</v>
      </c>
      <c r="M16" s="14">
        <v>7806315499</v>
      </c>
      <c r="N16" s="14">
        <v>4933088944</v>
      </c>
      <c r="O16" s="14">
        <v>8613702892</v>
      </c>
      <c r="P16" s="14">
        <v>281011393</v>
      </c>
      <c r="Q16" s="14">
        <v>360875361</v>
      </c>
      <c r="R16" s="14">
        <v>240672686</v>
      </c>
      <c r="AB16" s="74">
        <f t="shared" si="49"/>
        <v>0</v>
      </c>
      <c r="AC16" s="75" t="e">
        <f t="shared" si="25"/>
        <v>#DIV/0!</v>
      </c>
      <c r="AD16" s="75" t="e">
        <f t="shared" si="50"/>
        <v>#DIV/0!</v>
      </c>
      <c r="AE16" s="76" t="e">
        <f t="shared" si="53"/>
        <v>#DIV/0!</v>
      </c>
      <c r="AF16" s="77" t="e">
        <f t="shared" si="26"/>
        <v>#DIV/0!</v>
      </c>
      <c r="AG16" s="77" t="e">
        <f t="shared" si="27"/>
        <v>#DIV/0!</v>
      </c>
      <c r="AH16" s="77" t="e">
        <f t="shared" si="51"/>
        <v>#DIV/0!</v>
      </c>
      <c r="AI16" s="78" t="e">
        <f t="shared" si="52"/>
        <v>#DIV/0!</v>
      </c>
      <c r="AJ16" s="79" t="e">
        <f t="shared" si="54"/>
        <v>#DIV/0!</v>
      </c>
      <c r="AN16" s="81">
        <f t="shared" si="2"/>
        <v>0</v>
      </c>
      <c r="AO16" s="82" t="e">
        <f t="shared" si="3"/>
        <v>#DIV/0!</v>
      </c>
      <c r="AP16" s="83" t="e">
        <f t="shared" si="28"/>
        <v>#DIV/0!</v>
      </c>
      <c r="AQ16" s="84" t="e">
        <f t="shared" si="55"/>
        <v>#DIV/0!</v>
      </c>
      <c r="AS16" s="86">
        <f t="shared" si="5"/>
        <v>0.5</v>
      </c>
      <c r="AT16" s="87">
        <f t="shared" si="29"/>
        <v>0</v>
      </c>
      <c r="AU16" s="87">
        <f t="shared" si="30"/>
        <v>0</v>
      </c>
      <c r="AV16" s="88" t="e">
        <f t="shared" si="6"/>
        <v>#DIV/0!</v>
      </c>
      <c r="AW16" s="78" t="e">
        <f t="shared" si="31"/>
        <v>#DIV/0!</v>
      </c>
      <c r="AX16" s="89" t="e">
        <f t="shared" si="56"/>
        <v>#DIV/0!</v>
      </c>
      <c r="BA16" s="91">
        <f t="shared" si="8"/>
        <v>0</v>
      </c>
      <c r="BB16" s="77" t="e">
        <f t="shared" si="32"/>
        <v>#DIV/0!</v>
      </c>
      <c r="BC16" s="78" t="e">
        <f t="shared" si="33"/>
        <v>#DIV/0!</v>
      </c>
      <c r="BD16" s="79" t="e">
        <f t="shared" si="57"/>
        <v>#DIV/0!</v>
      </c>
      <c r="BE16" s="92"/>
      <c r="BF16" s="92"/>
      <c r="BG16" s="93">
        <v>0</v>
      </c>
      <c r="BH16" s="94">
        <f t="shared" si="10"/>
        <v>0</v>
      </c>
      <c r="BI16" s="77" t="e">
        <f t="shared" si="11"/>
        <v>#DIV/0!</v>
      </c>
      <c r="BJ16" s="95" t="str">
        <f t="shared" si="34"/>
        <v>비제조/서비스업</v>
      </c>
      <c r="BK16" s="96" t="e">
        <f t="shared" si="12"/>
        <v>#DIV/0!</v>
      </c>
      <c r="BL16" s="97" t="e">
        <f t="shared" si="35"/>
        <v>#DIV/0!</v>
      </c>
      <c r="BM16" s="98" t="e">
        <f t="shared" si="36"/>
        <v>#DIV/0!</v>
      </c>
      <c r="BN16" s="99" t="e">
        <f t="shared" si="37"/>
        <v>#DIV/0!</v>
      </c>
      <c r="BP16" s="101">
        <f t="shared" si="38"/>
        <v>0</v>
      </c>
      <c r="BQ16" s="78">
        <f t="shared" si="39"/>
        <v>25</v>
      </c>
      <c r="BR16" s="79">
        <f t="shared" si="58"/>
        <v>0.5</v>
      </c>
      <c r="BS16" s="102"/>
      <c r="BT16" s="102"/>
      <c r="BU16" s="103">
        <f t="shared" si="40"/>
        <v>0</v>
      </c>
      <c r="BV16" s="77">
        <f t="shared" si="14"/>
        <v>0</v>
      </c>
      <c r="BW16" s="96">
        <f t="shared" si="15"/>
        <v>0</v>
      </c>
      <c r="BX16" s="96">
        <f t="shared" si="41"/>
        <v>0</v>
      </c>
      <c r="BY16" s="96">
        <f t="shared" si="16"/>
        <v>0</v>
      </c>
      <c r="BZ16" s="96" t="e">
        <f t="shared" si="42"/>
        <v>#NUM!</v>
      </c>
      <c r="CA16" s="96" t="e">
        <f t="shared" si="17"/>
        <v>#NUM!</v>
      </c>
      <c r="CB16" s="104" t="e">
        <f t="shared" si="43"/>
        <v>#NUM!</v>
      </c>
      <c r="CC16" s="105">
        <f t="shared" si="59"/>
        <v>158.24396412910085</v>
      </c>
      <c r="CD16" s="106">
        <f t="shared" si="60"/>
        <v>40.73719944883134</v>
      </c>
      <c r="CE16" s="107">
        <f t="shared" si="61"/>
        <v>0.61105799173247011</v>
      </c>
      <c r="CF16" s="108" t="s">
        <v>2189</v>
      </c>
      <c r="CG16" s="108" t="s">
        <v>2189</v>
      </c>
      <c r="CH16" s="108" t="s">
        <v>2189</v>
      </c>
      <c r="CI16" s="108" t="s">
        <v>2189</v>
      </c>
      <c r="CJ16" s="109"/>
      <c r="CM16" s="111">
        <f t="shared" si="44"/>
        <v>25</v>
      </c>
      <c r="CN16" s="107">
        <f t="shared" si="62"/>
        <v>0.375</v>
      </c>
      <c r="CP16" s="88">
        <f t="shared" si="45"/>
        <v>0</v>
      </c>
      <c r="CQ16" s="78">
        <f t="shared" si="46"/>
        <v>100</v>
      </c>
      <c r="CR16" s="79">
        <f t="shared" si="63"/>
        <v>3</v>
      </c>
      <c r="CS16" s="92"/>
      <c r="CT16" s="77">
        <f t="shared" si="23"/>
        <v>0</v>
      </c>
      <c r="CU16" s="78">
        <f t="shared" si="47"/>
        <v>100</v>
      </c>
      <c r="CV16" s="79">
        <f t="shared" si="64"/>
        <v>2</v>
      </c>
      <c r="CW16" s="112" t="e">
        <f t="shared" si="48"/>
        <v>#DIV/0!</v>
      </c>
    </row>
    <row r="17" spans="1:101" x14ac:dyDescent="0.35">
      <c r="A17" s="7" t="s">
        <v>131</v>
      </c>
      <c r="B17" s="8" t="s">
        <v>132</v>
      </c>
      <c r="C17" s="21" t="s">
        <v>133</v>
      </c>
      <c r="D17" s="27" t="s">
        <v>21</v>
      </c>
      <c r="E17" s="11" t="s">
        <v>134</v>
      </c>
      <c r="F17" s="11" t="s">
        <v>135</v>
      </c>
      <c r="G17" s="12">
        <v>27937</v>
      </c>
      <c r="H17" s="11" t="s">
        <v>24</v>
      </c>
      <c r="I17" s="11" t="s">
        <v>136</v>
      </c>
      <c r="J17" s="11" t="s">
        <v>137</v>
      </c>
      <c r="K17" s="11" t="s">
        <v>27</v>
      </c>
      <c r="L17" s="23">
        <v>997899096</v>
      </c>
      <c r="M17" s="14">
        <v>681241305</v>
      </c>
      <c r="N17" s="14">
        <v>316657791</v>
      </c>
      <c r="O17" s="14">
        <v>4351245277</v>
      </c>
      <c r="P17" s="14">
        <v>72635691</v>
      </c>
      <c r="Q17" s="14">
        <v>36029872</v>
      </c>
      <c r="R17" s="14">
        <v>42401579</v>
      </c>
      <c r="AB17" s="74">
        <f t="shared" si="49"/>
        <v>0</v>
      </c>
      <c r="AC17" s="75" t="e">
        <f t="shared" si="25"/>
        <v>#DIV/0!</v>
      </c>
      <c r="AD17" s="75" t="e">
        <f t="shared" si="50"/>
        <v>#DIV/0!</v>
      </c>
      <c r="AE17" s="76" t="e">
        <f t="shared" si="53"/>
        <v>#DIV/0!</v>
      </c>
      <c r="AF17" s="77" t="e">
        <f t="shared" si="26"/>
        <v>#DIV/0!</v>
      </c>
      <c r="AG17" s="77" t="e">
        <f t="shared" si="27"/>
        <v>#DIV/0!</v>
      </c>
      <c r="AH17" s="77" t="e">
        <f t="shared" si="51"/>
        <v>#DIV/0!</v>
      </c>
      <c r="AI17" s="78" t="e">
        <f t="shared" si="52"/>
        <v>#DIV/0!</v>
      </c>
      <c r="AJ17" s="79" t="e">
        <f t="shared" si="54"/>
        <v>#DIV/0!</v>
      </c>
      <c r="AN17" s="81">
        <f t="shared" si="2"/>
        <v>0</v>
      </c>
      <c r="AO17" s="82" t="e">
        <f t="shared" si="3"/>
        <v>#DIV/0!</v>
      </c>
      <c r="AP17" s="83" t="e">
        <f t="shared" si="28"/>
        <v>#DIV/0!</v>
      </c>
      <c r="AQ17" s="84" t="e">
        <f t="shared" si="55"/>
        <v>#DIV/0!</v>
      </c>
      <c r="AS17" s="86">
        <f t="shared" si="5"/>
        <v>0.25</v>
      </c>
      <c r="AT17" s="87">
        <f t="shared" si="29"/>
        <v>0</v>
      </c>
      <c r="AU17" s="87">
        <f t="shared" si="30"/>
        <v>0</v>
      </c>
      <c r="AV17" s="88" t="e">
        <f t="shared" si="6"/>
        <v>#DIV/0!</v>
      </c>
      <c r="AW17" s="78" t="e">
        <f t="shared" si="31"/>
        <v>#DIV/0!</v>
      </c>
      <c r="AX17" s="89" t="e">
        <f t="shared" si="56"/>
        <v>#DIV/0!</v>
      </c>
      <c r="BA17" s="91">
        <f t="shared" si="8"/>
        <v>0</v>
      </c>
      <c r="BB17" s="77" t="e">
        <f t="shared" si="32"/>
        <v>#DIV/0!</v>
      </c>
      <c r="BC17" s="78" t="e">
        <f t="shared" si="33"/>
        <v>#DIV/0!</v>
      </c>
      <c r="BD17" s="79" t="e">
        <f t="shared" si="57"/>
        <v>#DIV/0!</v>
      </c>
      <c r="BE17" s="92"/>
      <c r="BF17" s="92"/>
      <c r="BG17" s="114">
        <v>2283000</v>
      </c>
      <c r="BH17" s="94">
        <f t="shared" si="10"/>
        <v>0</v>
      </c>
      <c r="BI17" s="77" t="e">
        <f t="shared" si="11"/>
        <v>#DIV/0!</v>
      </c>
      <c r="BJ17" s="95" t="str">
        <f t="shared" si="34"/>
        <v>비제조/서비스업</v>
      </c>
      <c r="BK17" s="96" t="e">
        <f t="shared" si="12"/>
        <v>#DIV/0!</v>
      </c>
      <c r="BL17" s="97" t="e">
        <f t="shared" si="35"/>
        <v>#DIV/0!</v>
      </c>
      <c r="BM17" s="98" t="e">
        <f t="shared" si="36"/>
        <v>#DIV/0!</v>
      </c>
      <c r="BN17" s="99" t="e">
        <f t="shared" si="37"/>
        <v>#DIV/0!</v>
      </c>
      <c r="BP17" s="101">
        <f t="shared" si="38"/>
        <v>0</v>
      </c>
      <c r="BQ17" s="78">
        <f t="shared" si="39"/>
        <v>25</v>
      </c>
      <c r="BR17" s="79">
        <f t="shared" si="58"/>
        <v>0.5</v>
      </c>
      <c r="BS17" s="102"/>
      <c r="BT17" s="102"/>
      <c r="BU17" s="103">
        <f t="shared" si="40"/>
        <v>0</v>
      </c>
      <c r="BV17" s="77">
        <f t="shared" si="14"/>
        <v>0</v>
      </c>
      <c r="BW17" s="96">
        <f t="shared" si="15"/>
        <v>0</v>
      </c>
      <c r="BX17" s="96">
        <f t="shared" si="41"/>
        <v>0</v>
      </c>
      <c r="BY17" s="96">
        <f t="shared" si="16"/>
        <v>0</v>
      </c>
      <c r="BZ17" s="96" t="e">
        <f t="shared" si="42"/>
        <v>#NUM!</v>
      </c>
      <c r="CA17" s="96" t="e">
        <f t="shared" si="17"/>
        <v>#NUM!</v>
      </c>
      <c r="CB17" s="104" t="e">
        <f t="shared" si="43"/>
        <v>#NUM!</v>
      </c>
      <c r="CC17" s="105">
        <f t="shared" si="59"/>
        <v>215.13486304841939</v>
      </c>
      <c r="CD17" s="106">
        <f t="shared" si="60"/>
        <v>25</v>
      </c>
      <c r="CE17" s="107">
        <f t="shared" si="61"/>
        <v>0.375</v>
      </c>
      <c r="CF17" s="108" t="s">
        <v>2189</v>
      </c>
      <c r="CG17" s="108" t="s">
        <v>2189</v>
      </c>
      <c r="CH17" s="108" t="s">
        <v>2189</v>
      </c>
      <c r="CI17" s="108" t="s">
        <v>2189</v>
      </c>
      <c r="CJ17" s="109"/>
      <c r="CM17" s="111">
        <f t="shared" si="44"/>
        <v>25</v>
      </c>
      <c r="CN17" s="107">
        <f t="shared" si="62"/>
        <v>0.375</v>
      </c>
      <c r="CP17" s="88">
        <f t="shared" si="45"/>
        <v>0</v>
      </c>
      <c r="CQ17" s="78">
        <f t="shared" si="46"/>
        <v>100</v>
      </c>
      <c r="CR17" s="79">
        <f t="shared" si="63"/>
        <v>3</v>
      </c>
      <c r="CS17" s="92"/>
      <c r="CT17" s="77">
        <f t="shared" si="23"/>
        <v>0</v>
      </c>
      <c r="CU17" s="78">
        <f t="shared" si="47"/>
        <v>100</v>
      </c>
      <c r="CV17" s="79">
        <f t="shared" si="64"/>
        <v>2</v>
      </c>
      <c r="CW17" s="112" t="e">
        <f t="shared" si="48"/>
        <v>#DIV/0!</v>
      </c>
    </row>
    <row r="18" spans="1:101" x14ac:dyDescent="0.35">
      <c r="A18" s="7" t="s">
        <v>138</v>
      </c>
      <c r="B18" s="8" t="s">
        <v>139</v>
      </c>
      <c r="C18" s="21" t="s">
        <v>140</v>
      </c>
      <c r="D18" s="10" t="s">
        <v>141</v>
      </c>
      <c r="E18" s="11" t="s">
        <v>142</v>
      </c>
      <c r="F18" s="11" t="s">
        <v>143</v>
      </c>
      <c r="G18" s="12">
        <v>42271</v>
      </c>
      <c r="H18" s="11" t="s">
        <v>24</v>
      </c>
      <c r="I18" s="11" t="s">
        <v>144</v>
      </c>
      <c r="J18" s="11" t="s">
        <v>145</v>
      </c>
      <c r="K18" s="11" t="s">
        <v>27</v>
      </c>
      <c r="L18" s="23">
        <v>384013805</v>
      </c>
      <c r="M18" s="14">
        <v>122371399</v>
      </c>
      <c r="N18" s="14">
        <v>261642406</v>
      </c>
      <c r="O18" s="14">
        <v>610731077</v>
      </c>
      <c r="P18" s="14">
        <v>12353544</v>
      </c>
      <c r="Q18" s="14">
        <v>16868521</v>
      </c>
      <c r="R18" s="14">
        <v>12791557</v>
      </c>
      <c r="AB18" s="74">
        <f t="shared" si="49"/>
        <v>0</v>
      </c>
      <c r="AC18" s="75" t="e">
        <f t="shared" si="25"/>
        <v>#DIV/0!</v>
      </c>
      <c r="AD18" s="75" t="e">
        <f t="shared" si="50"/>
        <v>#DIV/0!</v>
      </c>
      <c r="AE18" s="76" t="e">
        <f t="shared" si="53"/>
        <v>#DIV/0!</v>
      </c>
      <c r="AF18" s="77" t="e">
        <f t="shared" si="26"/>
        <v>#DIV/0!</v>
      </c>
      <c r="AG18" s="77" t="e">
        <f t="shared" si="27"/>
        <v>#DIV/0!</v>
      </c>
      <c r="AH18" s="77" t="e">
        <f t="shared" si="51"/>
        <v>#DIV/0!</v>
      </c>
      <c r="AI18" s="78" t="e">
        <f t="shared" si="52"/>
        <v>#DIV/0!</v>
      </c>
      <c r="AJ18" s="79" t="e">
        <f t="shared" si="54"/>
        <v>#DIV/0!</v>
      </c>
      <c r="AN18" s="81">
        <f t="shared" si="2"/>
        <v>0</v>
      </c>
      <c r="AO18" s="82" t="e">
        <f t="shared" si="3"/>
        <v>#DIV/0!</v>
      </c>
      <c r="AP18" s="83" t="e">
        <f t="shared" si="28"/>
        <v>#DIV/0!</v>
      </c>
      <c r="AQ18" s="84" t="e">
        <f t="shared" si="55"/>
        <v>#DIV/0!</v>
      </c>
      <c r="AS18" s="86">
        <f t="shared" si="5"/>
        <v>0.25</v>
      </c>
      <c r="AT18" s="87">
        <f t="shared" si="29"/>
        <v>0</v>
      </c>
      <c r="AU18" s="87">
        <f t="shared" si="30"/>
        <v>0</v>
      </c>
      <c r="AV18" s="88" t="e">
        <f t="shared" si="6"/>
        <v>#DIV/0!</v>
      </c>
      <c r="AW18" s="78" t="e">
        <f t="shared" si="31"/>
        <v>#DIV/0!</v>
      </c>
      <c r="AX18" s="89" t="e">
        <f t="shared" si="56"/>
        <v>#DIV/0!</v>
      </c>
      <c r="BA18" s="91">
        <f t="shared" si="8"/>
        <v>0</v>
      </c>
      <c r="BB18" s="77" t="e">
        <f t="shared" si="32"/>
        <v>#DIV/0!</v>
      </c>
      <c r="BC18" s="78" t="e">
        <f t="shared" si="33"/>
        <v>#DIV/0!</v>
      </c>
      <c r="BD18" s="79" t="e">
        <f t="shared" si="57"/>
        <v>#DIV/0!</v>
      </c>
      <c r="BE18" s="92"/>
      <c r="BF18" s="92"/>
      <c r="BG18" s="114">
        <v>608593</v>
      </c>
      <c r="BH18" s="94">
        <f t="shared" si="10"/>
        <v>0</v>
      </c>
      <c r="BI18" s="77" t="e">
        <f t="shared" si="11"/>
        <v>#DIV/0!</v>
      </c>
      <c r="BJ18" s="95" t="str">
        <f t="shared" si="34"/>
        <v>전기전자/기계업</v>
      </c>
      <c r="BK18" s="96" t="e">
        <f t="shared" si="12"/>
        <v>#DIV/0!</v>
      </c>
      <c r="BL18" s="97" t="e">
        <f t="shared" si="35"/>
        <v>#DIV/0!</v>
      </c>
      <c r="BM18" s="98" t="e">
        <f t="shared" si="36"/>
        <v>#DIV/0!</v>
      </c>
      <c r="BN18" s="99" t="e">
        <f t="shared" si="37"/>
        <v>#DIV/0!</v>
      </c>
      <c r="BP18" s="101">
        <f t="shared" si="38"/>
        <v>0</v>
      </c>
      <c r="BQ18" s="78">
        <f t="shared" si="39"/>
        <v>25</v>
      </c>
      <c r="BR18" s="79">
        <f t="shared" si="58"/>
        <v>0.5</v>
      </c>
      <c r="BS18" s="102"/>
      <c r="BT18" s="102"/>
      <c r="BU18" s="103">
        <f t="shared" si="40"/>
        <v>0</v>
      </c>
      <c r="BV18" s="77">
        <f t="shared" si="14"/>
        <v>0</v>
      </c>
      <c r="BW18" s="96">
        <f t="shared" si="15"/>
        <v>0</v>
      </c>
      <c r="BX18" s="96">
        <f t="shared" si="41"/>
        <v>0</v>
      </c>
      <c r="BY18" s="96">
        <f t="shared" si="16"/>
        <v>0</v>
      </c>
      <c r="BZ18" s="96" t="e">
        <f t="shared" si="42"/>
        <v>#NUM!</v>
      </c>
      <c r="CA18" s="96" t="e">
        <f t="shared" si="17"/>
        <v>#NUM!</v>
      </c>
      <c r="CB18" s="104" t="e">
        <f t="shared" si="43"/>
        <v>#NUM!</v>
      </c>
      <c r="CC18" s="105">
        <f t="shared" si="59"/>
        <v>46.770476113111421</v>
      </c>
      <c r="CD18" s="106">
        <f t="shared" si="60"/>
        <v>82.749820560385146</v>
      </c>
      <c r="CE18" s="107">
        <f t="shared" si="61"/>
        <v>1.2412473084057771</v>
      </c>
      <c r="CF18" s="108" t="s">
        <v>2189</v>
      </c>
      <c r="CG18" s="108" t="s">
        <v>2189</v>
      </c>
      <c r="CH18" s="108" t="s">
        <v>2189</v>
      </c>
      <c r="CI18" s="108" t="s">
        <v>2189</v>
      </c>
      <c r="CJ18" s="109"/>
      <c r="CM18" s="111">
        <f t="shared" si="44"/>
        <v>25</v>
      </c>
      <c r="CN18" s="107">
        <f t="shared" si="62"/>
        <v>0.375</v>
      </c>
      <c r="CP18" s="88">
        <f t="shared" si="45"/>
        <v>0</v>
      </c>
      <c r="CQ18" s="78">
        <f t="shared" si="46"/>
        <v>100</v>
      </c>
      <c r="CR18" s="79">
        <f t="shared" si="63"/>
        <v>3</v>
      </c>
      <c r="CS18" s="92"/>
      <c r="CT18" s="77">
        <f t="shared" si="23"/>
        <v>0</v>
      </c>
      <c r="CU18" s="78">
        <f t="shared" si="47"/>
        <v>100</v>
      </c>
      <c r="CV18" s="79">
        <f t="shared" si="64"/>
        <v>2</v>
      </c>
      <c r="CW18" s="112" t="e">
        <f t="shared" si="48"/>
        <v>#DIV/0!</v>
      </c>
    </row>
    <row r="19" spans="1:101" x14ac:dyDescent="0.35">
      <c r="A19" s="7" t="s">
        <v>146</v>
      </c>
      <c r="B19" s="8" t="s">
        <v>147</v>
      </c>
      <c r="C19" s="21" t="s">
        <v>148</v>
      </c>
      <c r="D19" s="10" t="s">
        <v>75</v>
      </c>
      <c r="E19" s="11" t="s">
        <v>149</v>
      </c>
      <c r="F19" s="11" t="s">
        <v>150</v>
      </c>
      <c r="G19" s="12">
        <v>38985</v>
      </c>
      <c r="H19" s="11" t="s">
        <v>24</v>
      </c>
      <c r="I19" s="11" t="s">
        <v>151</v>
      </c>
      <c r="J19" s="11" t="s">
        <v>152</v>
      </c>
      <c r="K19" s="11" t="s">
        <v>153</v>
      </c>
      <c r="L19" s="23">
        <v>496666959</v>
      </c>
      <c r="M19" s="14">
        <v>232970639</v>
      </c>
      <c r="N19" s="14">
        <v>263696320</v>
      </c>
      <c r="O19" s="14">
        <v>847333959</v>
      </c>
      <c r="P19" s="14">
        <v>12420452</v>
      </c>
      <c r="Q19" s="14">
        <v>21136596</v>
      </c>
      <c r="R19" s="14">
        <v>15436443</v>
      </c>
      <c r="AB19" s="74">
        <f t="shared" si="49"/>
        <v>0</v>
      </c>
      <c r="AC19" s="75" t="e">
        <f t="shared" si="25"/>
        <v>#DIV/0!</v>
      </c>
      <c r="AD19" s="75" t="e">
        <f t="shared" si="50"/>
        <v>#DIV/0!</v>
      </c>
      <c r="AE19" s="76" t="e">
        <f t="shared" si="53"/>
        <v>#DIV/0!</v>
      </c>
      <c r="AF19" s="77" t="e">
        <f t="shared" si="26"/>
        <v>#DIV/0!</v>
      </c>
      <c r="AG19" s="77" t="e">
        <f t="shared" si="27"/>
        <v>#DIV/0!</v>
      </c>
      <c r="AH19" s="77" t="e">
        <f t="shared" si="51"/>
        <v>#DIV/0!</v>
      </c>
      <c r="AI19" s="78" t="e">
        <f t="shared" si="52"/>
        <v>#DIV/0!</v>
      </c>
      <c r="AJ19" s="79" t="e">
        <f t="shared" si="54"/>
        <v>#DIV/0!</v>
      </c>
      <c r="AM19" s="80"/>
      <c r="AN19" s="81">
        <f t="shared" si="2"/>
        <v>0</v>
      </c>
      <c r="AO19" s="82" t="e">
        <f t="shared" si="3"/>
        <v>#DIV/0!</v>
      </c>
      <c r="AP19" s="83" t="e">
        <f t="shared" si="28"/>
        <v>#DIV/0!</v>
      </c>
      <c r="AQ19" s="84" t="e">
        <f t="shared" si="55"/>
        <v>#DIV/0!</v>
      </c>
      <c r="AS19" s="86">
        <f t="shared" si="5"/>
        <v>0.25</v>
      </c>
      <c r="AT19" s="87">
        <f t="shared" si="29"/>
        <v>0</v>
      </c>
      <c r="AU19" s="87">
        <f t="shared" si="30"/>
        <v>0</v>
      </c>
      <c r="AV19" s="88" t="e">
        <f t="shared" si="6"/>
        <v>#DIV/0!</v>
      </c>
      <c r="AW19" s="78" t="e">
        <f t="shared" si="31"/>
        <v>#DIV/0!</v>
      </c>
      <c r="AX19" s="89" t="e">
        <f t="shared" si="56"/>
        <v>#DIV/0!</v>
      </c>
      <c r="BA19" s="91">
        <f t="shared" si="8"/>
        <v>0</v>
      </c>
      <c r="BB19" s="77" t="e">
        <f t="shared" si="32"/>
        <v>#DIV/0!</v>
      </c>
      <c r="BC19" s="78" t="e">
        <f t="shared" si="33"/>
        <v>#DIV/0!</v>
      </c>
      <c r="BD19" s="79" t="e">
        <f t="shared" si="57"/>
        <v>#DIV/0!</v>
      </c>
      <c r="BE19" s="92"/>
      <c r="BF19" s="92"/>
      <c r="BG19" s="114">
        <v>544657</v>
      </c>
      <c r="BH19" s="94">
        <f t="shared" si="10"/>
        <v>0</v>
      </c>
      <c r="BI19" s="77" t="e">
        <f t="shared" si="11"/>
        <v>#DIV/0!</v>
      </c>
      <c r="BJ19" s="95" t="str">
        <f t="shared" si="34"/>
        <v>금속/비금속/화학업</v>
      </c>
      <c r="BK19" s="96" t="e">
        <f t="shared" si="12"/>
        <v>#DIV/0!</v>
      </c>
      <c r="BL19" s="97" t="e">
        <f t="shared" si="35"/>
        <v>#DIV/0!</v>
      </c>
      <c r="BM19" s="98" t="e">
        <f t="shared" si="36"/>
        <v>#DIV/0!</v>
      </c>
      <c r="BN19" s="99" t="e">
        <f t="shared" si="37"/>
        <v>#DIV/0!</v>
      </c>
      <c r="BP19" s="101">
        <f t="shared" si="38"/>
        <v>0</v>
      </c>
      <c r="BQ19" s="78">
        <f t="shared" si="39"/>
        <v>25</v>
      </c>
      <c r="BR19" s="79">
        <f t="shared" si="58"/>
        <v>0.5</v>
      </c>
      <c r="BS19" s="102"/>
      <c r="BT19" s="102"/>
      <c r="BU19" s="103">
        <f t="shared" si="40"/>
        <v>0</v>
      </c>
      <c r="BV19" s="77">
        <f t="shared" si="14"/>
        <v>0</v>
      </c>
      <c r="BW19" s="96">
        <f t="shared" si="15"/>
        <v>0</v>
      </c>
      <c r="BX19" s="96">
        <f t="shared" si="41"/>
        <v>0</v>
      </c>
      <c r="BY19" s="96">
        <f t="shared" si="16"/>
        <v>0</v>
      </c>
      <c r="BZ19" s="96" t="e">
        <f t="shared" si="42"/>
        <v>#NUM!</v>
      </c>
      <c r="CA19" s="96" t="e">
        <f t="shared" si="17"/>
        <v>#NUM!</v>
      </c>
      <c r="CB19" s="104" t="e">
        <f t="shared" si="43"/>
        <v>#NUM!</v>
      </c>
      <c r="CC19" s="105">
        <f t="shared" si="59"/>
        <v>88.348081232229561</v>
      </c>
      <c r="CD19" s="106">
        <f t="shared" si="60"/>
        <v>67.079868882325542</v>
      </c>
      <c r="CE19" s="107">
        <f t="shared" si="61"/>
        <v>1.006198033234883</v>
      </c>
      <c r="CF19" s="108" t="s">
        <v>2189</v>
      </c>
      <c r="CG19" s="108" t="s">
        <v>2189</v>
      </c>
      <c r="CH19" s="108" t="s">
        <v>2189</v>
      </c>
      <c r="CI19" s="108" t="s">
        <v>2189</v>
      </c>
      <c r="CJ19" s="109"/>
      <c r="CM19" s="111">
        <f t="shared" si="44"/>
        <v>25</v>
      </c>
      <c r="CN19" s="107">
        <f t="shared" si="62"/>
        <v>0.375</v>
      </c>
      <c r="CP19" s="88">
        <f t="shared" si="45"/>
        <v>0</v>
      </c>
      <c r="CQ19" s="78">
        <f t="shared" si="46"/>
        <v>100</v>
      </c>
      <c r="CR19" s="79">
        <f t="shared" si="63"/>
        <v>3</v>
      </c>
      <c r="CS19" s="92"/>
      <c r="CT19" s="77">
        <f t="shared" si="23"/>
        <v>0</v>
      </c>
      <c r="CU19" s="78">
        <f t="shared" si="47"/>
        <v>100</v>
      </c>
      <c r="CV19" s="79">
        <f t="shared" si="64"/>
        <v>2</v>
      </c>
      <c r="CW19" s="112" t="e">
        <f t="shared" si="48"/>
        <v>#DIV/0!</v>
      </c>
    </row>
    <row r="20" spans="1:101" x14ac:dyDescent="0.35">
      <c r="A20" s="7" t="s">
        <v>154</v>
      </c>
      <c r="B20" s="8" t="s">
        <v>155</v>
      </c>
      <c r="C20" s="21" t="s">
        <v>156</v>
      </c>
      <c r="D20" s="27" t="s">
        <v>21</v>
      </c>
      <c r="E20" s="11" t="s">
        <v>83</v>
      </c>
      <c r="F20" s="11" t="s">
        <v>157</v>
      </c>
      <c r="G20" s="12">
        <v>43263</v>
      </c>
      <c r="H20" s="11" t="s">
        <v>24</v>
      </c>
      <c r="I20" s="11" t="s">
        <v>158</v>
      </c>
      <c r="J20" s="11" t="s">
        <v>159</v>
      </c>
      <c r="K20" s="11" t="s">
        <v>27</v>
      </c>
      <c r="L20" s="23">
        <v>7073844464</v>
      </c>
      <c r="M20" s="14">
        <v>4098482728</v>
      </c>
      <c r="N20" s="14">
        <v>2975361736</v>
      </c>
      <c r="O20" s="14">
        <v>3283542070</v>
      </c>
      <c r="P20" s="14">
        <v>110039015</v>
      </c>
      <c r="Q20" s="14">
        <v>105468581</v>
      </c>
      <c r="R20" s="14">
        <v>36587869</v>
      </c>
      <c r="AB20" s="74">
        <f t="shared" si="49"/>
        <v>0</v>
      </c>
      <c r="AC20" s="75" t="e">
        <f t="shared" si="25"/>
        <v>#DIV/0!</v>
      </c>
      <c r="AD20" s="75" t="e">
        <f t="shared" si="50"/>
        <v>#DIV/0!</v>
      </c>
      <c r="AE20" s="76" t="e">
        <f t="shared" si="53"/>
        <v>#DIV/0!</v>
      </c>
      <c r="AF20" s="77" t="e">
        <f t="shared" si="26"/>
        <v>#DIV/0!</v>
      </c>
      <c r="AG20" s="77" t="e">
        <f t="shared" si="27"/>
        <v>#DIV/0!</v>
      </c>
      <c r="AH20" s="77" t="e">
        <f t="shared" si="51"/>
        <v>#DIV/0!</v>
      </c>
      <c r="AI20" s="78" t="e">
        <f t="shared" si="52"/>
        <v>#DIV/0!</v>
      </c>
      <c r="AJ20" s="79" t="e">
        <f t="shared" si="54"/>
        <v>#DIV/0!</v>
      </c>
      <c r="AN20" s="81">
        <f t="shared" si="2"/>
        <v>0</v>
      </c>
      <c r="AO20" s="82" t="e">
        <f t="shared" si="3"/>
        <v>#DIV/0!</v>
      </c>
      <c r="AP20" s="83" t="e">
        <f t="shared" si="28"/>
        <v>#DIV/0!</v>
      </c>
      <c r="AQ20" s="84" t="e">
        <f t="shared" si="55"/>
        <v>#DIV/0!</v>
      </c>
      <c r="AS20" s="86">
        <f t="shared" si="5"/>
        <v>0.5</v>
      </c>
      <c r="AT20" s="87">
        <f t="shared" si="29"/>
        <v>0</v>
      </c>
      <c r="AU20" s="87">
        <f t="shared" si="30"/>
        <v>0</v>
      </c>
      <c r="AV20" s="88" t="e">
        <f t="shared" si="6"/>
        <v>#DIV/0!</v>
      </c>
      <c r="AW20" s="78" t="e">
        <f t="shared" si="31"/>
        <v>#DIV/0!</v>
      </c>
      <c r="AX20" s="89" t="e">
        <f t="shared" si="56"/>
        <v>#DIV/0!</v>
      </c>
      <c r="BA20" s="91">
        <f t="shared" si="8"/>
        <v>0</v>
      </c>
      <c r="BB20" s="77" t="e">
        <f t="shared" si="32"/>
        <v>#DIV/0!</v>
      </c>
      <c r="BC20" s="78" t="e">
        <f t="shared" si="33"/>
        <v>#DIV/0!</v>
      </c>
      <c r="BD20" s="79" t="e">
        <f t="shared" si="57"/>
        <v>#DIV/0!</v>
      </c>
      <c r="BE20" s="92"/>
      <c r="BF20" s="92"/>
      <c r="BG20" s="93">
        <v>0</v>
      </c>
      <c r="BH20" s="94">
        <f t="shared" si="10"/>
        <v>0</v>
      </c>
      <c r="BI20" s="77" t="e">
        <f t="shared" si="11"/>
        <v>#DIV/0!</v>
      </c>
      <c r="BJ20" s="95" t="str">
        <f t="shared" si="34"/>
        <v>비제조/서비스업</v>
      </c>
      <c r="BK20" s="96" t="e">
        <f t="shared" si="12"/>
        <v>#DIV/0!</v>
      </c>
      <c r="BL20" s="97" t="e">
        <f t="shared" si="35"/>
        <v>#DIV/0!</v>
      </c>
      <c r="BM20" s="98" t="e">
        <f t="shared" si="36"/>
        <v>#DIV/0!</v>
      </c>
      <c r="BN20" s="99" t="e">
        <f t="shared" si="37"/>
        <v>#DIV/0!</v>
      </c>
      <c r="BP20" s="101">
        <f t="shared" si="38"/>
        <v>0</v>
      </c>
      <c r="BQ20" s="78">
        <f t="shared" si="39"/>
        <v>25</v>
      </c>
      <c r="BR20" s="79">
        <f t="shared" si="58"/>
        <v>0.5</v>
      </c>
      <c r="BS20" s="102"/>
      <c r="BT20" s="102"/>
      <c r="BU20" s="103">
        <f t="shared" si="40"/>
        <v>0</v>
      </c>
      <c r="BV20" s="77">
        <f t="shared" si="14"/>
        <v>0</v>
      </c>
      <c r="BW20" s="96">
        <f t="shared" si="15"/>
        <v>0</v>
      </c>
      <c r="BX20" s="96">
        <f t="shared" si="41"/>
        <v>0</v>
      </c>
      <c r="BY20" s="96">
        <f t="shared" si="16"/>
        <v>0</v>
      </c>
      <c r="BZ20" s="96" t="e">
        <f t="shared" si="42"/>
        <v>#NUM!</v>
      </c>
      <c r="CA20" s="96" t="e">
        <f t="shared" si="17"/>
        <v>#NUM!</v>
      </c>
      <c r="CB20" s="104" t="e">
        <f t="shared" si="43"/>
        <v>#NUM!</v>
      </c>
      <c r="CC20" s="105">
        <f t="shared" si="59"/>
        <v>137.74737634120063</v>
      </c>
      <c r="CD20" s="106">
        <f t="shared" si="60"/>
        <v>48.462044092512329</v>
      </c>
      <c r="CE20" s="107">
        <f t="shared" si="61"/>
        <v>0.72693066138768492</v>
      </c>
      <c r="CF20" s="108" t="s">
        <v>2189</v>
      </c>
      <c r="CG20" s="108" t="s">
        <v>2189</v>
      </c>
      <c r="CH20" s="108" t="s">
        <v>2189</v>
      </c>
      <c r="CI20" s="108" t="s">
        <v>2189</v>
      </c>
      <c r="CJ20" s="109"/>
      <c r="CM20" s="111">
        <f t="shared" si="44"/>
        <v>25</v>
      </c>
      <c r="CN20" s="107">
        <f t="shared" si="62"/>
        <v>0.375</v>
      </c>
      <c r="CP20" s="88">
        <f t="shared" si="45"/>
        <v>0</v>
      </c>
      <c r="CQ20" s="78">
        <f t="shared" si="46"/>
        <v>100</v>
      </c>
      <c r="CR20" s="79">
        <f t="shared" si="63"/>
        <v>3</v>
      </c>
      <c r="CS20" s="92"/>
      <c r="CT20" s="77">
        <f t="shared" si="23"/>
        <v>0</v>
      </c>
      <c r="CU20" s="78">
        <f t="shared" si="47"/>
        <v>100</v>
      </c>
      <c r="CV20" s="79">
        <f t="shared" si="64"/>
        <v>2</v>
      </c>
      <c r="CW20" s="112" t="e">
        <f t="shared" si="48"/>
        <v>#DIV/0!</v>
      </c>
    </row>
    <row r="21" spans="1:101" x14ac:dyDescent="0.35">
      <c r="A21" s="7" t="s">
        <v>160</v>
      </c>
      <c r="B21" s="8" t="s">
        <v>161</v>
      </c>
      <c r="C21" s="21" t="s">
        <v>162</v>
      </c>
      <c r="D21" s="22" t="s">
        <v>141</v>
      </c>
      <c r="E21" s="11" t="s">
        <v>163</v>
      </c>
      <c r="F21" s="11" t="s">
        <v>164</v>
      </c>
      <c r="G21" s="12">
        <v>43788</v>
      </c>
      <c r="H21" s="11" t="s">
        <v>24</v>
      </c>
      <c r="I21" s="11" t="s">
        <v>165</v>
      </c>
      <c r="J21" s="11" t="s">
        <v>166</v>
      </c>
      <c r="K21" s="11" t="s">
        <v>50</v>
      </c>
      <c r="L21" s="23">
        <v>654805747</v>
      </c>
      <c r="M21" s="14">
        <v>269730556</v>
      </c>
      <c r="N21" s="14">
        <v>385075191</v>
      </c>
      <c r="O21" s="14">
        <v>1022975319</v>
      </c>
      <c r="P21" s="14">
        <v>95989545</v>
      </c>
      <c r="Q21" s="14">
        <v>80403526</v>
      </c>
      <c r="R21" s="14">
        <v>64390770</v>
      </c>
      <c r="AB21" s="74">
        <f t="shared" si="49"/>
        <v>0</v>
      </c>
      <c r="AC21" s="75" t="e">
        <f t="shared" si="25"/>
        <v>#DIV/0!</v>
      </c>
      <c r="AD21" s="75" t="e">
        <f t="shared" si="50"/>
        <v>#DIV/0!</v>
      </c>
      <c r="AE21" s="76" t="e">
        <f t="shared" si="53"/>
        <v>#DIV/0!</v>
      </c>
      <c r="AF21" s="77" t="e">
        <f t="shared" si="26"/>
        <v>#DIV/0!</v>
      </c>
      <c r="AG21" s="77" t="e">
        <f t="shared" si="27"/>
        <v>#DIV/0!</v>
      </c>
      <c r="AH21" s="77" t="e">
        <f t="shared" si="51"/>
        <v>#DIV/0!</v>
      </c>
      <c r="AI21" s="78" t="e">
        <f t="shared" si="52"/>
        <v>#DIV/0!</v>
      </c>
      <c r="AJ21" s="79" t="e">
        <f t="shared" si="54"/>
        <v>#DIV/0!</v>
      </c>
      <c r="AN21" s="81">
        <f t="shared" si="2"/>
        <v>0</v>
      </c>
      <c r="AO21" s="82" t="e">
        <f t="shared" si="3"/>
        <v>#DIV/0!</v>
      </c>
      <c r="AP21" s="83" t="e">
        <f t="shared" si="28"/>
        <v>#DIV/0!</v>
      </c>
      <c r="AQ21" s="84" t="e">
        <f t="shared" si="55"/>
        <v>#DIV/0!</v>
      </c>
      <c r="AS21" s="86">
        <f t="shared" si="5"/>
        <v>0.25</v>
      </c>
      <c r="AT21" s="87">
        <f t="shared" si="29"/>
        <v>0</v>
      </c>
      <c r="AU21" s="87">
        <f t="shared" si="30"/>
        <v>0</v>
      </c>
      <c r="AV21" s="88" t="e">
        <f t="shared" si="6"/>
        <v>#DIV/0!</v>
      </c>
      <c r="AW21" s="78" t="e">
        <f t="shared" si="31"/>
        <v>#DIV/0!</v>
      </c>
      <c r="AX21" s="89" t="e">
        <f t="shared" si="56"/>
        <v>#DIV/0!</v>
      </c>
      <c r="BA21" s="91">
        <f t="shared" si="8"/>
        <v>0</v>
      </c>
      <c r="BB21" s="77" t="e">
        <f t="shared" si="32"/>
        <v>#DIV/0!</v>
      </c>
      <c r="BC21" s="78" t="e">
        <f t="shared" si="33"/>
        <v>#DIV/0!</v>
      </c>
      <c r="BD21" s="79" t="e">
        <f t="shared" si="57"/>
        <v>#DIV/0!</v>
      </c>
      <c r="BE21" s="92"/>
      <c r="BF21" s="92"/>
      <c r="BG21" s="93">
        <v>0</v>
      </c>
      <c r="BH21" s="94">
        <f t="shared" si="10"/>
        <v>0</v>
      </c>
      <c r="BI21" s="77" t="e">
        <f t="shared" si="11"/>
        <v>#DIV/0!</v>
      </c>
      <c r="BJ21" s="95" t="str">
        <f t="shared" si="34"/>
        <v>전기전자/기계업</v>
      </c>
      <c r="BK21" s="96" t="e">
        <f t="shared" si="12"/>
        <v>#DIV/0!</v>
      </c>
      <c r="BL21" s="97" t="e">
        <f t="shared" si="35"/>
        <v>#DIV/0!</v>
      </c>
      <c r="BM21" s="98" t="e">
        <f t="shared" si="36"/>
        <v>#DIV/0!</v>
      </c>
      <c r="BN21" s="99" t="e">
        <f t="shared" si="37"/>
        <v>#DIV/0!</v>
      </c>
      <c r="BP21" s="101">
        <f t="shared" si="38"/>
        <v>0</v>
      </c>
      <c r="BQ21" s="78">
        <f t="shared" si="39"/>
        <v>25</v>
      </c>
      <c r="BR21" s="79">
        <f t="shared" si="58"/>
        <v>0.5</v>
      </c>
      <c r="BS21" s="102"/>
      <c r="BT21" s="102"/>
      <c r="BU21" s="103">
        <f t="shared" si="40"/>
        <v>0</v>
      </c>
      <c r="BV21" s="77">
        <f t="shared" si="14"/>
        <v>0</v>
      </c>
      <c r="BW21" s="96">
        <f t="shared" si="15"/>
        <v>0</v>
      </c>
      <c r="BX21" s="96">
        <f t="shared" si="41"/>
        <v>0</v>
      </c>
      <c r="BY21" s="96">
        <f t="shared" si="16"/>
        <v>0</v>
      </c>
      <c r="BZ21" s="96" t="e">
        <f t="shared" si="42"/>
        <v>#NUM!</v>
      </c>
      <c r="CA21" s="96" t="e">
        <f t="shared" si="17"/>
        <v>#NUM!</v>
      </c>
      <c r="CB21" s="104" t="e">
        <f t="shared" si="43"/>
        <v>#NUM!</v>
      </c>
      <c r="CC21" s="105">
        <f t="shared" si="59"/>
        <v>70.046204560604892</v>
      </c>
      <c r="CD21" s="106">
        <f t="shared" si="60"/>
        <v>73.977561095249413</v>
      </c>
      <c r="CE21" s="107">
        <f t="shared" si="61"/>
        <v>1.1096634164287411</v>
      </c>
      <c r="CF21" s="108" t="s">
        <v>2189</v>
      </c>
      <c r="CG21" s="108" t="s">
        <v>2189</v>
      </c>
      <c r="CH21" s="108" t="s">
        <v>2189</v>
      </c>
      <c r="CI21" s="108" t="s">
        <v>2189</v>
      </c>
      <c r="CJ21" s="109"/>
      <c r="CM21" s="111">
        <f t="shared" si="44"/>
        <v>25</v>
      </c>
      <c r="CN21" s="107">
        <f t="shared" si="62"/>
        <v>0.375</v>
      </c>
      <c r="CP21" s="88">
        <f t="shared" si="45"/>
        <v>0</v>
      </c>
      <c r="CQ21" s="78">
        <f t="shared" si="46"/>
        <v>100</v>
      </c>
      <c r="CR21" s="79">
        <f t="shared" si="63"/>
        <v>3</v>
      </c>
      <c r="CS21" s="92"/>
      <c r="CT21" s="77">
        <f t="shared" si="23"/>
        <v>0</v>
      </c>
      <c r="CU21" s="78">
        <f t="shared" si="47"/>
        <v>100</v>
      </c>
      <c r="CV21" s="79">
        <f t="shared" si="64"/>
        <v>2</v>
      </c>
      <c r="CW21" s="112" t="e">
        <f t="shared" si="48"/>
        <v>#DIV/0!</v>
      </c>
    </row>
    <row r="22" spans="1:101" x14ac:dyDescent="0.35">
      <c r="A22" s="7" t="s">
        <v>167</v>
      </c>
      <c r="B22" s="8" t="s">
        <v>168</v>
      </c>
      <c r="C22" s="21" t="s">
        <v>169</v>
      </c>
      <c r="D22" s="27" t="s">
        <v>21</v>
      </c>
      <c r="E22" s="11" t="s">
        <v>91</v>
      </c>
      <c r="F22" s="11" t="s">
        <v>170</v>
      </c>
      <c r="G22" s="12">
        <v>34558</v>
      </c>
      <c r="H22" s="11" t="s">
        <v>24</v>
      </c>
      <c r="I22" s="11" t="s">
        <v>171</v>
      </c>
      <c r="J22" s="11" t="s">
        <v>172</v>
      </c>
      <c r="K22" s="11" t="s">
        <v>27</v>
      </c>
      <c r="L22" s="23">
        <v>1405053368</v>
      </c>
      <c r="M22" s="14">
        <v>1006454557</v>
      </c>
      <c r="N22" s="14">
        <v>398598812</v>
      </c>
      <c r="O22" s="14">
        <v>1379461788</v>
      </c>
      <c r="P22" s="14">
        <v>37587942</v>
      </c>
      <c r="Q22" s="14">
        <v>27839730</v>
      </c>
      <c r="R22" s="14">
        <v>18200083</v>
      </c>
      <c r="AB22" s="74">
        <f t="shared" si="49"/>
        <v>0</v>
      </c>
      <c r="AC22" s="75" t="e">
        <f t="shared" si="25"/>
        <v>#DIV/0!</v>
      </c>
      <c r="AD22" s="75" t="e">
        <f t="shared" si="50"/>
        <v>#DIV/0!</v>
      </c>
      <c r="AE22" s="76" t="e">
        <f t="shared" si="53"/>
        <v>#DIV/0!</v>
      </c>
      <c r="AF22" s="77" t="e">
        <f t="shared" si="26"/>
        <v>#DIV/0!</v>
      </c>
      <c r="AG22" s="77" t="e">
        <f t="shared" si="27"/>
        <v>#DIV/0!</v>
      </c>
      <c r="AH22" s="77" t="e">
        <f t="shared" si="51"/>
        <v>#DIV/0!</v>
      </c>
      <c r="AI22" s="78" t="e">
        <f t="shared" si="52"/>
        <v>#DIV/0!</v>
      </c>
      <c r="AJ22" s="79" t="e">
        <f t="shared" si="54"/>
        <v>#DIV/0!</v>
      </c>
      <c r="AN22" s="81">
        <f t="shared" si="2"/>
        <v>0</v>
      </c>
      <c r="AO22" s="82" t="e">
        <f t="shared" si="3"/>
        <v>#DIV/0!</v>
      </c>
      <c r="AP22" s="83" t="e">
        <f t="shared" si="28"/>
        <v>#DIV/0!</v>
      </c>
      <c r="AQ22" s="84" t="e">
        <f t="shared" si="55"/>
        <v>#DIV/0!</v>
      </c>
      <c r="AS22" s="86">
        <f t="shared" si="5"/>
        <v>0.25</v>
      </c>
      <c r="AT22" s="87">
        <f t="shared" si="29"/>
        <v>0</v>
      </c>
      <c r="AU22" s="87">
        <f t="shared" si="30"/>
        <v>0</v>
      </c>
      <c r="AV22" s="88" t="e">
        <f t="shared" si="6"/>
        <v>#DIV/0!</v>
      </c>
      <c r="AW22" s="78" t="e">
        <f t="shared" si="31"/>
        <v>#DIV/0!</v>
      </c>
      <c r="AX22" s="89" t="e">
        <f t="shared" si="56"/>
        <v>#DIV/0!</v>
      </c>
      <c r="BA22" s="91">
        <f t="shared" si="8"/>
        <v>0</v>
      </c>
      <c r="BB22" s="77" t="e">
        <f t="shared" si="32"/>
        <v>#DIV/0!</v>
      </c>
      <c r="BC22" s="78" t="e">
        <f t="shared" si="33"/>
        <v>#DIV/0!</v>
      </c>
      <c r="BD22" s="79" t="e">
        <f t="shared" si="57"/>
        <v>#DIV/0!</v>
      </c>
      <c r="BE22" s="92"/>
      <c r="BF22" s="92"/>
      <c r="BG22" s="114">
        <v>1444334</v>
      </c>
      <c r="BH22" s="94">
        <f t="shared" si="10"/>
        <v>0</v>
      </c>
      <c r="BI22" s="77" t="e">
        <f t="shared" si="11"/>
        <v>#DIV/0!</v>
      </c>
      <c r="BJ22" s="95" t="str">
        <f t="shared" si="34"/>
        <v>비제조/서비스업</v>
      </c>
      <c r="BK22" s="96" t="e">
        <f t="shared" si="12"/>
        <v>#DIV/0!</v>
      </c>
      <c r="BL22" s="97" t="e">
        <f t="shared" si="35"/>
        <v>#DIV/0!</v>
      </c>
      <c r="BM22" s="98" t="e">
        <f t="shared" si="36"/>
        <v>#DIV/0!</v>
      </c>
      <c r="BN22" s="99" t="e">
        <f t="shared" si="37"/>
        <v>#DIV/0!</v>
      </c>
      <c r="BP22" s="101">
        <f t="shared" si="38"/>
        <v>0</v>
      </c>
      <c r="BQ22" s="78">
        <f t="shared" si="39"/>
        <v>25</v>
      </c>
      <c r="BR22" s="79">
        <f t="shared" si="58"/>
        <v>0.5</v>
      </c>
      <c r="BS22" s="102"/>
      <c r="BT22" s="102"/>
      <c r="BU22" s="103">
        <f t="shared" si="40"/>
        <v>0</v>
      </c>
      <c r="BV22" s="77">
        <f t="shared" si="14"/>
        <v>0</v>
      </c>
      <c r="BW22" s="96">
        <f t="shared" si="15"/>
        <v>0</v>
      </c>
      <c r="BX22" s="96">
        <f t="shared" si="41"/>
        <v>0</v>
      </c>
      <c r="BY22" s="96">
        <f t="shared" si="16"/>
        <v>0</v>
      </c>
      <c r="BZ22" s="96" t="e">
        <f t="shared" si="42"/>
        <v>#NUM!</v>
      </c>
      <c r="CA22" s="96" t="e">
        <f t="shared" si="17"/>
        <v>#NUM!</v>
      </c>
      <c r="CB22" s="104" t="e">
        <f t="shared" si="43"/>
        <v>#NUM!</v>
      </c>
      <c r="CC22" s="105">
        <f t="shared" si="59"/>
        <v>252.49813263367176</v>
      </c>
      <c r="CD22" s="106">
        <f t="shared" si="60"/>
        <v>25</v>
      </c>
      <c r="CE22" s="107">
        <f t="shared" si="61"/>
        <v>0.375</v>
      </c>
      <c r="CF22" s="108" t="s">
        <v>2189</v>
      </c>
      <c r="CG22" s="108" t="s">
        <v>2189</v>
      </c>
      <c r="CH22" s="108" t="s">
        <v>2189</v>
      </c>
      <c r="CI22" s="108" t="s">
        <v>2189</v>
      </c>
      <c r="CJ22" s="109"/>
      <c r="CM22" s="111">
        <f t="shared" si="44"/>
        <v>25</v>
      </c>
      <c r="CN22" s="107">
        <f t="shared" si="62"/>
        <v>0.375</v>
      </c>
      <c r="CP22" s="88">
        <f t="shared" si="45"/>
        <v>0</v>
      </c>
      <c r="CQ22" s="78">
        <f t="shared" si="46"/>
        <v>100</v>
      </c>
      <c r="CR22" s="79">
        <f t="shared" si="63"/>
        <v>3</v>
      </c>
      <c r="CS22" s="92"/>
      <c r="CT22" s="77">
        <f t="shared" si="23"/>
        <v>0</v>
      </c>
      <c r="CU22" s="78">
        <f t="shared" si="47"/>
        <v>100</v>
      </c>
      <c r="CV22" s="79">
        <f t="shared" si="64"/>
        <v>2</v>
      </c>
      <c r="CW22" s="112" t="e">
        <f t="shared" si="48"/>
        <v>#DIV/0!</v>
      </c>
    </row>
    <row r="23" spans="1:101" x14ac:dyDescent="0.35">
      <c r="A23" s="7" t="s">
        <v>173</v>
      </c>
      <c r="B23" s="8" t="s">
        <v>174</v>
      </c>
      <c r="C23" s="21" t="s">
        <v>175</v>
      </c>
      <c r="D23" s="22" t="s">
        <v>21</v>
      </c>
      <c r="E23" s="11" t="s">
        <v>176</v>
      </c>
      <c r="F23" s="11" t="s">
        <v>177</v>
      </c>
      <c r="G23" s="12">
        <v>34977</v>
      </c>
      <c r="H23" s="11" t="s">
        <v>24</v>
      </c>
      <c r="I23" s="11" t="s">
        <v>178</v>
      </c>
      <c r="J23" s="11" t="s">
        <v>179</v>
      </c>
      <c r="K23" s="11" t="s">
        <v>27</v>
      </c>
      <c r="L23" s="23">
        <v>25684209000</v>
      </c>
      <c r="M23" s="14">
        <v>5067672000</v>
      </c>
      <c r="N23" s="14">
        <v>20616537000</v>
      </c>
      <c r="O23" s="14">
        <v>18429889000</v>
      </c>
      <c r="P23" s="14">
        <v>9919892000</v>
      </c>
      <c r="Q23" s="14">
        <v>10124753000</v>
      </c>
      <c r="R23" s="14">
        <v>10047898000</v>
      </c>
      <c r="AB23" s="74">
        <f t="shared" si="49"/>
        <v>0</v>
      </c>
      <c r="AC23" s="75" t="e">
        <f t="shared" si="25"/>
        <v>#DIV/0!</v>
      </c>
      <c r="AD23" s="75" t="e">
        <f t="shared" si="50"/>
        <v>#DIV/0!</v>
      </c>
      <c r="AE23" s="76" t="e">
        <f t="shared" si="53"/>
        <v>#DIV/0!</v>
      </c>
      <c r="AF23" s="77" t="e">
        <f t="shared" si="26"/>
        <v>#DIV/0!</v>
      </c>
      <c r="AG23" s="77" t="e">
        <f t="shared" si="27"/>
        <v>#DIV/0!</v>
      </c>
      <c r="AH23" s="77" t="e">
        <f t="shared" si="51"/>
        <v>#DIV/0!</v>
      </c>
      <c r="AI23" s="78" t="e">
        <f t="shared" si="52"/>
        <v>#DIV/0!</v>
      </c>
      <c r="AJ23" s="79" t="e">
        <f t="shared" si="54"/>
        <v>#DIV/0!</v>
      </c>
      <c r="AN23" s="81">
        <f t="shared" si="2"/>
        <v>0</v>
      </c>
      <c r="AO23" s="82" t="e">
        <f t="shared" si="3"/>
        <v>#DIV/0!</v>
      </c>
      <c r="AP23" s="83" t="e">
        <f t="shared" si="28"/>
        <v>#DIV/0!</v>
      </c>
      <c r="AQ23" s="84" t="e">
        <f t="shared" si="55"/>
        <v>#DIV/0!</v>
      </c>
      <c r="AS23" s="86">
        <f t="shared" si="5"/>
        <v>0.5</v>
      </c>
      <c r="AT23" s="87">
        <f t="shared" si="29"/>
        <v>0</v>
      </c>
      <c r="AU23" s="87">
        <f t="shared" si="30"/>
        <v>0</v>
      </c>
      <c r="AV23" s="88" t="e">
        <f t="shared" si="6"/>
        <v>#DIV/0!</v>
      </c>
      <c r="AW23" s="78" t="e">
        <f t="shared" si="31"/>
        <v>#DIV/0!</v>
      </c>
      <c r="AX23" s="89" t="e">
        <f t="shared" si="56"/>
        <v>#DIV/0!</v>
      </c>
      <c r="BA23" s="91">
        <f t="shared" si="8"/>
        <v>0</v>
      </c>
      <c r="BB23" s="77" t="e">
        <f t="shared" si="32"/>
        <v>#DIV/0!</v>
      </c>
      <c r="BC23" s="78" t="e">
        <f t="shared" si="33"/>
        <v>#DIV/0!</v>
      </c>
      <c r="BD23" s="79" t="e">
        <f t="shared" si="57"/>
        <v>#DIV/0!</v>
      </c>
      <c r="BE23" s="92"/>
      <c r="BF23" s="92"/>
      <c r="BG23" s="93">
        <v>0</v>
      </c>
      <c r="BH23" s="94">
        <f t="shared" si="10"/>
        <v>0</v>
      </c>
      <c r="BI23" s="77" t="e">
        <f t="shared" si="11"/>
        <v>#DIV/0!</v>
      </c>
      <c r="BJ23" s="95" t="str">
        <f t="shared" si="34"/>
        <v>비제조/서비스업</v>
      </c>
      <c r="BK23" s="96" t="e">
        <f t="shared" si="12"/>
        <v>#DIV/0!</v>
      </c>
      <c r="BL23" s="97" t="e">
        <f t="shared" si="35"/>
        <v>#DIV/0!</v>
      </c>
      <c r="BM23" s="98" t="e">
        <f t="shared" si="36"/>
        <v>#DIV/0!</v>
      </c>
      <c r="BN23" s="99" t="e">
        <f t="shared" si="37"/>
        <v>#DIV/0!</v>
      </c>
      <c r="BP23" s="101">
        <f t="shared" si="38"/>
        <v>0</v>
      </c>
      <c r="BQ23" s="78">
        <f t="shared" si="39"/>
        <v>25</v>
      </c>
      <c r="BR23" s="79">
        <f t="shared" si="58"/>
        <v>0.5</v>
      </c>
      <c r="BS23" s="102"/>
      <c r="BT23" s="102"/>
      <c r="BU23" s="103">
        <f t="shared" si="40"/>
        <v>0</v>
      </c>
      <c r="BV23" s="77">
        <f t="shared" si="14"/>
        <v>0</v>
      </c>
      <c r="BW23" s="96">
        <f t="shared" si="15"/>
        <v>0</v>
      </c>
      <c r="BX23" s="96">
        <f t="shared" si="41"/>
        <v>0</v>
      </c>
      <c r="BY23" s="96">
        <f t="shared" si="16"/>
        <v>0</v>
      </c>
      <c r="BZ23" s="96" t="e">
        <f t="shared" si="42"/>
        <v>#NUM!</v>
      </c>
      <c r="CA23" s="96" t="e">
        <f t="shared" si="17"/>
        <v>#NUM!</v>
      </c>
      <c r="CB23" s="104" t="e">
        <f t="shared" si="43"/>
        <v>#NUM!</v>
      </c>
      <c r="CC23" s="105">
        <f t="shared" si="59"/>
        <v>24.580617006629193</v>
      </c>
      <c r="CD23" s="106">
        <f t="shared" si="60"/>
        <v>91.11283278644629</v>
      </c>
      <c r="CE23" s="107">
        <f t="shared" si="61"/>
        <v>1.3666924917966943</v>
      </c>
      <c r="CF23" s="108" t="s">
        <v>2189</v>
      </c>
      <c r="CG23" s="108" t="s">
        <v>2189</v>
      </c>
      <c r="CH23" s="108" t="s">
        <v>2189</v>
      </c>
      <c r="CI23" s="108" t="s">
        <v>2189</v>
      </c>
      <c r="CJ23" s="109"/>
      <c r="CM23" s="111">
        <f t="shared" si="44"/>
        <v>25</v>
      </c>
      <c r="CN23" s="107">
        <f t="shared" si="62"/>
        <v>0.375</v>
      </c>
      <c r="CP23" s="88">
        <f t="shared" si="45"/>
        <v>0</v>
      </c>
      <c r="CQ23" s="78">
        <f t="shared" si="46"/>
        <v>100</v>
      </c>
      <c r="CR23" s="79">
        <f t="shared" si="63"/>
        <v>3</v>
      </c>
      <c r="CS23" s="92"/>
      <c r="CT23" s="77">
        <f t="shared" si="23"/>
        <v>0</v>
      </c>
      <c r="CU23" s="78">
        <f t="shared" si="47"/>
        <v>100</v>
      </c>
      <c r="CV23" s="79">
        <f t="shared" si="64"/>
        <v>2</v>
      </c>
      <c r="CW23" s="112" t="e">
        <f t="shared" si="48"/>
        <v>#DIV/0!</v>
      </c>
    </row>
    <row r="24" spans="1:101" x14ac:dyDescent="0.35">
      <c r="A24" s="7" t="s">
        <v>180</v>
      </c>
      <c r="B24" s="8" t="s">
        <v>181</v>
      </c>
      <c r="C24" s="21" t="s">
        <v>182</v>
      </c>
      <c r="D24" s="10" t="s">
        <v>31</v>
      </c>
      <c r="E24" s="11" t="s">
        <v>183</v>
      </c>
      <c r="F24" s="11" t="s">
        <v>184</v>
      </c>
      <c r="G24" s="12">
        <v>42670</v>
      </c>
      <c r="H24" s="11" t="s">
        <v>24</v>
      </c>
      <c r="I24" s="11" t="s">
        <v>185</v>
      </c>
      <c r="J24" s="11" t="s">
        <v>186</v>
      </c>
      <c r="K24" s="11" t="s">
        <v>153</v>
      </c>
      <c r="L24" s="23">
        <v>254329814</v>
      </c>
      <c r="M24" s="14">
        <v>113155622</v>
      </c>
      <c r="N24" s="14">
        <v>141174193</v>
      </c>
      <c r="O24" s="14">
        <v>184874804</v>
      </c>
      <c r="P24" s="14">
        <v>26315611</v>
      </c>
      <c r="Q24" s="14">
        <v>24849352</v>
      </c>
      <c r="R24" s="14">
        <v>19163516</v>
      </c>
      <c r="AB24" s="74">
        <f t="shared" si="49"/>
        <v>0</v>
      </c>
      <c r="AC24" s="75" t="e">
        <f t="shared" si="25"/>
        <v>#DIV/0!</v>
      </c>
      <c r="AD24" s="75" t="e">
        <f t="shared" si="50"/>
        <v>#DIV/0!</v>
      </c>
      <c r="AE24" s="76" t="e">
        <f t="shared" si="53"/>
        <v>#DIV/0!</v>
      </c>
      <c r="AF24" s="77" t="e">
        <f t="shared" si="26"/>
        <v>#DIV/0!</v>
      </c>
      <c r="AG24" s="77" t="e">
        <f t="shared" si="27"/>
        <v>#DIV/0!</v>
      </c>
      <c r="AH24" s="77" t="e">
        <f t="shared" si="51"/>
        <v>#DIV/0!</v>
      </c>
      <c r="AI24" s="78" t="e">
        <f t="shared" si="52"/>
        <v>#DIV/0!</v>
      </c>
      <c r="AJ24" s="79" t="e">
        <f t="shared" si="54"/>
        <v>#DIV/0!</v>
      </c>
      <c r="AM24" s="80"/>
      <c r="AN24" s="81">
        <f t="shared" si="2"/>
        <v>0</v>
      </c>
      <c r="AO24" s="82" t="e">
        <f t="shared" si="3"/>
        <v>#DIV/0!</v>
      </c>
      <c r="AP24" s="83" t="e">
        <f t="shared" si="28"/>
        <v>#DIV/0!</v>
      </c>
      <c r="AQ24" s="84" t="e">
        <f t="shared" si="55"/>
        <v>#DIV/0!</v>
      </c>
      <c r="AS24" s="86">
        <f t="shared" si="5"/>
        <v>0.25</v>
      </c>
      <c r="AT24" s="87">
        <f t="shared" si="29"/>
        <v>0</v>
      </c>
      <c r="AU24" s="87">
        <f t="shared" si="30"/>
        <v>0</v>
      </c>
      <c r="AV24" s="88" t="e">
        <f t="shared" si="6"/>
        <v>#DIV/0!</v>
      </c>
      <c r="AW24" s="78" t="e">
        <f t="shared" si="31"/>
        <v>#DIV/0!</v>
      </c>
      <c r="AX24" s="89" t="e">
        <f t="shared" si="56"/>
        <v>#DIV/0!</v>
      </c>
      <c r="BA24" s="91">
        <f t="shared" si="8"/>
        <v>0</v>
      </c>
      <c r="BB24" s="77" t="e">
        <f t="shared" si="32"/>
        <v>#DIV/0!</v>
      </c>
      <c r="BC24" s="78" t="e">
        <f t="shared" si="33"/>
        <v>#DIV/0!</v>
      </c>
      <c r="BD24" s="79" t="e">
        <f t="shared" si="57"/>
        <v>#DIV/0!</v>
      </c>
      <c r="BE24" s="92"/>
      <c r="BF24" s="92"/>
      <c r="BG24" s="114">
        <v>18555</v>
      </c>
      <c r="BH24" s="94">
        <f t="shared" si="10"/>
        <v>0</v>
      </c>
      <c r="BI24" s="77" t="e">
        <f t="shared" si="11"/>
        <v>#DIV/0!</v>
      </c>
      <c r="BJ24" s="95" t="str">
        <f t="shared" si="34"/>
        <v>식약/섬유/종이업</v>
      </c>
      <c r="BK24" s="96" t="e">
        <f t="shared" si="12"/>
        <v>#DIV/0!</v>
      </c>
      <c r="BL24" s="97" t="e">
        <f t="shared" si="35"/>
        <v>#DIV/0!</v>
      </c>
      <c r="BM24" s="98" t="e">
        <f t="shared" si="36"/>
        <v>#DIV/0!</v>
      </c>
      <c r="BN24" s="99" t="e">
        <f t="shared" si="37"/>
        <v>#DIV/0!</v>
      </c>
      <c r="BP24" s="101">
        <f t="shared" si="38"/>
        <v>0</v>
      </c>
      <c r="BQ24" s="78">
        <f t="shared" si="39"/>
        <v>25</v>
      </c>
      <c r="BR24" s="79">
        <f t="shared" si="58"/>
        <v>0.5</v>
      </c>
      <c r="BS24" s="102"/>
      <c r="BT24" s="102"/>
      <c r="BU24" s="103">
        <f t="shared" si="40"/>
        <v>0</v>
      </c>
      <c r="BV24" s="77">
        <f t="shared" si="14"/>
        <v>0</v>
      </c>
      <c r="BW24" s="96">
        <f t="shared" si="15"/>
        <v>0</v>
      </c>
      <c r="BX24" s="96">
        <f t="shared" si="41"/>
        <v>0</v>
      </c>
      <c r="BY24" s="96">
        <f t="shared" si="16"/>
        <v>0</v>
      </c>
      <c r="BZ24" s="96" t="e">
        <f t="shared" si="42"/>
        <v>#NUM!</v>
      </c>
      <c r="CA24" s="96" t="e">
        <f t="shared" si="17"/>
        <v>#NUM!</v>
      </c>
      <c r="CB24" s="104" t="e">
        <f t="shared" si="43"/>
        <v>#NUM!</v>
      </c>
      <c r="CC24" s="105">
        <f t="shared" si="59"/>
        <v>80.153192021434123</v>
      </c>
      <c r="CD24" s="106">
        <f t="shared" si="60"/>
        <v>70.168394966796185</v>
      </c>
      <c r="CE24" s="107">
        <f t="shared" si="61"/>
        <v>1.0525259245019427</v>
      </c>
      <c r="CF24" s="108" t="s">
        <v>2189</v>
      </c>
      <c r="CG24" s="108" t="s">
        <v>2189</v>
      </c>
      <c r="CH24" s="108" t="s">
        <v>2189</v>
      </c>
      <c r="CI24" s="108" t="s">
        <v>2189</v>
      </c>
      <c r="CJ24" s="109"/>
      <c r="CM24" s="111">
        <f t="shared" si="44"/>
        <v>25</v>
      </c>
      <c r="CN24" s="107">
        <f t="shared" si="62"/>
        <v>0.375</v>
      </c>
      <c r="CP24" s="88">
        <f t="shared" si="45"/>
        <v>0</v>
      </c>
      <c r="CQ24" s="78">
        <f t="shared" si="46"/>
        <v>100</v>
      </c>
      <c r="CR24" s="79">
        <f t="shared" si="63"/>
        <v>3</v>
      </c>
      <c r="CS24" s="92"/>
      <c r="CT24" s="77">
        <f t="shared" si="23"/>
        <v>0</v>
      </c>
      <c r="CU24" s="78">
        <f t="shared" si="47"/>
        <v>100</v>
      </c>
      <c r="CV24" s="79">
        <f t="shared" si="64"/>
        <v>2</v>
      </c>
      <c r="CW24" s="112" t="e">
        <f t="shared" si="48"/>
        <v>#DIV/0!</v>
      </c>
    </row>
    <row r="25" spans="1:101" x14ac:dyDescent="0.35">
      <c r="A25" s="7" t="s">
        <v>187</v>
      </c>
      <c r="B25" s="8" t="s">
        <v>188</v>
      </c>
      <c r="C25" s="21" t="s">
        <v>189</v>
      </c>
      <c r="D25" s="22" t="s">
        <v>75</v>
      </c>
      <c r="E25" s="11" t="s">
        <v>114</v>
      </c>
      <c r="F25" s="11" t="s">
        <v>190</v>
      </c>
      <c r="G25" s="12">
        <v>31446</v>
      </c>
      <c r="H25" s="11" t="s">
        <v>24</v>
      </c>
      <c r="I25" s="11" t="s">
        <v>191</v>
      </c>
      <c r="J25" s="11" t="s">
        <v>192</v>
      </c>
      <c r="K25" s="11" t="s">
        <v>27</v>
      </c>
      <c r="L25" s="23">
        <v>2935263009</v>
      </c>
      <c r="M25" s="14">
        <v>1282845349</v>
      </c>
      <c r="N25" s="14">
        <v>1652417660</v>
      </c>
      <c r="O25" s="14">
        <v>3676462979</v>
      </c>
      <c r="P25" s="14">
        <v>325853385</v>
      </c>
      <c r="Q25" s="14">
        <v>376778870</v>
      </c>
      <c r="R25" s="14">
        <v>526787734</v>
      </c>
      <c r="AB25" s="74">
        <f t="shared" si="49"/>
        <v>0</v>
      </c>
      <c r="AC25" s="75" t="e">
        <f t="shared" si="25"/>
        <v>#DIV/0!</v>
      </c>
      <c r="AD25" s="75" t="e">
        <f t="shared" si="50"/>
        <v>#DIV/0!</v>
      </c>
      <c r="AE25" s="76" t="e">
        <f t="shared" si="53"/>
        <v>#DIV/0!</v>
      </c>
      <c r="AF25" s="77" t="e">
        <f t="shared" si="26"/>
        <v>#DIV/0!</v>
      </c>
      <c r="AG25" s="77" t="e">
        <f t="shared" si="27"/>
        <v>#DIV/0!</v>
      </c>
      <c r="AH25" s="77" t="e">
        <f t="shared" si="51"/>
        <v>#DIV/0!</v>
      </c>
      <c r="AI25" s="78" t="e">
        <f t="shared" si="52"/>
        <v>#DIV/0!</v>
      </c>
      <c r="AJ25" s="79" t="e">
        <f t="shared" si="54"/>
        <v>#DIV/0!</v>
      </c>
      <c r="AM25" s="80"/>
      <c r="AN25" s="81">
        <f t="shared" si="2"/>
        <v>0</v>
      </c>
      <c r="AO25" s="82" t="e">
        <f t="shared" si="3"/>
        <v>#DIV/0!</v>
      </c>
      <c r="AP25" s="83" t="e">
        <f t="shared" si="28"/>
        <v>#DIV/0!</v>
      </c>
      <c r="AQ25" s="84" t="e">
        <f t="shared" si="55"/>
        <v>#DIV/0!</v>
      </c>
      <c r="AS25" s="86">
        <f t="shared" si="5"/>
        <v>0.5</v>
      </c>
      <c r="AT25" s="87">
        <f t="shared" si="29"/>
        <v>0</v>
      </c>
      <c r="AU25" s="87">
        <f t="shared" si="30"/>
        <v>0</v>
      </c>
      <c r="AV25" s="88" t="e">
        <f t="shared" si="6"/>
        <v>#DIV/0!</v>
      </c>
      <c r="AW25" s="78" t="e">
        <f t="shared" si="31"/>
        <v>#DIV/0!</v>
      </c>
      <c r="AX25" s="89" t="e">
        <f t="shared" si="56"/>
        <v>#DIV/0!</v>
      </c>
      <c r="BA25" s="91">
        <f t="shared" si="8"/>
        <v>0</v>
      </c>
      <c r="BB25" s="77" t="e">
        <f t="shared" si="32"/>
        <v>#DIV/0!</v>
      </c>
      <c r="BC25" s="78" t="e">
        <f t="shared" si="33"/>
        <v>#DIV/0!</v>
      </c>
      <c r="BD25" s="79" t="e">
        <f t="shared" si="57"/>
        <v>#DIV/0!</v>
      </c>
      <c r="BE25" s="92"/>
      <c r="BF25" s="92"/>
      <c r="BG25" s="93">
        <v>0</v>
      </c>
      <c r="BH25" s="94">
        <f t="shared" si="10"/>
        <v>0</v>
      </c>
      <c r="BI25" s="77" t="e">
        <f t="shared" si="11"/>
        <v>#DIV/0!</v>
      </c>
      <c r="BJ25" s="95" t="str">
        <f t="shared" si="34"/>
        <v>금속/비금속/화학업</v>
      </c>
      <c r="BK25" s="96" t="e">
        <f t="shared" si="12"/>
        <v>#DIV/0!</v>
      </c>
      <c r="BL25" s="97" t="e">
        <f t="shared" si="35"/>
        <v>#DIV/0!</v>
      </c>
      <c r="BM25" s="98" t="e">
        <f t="shared" si="36"/>
        <v>#DIV/0!</v>
      </c>
      <c r="BN25" s="99" t="e">
        <f t="shared" si="37"/>
        <v>#DIV/0!</v>
      </c>
      <c r="BP25" s="101">
        <f t="shared" si="38"/>
        <v>0</v>
      </c>
      <c r="BQ25" s="78">
        <f t="shared" si="39"/>
        <v>25</v>
      </c>
      <c r="BR25" s="79">
        <f t="shared" si="58"/>
        <v>0.5</v>
      </c>
      <c r="BS25" s="102"/>
      <c r="BT25" s="102"/>
      <c r="BU25" s="103">
        <f t="shared" si="40"/>
        <v>0</v>
      </c>
      <c r="BV25" s="77">
        <f t="shared" si="14"/>
        <v>0</v>
      </c>
      <c r="BW25" s="96">
        <f t="shared" si="15"/>
        <v>0</v>
      </c>
      <c r="BX25" s="96">
        <f t="shared" si="41"/>
        <v>0</v>
      </c>
      <c r="BY25" s="96">
        <f t="shared" si="16"/>
        <v>0</v>
      </c>
      <c r="BZ25" s="96" t="e">
        <f t="shared" si="42"/>
        <v>#NUM!</v>
      </c>
      <c r="CA25" s="96" t="e">
        <f t="shared" si="17"/>
        <v>#NUM!</v>
      </c>
      <c r="CB25" s="104" t="e">
        <f t="shared" si="43"/>
        <v>#NUM!</v>
      </c>
      <c r="CC25" s="105">
        <f t="shared" si="59"/>
        <v>77.634449210619067</v>
      </c>
      <c r="CD25" s="106">
        <f t="shared" si="60"/>
        <v>71.117669895495325</v>
      </c>
      <c r="CE25" s="107">
        <f t="shared" si="61"/>
        <v>1.0667650484324298</v>
      </c>
      <c r="CF25" s="108" t="s">
        <v>2189</v>
      </c>
      <c r="CG25" s="108" t="s">
        <v>2189</v>
      </c>
      <c r="CH25" s="108" t="s">
        <v>2189</v>
      </c>
      <c r="CI25" s="108" t="s">
        <v>2189</v>
      </c>
      <c r="CJ25" s="109"/>
      <c r="CM25" s="111">
        <f t="shared" si="44"/>
        <v>25</v>
      </c>
      <c r="CN25" s="107">
        <f t="shared" si="62"/>
        <v>0.375</v>
      </c>
      <c r="CP25" s="88">
        <f t="shared" si="45"/>
        <v>0</v>
      </c>
      <c r="CQ25" s="78">
        <f t="shared" si="46"/>
        <v>100</v>
      </c>
      <c r="CR25" s="79">
        <f t="shared" si="63"/>
        <v>3</v>
      </c>
      <c r="CS25" s="92"/>
      <c r="CT25" s="77">
        <f t="shared" si="23"/>
        <v>0</v>
      </c>
      <c r="CU25" s="78">
        <f t="shared" si="47"/>
        <v>100</v>
      </c>
      <c r="CV25" s="79">
        <f t="shared" si="64"/>
        <v>2</v>
      </c>
      <c r="CW25" s="112" t="e">
        <f t="shared" si="48"/>
        <v>#DIV/0!</v>
      </c>
    </row>
    <row r="26" spans="1:101" x14ac:dyDescent="0.35">
      <c r="A26" s="7" t="s">
        <v>193</v>
      </c>
      <c r="B26" s="8" t="s">
        <v>194</v>
      </c>
      <c r="C26" s="21" t="s">
        <v>195</v>
      </c>
      <c r="D26" s="10" t="s">
        <v>75</v>
      </c>
      <c r="E26" s="11" t="s">
        <v>76</v>
      </c>
      <c r="F26" s="11" t="s">
        <v>196</v>
      </c>
      <c r="G26" s="12">
        <v>34695</v>
      </c>
      <c r="H26" s="11" t="s">
        <v>24</v>
      </c>
      <c r="I26" s="11" t="s">
        <v>197</v>
      </c>
      <c r="J26" s="11" t="s">
        <v>198</v>
      </c>
      <c r="K26" s="11" t="s">
        <v>27</v>
      </c>
      <c r="L26" s="23">
        <v>700649653</v>
      </c>
      <c r="M26" s="14">
        <v>158687185</v>
      </c>
      <c r="N26" s="14">
        <v>541962468</v>
      </c>
      <c r="O26" s="14">
        <v>797448219</v>
      </c>
      <c r="P26" s="14">
        <v>35898934</v>
      </c>
      <c r="Q26" s="14">
        <v>35959716</v>
      </c>
      <c r="R26" s="14">
        <v>29458044</v>
      </c>
      <c r="AB26" s="74">
        <f t="shared" si="49"/>
        <v>0</v>
      </c>
      <c r="AC26" s="75" t="e">
        <f t="shared" si="25"/>
        <v>#DIV/0!</v>
      </c>
      <c r="AD26" s="75" t="e">
        <f t="shared" si="50"/>
        <v>#DIV/0!</v>
      </c>
      <c r="AE26" s="76" t="e">
        <f t="shared" si="53"/>
        <v>#DIV/0!</v>
      </c>
      <c r="AF26" s="77" t="e">
        <f t="shared" si="26"/>
        <v>#DIV/0!</v>
      </c>
      <c r="AG26" s="77" t="e">
        <f t="shared" si="27"/>
        <v>#DIV/0!</v>
      </c>
      <c r="AH26" s="77" t="e">
        <f t="shared" si="51"/>
        <v>#DIV/0!</v>
      </c>
      <c r="AI26" s="78" t="e">
        <f t="shared" si="52"/>
        <v>#DIV/0!</v>
      </c>
      <c r="AJ26" s="79" t="e">
        <f t="shared" si="54"/>
        <v>#DIV/0!</v>
      </c>
      <c r="AM26" s="80"/>
      <c r="AN26" s="81">
        <f t="shared" si="2"/>
        <v>0</v>
      </c>
      <c r="AO26" s="82" t="e">
        <f t="shared" si="3"/>
        <v>#DIV/0!</v>
      </c>
      <c r="AP26" s="83" t="e">
        <f t="shared" si="28"/>
        <v>#DIV/0!</v>
      </c>
      <c r="AQ26" s="84" t="e">
        <f t="shared" si="55"/>
        <v>#DIV/0!</v>
      </c>
      <c r="AS26" s="86">
        <f t="shared" si="5"/>
        <v>0.25</v>
      </c>
      <c r="AT26" s="87">
        <f t="shared" si="29"/>
        <v>0</v>
      </c>
      <c r="AU26" s="87">
        <f t="shared" si="30"/>
        <v>0</v>
      </c>
      <c r="AV26" s="88" t="e">
        <f t="shared" si="6"/>
        <v>#DIV/0!</v>
      </c>
      <c r="AW26" s="78" t="e">
        <f t="shared" si="31"/>
        <v>#DIV/0!</v>
      </c>
      <c r="AX26" s="89" t="e">
        <f t="shared" si="56"/>
        <v>#DIV/0!</v>
      </c>
      <c r="BA26" s="91">
        <f t="shared" si="8"/>
        <v>0</v>
      </c>
      <c r="BB26" s="77" t="e">
        <f t="shared" si="32"/>
        <v>#DIV/0!</v>
      </c>
      <c r="BC26" s="78" t="e">
        <f t="shared" si="33"/>
        <v>#DIV/0!</v>
      </c>
      <c r="BD26" s="79" t="e">
        <f t="shared" si="57"/>
        <v>#DIV/0!</v>
      </c>
      <c r="BE26" s="92"/>
      <c r="BF26" s="92"/>
      <c r="BG26" s="114">
        <v>674616.25600000005</v>
      </c>
      <c r="BH26" s="94">
        <f t="shared" si="10"/>
        <v>0</v>
      </c>
      <c r="BI26" s="77" t="e">
        <f t="shared" si="11"/>
        <v>#DIV/0!</v>
      </c>
      <c r="BJ26" s="95" t="str">
        <f t="shared" si="34"/>
        <v>금속/비금속/화학업</v>
      </c>
      <c r="BK26" s="96" t="e">
        <f t="shared" si="12"/>
        <v>#DIV/0!</v>
      </c>
      <c r="BL26" s="97" t="e">
        <f t="shared" si="35"/>
        <v>#DIV/0!</v>
      </c>
      <c r="BM26" s="98" t="e">
        <f t="shared" si="36"/>
        <v>#DIV/0!</v>
      </c>
      <c r="BN26" s="99" t="e">
        <f t="shared" si="37"/>
        <v>#DIV/0!</v>
      </c>
      <c r="BP26" s="101">
        <f t="shared" si="38"/>
        <v>0</v>
      </c>
      <c r="BQ26" s="78">
        <f t="shared" si="39"/>
        <v>25</v>
      </c>
      <c r="BR26" s="79">
        <f t="shared" si="58"/>
        <v>0.5</v>
      </c>
      <c r="BS26" s="102"/>
      <c r="BT26" s="102"/>
      <c r="BU26" s="103">
        <f t="shared" si="40"/>
        <v>0</v>
      </c>
      <c r="BV26" s="77">
        <f t="shared" si="14"/>
        <v>0</v>
      </c>
      <c r="BW26" s="96">
        <f t="shared" si="15"/>
        <v>0</v>
      </c>
      <c r="BX26" s="96">
        <f t="shared" si="41"/>
        <v>0</v>
      </c>
      <c r="BY26" s="96">
        <f t="shared" si="16"/>
        <v>0</v>
      </c>
      <c r="BZ26" s="96" t="e">
        <f t="shared" si="42"/>
        <v>#NUM!</v>
      </c>
      <c r="CA26" s="96" t="e">
        <f t="shared" si="17"/>
        <v>#NUM!</v>
      </c>
      <c r="CB26" s="104" t="e">
        <f t="shared" si="43"/>
        <v>#NUM!</v>
      </c>
      <c r="CC26" s="105">
        <f t="shared" si="59"/>
        <v>29.280105979589717</v>
      </c>
      <c r="CD26" s="106">
        <f t="shared" si="60"/>
        <v>89.341668600657144</v>
      </c>
      <c r="CE26" s="107">
        <f t="shared" si="61"/>
        <v>1.3401250290098572</v>
      </c>
      <c r="CF26" s="108" t="s">
        <v>2189</v>
      </c>
      <c r="CG26" s="108" t="s">
        <v>2189</v>
      </c>
      <c r="CH26" s="108" t="s">
        <v>2189</v>
      </c>
      <c r="CI26" s="108" t="s">
        <v>2189</v>
      </c>
      <c r="CJ26" s="109"/>
      <c r="CM26" s="111">
        <f t="shared" si="44"/>
        <v>25</v>
      </c>
      <c r="CN26" s="107">
        <f t="shared" si="62"/>
        <v>0.375</v>
      </c>
      <c r="CP26" s="88">
        <f t="shared" si="45"/>
        <v>0</v>
      </c>
      <c r="CQ26" s="78">
        <f t="shared" si="46"/>
        <v>100</v>
      </c>
      <c r="CR26" s="79">
        <f t="shared" si="63"/>
        <v>3</v>
      </c>
      <c r="CS26" s="92"/>
      <c r="CT26" s="77">
        <f t="shared" si="23"/>
        <v>0</v>
      </c>
      <c r="CU26" s="78">
        <f t="shared" si="47"/>
        <v>100</v>
      </c>
      <c r="CV26" s="79">
        <f t="shared" si="64"/>
        <v>2</v>
      </c>
      <c r="CW26" s="112" t="e">
        <f t="shared" si="48"/>
        <v>#DIV/0!</v>
      </c>
    </row>
    <row r="27" spans="1:101" x14ac:dyDescent="0.35">
      <c r="A27" s="7" t="s">
        <v>199</v>
      </c>
      <c r="B27" s="8" t="s">
        <v>200</v>
      </c>
      <c r="C27" s="21" t="s">
        <v>201</v>
      </c>
      <c r="D27" s="10" t="s">
        <v>21</v>
      </c>
      <c r="E27" s="11" t="s">
        <v>176</v>
      </c>
      <c r="F27" s="11" t="s">
        <v>202</v>
      </c>
      <c r="G27" s="12">
        <v>39381</v>
      </c>
      <c r="H27" s="11" t="s">
        <v>24</v>
      </c>
      <c r="I27" s="11" t="s">
        <v>203</v>
      </c>
      <c r="J27" s="11" t="s">
        <v>204</v>
      </c>
      <c r="K27" s="11" t="s">
        <v>27</v>
      </c>
      <c r="L27" s="23">
        <v>1612037798</v>
      </c>
      <c r="M27" s="14">
        <v>1209670390</v>
      </c>
      <c r="N27" s="14">
        <v>402367409</v>
      </c>
      <c r="O27" s="14">
        <v>403836166</v>
      </c>
      <c r="P27" s="14">
        <v>64029204</v>
      </c>
      <c r="Q27" s="14">
        <v>42678216</v>
      </c>
      <c r="R27" s="14">
        <v>42137473</v>
      </c>
      <c r="AB27" s="74">
        <f t="shared" si="49"/>
        <v>0</v>
      </c>
      <c r="AC27" s="75" t="e">
        <f t="shared" si="25"/>
        <v>#DIV/0!</v>
      </c>
      <c r="AD27" s="75" t="e">
        <f t="shared" si="50"/>
        <v>#DIV/0!</v>
      </c>
      <c r="AE27" s="76" t="e">
        <f t="shared" si="53"/>
        <v>#DIV/0!</v>
      </c>
      <c r="AF27" s="77" t="e">
        <f t="shared" si="26"/>
        <v>#DIV/0!</v>
      </c>
      <c r="AG27" s="77" t="e">
        <f t="shared" si="27"/>
        <v>#DIV/0!</v>
      </c>
      <c r="AH27" s="77" t="e">
        <f t="shared" si="51"/>
        <v>#DIV/0!</v>
      </c>
      <c r="AI27" s="78" t="e">
        <f t="shared" si="52"/>
        <v>#DIV/0!</v>
      </c>
      <c r="AJ27" s="79" t="e">
        <f t="shared" si="54"/>
        <v>#DIV/0!</v>
      </c>
      <c r="AN27" s="81">
        <f t="shared" si="2"/>
        <v>0</v>
      </c>
      <c r="AO27" s="82" t="e">
        <f t="shared" si="3"/>
        <v>#DIV/0!</v>
      </c>
      <c r="AP27" s="83" t="e">
        <f t="shared" si="28"/>
        <v>#DIV/0!</v>
      </c>
      <c r="AQ27" s="84" t="e">
        <f t="shared" si="55"/>
        <v>#DIV/0!</v>
      </c>
      <c r="AS27" s="86">
        <f t="shared" si="5"/>
        <v>0.25</v>
      </c>
      <c r="AT27" s="87">
        <f t="shared" si="29"/>
        <v>0</v>
      </c>
      <c r="AU27" s="87">
        <f t="shared" si="30"/>
        <v>0</v>
      </c>
      <c r="AV27" s="88" t="e">
        <f t="shared" si="6"/>
        <v>#DIV/0!</v>
      </c>
      <c r="AW27" s="78" t="e">
        <f t="shared" si="31"/>
        <v>#DIV/0!</v>
      </c>
      <c r="AX27" s="89" t="e">
        <f t="shared" si="56"/>
        <v>#DIV/0!</v>
      </c>
      <c r="BA27" s="91">
        <f t="shared" si="8"/>
        <v>0</v>
      </c>
      <c r="BB27" s="77" t="e">
        <f t="shared" si="32"/>
        <v>#DIV/0!</v>
      </c>
      <c r="BC27" s="78" t="e">
        <f t="shared" si="33"/>
        <v>#DIV/0!</v>
      </c>
      <c r="BD27" s="79" t="e">
        <f t="shared" si="57"/>
        <v>#DIV/0!</v>
      </c>
      <c r="BE27" s="92"/>
      <c r="BF27" s="92"/>
      <c r="BG27" s="93">
        <v>0</v>
      </c>
      <c r="BH27" s="94">
        <f t="shared" si="10"/>
        <v>0</v>
      </c>
      <c r="BI27" s="77" t="e">
        <f t="shared" si="11"/>
        <v>#DIV/0!</v>
      </c>
      <c r="BJ27" s="95" t="str">
        <f t="shared" si="34"/>
        <v>비제조/서비스업</v>
      </c>
      <c r="BK27" s="96" t="e">
        <f t="shared" si="12"/>
        <v>#DIV/0!</v>
      </c>
      <c r="BL27" s="97" t="e">
        <f t="shared" si="35"/>
        <v>#DIV/0!</v>
      </c>
      <c r="BM27" s="98" t="e">
        <f t="shared" si="36"/>
        <v>#DIV/0!</v>
      </c>
      <c r="BN27" s="99" t="e">
        <f t="shared" si="37"/>
        <v>#DIV/0!</v>
      </c>
      <c r="BP27" s="101">
        <f t="shared" si="38"/>
        <v>0</v>
      </c>
      <c r="BQ27" s="78">
        <f t="shared" si="39"/>
        <v>25</v>
      </c>
      <c r="BR27" s="79">
        <f t="shared" si="58"/>
        <v>0.5</v>
      </c>
      <c r="BS27" s="102"/>
      <c r="BT27" s="102"/>
      <c r="BU27" s="103">
        <f t="shared" si="40"/>
        <v>0</v>
      </c>
      <c r="BV27" s="77">
        <f t="shared" si="14"/>
        <v>0</v>
      </c>
      <c r="BW27" s="96">
        <f t="shared" si="15"/>
        <v>0</v>
      </c>
      <c r="BX27" s="96">
        <f t="shared" si="41"/>
        <v>0</v>
      </c>
      <c r="BY27" s="96">
        <f t="shared" si="16"/>
        <v>0</v>
      </c>
      <c r="BZ27" s="96" t="e">
        <f t="shared" si="42"/>
        <v>#NUM!</v>
      </c>
      <c r="CA27" s="96" t="e">
        <f t="shared" si="17"/>
        <v>#NUM!</v>
      </c>
      <c r="CB27" s="104" t="e">
        <f t="shared" si="43"/>
        <v>#NUM!</v>
      </c>
      <c r="CC27" s="105">
        <f t="shared" si="59"/>
        <v>300.63826317503765</v>
      </c>
      <c r="CD27" s="106">
        <f t="shared" si="60"/>
        <v>25</v>
      </c>
      <c r="CE27" s="107">
        <f t="shared" si="61"/>
        <v>0.375</v>
      </c>
      <c r="CF27" s="108" t="s">
        <v>2189</v>
      </c>
      <c r="CG27" s="108" t="s">
        <v>2189</v>
      </c>
      <c r="CH27" s="108" t="s">
        <v>2189</v>
      </c>
      <c r="CI27" s="108" t="s">
        <v>2189</v>
      </c>
      <c r="CJ27" s="109"/>
      <c r="CM27" s="111">
        <f t="shared" si="44"/>
        <v>25</v>
      </c>
      <c r="CN27" s="107">
        <f t="shared" si="62"/>
        <v>0.375</v>
      </c>
      <c r="CP27" s="88">
        <f t="shared" si="45"/>
        <v>0</v>
      </c>
      <c r="CQ27" s="78">
        <f t="shared" si="46"/>
        <v>100</v>
      </c>
      <c r="CR27" s="79">
        <f t="shared" si="63"/>
        <v>3</v>
      </c>
      <c r="CS27" s="92"/>
      <c r="CT27" s="77">
        <f t="shared" si="23"/>
        <v>0</v>
      </c>
      <c r="CU27" s="78">
        <f t="shared" si="47"/>
        <v>100</v>
      </c>
      <c r="CV27" s="79">
        <f t="shared" si="64"/>
        <v>2</v>
      </c>
      <c r="CW27" s="112" t="e">
        <f t="shared" si="48"/>
        <v>#DIV/0!</v>
      </c>
    </row>
    <row r="28" spans="1:101" x14ac:dyDescent="0.35">
      <c r="A28" s="7" t="s">
        <v>205</v>
      </c>
      <c r="B28" s="8" t="s">
        <v>206</v>
      </c>
      <c r="C28" s="21" t="s">
        <v>207</v>
      </c>
      <c r="D28" s="10" t="s">
        <v>21</v>
      </c>
      <c r="E28" s="11" t="s">
        <v>208</v>
      </c>
      <c r="F28" s="11" t="s">
        <v>209</v>
      </c>
      <c r="G28" s="12">
        <v>40437</v>
      </c>
      <c r="H28" s="11" t="s">
        <v>24</v>
      </c>
      <c r="I28" s="11" t="s">
        <v>210</v>
      </c>
      <c r="J28" s="11" t="s">
        <v>211</v>
      </c>
      <c r="K28" s="11" t="s">
        <v>212</v>
      </c>
      <c r="L28" s="23">
        <v>302046228</v>
      </c>
      <c r="M28" s="14">
        <v>136864055</v>
      </c>
      <c r="N28" s="14">
        <v>165182173</v>
      </c>
      <c r="O28" s="14">
        <v>591580546</v>
      </c>
      <c r="P28" s="14">
        <v>16184660</v>
      </c>
      <c r="Q28" s="14">
        <v>17205979</v>
      </c>
      <c r="R28" s="14">
        <v>13158812</v>
      </c>
      <c r="AB28" s="74">
        <f t="shared" si="49"/>
        <v>0</v>
      </c>
      <c r="AC28" s="75" t="e">
        <f t="shared" si="25"/>
        <v>#DIV/0!</v>
      </c>
      <c r="AD28" s="75" t="e">
        <f t="shared" si="50"/>
        <v>#DIV/0!</v>
      </c>
      <c r="AE28" s="76" t="e">
        <f t="shared" si="53"/>
        <v>#DIV/0!</v>
      </c>
      <c r="AF28" s="77" t="e">
        <f t="shared" si="26"/>
        <v>#DIV/0!</v>
      </c>
      <c r="AG28" s="77" t="e">
        <f t="shared" si="27"/>
        <v>#DIV/0!</v>
      </c>
      <c r="AH28" s="77" t="e">
        <f t="shared" si="51"/>
        <v>#DIV/0!</v>
      </c>
      <c r="AI28" s="78" t="e">
        <f t="shared" si="52"/>
        <v>#DIV/0!</v>
      </c>
      <c r="AJ28" s="79" t="e">
        <f t="shared" si="54"/>
        <v>#DIV/0!</v>
      </c>
      <c r="AN28" s="81">
        <f t="shared" si="2"/>
        <v>0</v>
      </c>
      <c r="AO28" s="82" t="e">
        <f t="shared" si="3"/>
        <v>#DIV/0!</v>
      </c>
      <c r="AP28" s="83" t="e">
        <f t="shared" si="28"/>
        <v>#DIV/0!</v>
      </c>
      <c r="AQ28" s="84" t="e">
        <f t="shared" si="55"/>
        <v>#DIV/0!</v>
      </c>
      <c r="AS28" s="86">
        <f t="shared" si="5"/>
        <v>0.25</v>
      </c>
      <c r="AT28" s="87">
        <f t="shared" si="29"/>
        <v>0</v>
      </c>
      <c r="AU28" s="87">
        <f t="shared" si="30"/>
        <v>0</v>
      </c>
      <c r="AV28" s="88" t="e">
        <f t="shared" si="6"/>
        <v>#DIV/0!</v>
      </c>
      <c r="AW28" s="78" t="e">
        <f t="shared" si="31"/>
        <v>#DIV/0!</v>
      </c>
      <c r="AX28" s="89" t="e">
        <f t="shared" si="56"/>
        <v>#DIV/0!</v>
      </c>
      <c r="BA28" s="91">
        <f t="shared" si="8"/>
        <v>0</v>
      </c>
      <c r="BB28" s="77" t="e">
        <f t="shared" si="32"/>
        <v>#DIV/0!</v>
      </c>
      <c r="BC28" s="78" t="e">
        <f t="shared" si="33"/>
        <v>#DIV/0!</v>
      </c>
      <c r="BD28" s="79" t="e">
        <f t="shared" si="57"/>
        <v>#DIV/0!</v>
      </c>
      <c r="BE28" s="92"/>
      <c r="BF28" s="92"/>
      <c r="BG28" s="114">
        <v>41561</v>
      </c>
      <c r="BH28" s="94">
        <f t="shared" si="10"/>
        <v>0</v>
      </c>
      <c r="BI28" s="77" t="e">
        <f t="shared" si="11"/>
        <v>#DIV/0!</v>
      </c>
      <c r="BJ28" s="95" t="str">
        <f t="shared" si="34"/>
        <v>비제조/서비스업</v>
      </c>
      <c r="BK28" s="96" t="e">
        <f t="shared" si="12"/>
        <v>#DIV/0!</v>
      </c>
      <c r="BL28" s="97" t="e">
        <f t="shared" si="35"/>
        <v>#DIV/0!</v>
      </c>
      <c r="BM28" s="98" t="e">
        <f t="shared" si="36"/>
        <v>#DIV/0!</v>
      </c>
      <c r="BN28" s="99" t="e">
        <f t="shared" si="37"/>
        <v>#DIV/0!</v>
      </c>
      <c r="BP28" s="101">
        <f t="shared" si="38"/>
        <v>0</v>
      </c>
      <c r="BQ28" s="78">
        <f t="shared" si="39"/>
        <v>25</v>
      </c>
      <c r="BR28" s="79">
        <f t="shared" si="58"/>
        <v>0.5</v>
      </c>
      <c r="BS28" s="102"/>
      <c r="BT28" s="102"/>
      <c r="BU28" s="103">
        <f t="shared" si="40"/>
        <v>0</v>
      </c>
      <c r="BV28" s="77">
        <f t="shared" si="14"/>
        <v>0</v>
      </c>
      <c r="BW28" s="96">
        <f t="shared" si="15"/>
        <v>0</v>
      </c>
      <c r="BX28" s="96">
        <f t="shared" si="41"/>
        <v>0</v>
      </c>
      <c r="BY28" s="96">
        <f t="shared" si="16"/>
        <v>0</v>
      </c>
      <c r="BZ28" s="96" t="e">
        <f t="shared" si="42"/>
        <v>#NUM!</v>
      </c>
      <c r="CA28" s="96" t="e">
        <f t="shared" si="17"/>
        <v>#NUM!</v>
      </c>
      <c r="CB28" s="104" t="e">
        <f t="shared" si="43"/>
        <v>#NUM!</v>
      </c>
      <c r="CC28" s="105">
        <f t="shared" si="59"/>
        <v>82.856432092099922</v>
      </c>
      <c r="CD28" s="106">
        <f t="shared" si="60"/>
        <v>69.149585894937218</v>
      </c>
      <c r="CE28" s="107">
        <f t="shared" si="61"/>
        <v>1.0372437884240582</v>
      </c>
      <c r="CF28" s="108" t="s">
        <v>2189</v>
      </c>
      <c r="CG28" s="108" t="s">
        <v>2189</v>
      </c>
      <c r="CH28" s="108" t="s">
        <v>2189</v>
      </c>
      <c r="CI28" s="108" t="s">
        <v>2189</v>
      </c>
      <c r="CJ28" s="109"/>
      <c r="CM28" s="111">
        <f t="shared" si="44"/>
        <v>25</v>
      </c>
      <c r="CN28" s="107">
        <f t="shared" si="62"/>
        <v>0.375</v>
      </c>
      <c r="CP28" s="88">
        <f t="shared" si="45"/>
        <v>0</v>
      </c>
      <c r="CQ28" s="78">
        <f t="shared" si="46"/>
        <v>100</v>
      </c>
      <c r="CR28" s="79">
        <f t="shared" si="63"/>
        <v>3</v>
      </c>
      <c r="CS28" s="92"/>
      <c r="CT28" s="77">
        <f t="shared" si="23"/>
        <v>0</v>
      </c>
      <c r="CU28" s="78">
        <f t="shared" si="47"/>
        <v>100</v>
      </c>
      <c r="CV28" s="79">
        <f t="shared" si="64"/>
        <v>2</v>
      </c>
      <c r="CW28" s="112" t="e">
        <f t="shared" si="48"/>
        <v>#DIV/0!</v>
      </c>
    </row>
    <row r="29" spans="1:101" x14ac:dyDescent="0.35">
      <c r="A29" s="7" t="s">
        <v>213</v>
      </c>
      <c r="B29" s="8" t="s">
        <v>214</v>
      </c>
      <c r="C29" s="21" t="s">
        <v>215</v>
      </c>
      <c r="D29" s="27" t="s">
        <v>21</v>
      </c>
      <c r="E29" s="11" t="s">
        <v>208</v>
      </c>
      <c r="F29" s="11" t="s">
        <v>216</v>
      </c>
      <c r="G29" s="12">
        <v>40529</v>
      </c>
      <c r="H29" s="11" t="s">
        <v>24</v>
      </c>
      <c r="I29" s="11" t="s">
        <v>217</v>
      </c>
      <c r="J29" s="11" t="s">
        <v>218</v>
      </c>
      <c r="K29" s="11" t="s">
        <v>27</v>
      </c>
      <c r="L29" s="23">
        <v>396208069</v>
      </c>
      <c r="M29" s="14">
        <v>199203706</v>
      </c>
      <c r="N29" s="14">
        <v>197004363</v>
      </c>
      <c r="O29" s="14">
        <v>535783306</v>
      </c>
      <c r="P29" s="14">
        <v>19544619</v>
      </c>
      <c r="Q29" s="14">
        <v>19862607</v>
      </c>
      <c r="R29" s="14">
        <v>15916624</v>
      </c>
      <c r="AB29" s="74">
        <f t="shared" si="49"/>
        <v>0</v>
      </c>
      <c r="AC29" s="75" t="e">
        <f t="shared" si="25"/>
        <v>#DIV/0!</v>
      </c>
      <c r="AD29" s="75" t="e">
        <f t="shared" si="50"/>
        <v>#DIV/0!</v>
      </c>
      <c r="AE29" s="76" t="e">
        <f t="shared" si="53"/>
        <v>#DIV/0!</v>
      </c>
      <c r="AF29" s="77" t="e">
        <f t="shared" si="26"/>
        <v>#DIV/0!</v>
      </c>
      <c r="AG29" s="77" t="e">
        <f t="shared" si="27"/>
        <v>#DIV/0!</v>
      </c>
      <c r="AH29" s="77" t="e">
        <f t="shared" si="51"/>
        <v>#DIV/0!</v>
      </c>
      <c r="AI29" s="78" t="e">
        <f t="shared" si="52"/>
        <v>#DIV/0!</v>
      </c>
      <c r="AJ29" s="79" t="e">
        <f t="shared" si="54"/>
        <v>#DIV/0!</v>
      </c>
      <c r="AN29" s="81">
        <f t="shared" si="2"/>
        <v>0</v>
      </c>
      <c r="AO29" s="82" t="e">
        <f t="shared" si="3"/>
        <v>#DIV/0!</v>
      </c>
      <c r="AP29" s="83" t="e">
        <f t="shared" si="28"/>
        <v>#DIV/0!</v>
      </c>
      <c r="AQ29" s="84" t="e">
        <f t="shared" si="55"/>
        <v>#DIV/0!</v>
      </c>
      <c r="AS29" s="86">
        <f t="shared" si="5"/>
        <v>0.25</v>
      </c>
      <c r="AT29" s="87">
        <f t="shared" si="29"/>
        <v>0</v>
      </c>
      <c r="AU29" s="87">
        <f t="shared" si="30"/>
        <v>0</v>
      </c>
      <c r="AV29" s="88" t="e">
        <f t="shared" si="6"/>
        <v>#DIV/0!</v>
      </c>
      <c r="AW29" s="78" t="e">
        <f t="shared" si="31"/>
        <v>#DIV/0!</v>
      </c>
      <c r="AX29" s="89" t="e">
        <f t="shared" si="56"/>
        <v>#DIV/0!</v>
      </c>
      <c r="BA29" s="91">
        <f t="shared" si="8"/>
        <v>0</v>
      </c>
      <c r="BB29" s="77" t="e">
        <f t="shared" si="32"/>
        <v>#DIV/0!</v>
      </c>
      <c r="BC29" s="78" t="e">
        <f t="shared" si="33"/>
        <v>#DIV/0!</v>
      </c>
      <c r="BD29" s="79" t="e">
        <f t="shared" si="57"/>
        <v>#DIV/0!</v>
      </c>
      <c r="BE29" s="92"/>
      <c r="BF29" s="92"/>
      <c r="BG29" s="93">
        <v>0</v>
      </c>
      <c r="BH29" s="94">
        <f t="shared" si="10"/>
        <v>0</v>
      </c>
      <c r="BI29" s="77" t="e">
        <f t="shared" si="11"/>
        <v>#DIV/0!</v>
      </c>
      <c r="BJ29" s="95" t="str">
        <f t="shared" si="34"/>
        <v>비제조/서비스업</v>
      </c>
      <c r="BK29" s="96" t="e">
        <f t="shared" si="12"/>
        <v>#DIV/0!</v>
      </c>
      <c r="BL29" s="97" t="e">
        <f t="shared" si="35"/>
        <v>#DIV/0!</v>
      </c>
      <c r="BM29" s="98" t="e">
        <f t="shared" si="36"/>
        <v>#DIV/0!</v>
      </c>
      <c r="BN29" s="99" t="e">
        <f t="shared" si="37"/>
        <v>#DIV/0!</v>
      </c>
      <c r="BP29" s="101">
        <f t="shared" si="38"/>
        <v>0</v>
      </c>
      <c r="BQ29" s="78">
        <f t="shared" si="39"/>
        <v>25</v>
      </c>
      <c r="BR29" s="79">
        <f t="shared" si="58"/>
        <v>0.5</v>
      </c>
      <c r="BS29" s="102"/>
      <c r="BT29" s="102"/>
      <c r="BU29" s="103">
        <f t="shared" si="40"/>
        <v>0</v>
      </c>
      <c r="BV29" s="77">
        <f t="shared" si="14"/>
        <v>0</v>
      </c>
      <c r="BW29" s="96">
        <f t="shared" si="15"/>
        <v>0</v>
      </c>
      <c r="BX29" s="96">
        <f t="shared" si="41"/>
        <v>0</v>
      </c>
      <c r="BY29" s="96">
        <f t="shared" si="16"/>
        <v>0</v>
      </c>
      <c r="BZ29" s="96" t="e">
        <f t="shared" si="42"/>
        <v>#NUM!</v>
      </c>
      <c r="CA29" s="96" t="e">
        <f t="shared" si="17"/>
        <v>#NUM!</v>
      </c>
      <c r="CB29" s="104" t="e">
        <f t="shared" si="43"/>
        <v>#NUM!</v>
      </c>
      <c r="CC29" s="105">
        <f t="shared" si="59"/>
        <v>101.11639304150843</v>
      </c>
      <c r="CD29" s="106">
        <f t="shared" si="60"/>
        <v>62.267691064758132</v>
      </c>
      <c r="CE29" s="107">
        <f t="shared" si="61"/>
        <v>0.93401536597137191</v>
      </c>
      <c r="CF29" s="108" t="s">
        <v>2189</v>
      </c>
      <c r="CG29" s="108" t="s">
        <v>2189</v>
      </c>
      <c r="CH29" s="108" t="s">
        <v>2189</v>
      </c>
      <c r="CI29" s="108" t="s">
        <v>2189</v>
      </c>
      <c r="CJ29" s="109"/>
      <c r="CM29" s="111">
        <f t="shared" si="44"/>
        <v>25</v>
      </c>
      <c r="CN29" s="107">
        <f t="shared" si="62"/>
        <v>0.375</v>
      </c>
      <c r="CP29" s="88">
        <f t="shared" si="45"/>
        <v>0</v>
      </c>
      <c r="CQ29" s="78">
        <f t="shared" si="46"/>
        <v>100</v>
      </c>
      <c r="CR29" s="79">
        <f t="shared" si="63"/>
        <v>3</v>
      </c>
      <c r="CS29" s="92"/>
      <c r="CT29" s="77">
        <f t="shared" si="23"/>
        <v>0</v>
      </c>
      <c r="CU29" s="78">
        <f t="shared" si="47"/>
        <v>100</v>
      </c>
      <c r="CV29" s="79">
        <f t="shared" si="64"/>
        <v>2</v>
      </c>
      <c r="CW29" s="112" t="e">
        <f t="shared" si="48"/>
        <v>#DIV/0!</v>
      </c>
    </row>
    <row r="30" spans="1:101" x14ac:dyDescent="0.35">
      <c r="A30" s="7" t="s">
        <v>219</v>
      </c>
      <c r="B30" s="8" t="s">
        <v>220</v>
      </c>
      <c r="C30" s="21" t="s">
        <v>221</v>
      </c>
      <c r="D30" s="10" t="s">
        <v>31</v>
      </c>
      <c r="E30" s="11" t="s">
        <v>32</v>
      </c>
      <c r="F30" s="11" t="s">
        <v>222</v>
      </c>
      <c r="G30" s="12">
        <v>39052</v>
      </c>
      <c r="H30" s="11" t="s">
        <v>24</v>
      </c>
      <c r="I30" s="11" t="s">
        <v>223</v>
      </c>
      <c r="J30" s="11" t="s">
        <v>224</v>
      </c>
      <c r="K30" s="11" t="s">
        <v>27</v>
      </c>
      <c r="L30" s="23">
        <v>1973686923</v>
      </c>
      <c r="M30" s="14">
        <v>455919080</v>
      </c>
      <c r="N30" s="14">
        <v>1517767844</v>
      </c>
      <c r="O30" s="14">
        <v>1271908968</v>
      </c>
      <c r="P30" s="14">
        <v>75779686</v>
      </c>
      <c r="Q30" s="14">
        <v>170929776</v>
      </c>
      <c r="R30" s="14">
        <v>155782948</v>
      </c>
      <c r="AB30" s="74">
        <f t="shared" si="49"/>
        <v>0</v>
      </c>
      <c r="AC30" s="75" t="e">
        <f t="shared" si="25"/>
        <v>#DIV/0!</v>
      </c>
      <c r="AD30" s="75" t="e">
        <f t="shared" si="50"/>
        <v>#DIV/0!</v>
      </c>
      <c r="AE30" s="76" t="e">
        <f t="shared" si="53"/>
        <v>#DIV/0!</v>
      </c>
      <c r="AF30" s="77" t="e">
        <f t="shared" si="26"/>
        <v>#DIV/0!</v>
      </c>
      <c r="AG30" s="77" t="e">
        <f t="shared" si="27"/>
        <v>#DIV/0!</v>
      </c>
      <c r="AH30" s="77" t="e">
        <f t="shared" si="51"/>
        <v>#DIV/0!</v>
      </c>
      <c r="AI30" s="78" t="e">
        <f t="shared" si="52"/>
        <v>#DIV/0!</v>
      </c>
      <c r="AJ30" s="79" t="e">
        <f t="shared" si="54"/>
        <v>#DIV/0!</v>
      </c>
      <c r="AN30" s="81">
        <f t="shared" si="2"/>
        <v>0</v>
      </c>
      <c r="AO30" s="82" t="e">
        <f t="shared" si="3"/>
        <v>#DIV/0!</v>
      </c>
      <c r="AP30" s="83" t="e">
        <f t="shared" si="28"/>
        <v>#DIV/0!</v>
      </c>
      <c r="AQ30" s="84" t="e">
        <f t="shared" si="55"/>
        <v>#DIV/0!</v>
      </c>
      <c r="AS30" s="86">
        <f t="shared" si="5"/>
        <v>0.25</v>
      </c>
      <c r="AT30" s="87">
        <f t="shared" si="29"/>
        <v>0</v>
      </c>
      <c r="AU30" s="87">
        <f t="shared" si="30"/>
        <v>0</v>
      </c>
      <c r="AV30" s="88" t="e">
        <f t="shared" si="6"/>
        <v>#DIV/0!</v>
      </c>
      <c r="AW30" s="78" t="e">
        <f t="shared" si="31"/>
        <v>#DIV/0!</v>
      </c>
      <c r="AX30" s="89" t="e">
        <f t="shared" si="56"/>
        <v>#DIV/0!</v>
      </c>
      <c r="BA30" s="91">
        <f t="shared" si="8"/>
        <v>0</v>
      </c>
      <c r="BB30" s="77" t="e">
        <f t="shared" si="32"/>
        <v>#DIV/0!</v>
      </c>
      <c r="BC30" s="78" t="e">
        <f t="shared" si="33"/>
        <v>#DIV/0!</v>
      </c>
      <c r="BD30" s="79" t="e">
        <f t="shared" si="57"/>
        <v>#DIV/0!</v>
      </c>
      <c r="BE30" s="92"/>
      <c r="BF30" s="92"/>
      <c r="BG30" s="93">
        <v>0</v>
      </c>
      <c r="BH30" s="94">
        <f t="shared" si="10"/>
        <v>0</v>
      </c>
      <c r="BI30" s="77" t="e">
        <f t="shared" si="11"/>
        <v>#DIV/0!</v>
      </c>
      <c r="BJ30" s="95" t="str">
        <f t="shared" si="34"/>
        <v>식약/섬유/종이업</v>
      </c>
      <c r="BK30" s="96" t="e">
        <f t="shared" si="12"/>
        <v>#DIV/0!</v>
      </c>
      <c r="BL30" s="97" t="e">
        <f t="shared" si="35"/>
        <v>#DIV/0!</v>
      </c>
      <c r="BM30" s="98" t="e">
        <f t="shared" si="36"/>
        <v>#DIV/0!</v>
      </c>
      <c r="BN30" s="99" t="e">
        <f t="shared" si="37"/>
        <v>#DIV/0!</v>
      </c>
      <c r="BP30" s="101">
        <f t="shared" si="38"/>
        <v>0</v>
      </c>
      <c r="BQ30" s="78">
        <f t="shared" si="39"/>
        <v>25</v>
      </c>
      <c r="BR30" s="79">
        <f t="shared" si="58"/>
        <v>0.5</v>
      </c>
      <c r="BS30" s="102"/>
      <c r="BT30" s="102"/>
      <c r="BU30" s="103">
        <f t="shared" si="40"/>
        <v>0</v>
      </c>
      <c r="BV30" s="77">
        <f t="shared" si="14"/>
        <v>0</v>
      </c>
      <c r="BW30" s="96">
        <f t="shared" si="15"/>
        <v>0</v>
      </c>
      <c r="BX30" s="96">
        <f t="shared" si="41"/>
        <v>0</v>
      </c>
      <c r="BY30" s="96">
        <f t="shared" si="16"/>
        <v>0</v>
      </c>
      <c r="BZ30" s="96" t="e">
        <f t="shared" si="42"/>
        <v>#NUM!</v>
      </c>
      <c r="CA30" s="96" t="e">
        <f t="shared" si="17"/>
        <v>#NUM!</v>
      </c>
      <c r="CB30" s="104" t="e">
        <f t="shared" si="43"/>
        <v>#NUM!</v>
      </c>
      <c r="CC30" s="105">
        <f t="shared" si="59"/>
        <v>30.038788988864624</v>
      </c>
      <c r="CD30" s="106">
        <f t="shared" si="60"/>
        <v>89.055732793141473</v>
      </c>
      <c r="CE30" s="107">
        <f t="shared" si="61"/>
        <v>1.3358359918971221</v>
      </c>
      <c r="CF30" s="108" t="s">
        <v>2189</v>
      </c>
      <c r="CG30" s="108" t="s">
        <v>2189</v>
      </c>
      <c r="CH30" s="108" t="s">
        <v>2189</v>
      </c>
      <c r="CI30" s="108" t="s">
        <v>2189</v>
      </c>
      <c r="CJ30" s="109"/>
      <c r="CM30" s="111">
        <f t="shared" si="44"/>
        <v>25</v>
      </c>
      <c r="CN30" s="107">
        <f t="shared" si="62"/>
        <v>0.375</v>
      </c>
      <c r="CP30" s="88">
        <f t="shared" si="45"/>
        <v>0</v>
      </c>
      <c r="CQ30" s="78">
        <f t="shared" si="46"/>
        <v>100</v>
      </c>
      <c r="CR30" s="79">
        <f t="shared" si="63"/>
        <v>3</v>
      </c>
      <c r="CS30" s="92"/>
      <c r="CT30" s="77">
        <f t="shared" si="23"/>
        <v>0</v>
      </c>
      <c r="CU30" s="78">
        <f t="shared" si="47"/>
        <v>100</v>
      </c>
      <c r="CV30" s="79">
        <f t="shared" si="64"/>
        <v>2</v>
      </c>
      <c r="CW30" s="112" t="e">
        <f t="shared" si="48"/>
        <v>#DIV/0!</v>
      </c>
    </row>
    <row r="31" spans="1:101" x14ac:dyDescent="0.35">
      <c r="A31" s="7" t="s">
        <v>225</v>
      </c>
      <c r="B31" s="8" t="s">
        <v>226</v>
      </c>
      <c r="C31" s="21" t="s">
        <v>227</v>
      </c>
      <c r="D31" s="22" t="s">
        <v>31</v>
      </c>
      <c r="E31" s="11" t="s">
        <v>149</v>
      </c>
      <c r="F31" s="11" t="s">
        <v>228</v>
      </c>
      <c r="G31" s="12">
        <v>37006</v>
      </c>
      <c r="H31" s="11" t="s">
        <v>24</v>
      </c>
      <c r="I31" s="11" t="s">
        <v>229</v>
      </c>
      <c r="J31" s="11" t="s">
        <v>230</v>
      </c>
      <c r="K31" s="11" t="s">
        <v>27</v>
      </c>
      <c r="L31" s="23">
        <v>4707323720</v>
      </c>
      <c r="M31" s="14">
        <v>579230693</v>
      </c>
      <c r="N31" s="14">
        <v>4128093027</v>
      </c>
      <c r="O31" s="14">
        <v>3783321412</v>
      </c>
      <c r="P31" s="14">
        <v>428276866</v>
      </c>
      <c r="Q31" s="14">
        <v>165920076</v>
      </c>
      <c r="R31" s="14">
        <v>76950845</v>
      </c>
      <c r="AB31" s="74">
        <f t="shared" si="49"/>
        <v>0</v>
      </c>
      <c r="AC31" s="75" t="e">
        <f t="shared" si="25"/>
        <v>#DIV/0!</v>
      </c>
      <c r="AD31" s="75" t="e">
        <f t="shared" si="50"/>
        <v>#DIV/0!</v>
      </c>
      <c r="AE31" s="76" t="e">
        <f t="shared" si="53"/>
        <v>#DIV/0!</v>
      </c>
      <c r="AF31" s="77" t="e">
        <f t="shared" si="26"/>
        <v>#DIV/0!</v>
      </c>
      <c r="AG31" s="77" t="e">
        <f t="shared" si="27"/>
        <v>#DIV/0!</v>
      </c>
      <c r="AH31" s="77" t="e">
        <f t="shared" si="51"/>
        <v>#DIV/0!</v>
      </c>
      <c r="AI31" s="78" t="e">
        <f t="shared" si="52"/>
        <v>#DIV/0!</v>
      </c>
      <c r="AJ31" s="79" t="e">
        <f t="shared" si="54"/>
        <v>#DIV/0!</v>
      </c>
      <c r="AN31" s="81">
        <f t="shared" si="2"/>
        <v>0</v>
      </c>
      <c r="AO31" s="82" t="e">
        <f t="shared" si="3"/>
        <v>#DIV/0!</v>
      </c>
      <c r="AP31" s="83" t="e">
        <f t="shared" si="28"/>
        <v>#DIV/0!</v>
      </c>
      <c r="AQ31" s="84" t="e">
        <f t="shared" si="55"/>
        <v>#DIV/0!</v>
      </c>
      <c r="AS31" s="86">
        <f t="shared" si="5"/>
        <v>0.5</v>
      </c>
      <c r="AT31" s="87">
        <f t="shared" si="29"/>
        <v>0</v>
      </c>
      <c r="AU31" s="87">
        <f t="shared" si="30"/>
        <v>0</v>
      </c>
      <c r="AV31" s="88" t="e">
        <f t="shared" si="6"/>
        <v>#DIV/0!</v>
      </c>
      <c r="AW31" s="78" t="e">
        <f t="shared" si="31"/>
        <v>#DIV/0!</v>
      </c>
      <c r="AX31" s="89" t="e">
        <f t="shared" si="56"/>
        <v>#DIV/0!</v>
      </c>
      <c r="BA31" s="91">
        <f t="shared" si="8"/>
        <v>0</v>
      </c>
      <c r="BB31" s="77" t="e">
        <f t="shared" si="32"/>
        <v>#DIV/0!</v>
      </c>
      <c r="BC31" s="78" t="e">
        <f t="shared" si="33"/>
        <v>#DIV/0!</v>
      </c>
      <c r="BD31" s="79" t="e">
        <f t="shared" si="57"/>
        <v>#DIV/0!</v>
      </c>
      <c r="BE31" s="92"/>
      <c r="BF31" s="92"/>
      <c r="BG31" s="93">
        <v>0</v>
      </c>
      <c r="BH31" s="94">
        <f t="shared" si="10"/>
        <v>0</v>
      </c>
      <c r="BI31" s="77" t="e">
        <f t="shared" si="11"/>
        <v>#DIV/0!</v>
      </c>
      <c r="BJ31" s="95" t="str">
        <f t="shared" si="34"/>
        <v>식약/섬유/종이업</v>
      </c>
      <c r="BK31" s="96" t="e">
        <f t="shared" si="12"/>
        <v>#DIV/0!</v>
      </c>
      <c r="BL31" s="97" t="e">
        <f t="shared" si="35"/>
        <v>#DIV/0!</v>
      </c>
      <c r="BM31" s="98" t="e">
        <f t="shared" si="36"/>
        <v>#DIV/0!</v>
      </c>
      <c r="BN31" s="99" t="e">
        <f t="shared" si="37"/>
        <v>#DIV/0!</v>
      </c>
      <c r="BP31" s="101">
        <f t="shared" si="38"/>
        <v>0</v>
      </c>
      <c r="BQ31" s="78">
        <f t="shared" si="39"/>
        <v>25</v>
      </c>
      <c r="BR31" s="79">
        <f t="shared" si="58"/>
        <v>0.5</v>
      </c>
      <c r="BS31" s="102"/>
      <c r="BT31" s="102"/>
      <c r="BU31" s="103">
        <f t="shared" si="40"/>
        <v>0</v>
      </c>
      <c r="BV31" s="77">
        <f t="shared" si="14"/>
        <v>0</v>
      </c>
      <c r="BW31" s="96">
        <f t="shared" si="15"/>
        <v>0</v>
      </c>
      <c r="BX31" s="96">
        <f t="shared" si="41"/>
        <v>0</v>
      </c>
      <c r="BY31" s="96">
        <f t="shared" si="16"/>
        <v>0</v>
      </c>
      <c r="BZ31" s="96" t="e">
        <f t="shared" si="42"/>
        <v>#NUM!</v>
      </c>
      <c r="CA31" s="96" t="e">
        <f t="shared" si="17"/>
        <v>#NUM!</v>
      </c>
      <c r="CB31" s="104" t="e">
        <f t="shared" si="43"/>
        <v>#NUM!</v>
      </c>
      <c r="CC31" s="105">
        <f t="shared" si="59"/>
        <v>14.031435076959568</v>
      </c>
      <c r="CD31" s="106">
        <f t="shared" si="60"/>
        <v>95.0886551217489</v>
      </c>
      <c r="CE31" s="107">
        <f t="shared" si="61"/>
        <v>1.4263298268262334</v>
      </c>
      <c r="CF31" s="108" t="s">
        <v>2189</v>
      </c>
      <c r="CG31" s="108" t="s">
        <v>2189</v>
      </c>
      <c r="CH31" s="108" t="s">
        <v>2189</v>
      </c>
      <c r="CI31" s="108" t="s">
        <v>2189</v>
      </c>
      <c r="CJ31" s="109"/>
      <c r="CM31" s="111">
        <f t="shared" si="44"/>
        <v>25</v>
      </c>
      <c r="CN31" s="107">
        <f t="shared" si="62"/>
        <v>0.375</v>
      </c>
      <c r="CP31" s="88">
        <f t="shared" si="45"/>
        <v>0</v>
      </c>
      <c r="CQ31" s="78">
        <f t="shared" si="46"/>
        <v>100</v>
      </c>
      <c r="CR31" s="79">
        <f t="shared" si="63"/>
        <v>3</v>
      </c>
      <c r="CS31" s="92"/>
      <c r="CT31" s="77">
        <f t="shared" si="23"/>
        <v>0</v>
      </c>
      <c r="CU31" s="78">
        <f t="shared" si="47"/>
        <v>100</v>
      </c>
      <c r="CV31" s="79">
        <f t="shared" si="64"/>
        <v>2</v>
      </c>
      <c r="CW31" s="112" t="e">
        <f t="shared" si="48"/>
        <v>#DIV/0!</v>
      </c>
    </row>
    <row r="32" spans="1:101" x14ac:dyDescent="0.35">
      <c r="A32" s="7" t="s">
        <v>231</v>
      </c>
      <c r="B32" s="8" t="s">
        <v>232</v>
      </c>
      <c r="C32" s="21" t="s">
        <v>233</v>
      </c>
      <c r="D32" s="10" t="s">
        <v>21</v>
      </c>
      <c r="E32" s="11" t="s">
        <v>234</v>
      </c>
      <c r="F32" s="11" t="s">
        <v>235</v>
      </c>
      <c r="G32" s="12">
        <v>39559</v>
      </c>
      <c r="H32" s="11" t="s">
        <v>24</v>
      </c>
      <c r="I32" s="11" t="s">
        <v>236</v>
      </c>
      <c r="J32" s="11" t="s">
        <v>237</v>
      </c>
      <c r="K32" s="11" t="s">
        <v>27</v>
      </c>
      <c r="L32" s="23">
        <v>18621116000</v>
      </c>
      <c r="M32" s="14">
        <v>10475153000</v>
      </c>
      <c r="N32" s="14">
        <v>8145963000</v>
      </c>
      <c r="O32" s="14">
        <v>12781569000</v>
      </c>
      <c r="P32" s="14">
        <v>1049830000</v>
      </c>
      <c r="Q32" s="14">
        <v>859263000</v>
      </c>
      <c r="R32" s="14">
        <v>661692000</v>
      </c>
      <c r="AB32" s="74">
        <f t="shared" si="49"/>
        <v>0</v>
      </c>
      <c r="AC32" s="75" t="e">
        <f t="shared" si="25"/>
        <v>#DIV/0!</v>
      </c>
      <c r="AD32" s="75" t="e">
        <f t="shared" si="50"/>
        <v>#DIV/0!</v>
      </c>
      <c r="AE32" s="76" t="e">
        <f t="shared" si="53"/>
        <v>#DIV/0!</v>
      </c>
      <c r="AF32" s="77" t="e">
        <f t="shared" si="26"/>
        <v>#DIV/0!</v>
      </c>
      <c r="AG32" s="77" t="e">
        <f t="shared" si="27"/>
        <v>#DIV/0!</v>
      </c>
      <c r="AH32" s="77" t="e">
        <f t="shared" si="51"/>
        <v>#DIV/0!</v>
      </c>
      <c r="AI32" s="78" t="e">
        <f t="shared" si="52"/>
        <v>#DIV/0!</v>
      </c>
      <c r="AJ32" s="79" t="e">
        <f t="shared" si="54"/>
        <v>#DIV/0!</v>
      </c>
      <c r="AN32" s="81">
        <f t="shared" si="2"/>
        <v>0</v>
      </c>
      <c r="AO32" s="82" t="e">
        <f t="shared" si="3"/>
        <v>#DIV/0!</v>
      </c>
      <c r="AP32" s="83" t="e">
        <f t="shared" si="28"/>
        <v>#DIV/0!</v>
      </c>
      <c r="AQ32" s="84" t="e">
        <f t="shared" si="55"/>
        <v>#DIV/0!</v>
      </c>
      <c r="AS32" s="86">
        <f t="shared" si="5"/>
        <v>0.5</v>
      </c>
      <c r="AT32" s="87">
        <f t="shared" si="29"/>
        <v>0</v>
      </c>
      <c r="AU32" s="87">
        <f t="shared" si="30"/>
        <v>0</v>
      </c>
      <c r="AV32" s="88" t="e">
        <f t="shared" si="6"/>
        <v>#DIV/0!</v>
      </c>
      <c r="AW32" s="78" t="e">
        <f t="shared" si="31"/>
        <v>#DIV/0!</v>
      </c>
      <c r="AX32" s="89" t="e">
        <f t="shared" si="56"/>
        <v>#DIV/0!</v>
      </c>
      <c r="BA32" s="91">
        <f t="shared" si="8"/>
        <v>0</v>
      </c>
      <c r="BB32" s="77" t="e">
        <f t="shared" si="32"/>
        <v>#DIV/0!</v>
      </c>
      <c r="BC32" s="78" t="e">
        <f t="shared" si="33"/>
        <v>#DIV/0!</v>
      </c>
      <c r="BD32" s="79" t="e">
        <f t="shared" si="57"/>
        <v>#DIV/0!</v>
      </c>
      <c r="BE32" s="92"/>
      <c r="BF32" s="92"/>
      <c r="BG32" s="93">
        <v>0</v>
      </c>
      <c r="BH32" s="94">
        <f t="shared" si="10"/>
        <v>0</v>
      </c>
      <c r="BI32" s="77" t="e">
        <f t="shared" si="11"/>
        <v>#DIV/0!</v>
      </c>
      <c r="BJ32" s="95" t="str">
        <f t="shared" si="34"/>
        <v>비제조/서비스업</v>
      </c>
      <c r="BK32" s="96" t="e">
        <f t="shared" si="12"/>
        <v>#DIV/0!</v>
      </c>
      <c r="BL32" s="97" t="e">
        <f t="shared" si="35"/>
        <v>#DIV/0!</v>
      </c>
      <c r="BM32" s="98" t="e">
        <f t="shared" si="36"/>
        <v>#DIV/0!</v>
      </c>
      <c r="BN32" s="99" t="e">
        <f t="shared" si="37"/>
        <v>#DIV/0!</v>
      </c>
      <c r="BP32" s="101">
        <f t="shared" si="38"/>
        <v>0</v>
      </c>
      <c r="BQ32" s="78">
        <f t="shared" si="39"/>
        <v>25</v>
      </c>
      <c r="BR32" s="79">
        <f t="shared" si="58"/>
        <v>0.5</v>
      </c>
      <c r="BS32" s="102"/>
      <c r="BT32" s="102"/>
      <c r="BU32" s="103">
        <f t="shared" si="40"/>
        <v>0</v>
      </c>
      <c r="BV32" s="77">
        <f t="shared" si="14"/>
        <v>0</v>
      </c>
      <c r="BW32" s="96">
        <f t="shared" si="15"/>
        <v>0</v>
      </c>
      <c r="BX32" s="96">
        <f t="shared" si="41"/>
        <v>0</v>
      </c>
      <c r="BY32" s="96">
        <f t="shared" si="16"/>
        <v>0</v>
      </c>
      <c r="BZ32" s="96" t="e">
        <f t="shared" si="42"/>
        <v>#NUM!</v>
      </c>
      <c r="CA32" s="96" t="e">
        <f t="shared" si="17"/>
        <v>#NUM!</v>
      </c>
      <c r="CB32" s="104" t="e">
        <f t="shared" si="43"/>
        <v>#NUM!</v>
      </c>
      <c r="CC32" s="105">
        <f t="shared" si="59"/>
        <v>128.5931816778446</v>
      </c>
      <c r="CD32" s="106">
        <f t="shared" si="60"/>
        <v>51.91211745809877</v>
      </c>
      <c r="CE32" s="107">
        <f t="shared" si="61"/>
        <v>0.77868176187148153</v>
      </c>
      <c r="CF32" s="108" t="s">
        <v>2189</v>
      </c>
      <c r="CG32" s="108" t="s">
        <v>2189</v>
      </c>
      <c r="CH32" s="108" t="s">
        <v>2189</v>
      </c>
      <c r="CI32" s="108" t="s">
        <v>2189</v>
      </c>
      <c r="CJ32" s="109"/>
      <c r="CM32" s="111">
        <f t="shared" si="44"/>
        <v>25</v>
      </c>
      <c r="CN32" s="107">
        <f t="shared" si="62"/>
        <v>0.375</v>
      </c>
      <c r="CP32" s="88">
        <f t="shared" si="45"/>
        <v>0</v>
      </c>
      <c r="CQ32" s="78">
        <f t="shared" si="46"/>
        <v>100</v>
      </c>
      <c r="CR32" s="79">
        <f t="shared" si="63"/>
        <v>3</v>
      </c>
      <c r="CS32" s="92"/>
      <c r="CT32" s="77">
        <f t="shared" si="23"/>
        <v>0</v>
      </c>
      <c r="CU32" s="78">
        <f t="shared" si="47"/>
        <v>100</v>
      </c>
      <c r="CV32" s="79">
        <f t="shared" si="64"/>
        <v>2</v>
      </c>
      <c r="CW32" s="112" t="e">
        <f t="shared" si="48"/>
        <v>#DIV/0!</v>
      </c>
    </row>
    <row r="33" spans="1:101" x14ac:dyDescent="0.35">
      <c r="A33" s="7" t="s">
        <v>238</v>
      </c>
      <c r="B33" s="8" t="s">
        <v>239</v>
      </c>
      <c r="C33" s="21" t="s">
        <v>240</v>
      </c>
      <c r="D33" s="10" t="s">
        <v>141</v>
      </c>
      <c r="E33" s="11" t="s">
        <v>241</v>
      </c>
      <c r="F33" s="11" t="s">
        <v>242</v>
      </c>
      <c r="G33" s="12">
        <v>39653</v>
      </c>
      <c r="H33" s="11" t="s">
        <v>24</v>
      </c>
      <c r="I33" s="11" t="s">
        <v>243</v>
      </c>
      <c r="J33" s="11" t="s">
        <v>244</v>
      </c>
      <c r="K33" s="11" t="s">
        <v>27</v>
      </c>
      <c r="L33" s="23">
        <v>8668015355</v>
      </c>
      <c r="M33" s="14">
        <v>5103993834</v>
      </c>
      <c r="N33" s="14">
        <v>3564021521</v>
      </c>
      <c r="O33" s="14">
        <v>19092897004</v>
      </c>
      <c r="P33" s="14">
        <v>1016233433</v>
      </c>
      <c r="Q33" s="14">
        <v>955882532</v>
      </c>
      <c r="R33" s="14">
        <v>720393793</v>
      </c>
      <c r="AB33" s="74">
        <f t="shared" si="49"/>
        <v>0</v>
      </c>
      <c r="AC33" s="75" t="e">
        <f t="shared" si="25"/>
        <v>#DIV/0!</v>
      </c>
      <c r="AD33" s="75" t="e">
        <f t="shared" si="50"/>
        <v>#DIV/0!</v>
      </c>
      <c r="AE33" s="76" t="e">
        <f t="shared" si="53"/>
        <v>#DIV/0!</v>
      </c>
      <c r="AF33" s="77" t="e">
        <f t="shared" si="26"/>
        <v>#DIV/0!</v>
      </c>
      <c r="AG33" s="77" t="e">
        <f t="shared" si="27"/>
        <v>#DIV/0!</v>
      </c>
      <c r="AH33" s="77" t="e">
        <f t="shared" si="51"/>
        <v>#DIV/0!</v>
      </c>
      <c r="AI33" s="78" t="e">
        <f t="shared" si="52"/>
        <v>#DIV/0!</v>
      </c>
      <c r="AJ33" s="79" t="e">
        <f t="shared" si="54"/>
        <v>#DIV/0!</v>
      </c>
      <c r="AN33" s="81">
        <f t="shared" si="2"/>
        <v>0</v>
      </c>
      <c r="AO33" s="82" t="e">
        <f t="shared" si="3"/>
        <v>#DIV/0!</v>
      </c>
      <c r="AP33" s="83" t="e">
        <f t="shared" si="28"/>
        <v>#DIV/0!</v>
      </c>
      <c r="AQ33" s="84" t="e">
        <f t="shared" si="55"/>
        <v>#DIV/0!</v>
      </c>
      <c r="AS33" s="86">
        <f t="shared" si="5"/>
        <v>0.5</v>
      </c>
      <c r="AT33" s="87">
        <f t="shared" si="29"/>
        <v>0</v>
      </c>
      <c r="AU33" s="87">
        <f t="shared" si="30"/>
        <v>0</v>
      </c>
      <c r="AV33" s="88" t="e">
        <f t="shared" si="6"/>
        <v>#DIV/0!</v>
      </c>
      <c r="AW33" s="78" t="e">
        <f t="shared" si="31"/>
        <v>#DIV/0!</v>
      </c>
      <c r="AX33" s="89" t="e">
        <f t="shared" si="56"/>
        <v>#DIV/0!</v>
      </c>
      <c r="BA33" s="91">
        <f t="shared" si="8"/>
        <v>0</v>
      </c>
      <c r="BB33" s="77" t="e">
        <f t="shared" si="32"/>
        <v>#DIV/0!</v>
      </c>
      <c r="BC33" s="78" t="e">
        <f t="shared" si="33"/>
        <v>#DIV/0!</v>
      </c>
      <c r="BD33" s="79" t="e">
        <f t="shared" si="57"/>
        <v>#DIV/0!</v>
      </c>
      <c r="BE33" s="92"/>
      <c r="BF33" s="92"/>
      <c r="BG33" s="93">
        <v>0</v>
      </c>
      <c r="BH33" s="94">
        <f t="shared" si="10"/>
        <v>0</v>
      </c>
      <c r="BI33" s="77" t="e">
        <f t="shared" si="11"/>
        <v>#DIV/0!</v>
      </c>
      <c r="BJ33" s="95" t="str">
        <f t="shared" si="34"/>
        <v>전기전자/기계업</v>
      </c>
      <c r="BK33" s="96" t="e">
        <f t="shared" si="12"/>
        <v>#DIV/0!</v>
      </c>
      <c r="BL33" s="97" t="e">
        <f t="shared" si="35"/>
        <v>#DIV/0!</v>
      </c>
      <c r="BM33" s="98" t="e">
        <f t="shared" si="36"/>
        <v>#DIV/0!</v>
      </c>
      <c r="BN33" s="99" t="e">
        <f t="shared" si="37"/>
        <v>#DIV/0!</v>
      </c>
      <c r="BP33" s="101">
        <f t="shared" si="38"/>
        <v>0</v>
      </c>
      <c r="BQ33" s="78">
        <f t="shared" si="39"/>
        <v>25</v>
      </c>
      <c r="BR33" s="79">
        <f t="shared" si="58"/>
        <v>0.5</v>
      </c>
      <c r="BS33" s="102"/>
      <c r="BT33" s="102"/>
      <c r="BU33" s="103">
        <f t="shared" si="40"/>
        <v>0</v>
      </c>
      <c r="BV33" s="77">
        <f t="shared" si="14"/>
        <v>0</v>
      </c>
      <c r="BW33" s="96">
        <f t="shared" si="15"/>
        <v>0</v>
      </c>
      <c r="BX33" s="96">
        <f t="shared" si="41"/>
        <v>0</v>
      </c>
      <c r="BY33" s="96">
        <f t="shared" si="16"/>
        <v>0</v>
      </c>
      <c r="BZ33" s="96" t="e">
        <f t="shared" si="42"/>
        <v>#NUM!</v>
      </c>
      <c r="CA33" s="96" t="e">
        <f t="shared" si="17"/>
        <v>#NUM!</v>
      </c>
      <c r="CB33" s="104" t="e">
        <f t="shared" si="43"/>
        <v>#NUM!</v>
      </c>
      <c r="CC33" s="105">
        <f t="shared" si="59"/>
        <v>143.20883877737953</v>
      </c>
      <c r="CD33" s="106">
        <f t="shared" si="60"/>
        <v>46.403703978374551</v>
      </c>
      <c r="CE33" s="107">
        <f t="shared" si="61"/>
        <v>0.69605555967561827</v>
      </c>
      <c r="CF33" s="108" t="s">
        <v>2189</v>
      </c>
      <c r="CG33" s="108" t="s">
        <v>2189</v>
      </c>
      <c r="CH33" s="108" t="s">
        <v>2189</v>
      </c>
      <c r="CI33" s="108" t="s">
        <v>2189</v>
      </c>
      <c r="CJ33" s="109"/>
      <c r="CM33" s="111">
        <f t="shared" si="44"/>
        <v>25</v>
      </c>
      <c r="CN33" s="107">
        <f t="shared" si="62"/>
        <v>0.375</v>
      </c>
      <c r="CP33" s="88">
        <f t="shared" si="45"/>
        <v>0</v>
      </c>
      <c r="CQ33" s="78">
        <f t="shared" si="46"/>
        <v>100</v>
      </c>
      <c r="CR33" s="79">
        <f t="shared" si="63"/>
        <v>3</v>
      </c>
      <c r="CS33" s="92"/>
      <c r="CT33" s="77">
        <f t="shared" si="23"/>
        <v>0</v>
      </c>
      <c r="CU33" s="78">
        <f t="shared" si="47"/>
        <v>100</v>
      </c>
      <c r="CV33" s="79">
        <f t="shared" si="64"/>
        <v>2</v>
      </c>
      <c r="CW33" s="112" t="e">
        <f t="shared" si="48"/>
        <v>#DIV/0!</v>
      </c>
    </row>
    <row r="34" spans="1:101" x14ac:dyDescent="0.35">
      <c r="A34" s="7" t="s">
        <v>245</v>
      </c>
      <c r="B34" s="8" t="s">
        <v>246</v>
      </c>
      <c r="C34" s="21" t="s">
        <v>247</v>
      </c>
      <c r="D34" s="10" t="s">
        <v>141</v>
      </c>
      <c r="E34" s="11" t="s">
        <v>248</v>
      </c>
      <c r="F34" s="11" t="s">
        <v>249</v>
      </c>
      <c r="G34" s="12">
        <v>42279</v>
      </c>
      <c r="H34" s="11" t="s">
        <v>24</v>
      </c>
      <c r="I34" s="11" t="s">
        <v>250</v>
      </c>
      <c r="J34" s="11" t="s">
        <v>251</v>
      </c>
      <c r="K34" s="11" t="s">
        <v>50</v>
      </c>
      <c r="L34" s="23">
        <v>3007428048</v>
      </c>
      <c r="M34" s="14">
        <v>2072248980</v>
      </c>
      <c r="N34" s="14">
        <v>935179068</v>
      </c>
      <c r="O34" s="14">
        <v>2216162119</v>
      </c>
      <c r="P34" s="14">
        <v>178794933</v>
      </c>
      <c r="Q34" s="14">
        <v>157788508</v>
      </c>
      <c r="R34" s="14">
        <v>122939587</v>
      </c>
      <c r="AB34" s="74">
        <f t="shared" si="49"/>
        <v>0</v>
      </c>
      <c r="AC34" s="75" t="e">
        <f t="shared" si="25"/>
        <v>#DIV/0!</v>
      </c>
      <c r="AD34" s="75" t="e">
        <f t="shared" si="50"/>
        <v>#DIV/0!</v>
      </c>
      <c r="AE34" s="76" t="e">
        <f t="shared" si="53"/>
        <v>#DIV/0!</v>
      </c>
      <c r="AF34" s="77" t="e">
        <f t="shared" si="26"/>
        <v>#DIV/0!</v>
      </c>
      <c r="AG34" s="77" t="e">
        <f t="shared" si="27"/>
        <v>#DIV/0!</v>
      </c>
      <c r="AH34" s="77" t="e">
        <f t="shared" si="51"/>
        <v>#DIV/0!</v>
      </c>
      <c r="AI34" s="78" t="e">
        <f t="shared" si="52"/>
        <v>#DIV/0!</v>
      </c>
      <c r="AJ34" s="79" t="e">
        <f t="shared" si="54"/>
        <v>#DIV/0!</v>
      </c>
      <c r="AM34" s="80"/>
      <c r="AN34" s="81">
        <f t="shared" si="2"/>
        <v>0</v>
      </c>
      <c r="AO34" s="82" t="e">
        <f t="shared" si="3"/>
        <v>#DIV/0!</v>
      </c>
      <c r="AP34" s="83" t="e">
        <f t="shared" si="28"/>
        <v>#DIV/0!</v>
      </c>
      <c r="AQ34" s="84" t="e">
        <f t="shared" si="55"/>
        <v>#DIV/0!</v>
      </c>
      <c r="AS34" s="86">
        <f t="shared" si="5"/>
        <v>0.5</v>
      </c>
      <c r="AT34" s="87">
        <f t="shared" si="29"/>
        <v>0</v>
      </c>
      <c r="AU34" s="87">
        <f t="shared" si="30"/>
        <v>0</v>
      </c>
      <c r="AV34" s="88" t="e">
        <f t="shared" si="6"/>
        <v>#DIV/0!</v>
      </c>
      <c r="AW34" s="78" t="e">
        <f t="shared" si="31"/>
        <v>#DIV/0!</v>
      </c>
      <c r="AX34" s="89" t="e">
        <f t="shared" si="56"/>
        <v>#DIV/0!</v>
      </c>
      <c r="BA34" s="91">
        <f t="shared" si="8"/>
        <v>0</v>
      </c>
      <c r="BB34" s="77" t="e">
        <f t="shared" si="32"/>
        <v>#DIV/0!</v>
      </c>
      <c r="BC34" s="78" t="e">
        <f t="shared" si="33"/>
        <v>#DIV/0!</v>
      </c>
      <c r="BD34" s="79" t="e">
        <f t="shared" si="57"/>
        <v>#DIV/0!</v>
      </c>
      <c r="BE34" s="92"/>
      <c r="BF34" s="92"/>
      <c r="BG34" s="93">
        <v>0</v>
      </c>
      <c r="BH34" s="94">
        <f t="shared" si="10"/>
        <v>0</v>
      </c>
      <c r="BI34" s="77" t="e">
        <f t="shared" si="11"/>
        <v>#DIV/0!</v>
      </c>
      <c r="BJ34" s="95" t="str">
        <f t="shared" si="34"/>
        <v>전기전자/기계업</v>
      </c>
      <c r="BK34" s="96" t="e">
        <f t="shared" si="12"/>
        <v>#DIV/0!</v>
      </c>
      <c r="BL34" s="97" t="e">
        <f t="shared" si="35"/>
        <v>#DIV/0!</v>
      </c>
      <c r="BM34" s="98" t="e">
        <f t="shared" si="36"/>
        <v>#DIV/0!</v>
      </c>
      <c r="BN34" s="99" t="e">
        <f t="shared" si="37"/>
        <v>#DIV/0!</v>
      </c>
      <c r="BP34" s="101">
        <f t="shared" si="38"/>
        <v>0</v>
      </c>
      <c r="BQ34" s="78">
        <f t="shared" si="39"/>
        <v>25</v>
      </c>
      <c r="BR34" s="79">
        <f t="shared" si="58"/>
        <v>0.5</v>
      </c>
      <c r="BS34" s="102"/>
      <c r="BT34" s="102"/>
      <c r="BU34" s="103">
        <f t="shared" si="40"/>
        <v>0</v>
      </c>
      <c r="BV34" s="77">
        <f t="shared" si="14"/>
        <v>0</v>
      </c>
      <c r="BW34" s="96">
        <f t="shared" si="15"/>
        <v>0</v>
      </c>
      <c r="BX34" s="96">
        <f t="shared" si="41"/>
        <v>0</v>
      </c>
      <c r="BY34" s="96">
        <f t="shared" si="16"/>
        <v>0</v>
      </c>
      <c r="BZ34" s="96" t="e">
        <f t="shared" si="42"/>
        <v>#NUM!</v>
      </c>
      <c r="CA34" s="96" t="e">
        <f t="shared" si="17"/>
        <v>#NUM!</v>
      </c>
      <c r="CB34" s="104" t="e">
        <f t="shared" si="43"/>
        <v>#NUM!</v>
      </c>
      <c r="CC34" s="105">
        <f t="shared" si="59"/>
        <v>221.58846908664981</v>
      </c>
      <c r="CD34" s="106">
        <f t="shared" si="60"/>
        <v>25</v>
      </c>
      <c r="CE34" s="107">
        <f t="shared" si="61"/>
        <v>0.375</v>
      </c>
      <c r="CF34" s="108" t="s">
        <v>2189</v>
      </c>
      <c r="CG34" s="108" t="s">
        <v>2189</v>
      </c>
      <c r="CH34" s="108" t="s">
        <v>2189</v>
      </c>
      <c r="CI34" s="108" t="s">
        <v>2189</v>
      </c>
      <c r="CJ34" s="109"/>
      <c r="CM34" s="111">
        <f t="shared" si="44"/>
        <v>25</v>
      </c>
      <c r="CN34" s="107">
        <f t="shared" si="62"/>
        <v>0.375</v>
      </c>
      <c r="CP34" s="88">
        <f t="shared" si="45"/>
        <v>0</v>
      </c>
      <c r="CQ34" s="78">
        <f t="shared" si="46"/>
        <v>100</v>
      </c>
      <c r="CR34" s="79">
        <f t="shared" si="63"/>
        <v>3</v>
      </c>
      <c r="CS34" s="92"/>
      <c r="CT34" s="77">
        <f t="shared" si="23"/>
        <v>0</v>
      </c>
      <c r="CU34" s="78">
        <f t="shared" si="47"/>
        <v>100</v>
      </c>
      <c r="CV34" s="79">
        <f t="shared" si="64"/>
        <v>2</v>
      </c>
      <c r="CW34" s="112" t="e">
        <f t="shared" si="48"/>
        <v>#DIV/0!</v>
      </c>
    </row>
    <row r="35" spans="1:101" x14ac:dyDescent="0.35">
      <c r="A35" s="7" t="s">
        <v>252</v>
      </c>
      <c r="B35" s="8" t="s">
        <v>253</v>
      </c>
      <c r="C35" s="21" t="s">
        <v>254</v>
      </c>
      <c r="D35" s="10" t="s">
        <v>21</v>
      </c>
      <c r="E35" s="11" t="s">
        <v>255</v>
      </c>
      <c r="F35" s="11" t="s">
        <v>256</v>
      </c>
      <c r="G35" s="12">
        <v>27789</v>
      </c>
      <c r="H35" s="11" t="s">
        <v>24</v>
      </c>
      <c r="I35" s="11" t="s">
        <v>257</v>
      </c>
      <c r="J35" s="11" t="s">
        <v>258</v>
      </c>
      <c r="K35" s="11" t="s">
        <v>27</v>
      </c>
      <c r="L35" s="23">
        <v>3782850589</v>
      </c>
      <c r="M35" s="14">
        <v>1473354089</v>
      </c>
      <c r="N35" s="14">
        <v>2309496500</v>
      </c>
      <c r="O35" s="14">
        <v>4108362284</v>
      </c>
      <c r="P35" s="14">
        <v>101552809</v>
      </c>
      <c r="Q35" s="14">
        <v>640421674</v>
      </c>
      <c r="R35" s="14">
        <v>528557910</v>
      </c>
      <c r="AB35" s="74">
        <f t="shared" si="49"/>
        <v>0</v>
      </c>
      <c r="AC35" s="75" t="e">
        <f t="shared" si="25"/>
        <v>#DIV/0!</v>
      </c>
      <c r="AD35" s="75" t="e">
        <f t="shared" si="50"/>
        <v>#DIV/0!</v>
      </c>
      <c r="AE35" s="76" t="e">
        <f t="shared" si="53"/>
        <v>#DIV/0!</v>
      </c>
      <c r="AF35" s="77" t="e">
        <f t="shared" si="26"/>
        <v>#DIV/0!</v>
      </c>
      <c r="AG35" s="77" t="e">
        <f t="shared" si="27"/>
        <v>#DIV/0!</v>
      </c>
      <c r="AH35" s="77" t="e">
        <f t="shared" si="51"/>
        <v>#DIV/0!</v>
      </c>
      <c r="AI35" s="78" t="e">
        <f t="shared" si="52"/>
        <v>#DIV/0!</v>
      </c>
      <c r="AJ35" s="79" t="e">
        <f t="shared" si="54"/>
        <v>#DIV/0!</v>
      </c>
      <c r="AN35" s="81">
        <f t="shared" si="2"/>
        <v>0</v>
      </c>
      <c r="AO35" s="82" t="e">
        <f t="shared" si="3"/>
        <v>#DIV/0!</v>
      </c>
      <c r="AP35" s="83" t="e">
        <f t="shared" si="28"/>
        <v>#DIV/0!</v>
      </c>
      <c r="AQ35" s="84" t="e">
        <f t="shared" si="55"/>
        <v>#DIV/0!</v>
      </c>
      <c r="AS35" s="86">
        <f t="shared" si="5"/>
        <v>0.5</v>
      </c>
      <c r="AT35" s="87">
        <f t="shared" si="29"/>
        <v>0</v>
      </c>
      <c r="AU35" s="87">
        <f t="shared" si="30"/>
        <v>0</v>
      </c>
      <c r="AV35" s="88" t="e">
        <f t="shared" si="6"/>
        <v>#DIV/0!</v>
      </c>
      <c r="AW35" s="78" t="e">
        <f t="shared" si="31"/>
        <v>#DIV/0!</v>
      </c>
      <c r="AX35" s="89" t="e">
        <f t="shared" si="56"/>
        <v>#DIV/0!</v>
      </c>
      <c r="BA35" s="91">
        <f t="shared" si="8"/>
        <v>0</v>
      </c>
      <c r="BB35" s="77" t="e">
        <f t="shared" si="32"/>
        <v>#DIV/0!</v>
      </c>
      <c r="BC35" s="78" t="e">
        <f t="shared" si="33"/>
        <v>#DIV/0!</v>
      </c>
      <c r="BD35" s="79" t="e">
        <f t="shared" si="57"/>
        <v>#DIV/0!</v>
      </c>
      <c r="BE35" s="92"/>
      <c r="BF35" s="92"/>
      <c r="BG35" s="93">
        <v>0</v>
      </c>
      <c r="BH35" s="94">
        <f t="shared" si="10"/>
        <v>0</v>
      </c>
      <c r="BI35" s="77" t="e">
        <f t="shared" si="11"/>
        <v>#DIV/0!</v>
      </c>
      <c r="BJ35" s="95" t="str">
        <f t="shared" si="34"/>
        <v>비제조/서비스업</v>
      </c>
      <c r="BK35" s="96" t="e">
        <f t="shared" si="12"/>
        <v>#DIV/0!</v>
      </c>
      <c r="BL35" s="97" t="e">
        <f t="shared" si="35"/>
        <v>#DIV/0!</v>
      </c>
      <c r="BM35" s="98" t="e">
        <f t="shared" si="36"/>
        <v>#DIV/0!</v>
      </c>
      <c r="BN35" s="99" t="e">
        <f t="shared" si="37"/>
        <v>#DIV/0!</v>
      </c>
      <c r="BP35" s="101">
        <f t="shared" si="38"/>
        <v>0</v>
      </c>
      <c r="BQ35" s="78">
        <f t="shared" si="39"/>
        <v>25</v>
      </c>
      <c r="BR35" s="79">
        <f t="shared" si="58"/>
        <v>0.5</v>
      </c>
      <c r="BS35" s="102"/>
      <c r="BT35" s="102"/>
      <c r="BU35" s="103">
        <f t="shared" si="40"/>
        <v>0</v>
      </c>
      <c r="BV35" s="77">
        <f t="shared" si="14"/>
        <v>0</v>
      </c>
      <c r="BW35" s="96">
        <f t="shared" si="15"/>
        <v>0</v>
      </c>
      <c r="BX35" s="96">
        <f t="shared" si="41"/>
        <v>0</v>
      </c>
      <c r="BY35" s="96">
        <f t="shared" si="16"/>
        <v>0</v>
      </c>
      <c r="BZ35" s="96" t="e">
        <f t="shared" si="42"/>
        <v>#NUM!</v>
      </c>
      <c r="CA35" s="96" t="e">
        <f t="shared" si="17"/>
        <v>#NUM!</v>
      </c>
      <c r="CB35" s="104" t="e">
        <f t="shared" si="43"/>
        <v>#NUM!</v>
      </c>
      <c r="CC35" s="105">
        <f t="shared" si="59"/>
        <v>63.795467496919777</v>
      </c>
      <c r="CD35" s="106">
        <f t="shared" si="60"/>
        <v>76.333366521261397</v>
      </c>
      <c r="CE35" s="107">
        <f t="shared" si="61"/>
        <v>1.145000497818921</v>
      </c>
      <c r="CF35" s="108" t="s">
        <v>2189</v>
      </c>
      <c r="CG35" s="108" t="s">
        <v>2189</v>
      </c>
      <c r="CH35" s="108" t="s">
        <v>2189</v>
      </c>
      <c r="CI35" s="108" t="s">
        <v>2189</v>
      </c>
      <c r="CJ35" s="109"/>
      <c r="CM35" s="111">
        <f t="shared" si="44"/>
        <v>25</v>
      </c>
      <c r="CN35" s="107">
        <f t="shared" si="62"/>
        <v>0.375</v>
      </c>
      <c r="CP35" s="88">
        <f t="shared" si="45"/>
        <v>0</v>
      </c>
      <c r="CQ35" s="78">
        <f t="shared" si="46"/>
        <v>100</v>
      </c>
      <c r="CR35" s="79">
        <f t="shared" si="63"/>
        <v>3</v>
      </c>
      <c r="CS35" s="92"/>
      <c r="CT35" s="77">
        <f t="shared" si="23"/>
        <v>0</v>
      </c>
      <c r="CU35" s="78">
        <f t="shared" si="47"/>
        <v>100</v>
      </c>
      <c r="CV35" s="79">
        <f t="shared" si="64"/>
        <v>2</v>
      </c>
      <c r="CW35" s="112" t="e">
        <f t="shared" si="48"/>
        <v>#DIV/0!</v>
      </c>
    </row>
    <row r="36" spans="1:101" x14ac:dyDescent="0.35">
      <c r="A36" s="7" t="s">
        <v>259</v>
      </c>
      <c r="B36" s="8" t="s">
        <v>260</v>
      </c>
      <c r="C36" s="21" t="s">
        <v>261</v>
      </c>
      <c r="D36" s="25" t="s">
        <v>262</v>
      </c>
      <c r="E36" s="11" t="s">
        <v>263</v>
      </c>
      <c r="F36" s="11" t="s">
        <v>264</v>
      </c>
      <c r="G36" s="12">
        <v>27667</v>
      </c>
      <c r="H36" s="11" t="s">
        <v>24</v>
      </c>
      <c r="I36" s="11" t="s">
        <v>265</v>
      </c>
      <c r="J36" s="11" t="s">
        <v>266</v>
      </c>
      <c r="K36" s="11" t="s">
        <v>27</v>
      </c>
      <c r="L36" s="23">
        <v>50402862000</v>
      </c>
      <c r="M36" s="14">
        <v>43550273000</v>
      </c>
      <c r="N36" s="14">
        <v>6852589000</v>
      </c>
      <c r="O36" s="14">
        <v>10731117000</v>
      </c>
      <c r="P36" s="14">
        <v>550151000</v>
      </c>
      <c r="Q36" s="14">
        <v>480268000</v>
      </c>
      <c r="R36" s="14">
        <v>338500000</v>
      </c>
      <c r="AB36" s="74">
        <f t="shared" si="49"/>
        <v>0</v>
      </c>
      <c r="AC36" s="75" t="e">
        <f t="shared" si="25"/>
        <v>#DIV/0!</v>
      </c>
      <c r="AD36" s="75" t="e">
        <f t="shared" si="50"/>
        <v>#DIV/0!</v>
      </c>
      <c r="AE36" s="119" t="e">
        <f>AD36*0.04</f>
        <v>#DIV/0!</v>
      </c>
      <c r="AF36" s="77" t="e">
        <f t="shared" si="26"/>
        <v>#DIV/0!</v>
      </c>
      <c r="AG36" s="77" t="e">
        <f t="shared" si="27"/>
        <v>#DIV/0!</v>
      </c>
      <c r="AH36" s="77" t="e">
        <f t="shared" si="51"/>
        <v>#DIV/0!</v>
      </c>
      <c r="AI36" s="78" t="e">
        <f t="shared" si="52"/>
        <v>#DIV/0!</v>
      </c>
      <c r="AJ36" s="120" t="e">
        <f>AI36*0.05</f>
        <v>#DIV/0!</v>
      </c>
      <c r="AN36" s="81">
        <f t="shared" si="2"/>
        <v>0</v>
      </c>
      <c r="AO36" s="82" t="e">
        <f t="shared" si="3"/>
        <v>#DIV/0!</v>
      </c>
      <c r="AP36" s="83" t="e">
        <f t="shared" si="28"/>
        <v>#DIV/0!</v>
      </c>
      <c r="AQ36" s="121" t="e">
        <f>AP36*0.03</f>
        <v>#DIV/0!</v>
      </c>
      <c r="AS36" s="86">
        <f t="shared" si="5"/>
        <v>0.5</v>
      </c>
      <c r="AT36" s="87">
        <f t="shared" si="29"/>
        <v>0</v>
      </c>
      <c r="AU36" s="87">
        <f t="shared" si="30"/>
        <v>0</v>
      </c>
      <c r="AV36" s="88" t="e">
        <f t="shared" si="6"/>
        <v>#DIV/0!</v>
      </c>
      <c r="AW36" s="78" t="e">
        <f t="shared" si="31"/>
        <v>#DIV/0!</v>
      </c>
      <c r="AX36" s="122" t="e">
        <f>AW36*0.02</f>
        <v>#DIV/0!</v>
      </c>
      <c r="BA36" s="91">
        <f t="shared" si="8"/>
        <v>0</v>
      </c>
      <c r="BB36" s="77" t="e">
        <f t="shared" si="32"/>
        <v>#DIV/0!</v>
      </c>
      <c r="BC36" s="78" t="e">
        <f t="shared" si="33"/>
        <v>#DIV/0!</v>
      </c>
      <c r="BD36" s="120" t="e">
        <f>BC36*0.02</f>
        <v>#DIV/0!</v>
      </c>
      <c r="BE36" s="92"/>
      <c r="BF36" s="92"/>
      <c r="BG36" s="114">
        <v>18234000</v>
      </c>
      <c r="BH36" s="94">
        <f t="shared" si="10"/>
        <v>0</v>
      </c>
      <c r="BI36" s="77" t="e">
        <f t="shared" si="11"/>
        <v>#DIV/0!</v>
      </c>
      <c r="BJ36" s="95" t="str">
        <f t="shared" si="34"/>
        <v>금융업</v>
      </c>
      <c r="BK36" s="96" t="e">
        <f t="shared" si="12"/>
        <v>#DIV/0!</v>
      </c>
      <c r="BL36" s="97" t="e">
        <f t="shared" si="35"/>
        <v>#DIV/0!</v>
      </c>
      <c r="BM36" s="98" t="e">
        <f t="shared" si="36"/>
        <v>#DIV/0!</v>
      </c>
      <c r="BN36" s="99" t="e">
        <f t="shared" si="37"/>
        <v>#DIV/0!</v>
      </c>
      <c r="BP36" s="101">
        <f t="shared" si="38"/>
        <v>0</v>
      </c>
      <c r="BQ36" s="78">
        <f t="shared" si="39"/>
        <v>25</v>
      </c>
      <c r="BR36" s="120">
        <f>BQ36*0.01</f>
        <v>0.25</v>
      </c>
      <c r="BS36" s="102"/>
      <c r="BT36" s="102"/>
      <c r="BU36" s="103">
        <f t="shared" si="40"/>
        <v>0</v>
      </c>
      <c r="BV36" s="77">
        <f t="shared" si="14"/>
        <v>0</v>
      </c>
      <c r="BW36" s="96">
        <f t="shared" si="15"/>
        <v>0</v>
      </c>
      <c r="BX36" s="96">
        <f t="shared" si="41"/>
        <v>0</v>
      </c>
      <c r="BY36" s="96">
        <f t="shared" si="16"/>
        <v>0</v>
      </c>
      <c r="BZ36" s="96" t="e">
        <f t="shared" si="42"/>
        <v>#NUM!</v>
      </c>
      <c r="CA36" s="96" t="e">
        <f t="shared" si="17"/>
        <v>#NUM!</v>
      </c>
      <c r="CB36" s="104" t="e">
        <f t="shared" si="43"/>
        <v>#NUM!</v>
      </c>
      <c r="CC36" s="123" t="s">
        <v>2200</v>
      </c>
      <c r="CD36" s="124" t="s">
        <v>2200</v>
      </c>
      <c r="CE36" s="125"/>
      <c r="CF36" s="126" t="s">
        <v>2201</v>
      </c>
      <c r="CG36" s="127">
        <v>1.23</v>
      </c>
      <c r="CH36" s="126" t="s">
        <v>2201</v>
      </c>
      <c r="CI36" s="128">
        <f>IF((100-(75*(CG36-1)/9))&gt;100,100,IF((100-(75*(CG36-1)/9))&lt;25,25,(100-(75*(CG36-1)/9))))</f>
        <v>98.083333333333329</v>
      </c>
      <c r="CJ36" s="129">
        <f>CI36*0.04</f>
        <v>3.9233333333333333</v>
      </c>
      <c r="CM36" s="111">
        <f t="shared" si="44"/>
        <v>25</v>
      </c>
      <c r="CN36" s="130">
        <f>CM36*0.03</f>
        <v>0.75</v>
      </c>
      <c r="CP36" s="88">
        <f t="shared" si="45"/>
        <v>0</v>
      </c>
      <c r="CQ36" s="78">
        <f t="shared" si="46"/>
        <v>100</v>
      </c>
      <c r="CR36" s="120">
        <f>CQ36*0.04</f>
        <v>4</v>
      </c>
      <c r="CS36" s="92"/>
      <c r="CT36" s="77">
        <f t="shared" si="23"/>
        <v>0</v>
      </c>
      <c r="CU36" s="78">
        <f t="shared" si="47"/>
        <v>100</v>
      </c>
      <c r="CV36" s="131">
        <f>CU36*0.03</f>
        <v>3</v>
      </c>
      <c r="CW36" s="112" t="e">
        <f t="shared" si="48"/>
        <v>#DIV/0!</v>
      </c>
    </row>
    <row r="37" spans="1:101" x14ac:dyDescent="0.35">
      <c r="A37" s="7" t="s">
        <v>267</v>
      </c>
      <c r="B37" s="8" t="s">
        <v>268</v>
      </c>
      <c r="C37" s="21" t="s">
        <v>269</v>
      </c>
      <c r="D37" s="10" t="s">
        <v>75</v>
      </c>
      <c r="E37" s="11" t="s">
        <v>114</v>
      </c>
      <c r="F37" s="11" t="s">
        <v>270</v>
      </c>
      <c r="G37" s="12">
        <v>27573</v>
      </c>
      <c r="H37" s="11" t="s">
        <v>24</v>
      </c>
      <c r="I37" s="11" t="s">
        <v>271</v>
      </c>
      <c r="J37" s="11" t="s">
        <v>272</v>
      </c>
      <c r="K37" s="11" t="s">
        <v>27</v>
      </c>
      <c r="L37" s="23">
        <v>397444643</v>
      </c>
      <c r="M37" s="14">
        <v>209249323</v>
      </c>
      <c r="N37" s="14">
        <v>188195320</v>
      </c>
      <c r="O37" s="14">
        <v>355390202</v>
      </c>
      <c r="P37" s="14">
        <v>67734933</v>
      </c>
      <c r="Q37" s="14">
        <v>63871175</v>
      </c>
      <c r="R37" s="14">
        <v>48789612</v>
      </c>
      <c r="AB37" s="74">
        <f t="shared" si="49"/>
        <v>0</v>
      </c>
      <c r="AC37" s="75" t="e">
        <f t="shared" si="25"/>
        <v>#DIV/0!</v>
      </c>
      <c r="AD37" s="75" t="e">
        <f t="shared" si="50"/>
        <v>#DIV/0!</v>
      </c>
      <c r="AE37" s="76" t="e">
        <f t="shared" ref="AE37:AE45" si="65">AD37*0.03</f>
        <v>#DIV/0!</v>
      </c>
      <c r="AF37" s="77" t="e">
        <f t="shared" si="26"/>
        <v>#DIV/0!</v>
      </c>
      <c r="AG37" s="77" t="e">
        <f t="shared" si="27"/>
        <v>#DIV/0!</v>
      </c>
      <c r="AH37" s="77" t="e">
        <f t="shared" si="51"/>
        <v>#DIV/0!</v>
      </c>
      <c r="AI37" s="78" t="e">
        <f t="shared" si="52"/>
        <v>#DIV/0!</v>
      </c>
      <c r="AJ37" s="79" t="e">
        <f t="shared" ref="AJ37:AJ45" si="66">AI37*0.04</f>
        <v>#DIV/0!</v>
      </c>
      <c r="AN37" s="81">
        <f t="shared" si="2"/>
        <v>0</v>
      </c>
      <c r="AO37" s="82" t="e">
        <f t="shared" si="3"/>
        <v>#DIV/0!</v>
      </c>
      <c r="AP37" s="83" t="e">
        <f t="shared" si="28"/>
        <v>#DIV/0!</v>
      </c>
      <c r="AQ37" s="84" t="e">
        <f t="shared" ref="AQ37:AQ45" si="67">AP37*0.02</f>
        <v>#DIV/0!</v>
      </c>
      <c r="AS37" s="86">
        <f t="shared" si="5"/>
        <v>0.25</v>
      </c>
      <c r="AT37" s="87">
        <f t="shared" si="29"/>
        <v>0</v>
      </c>
      <c r="AU37" s="87">
        <f t="shared" si="30"/>
        <v>0</v>
      </c>
      <c r="AV37" s="88" t="e">
        <f t="shared" si="6"/>
        <v>#DIV/0!</v>
      </c>
      <c r="AW37" s="78" t="e">
        <f t="shared" si="31"/>
        <v>#DIV/0!</v>
      </c>
      <c r="AX37" s="89" t="e">
        <f t="shared" ref="AX37:AX45" si="68">AW37*0.01</f>
        <v>#DIV/0!</v>
      </c>
      <c r="BA37" s="91">
        <f t="shared" si="8"/>
        <v>0</v>
      </c>
      <c r="BB37" s="77" t="e">
        <f t="shared" si="32"/>
        <v>#DIV/0!</v>
      </c>
      <c r="BC37" s="78" t="e">
        <f t="shared" si="33"/>
        <v>#DIV/0!</v>
      </c>
      <c r="BD37" s="79" t="e">
        <f t="shared" ref="BD37:BD45" si="69">BC37*0.01</f>
        <v>#DIV/0!</v>
      </c>
      <c r="BE37" s="92"/>
      <c r="BF37" s="92"/>
      <c r="BG37" s="114">
        <v>442967</v>
      </c>
      <c r="BH37" s="94">
        <f t="shared" si="10"/>
        <v>0</v>
      </c>
      <c r="BI37" s="77" t="e">
        <f t="shared" si="11"/>
        <v>#DIV/0!</v>
      </c>
      <c r="BJ37" s="95" t="str">
        <f t="shared" si="34"/>
        <v>금속/비금속/화학업</v>
      </c>
      <c r="BK37" s="96" t="e">
        <f t="shared" si="12"/>
        <v>#DIV/0!</v>
      </c>
      <c r="BL37" s="97" t="e">
        <f t="shared" si="35"/>
        <v>#DIV/0!</v>
      </c>
      <c r="BM37" s="98" t="e">
        <f t="shared" si="36"/>
        <v>#DIV/0!</v>
      </c>
      <c r="BN37" s="99" t="e">
        <f t="shared" si="37"/>
        <v>#DIV/0!</v>
      </c>
      <c r="BP37" s="101">
        <f t="shared" si="38"/>
        <v>0</v>
      </c>
      <c r="BQ37" s="78">
        <f t="shared" si="39"/>
        <v>25</v>
      </c>
      <c r="BR37" s="79">
        <f t="shared" ref="BR37:BR45" si="70">BQ37*0.02</f>
        <v>0.5</v>
      </c>
      <c r="BS37" s="102"/>
      <c r="BT37" s="102"/>
      <c r="BU37" s="103">
        <f t="shared" si="40"/>
        <v>0</v>
      </c>
      <c r="BV37" s="77">
        <f t="shared" si="14"/>
        <v>0</v>
      </c>
      <c r="BW37" s="96">
        <f t="shared" si="15"/>
        <v>0</v>
      </c>
      <c r="BX37" s="96">
        <f t="shared" si="41"/>
        <v>0</v>
      </c>
      <c r="BY37" s="96">
        <f t="shared" si="16"/>
        <v>0</v>
      </c>
      <c r="BZ37" s="96" t="e">
        <f t="shared" si="42"/>
        <v>#NUM!</v>
      </c>
      <c r="CA37" s="96" t="e">
        <f t="shared" si="17"/>
        <v>#NUM!</v>
      </c>
      <c r="CB37" s="104" t="e">
        <f t="shared" si="43"/>
        <v>#NUM!</v>
      </c>
      <c r="CC37" s="105">
        <f t="shared" ref="CC37:CC45" si="71">(M37/N37)*100</f>
        <v>111.18731485990195</v>
      </c>
      <c r="CD37" s="106">
        <f t="shared" ref="CD37:CD45" si="72">IF((100-(75*(CC37-1)/(200-1)))&gt;100, 100, IF((100-(75*(CC37-1)/(200-1)))&lt;25, 25, (100-(75*(CC37-1)/(200-1)))))</f>
        <v>58.472117515112338</v>
      </c>
      <c r="CE37" s="107">
        <f t="shared" ref="CE37:CE45" si="73">CD37*0.015</f>
        <v>0.87708176272668503</v>
      </c>
      <c r="CF37" s="108" t="s">
        <v>2189</v>
      </c>
      <c r="CG37" s="108" t="s">
        <v>2189</v>
      </c>
      <c r="CH37" s="108" t="s">
        <v>2189</v>
      </c>
      <c r="CI37" s="108" t="s">
        <v>2189</v>
      </c>
      <c r="CJ37" s="109"/>
      <c r="CM37" s="111">
        <f t="shared" si="44"/>
        <v>25</v>
      </c>
      <c r="CN37" s="107">
        <f t="shared" ref="CN37:CN45" si="74">CM37*0.015</f>
        <v>0.375</v>
      </c>
      <c r="CP37" s="88">
        <f t="shared" si="45"/>
        <v>0</v>
      </c>
      <c r="CQ37" s="78">
        <f t="shared" si="46"/>
        <v>100</v>
      </c>
      <c r="CR37" s="79">
        <f t="shared" ref="CR37:CR45" si="75">CQ37*0.03</f>
        <v>3</v>
      </c>
      <c r="CS37" s="92"/>
      <c r="CT37" s="77">
        <f t="shared" si="23"/>
        <v>0</v>
      </c>
      <c r="CU37" s="78">
        <f t="shared" si="47"/>
        <v>100</v>
      </c>
      <c r="CV37" s="79">
        <f t="shared" ref="CV37:CV45" si="76">CU37*0.02</f>
        <v>2</v>
      </c>
      <c r="CW37" s="112" t="e">
        <f t="shared" si="48"/>
        <v>#DIV/0!</v>
      </c>
    </row>
    <row r="38" spans="1:101" x14ac:dyDescent="0.35">
      <c r="A38" s="7" t="s">
        <v>273</v>
      </c>
      <c r="B38" s="8" t="s">
        <v>274</v>
      </c>
      <c r="C38" s="21" t="s">
        <v>275</v>
      </c>
      <c r="D38" s="22" t="s">
        <v>75</v>
      </c>
      <c r="E38" s="11" t="s">
        <v>276</v>
      </c>
      <c r="F38" s="11" t="s">
        <v>277</v>
      </c>
      <c r="G38" s="12">
        <v>44417</v>
      </c>
      <c r="H38" s="11" t="s">
        <v>24</v>
      </c>
      <c r="I38" s="11" t="s">
        <v>278</v>
      </c>
      <c r="J38" s="11" t="s">
        <v>279</v>
      </c>
      <c r="K38" s="11" t="s">
        <v>280</v>
      </c>
      <c r="L38" s="23">
        <v>498996616</v>
      </c>
      <c r="M38" s="14">
        <v>157543399</v>
      </c>
      <c r="N38" s="14">
        <v>341453217</v>
      </c>
      <c r="O38" s="14">
        <v>276440430</v>
      </c>
      <c r="P38" s="14">
        <v>52135090</v>
      </c>
      <c r="Q38" s="14">
        <v>53978399</v>
      </c>
      <c r="R38" s="14">
        <v>45710486</v>
      </c>
      <c r="AB38" s="74">
        <f t="shared" si="49"/>
        <v>0</v>
      </c>
      <c r="AC38" s="75" t="e">
        <f t="shared" si="25"/>
        <v>#DIV/0!</v>
      </c>
      <c r="AD38" s="75" t="e">
        <f t="shared" si="50"/>
        <v>#DIV/0!</v>
      </c>
      <c r="AE38" s="76" t="e">
        <f t="shared" si="65"/>
        <v>#DIV/0!</v>
      </c>
      <c r="AF38" s="77" t="e">
        <f t="shared" si="26"/>
        <v>#DIV/0!</v>
      </c>
      <c r="AG38" s="77" t="e">
        <f t="shared" si="27"/>
        <v>#DIV/0!</v>
      </c>
      <c r="AH38" s="77" t="e">
        <f t="shared" si="51"/>
        <v>#DIV/0!</v>
      </c>
      <c r="AI38" s="78" t="e">
        <f t="shared" si="52"/>
        <v>#DIV/0!</v>
      </c>
      <c r="AJ38" s="79" t="e">
        <f t="shared" si="66"/>
        <v>#DIV/0!</v>
      </c>
      <c r="AN38" s="81">
        <f t="shared" si="2"/>
        <v>0</v>
      </c>
      <c r="AO38" s="82" t="e">
        <f t="shared" si="3"/>
        <v>#DIV/0!</v>
      </c>
      <c r="AP38" s="83" t="e">
        <f t="shared" si="28"/>
        <v>#DIV/0!</v>
      </c>
      <c r="AQ38" s="84" t="e">
        <f t="shared" si="67"/>
        <v>#DIV/0!</v>
      </c>
      <c r="AS38" s="86">
        <f t="shared" si="5"/>
        <v>0.25</v>
      </c>
      <c r="AT38" s="87">
        <f t="shared" si="29"/>
        <v>0</v>
      </c>
      <c r="AU38" s="87">
        <f t="shared" si="30"/>
        <v>0</v>
      </c>
      <c r="AV38" s="88" t="e">
        <f t="shared" si="6"/>
        <v>#DIV/0!</v>
      </c>
      <c r="AW38" s="78" t="e">
        <f t="shared" si="31"/>
        <v>#DIV/0!</v>
      </c>
      <c r="AX38" s="89" t="e">
        <f t="shared" si="68"/>
        <v>#DIV/0!</v>
      </c>
      <c r="BA38" s="91">
        <f t="shared" si="8"/>
        <v>0</v>
      </c>
      <c r="BB38" s="77" t="e">
        <f t="shared" si="32"/>
        <v>#DIV/0!</v>
      </c>
      <c r="BC38" s="78" t="e">
        <f t="shared" si="33"/>
        <v>#DIV/0!</v>
      </c>
      <c r="BD38" s="79" t="e">
        <f t="shared" si="69"/>
        <v>#DIV/0!</v>
      </c>
      <c r="BE38" s="92"/>
      <c r="BF38" s="92"/>
      <c r="BG38" s="114">
        <v>304983</v>
      </c>
      <c r="BH38" s="94">
        <f t="shared" si="10"/>
        <v>0</v>
      </c>
      <c r="BI38" s="77" t="e">
        <f t="shared" si="11"/>
        <v>#DIV/0!</v>
      </c>
      <c r="BJ38" s="95" t="str">
        <f t="shared" si="34"/>
        <v>금속/비금속/화학업</v>
      </c>
      <c r="BK38" s="96" t="e">
        <f t="shared" si="12"/>
        <v>#DIV/0!</v>
      </c>
      <c r="BL38" s="97" t="e">
        <f t="shared" si="35"/>
        <v>#DIV/0!</v>
      </c>
      <c r="BM38" s="98" t="e">
        <f t="shared" si="36"/>
        <v>#DIV/0!</v>
      </c>
      <c r="BN38" s="99" t="e">
        <f t="shared" si="37"/>
        <v>#DIV/0!</v>
      </c>
      <c r="BP38" s="101">
        <f t="shared" si="38"/>
        <v>0</v>
      </c>
      <c r="BQ38" s="78">
        <f t="shared" si="39"/>
        <v>25</v>
      </c>
      <c r="BR38" s="79">
        <f t="shared" si="70"/>
        <v>0.5</v>
      </c>
      <c r="BS38" s="102"/>
      <c r="BT38" s="102"/>
      <c r="BU38" s="103">
        <f t="shared" si="40"/>
        <v>0</v>
      </c>
      <c r="BV38" s="77">
        <f t="shared" si="14"/>
        <v>0</v>
      </c>
      <c r="BW38" s="96">
        <f t="shared" si="15"/>
        <v>0</v>
      </c>
      <c r="BX38" s="96">
        <f t="shared" si="41"/>
        <v>0</v>
      </c>
      <c r="BY38" s="96">
        <f t="shared" si="16"/>
        <v>0</v>
      </c>
      <c r="BZ38" s="96" t="e">
        <f t="shared" si="42"/>
        <v>#NUM!</v>
      </c>
      <c r="CA38" s="96" t="e">
        <f t="shared" si="17"/>
        <v>#NUM!</v>
      </c>
      <c r="CB38" s="104" t="e">
        <f t="shared" si="43"/>
        <v>#NUM!</v>
      </c>
      <c r="CC38" s="105">
        <f t="shared" si="71"/>
        <v>46.139087627925321</v>
      </c>
      <c r="CD38" s="106">
        <f t="shared" si="72"/>
        <v>82.987781044751756</v>
      </c>
      <c r="CE38" s="107">
        <f t="shared" si="73"/>
        <v>1.2448167156712764</v>
      </c>
      <c r="CF38" s="108" t="s">
        <v>2189</v>
      </c>
      <c r="CG38" s="108" t="s">
        <v>2189</v>
      </c>
      <c r="CH38" s="108" t="s">
        <v>2189</v>
      </c>
      <c r="CI38" s="108" t="s">
        <v>2189</v>
      </c>
      <c r="CJ38" s="109"/>
      <c r="CM38" s="111">
        <f t="shared" si="44"/>
        <v>25</v>
      </c>
      <c r="CN38" s="107">
        <f t="shared" si="74"/>
        <v>0.375</v>
      </c>
      <c r="CP38" s="88">
        <f t="shared" si="45"/>
        <v>0</v>
      </c>
      <c r="CQ38" s="78">
        <f t="shared" si="46"/>
        <v>100</v>
      </c>
      <c r="CR38" s="79">
        <f t="shared" si="75"/>
        <v>3</v>
      </c>
      <c r="CS38" s="92"/>
      <c r="CT38" s="77">
        <f t="shared" si="23"/>
        <v>0</v>
      </c>
      <c r="CU38" s="78">
        <f t="shared" si="47"/>
        <v>100</v>
      </c>
      <c r="CV38" s="79">
        <f t="shared" si="76"/>
        <v>2</v>
      </c>
      <c r="CW38" s="112" t="e">
        <f t="shared" si="48"/>
        <v>#DIV/0!</v>
      </c>
    </row>
    <row r="39" spans="1:101" x14ac:dyDescent="0.35">
      <c r="A39" s="7" t="s">
        <v>281</v>
      </c>
      <c r="B39" s="8" t="s">
        <v>282</v>
      </c>
      <c r="C39" s="21" t="s">
        <v>283</v>
      </c>
      <c r="D39" s="22" t="s">
        <v>141</v>
      </c>
      <c r="E39" s="11" t="s">
        <v>284</v>
      </c>
      <c r="F39" s="11" t="s">
        <v>285</v>
      </c>
      <c r="G39" s="12">
        <v>33975</v>
      </c>
      <c r="H39" s="11" t="s">
        <v>24</v>
      </c>
      <c r="I39" s="11" t="s">
        <v>286</v>
      </c>
      <c r="J39" s="11" t="s">
        <v>287</v>
      </c>
      <c r="K39" s="11" t="s">
        <v>27</v>
      </c>
      <c r="L39" s="23">
        <v>1689083868</v>
      </c>
      <c r="M39" s="14">
        <v>1058363402</v>
      </c>
      <c r="N39" s="14">
        <v>630720466</v>
      </c>
      <c r="O39" s="14">
        <v>903462137</v>
      </c>
      <c r="P39" s="14">
        <v>135794969</v>
      </c>
      <c r="Q39" s="14">
        <v>110455021</v>
      </c>
      <c r="R39" s="14">
        <v>82620907</v>
      </c>
      <c r="AB39" s="74">
        <f t="shared" si="49"/>
        <v>0</v>
      </c>
      <c r="AC39" s="75" t="e">
        <f t="shared" si="25"/>
        <v>#DIV/0!</v>
      </c>
      <c r="AD39" s="75" t="e">
        <f t="shared" si="50"/>
        <v>#DIV/0!</v>
      </c>
      <c r="AE39" s="76" t="e">
        <f t="shared" si="65"/>
        <v>#DIV/0!</v>
      </c>
      <c r="AF39" s="77" t="e">
        <f t="shared" si="26"/>
        <v>#DIV/0!</v>
      </c>
      <c r="AG39" s="77" t="e">
        <f t="shared" si="27"/>
        <v>#DIV/0!</v>
      </c>
      <c r="AH39" s="77" t="e">
        <f t="shared" si="51"/>
        <v>#DIV/0!</v>
      </c>
      <c r="AI39" s="78" t="e">
        <f t="shared" si="52"/>
        <v>#DIV/0!</v>
      </c>
      <c r="AJ39" s="79" t="e">
        <f t="shared" si="66"/>
        <v>#DIV/0!</v>
      </c>
      <c r="AN39" s="81">
        <f t="shared" si="2"/>
        <v>0</v>
      </c>
      <c r="AO39" s="82" t="e">
        <f t="shared" si="3"/>
        <v>#DIV/0!</v>
      </c>
      <c r="AP39" s="83" t="e">
        <f t="shared" si="28"/>
        <v>#DIV/0!</v>
      </c>
      <c r="AQ39" s="84" t="e">
        <f t="shared" si="67"/>
        <v>#DIV/0!</v>
      </c>
      <c r="AS39" s="86">
        <f t="shared" si="5"/>
        <v>0.25</v>
      </c>
      <c r="AT39" s="87">
        <f t="shared" si="29"/>
        <v>0</v>
      </c>
      <c r="AU39" s="87">
        <f t="shared" si="30"/>
        <v>0</v>
      </c>
      <c r="AV39" s="88" t="e">
        <f t="shared" si="6"/>
        <v>#DIV/0!</v>
      </c>
      <c r="AW39" s="78" t="e">
        <f t="shared" si="31"/>
        <v>#DIV/0!</v>
      </c>
      <c r="AX39" s="89" t="e">
        <f t="shared" si="68"/>
        <v>#DIV/0!</v>
      </c>
      <c r="BA39" s="91">
        <f t="shared" si="8"/>
        <v>0</v>
      </c>
      <c r="BB39" s="77" t="e">
        <f t="shared" si="32"/>
        <v>#DIV/0!</v>
      </c>
      <c r="BC39" s="78" t="e">
        <f t="shared" si="33"/>
        <v>#DIV/0!</v>
      </c>
      <c r="BD39" s="79" t="e">
        <f t="shared" si="69"/>
        <v>#DIV/0!</v>
      </c>
      <c r="BE39" s="92"/>
      <c r="BF39" s="92"/>
      <c r="BG39" s="114">
        <v>206124</v>
      </c>
      <c r="BH39" s="94">
        <f t="shared" si="10"/>
        <v>0</v>
      </c>
      <c r="BI39" s="77" t="e">
        <f t="shared" si="11"/>
        <v>#DIV/0!</v>
      </c>
      <c r="BJ39" s="95" t="str">
        <f t="shared" si="34"/>
        <v>전기전자/기계업</v>
      </c>
      <c r="BK39" s="96" t="e">
        <f t="shared" si="12"/>
        <v>#DIV/0!</v>
      </c>
      <c r="BL39" s="97" t="e">
        <f t="shared" si="35"/>
        <v>#DIV/0!</v>
      </c>
      <c r="BM39" s="98" t="e">
        <f t="shared" si="36"/>
        <v>#DIV/0!</v>
      </c>
      <c r="BN39" s="99" t="e">
        <f t="shared" si="37"/>
        <v>#DIV/0!</v>
      </c>
      <c r="BP39" s="101">
        <f t="shared" si="38"/>
        <v>0</v>
      </c>
      <c r="BQ39" s="78">
        <f t="shared" si="39"/>
        <v>25</v>
      </c>
      <c r="BR39" s="79">
        <f t="shared" si="70"/>
        <v>0.5</v>
      </c>
      <c r="BS39" s="102"/>
      <c r="BT39" s="102"/>
      <c r="BU39" s="103">
        <f t="shared" si="40"/>
        <v>0</v>
      </c>
      <c r="BV39" s="77">
        <f t="shared" si="14"/>
        <v>0</v>
      </c>
      <c r="BW39" s="96">
        <f t="shared" si="15"/>
        <v>0</v>
      </c>
      <c r="BX39" s="96">
        <f t="shared" si="41"/>
        <v>0</v>
      </c>
      <c r="BY39" s="96">
        <f t="shared" si="16"/>
        <v>0</v>
      </c>
      <c r="BZ39" s="96" t="e">
        <f t="shared" si="42"/>
        <v>#NUM!</v>
      </c>
      <c r="CA39" s="96" t="e">
        <f t="shared" si="17"/>
        <v>#NUM!</v>
      </c>
      <c r="CB39" s="104" t="e">
        <f t="shared" si="43"/>
        <v>#NUM!</v>
      </c>
      <c r="CC39" s="105">
        <f t="shared" si="71"/>
        <v>167.8022926245111</v>
      </c>
      <c r="CD39" s="106">
        <f t="shared" si="72"/>
        <v>37.134814337495818</v>
      </c>
      <c r="CE39" s="107">
        <f t="shared" si="73"/>
        <v>0.55702221506243721</v>
      </c>
      <c r="CF39" s="108" t="s">
        <v>2189</v>
      </c>
      <c r="CG39" s="108" t="s">
        <v>2189</v>
      </c>
      <c r="CH39" s="108" t="s">
        <v>2189</v>
      </c>
      <c r="CI39" s="108" t="s">
        <v>2189</v>
      </c>
      <c r="CJ39" s="109"/>
      <c r="CM39" s="111">
        <f t="shared" si="44"/>
        <v>25</v>
      </c>
      <c r="CN39" s="107">
        <f t="shared" si="74"/>
        <v>0.375</v>
      </c>
      <c r="CP39" s="88">
        <f t="shared" si="45"/>
        <v>0</v>
      </c>
      <c r="CQ39" s="78">
        <f t="shared" si="46"/>
        <v>100</v>
      </c>
      <c r="CR39" s="79">
        <f t="shared" si="75"/>
        <v>3</v>
      </c>
      <c r="CS39" s="92"/>
      <c r="CT39" s="77">
        <f t="shared" si="23"/>
        <v>0</v>
      </c>
      <c r="CU39" s="78">
        <f t="shared" si="47"/>
        <v>100</v>
      </c>
      <c r="CV39" s="79">
        <f t="shared" si="76"/>
        <v>2</v>
      </c>
      <c r="CW39" s="112" t="e">
        <f t="shared" si="48"/>
        <v>#DIV/0!</v>
      </c>
    </row>
    <row r="40" spans="1:101" x14ac:dyDescent="0.35">
      <c r="A40" s="7" t="s">
        <v>288</v>
      </c>
      <c r="B40" s="8" t="s">
        <v>289</v>
      </c>
      <c r="C40" s="21" t="s">
        <v>290</v>
      </c>
      <c r="D40" s="22" t="s">
        <v>75</v>
      </c>
      <c r="E40" s="11" t="s">
        <v>114</v>
      </c>
      <c r="F40" s="11" t="s">
        <v>291</v>
      </c>
      <c r="G40" s="12">
        <v>32470</v>
      </c>
      <c r="H40" s="11" t="s">
        <v>24</v>
      </c>
      <c r="I40" s="11" t="s">
        <v>292</v>
      </c>
      <c r="J40" s="11" t="s">
        <v>293</v>
      </c>
      <c r="K40" s="11" t="s">
        <v>50</v>
      </c>
      <c r="L40" s="23">
        <v>88291972</v>
      </c>
      <c r="M40" s="14">
        <v>36836002</v>
      </c>
      <c r="N40" s="14">
        <v>51455970</v>
      </c>
      <c r="O40" s="14">
        <v>125263993</v>
      </c>
      <c r="P40" s="14">
        <v>14179053</v>
      </c>
      <c r="Q40" s="14">
        <v>13787797</v>
      </c>
      <c r="R40" s="14">
        <v>10819014</v>
      </c>
      <c r="AB40" s="74">
        <f t="shared" si="49"/>
        <v>0</v>
      </c>
      <c r="AC40" s="75" t="e">
        <f t="shared" si="25"/>
        <v>#DIV/0!</v>
      </c>
      <c r="AD40" s="75" t="e">
        <f t="shared" si="50"/>
        <v>#DIV/0!</v>
      </c>
      <c r="AE40" s="76" t="e">
        <f t="shared" si="65"/>
        <v>#DIV/0!</v>
      </c>
      <c r="AF40" s="77" t="e">
        <f t="shared" si="26"/>
        <v>#DIV/0!</v>
      </c>
      <c r="AG40" s="77" t="e">
        <f t="shared" si="27"/>
        <v>#DIV/0!</v>
      </c>
      <c r="AH40" s="77" t="e">
        <f t="shared" si="51"/>
        <v>#DIV/0!</v>
      </c>
      <c r="AI40" s="78" t="e">
        <f t="shared" si="52"/>
        <v>#DIV/0!</v>
      </c>
      <c r="AJ40" s="79" t="e">
        <f t="shared" si="66"/>
        <v>#DIV/0!</v>
      </c>
      <c r="AN40" s="81">
        <f t="shared" si="2"/>
        <v>0</v>
      </c>
      <c r="AO40" s="82" t="e">
        <f t="shared" si="3"/>
        <v>#DIV/0!</v>
      </c>
      <c r="AP40" s="83" t="e">
        <f t="shared" si="28"/>
        <v>#DIV/0!</v>
      </c>
      <c r="AQ40" s="84" t="e">
        <f t="shared" si="67"/>
        <v>#DIV/0!</v>
      </c>
      <c r="AS40" s="86">
        <f t="shared" si="5"/>
        <v>0.25</v>
      </c>
      <c r="AT40" s="87">
        <f t="shared" si="29"/>
        <v>0</v>
      </c>
      <c r="AU40" s="87">
        <f t="shared" si="30"/>
        <v>0</v>
      </c>
      <c r="AV40" s="88" t="e">
        <f t="shared" si="6"/>
        <v>#DIV/0!</v>
      </c>
      <c r="AW40" s="78" t="e">
        <f t="shared" si="31"/>
        <v>#DIV/0!</v>
      </c>
      <c r="AX40" s="89" t="e">
        <f t="shared" si="68"/>
        <v>#DIV/0!</v>
      </c>
      <c r="BA40" s="91">
        <f t="shared" si="8"/>
        <v>0</v>
      </c>
      <c r="BB40" s="77" t="e">
        <f t="shared" si="32"/>
        <v>#DIV/0!</v>
      </c>
      <c r="BC40" s="78" t="e">
        <f t="shared" si="33"/>
        <v>#DIV/0!</v>
      </c>
      <c r="BD40" s="79" t="e">
        <f t="shared" si="69"/>
        <v>#DIV/0!</v>
      </c>
      <c r="BE40" s="92"/>
      <c r="BF40" s="92"/>
      <c r="BG40" s="114">
        <v>120568</v>
      </c>
      <c r="BH40" s="94">
        <f t="shared" si="10"/>
        <v>0</v>
      </c>
      <c r="BI40" s="77" t="e">
        <f t="shared" si="11"/>
        <v>#DIV/0!</v>
      </c>
      <c r="BJ40" s="95" t="str">
        <f t="shared" si="34"/>
        <v>금속/비금속/화학업</v>
      </c>
      <c r="BK40" s="96" t="e">
        <f t="shared" si="12"/>
        <v>#DIV/0!</v>
      </c>
      <c r="BL40" s="97" t="e">
        <f t="shared" si="35"/>
        <v>#DIV/0!</v>
      </c>
      <c r="BM40" s="98" t="e">
        <f t="shared" si="36"/>
        <v>#DIV/0!</v>
      </c>
      <c r="BN40" s="99" t="e">
        <f t="shared" si="37"/>
        <v>#DIV/0!</v>
      </c>
      <c r="BP40" s="101">
        <f t="shared" si="38"/>
        <v>0</v>
      </c>
      <c r="BQ40" s="78">
        <f t="shared" si="39"/>
        <v>25</v>
      </c>
      <c r="BR40" s="79">
        <f t="shared" si="70"/>
        <v>0.5</v>
      </c>
      <c r="BS40" s="102"/>
      <c r="BT40" s="102"/>
      <c r="BU40" s="103">
        <f t="shared" si="40"/>
        <v>0</v>
      </c>
      <c r="BV40" s="77">
        <f t="shared" si="14"/>
        <v>0</v>
      </c>
      <c r="BW40" s="96">
        <f t="shared" si="15"/>
        <v>0</v>
      </c>
      <c r="BX40" s="96">
        <f t="shared" si="41"/>
        <v>0</v>
      </c>
      <c r="BY40" s="96">
        <f t="shared" si="16"/>
        <v>0</v>
      </c>
      <c r="BZ40" s="96" t="e">
        <f t="shared" si="42"/>
        <v>#NUM!</v>
      </c>
      <c r="CA40" s="96" t="e">
        <f t="shared" si="17"/>
        <v>#NUM!</v>
      </c>
      <c r="CB40" s="104" t="e">
        <f t="shared" si="43"/>
        <v>#NUM!</v>
      </c>
      <c r="CC40" s="105">
        <f t="shared" si="71"/>
        <v>71.587421245775758</v>
      </c>
      <c r="CD40" s="106">
        <f t="shared" si="72"/>
        <v>73.396700535511656</v>
      </c>
      <c r="CE40" s="107">
        <f t="shared" si="73"/>
        <v>1.1009505080326747</v>
      </c>
      <c r="CF40" s="108" t="s">
        <v>2189</v>
      </c>
      <c r="CG40" s="108" t="s">
        <v>2189</v>
      </c>
      <c r="CH40" s="108" t="s">
        <v>2189</v>
      </c>
      <c r="CI40" s="108" t="s">
        <v>2189</v>
      </c>
      <c r="CJ40" s="109"/>
      <c r="CM40" s="111">
        <f t="shared" si="44"/>
        <v>25</v>
      </c>
      <c r="CN40" s="107">
        <f t="shared" si="74"/>
        <v>0.375</v>
      </c>
      <c r="CP40" s="88">
        <f t="shared" si="45"/>
        <v>0</v>
      </c>
      <c r="CQ40" s="78">
        <f t="shared" si="46"/>
        <v>100</v>
      </c>
      <c r="CR40" s="79">
        <f t="shared" si="75"/>
        <v>3</v>
      </c>
      <c r="CS40" s="92"/>
      <c r="CT40" s="77">
        <f t="shared" si="23"/>
        <v>0</v>
      </c>
      <c r="CU40" s="78">
        <f t="shared" si="47"/>
        <v>100</v>
      </c>
      <c r="CV40" s="79">
        <f t="shared" si="76"/>
        <v>2</v>
      </c>
      <c r="CW40" s="112" t="e">
        <f t="shared" si="48"/>
        <v>#DIV/0!</v>
      </c>
    </row>
    <row r="41" spans="1:101" x14ac:dyDescent="0.35">
      <c r="A41" s="7" t="s">
        <v>294</v>
      </c>
      <c r="B41" s="8" t="s">
        <v>295</v>
      </c>
      <c r="C41" s="21" t="s">
        <v>296</v>
      </c>
      <c r="D41" s="10" t="s">
        <v>75</v>
      </c>
      <c r="E41" s="11" t="s">
        <v>114</v>
      </c>
      <c r="F41" s="11" t="s">
        <v>297</v>
      </c>
      <c r="G41" s="12">
        <v>32718</v>
      </c>
      <c r="H41" s="11" t="s">
        <v>24</v>
      </c>
      <c r="I41" s="11" t="s">
        <v>298</v>
      </c>
      <c r="J41" s="11" t="s">
        <v>299</v>
      </c>
      <c r="K41" s="11" t="s">
        <v>87</v>
      </c>
      <c r="L41" s="23">
        <v>784010055</v>
      </c>
      <c r="M41" s="14">
        <v>266944685</v>
      </c>
      <c r="N41" s="14">
        <v>517065370</v>
      </c>
      <c r="O41" s="14">
        <v>504474738</v>
      </c>
      <c r="P41" s="14">
        <v>87061651</v>
      </c>
      <c r="Q41" s="14">
        <v>64111344</v>
      </c>
      <c r="R41" s="14">
        <v>47519888</v>
      </c>
      <c r="AB41" s="74">
        <f t="shared" si="49"/>
        <v>0</v>
      </c>
      <c r="AC41" s="75" t="e">
        <f t="shared" si="25"/>
        <v>#DIV/0!</v>
      </c>
      <c r="AD41" s="75" t="e">
        <f t="shared" si="50"/>
        <v>#DIV/0!</v>
      </c>
      <c r="AE41" s="76" t="e">
        <f t="shared" si="65"/>
        <v>#DIV/0!</v>
      </c>
      <c r="AF41" s="77" t="e">
        <f t="shared" si="26"/>
        <v>#DIV/0!</v>
      </c>
      <c r="AG41" s="77" t="e">
        <f t="shared" si="27"/>
        <v>#DIV/0!</v>
      </c>
      <c r="AH41" s="77" t="e">
        <f t="shared" si="51"/>
        <v>#DIV/0!</v>
      </c>
      <c r="AI41" s="78" t="e">
        <f t="shared" si="52"/>
        <v>#DIV/0!</v>
      </c>
      <c r="AJ41" s="79" t="e">
        <f t="shared" si="66"/>
        <v>#DIV/0!</v>
      </c>
      <c r="AN41" s="81">
        <f t="shared" si="2"/>
        <v>0</v>
      </c>
      <c r="AO41" s="82" t="e">
        <f t="shared" si="3"/>
        <v>#DIV/0!</v>
      </c>
      <c r="AP41" s="83" t="e">
        <f t="shared" si="28"/>
        <v>#DIV/0!</v>
      </c>
      <c r="AQ41" s="84" t="e">
        <f t="shared" si="67"/>
        <v>#DIV/0!</v>
      </c>
      <c r="AS41" s="86">
        <f t="shared" si="5"/>
        <v>0.25</v>
      </c>
      <c r="AT41" s="87">
        <f t="shared" si="29"/>
        <v>0</v>
      </c>
      <c r="AU41" s="87">
        <f t="shared" si="30"/>
        <v>0</v>
      </c>
      <c r="AV41" s="88" t="e">
        <f t="shared" si="6"/>
        <v>#DIV/0!</v>
      </c>
      <c r="AW41" s="78" t="e">
        <f t="shared" si="31"/>
        <v>#DIV/0!</v>
      </c>
      <c r="AX41" s="89" t="e">
        <f t="shared" si="68"/>
        <v>#DIV/0!</v>
      </c>
      <c r="BA41" s="91">
        <f t="shared" si="8"/>
        <v>0</v>
      </c>
      <c r="BB41" s="77" t="e">
        <f t="shared" si="32"/>
        <v>#DIV/0!</v>
      </c>
      <c r="BC41" s="78" t="e">
        <f t="shared" si="33"/>
        <v>#DIV/0!</v>
      </c>
      <c r="BD41" s="79" t="e">
        <f t="shared" si="69"/>
        <v>#DIV/0!</v>
      </c>
      <c r="BE41" s="92"/>
      <c r="BF41" s="92"/>
      <c r="BG41" s="93">
        <v>0</v>
      </c>
      <c r="BH41" s="94">
        <f t="shared" si="10"/>
        <v>0</v>
      </c>
      <c r="BI41" s="77" t="e">
        <f t="shared" si="11"/>
        <v>#DIV/0!</v>
      </c>
      <c r="BJ41" s="95" t="str">
        <f t="shared" si="34"/>
        <v>금속/비금속/화학업</v>
      </c>
      <c r="BK41" s="96" t="e">
        <f t="shared" si="12"/>
        <v>#DIV/0!</v>
      </c>
      <c r="BL41" s="97" t="e">
        <f t="shared" si="35"/>
        <v>#DIV/0!</v>
      </c>
      <c r="BM41" s="98" t="e">
        <f t="shared" si="36"/>
        <v>#DIV/0!</v>
      </c>
      <c r="BN41" s="99" t="e">
        <f t="shared" si="37"/>
        <v>#DIV/0!</v>
      </c>
      <c r="BP41" s="101">
        <f t="shared" si="38"/>
        <v>0</v>
      </c>
      <c r="BQ41" s="78">
        <f t="shared" si="39"/>
        <v>25</v>
      </c>
      <c r="BR41" s="79">
        <f t="shared" si="70"/>
        <v>0.5</v>
      </c>
      <c r="BS41" s="102"/>
      <c r="BT41" s="102"/>
      <c r="BU41" s="103">
        <f t="shared" si="40"/>
        <v>0</v>
      </c>
      <c r="BV41" s="77">
        <f t="shared" si="14"/>
        <v>0</v>
      </c>
      <c r="BW41" s="96">
        <f t="shared" si="15"/>
        <v>0</v>
      </c>
      <c r="BX41" s="96">
        <f t="shared" si="41"/>
        <v>0</v>
      </c>
      <c r="BY41" s="96">
        <f t="shared" si="16"/>
        <v>0</v>
      </c>
      <c r="BZ41" s="96" t="e">
        <f t="shared" si="42"/>
        <v>#NUM!</v>
      </c>
      <c r="CA41" s="96" t="e">
        <f t="shared" si="17"/>
        <v>#NUM!</v>
      </c>
      <c r="CB41" s="104" t="e">
        <f t="shared" si="43"/>
        <v>#NUM!</v>
      </c>
      <c r="CC41" s="105">
        <f t="shared" si="71"/>
        <v>51.626873600140733</v>
      </c>
      <c r="CD41" s="106">
        <f t="shared" si="72"/>
        <v>80.919519999946957</v>
      </c>
      <c r="CE41" s="107">
        <f t="shared" si="73"/>
        <v>1.2137927999992042</v>
      </c>
      <c r="CF41" s="108" t="s">
        <v>2189</v>
      </c>
      <c r="CG41" s="108" t="s">
        <v>2189</v>
      </c>
      <c r="CH41" s="108" t="s">
        <v>2189</v>
      </c>
      <c r="CI41" s="108" t="s">
        <v>2189</v>
      </c>
      <c r="CJ41" s="109"/>
      <c r="CM41" s="111">
        <f t="shared" si="44"/>
        <v>25</v>
      </c>
      <c r="CN41" s="107">
        <f t="shared" si="74"/>
        <v>0.375</v>
      </c>
      <c r="CP41" s="88">
        <f t="shared" si="45"/>
        <v>0</v>
      </c>
      <c r="CQ41" s="78">
        <f t="shared" si="46"/>
        <v>100</v>
      </c>
      <c r="CR41" s="79">
        <f t="shared" si="75"/>
        <v>3</v>
      </c>
      <c r="CS41" s="92"/>
      <c r="CT41" s="77">
        <f t="shared" si="23"/>
        <v>0</v>
      </c>
      <c r="CU41" s="78">
        <f t="shared" si="47"/>
        <v>100</v>
      </c>
      <c r="CV41" s="79">
        <f t="shared" si="76"/>
        <v>2</v>
      </c>
      <c r="CW41" s="112" t="e">
        <f t="shared" si="48"/>
        <v>#DIV/0!</v>
      </c>
    </row>
    <row r="42" spans="1:101" x14ac:dyDescent="0.35">
      <c r="A42" s="7" t="s">
        <v>300</v>
      </c>
      <c r="B42" s="8" t="s">
        <v>301</v>
      </c>
      <c r="C42" s="21" t="s">
        <v>302</v>
      </c>
      <c r="D42" s="10" t="s">
        <v>21</v>
      </c>
      <c r="E42" s="11" t="s">
        <v>303</v>
      </c>
      <c r="F42" s="11" t="s">
        <v>304</v>
      </c>
      <c r="G42" s="12">
        <v>35669</v>
      </c>
      <c r="H42" s="11" t="s">
        <v>24</v>
      </c>
      <c r="I42" s="11" t="s">
        <v>305</v>
      </c>
      <c r="J42" s="11" t="s">
        <v>306</v>
      </c>
      <c r="K42" s="11" t="s">
        <v>50</v>
      </c>
      <c r="L42" s="23">
        <v>4987103374</v>
      </c>
      <c r="M42" s="14">
        <v>2920774145</v>
      </c>
      <c r="N42" s="14">
        <v>2066329229</v>
      </c>
      <c r="O42" s="14">
        <v>6978937449</v>
      </c>
      <c r="P42" s="14">
        <v>427890389</v>
      </c>
      <c r="Q42" s="14">
        <v>355031852</v>
      </c>
      <c r="R42" s="14">
        <v>268904384</v>
      </c>
      <c r="AB42" s="74">
        <f t="shared" si="49"/>
        <v>0</v>
      </c>
      <c r="AC42" s="75" t="e">
        <f t="shared" si="25"/>
        <v>#DIV/0!</v>
      </c>
      <c r="AD42" s="75" t="e">
        <f t="shared" si="50"/>
        <v>#DIV/0!</v>
      </c>
      <c r="AE42" s="76" t="e">
        <f t="shared" si="65"/>
        <v>#DIV/0!</v>
      </c>
      <c r="AF42" s="77" t="e">
        <f t="shared" si="26"/>
        <v>#DIV/0!</v>
      </c>
      <c r="AG42" s="77" t="e">
        <f t="shared" si="27"/>
        <v>#DIV/0!</v>
      </c>
      <c r="AH42" s="77" t="e">
        <f t="shared" si="51"/>
        <v>#DIV/0!</v>
      </c>
      <c r="AI42" s="78" t="e">
        <f t="shared" si="52"/>
        <v>#DIV/0!</v>
      </c>
      <c r="AJ42" s="79" t="e">
        <f t="shared" si="66"/>
        <v>#DIV/0!</v>
      </c>
      <c r="AM42" s="80"/>
      <c r="AN42" s="81">
        <f t="shared" si="2"/>
        <v>0</v>
      </c>
      <c r="AO42" s="82" t="e">
        <f t="shared" si="3"/>
        <v>#DIV/0!</v>
      </c>
      <c r="AP42" s="83" t="e">
        <f t="shared" si="28"/>
        <v>#DIV/0!</v>
      </c>
      <c r="AQ42" s="84" t="e">
        <f t="shared" si="67"/>
        <v>#DIV/0!</v>
      </c>
      <c r="AS42" s="86">
        <f t="shared" si="5"/>
        <v>0.5</v>
      </c>
      <c r="AT42" s="87">
        <f t="shared" si="29"/>
        <v>0</v>
      </c>
      <c r="AU42" s="87">
        <f t="shared" si="30"/>
        <v>0</v>
      </c>
      <c r="AV42" s="88" t="e">
        <f t="shared" si="6"/>
        <v>#DIV/0!</v>
      </c>
      <c r="AW42" s="78" t="e">
        <f t="shared" si="31"/>
        <v>#DIV/0!</v>
      </c>
      <c r="AX42" s="89" t="e">
        <f t="shared" si="68"/>
        <v>#DIV/0!</v>
      </c>
      <c r="BA42" s="91">
        <f t="shared" si="8"/>
        <v>0</v>
      </c>
      <c r="BB42" s="77" t="e">
        <f t="shared" si="32"/>
        <v>#DIV/0!</v>
      </c>
      <c r="BC42" s="78" t="e">
        <f t="shared" si="33"/>
        <v>#DIV/0!</v>
      </c>
      <c r="BD42" s="79" t="e">
        <f t="shared" si="69"/>
        <v>#DIV/0!</v>
      </c>
      <c r="BE42" s="92"/>
      <c r="BF42" s="92"/>
      <c r="BG42" s="114">
        <v>2415184</v>
      </c>
      <c r="BH42" s="94">
        <f t="shared" si="10"/>
        <v>0</v>
      </c>
      <c r="BI42" s="77" t="e">
        <f t="shared" si="11"/>
        <v>#DIV/0!</v>
      </c>
      <c r="BJ42" s="95" t="str">
        <f t="shared" si="34"/>
        <v>비제조/서비스업</v>
      </c>
      <c r="BK42" s="96" t="e">
        <f t="shared" si="12"/>
        <v>#DIV/0!</v>
      </c>
      <c r="BL42" s="97" t="e">
        <f t="shared" si="35"/>
        <v>#DIV/0!</v>
      </c>
      <c r="BM42" s="98" t="e">
        <f t="shared" si="36"/>
        <v>#DIV/0!</v>
      </c>
      <c r="BN42" s="99" t="e">
        <f t="shared" si="37"/>
        <v>#DIV/0!</v>
      </c>
      <c r="BP42" s="101">
        <f t="shared" si="38"/>
        <v>0</v>
      </c>
      <c r="BQ42" s="78">
        <f t="shared" si="39"/>
        <v>25</v>
      </c>
      <c r="BR42" s="79">
        <f t="shared" si="70"/>
        <v>0.5</v>
      </c>
      <c r="BS42" s="102"/>
      <c r="BT42" s="102"/>
      <c r="BU42" s="103">
        <f t="shared" si="40"/>
        <v>0</v>
      </c>
      <c r="BV42" s="77">
        <f t="shared" si="14"/>
        <v>0</v>
      </c>
      <c r="BW42" s="96">
        <f t="shared" si="15"/>
        <v>0</v>
      </c>
      <c r="BX42" s="96">
        <f t="shared" si="41"/>
        <v>0</v>
      </c>
      <c r="BY42" s="96">
        <f t="shared" si="16"/>
        <v>0</v>
      </c>
      <c r="BZ42" s="96" t="e">
        <f t="shared" si="42"/>
        <v>#NUM!</v>
      </c>
      <c r="CA42" s="96" t="e">
        <f t="shared" si="17"/>
        <v>#NUM!</v>
      </c>
      <c r="CB42" s="104" t="e">
        <f t="shared" si="43"/>
        <v>#NUM!</v>
      </c>
      <c r="CC42" s="105">
        <f t="shared" si="71"/>
        <v>141.35086045380623</v>
      </c>
      <c r="CD42" s="106">
        <f t="shared" si="72"/>
        <v>47.103947065148404</v>
      </c>
      <c r="CE42" s="107">
        <f t="shared" si="73"/>
        <v>0.70655920597722599</v>
      </c>
      <c r="CF42" s="108" t="s">
        <v>2189</v>
      </c>
      <c r="CG42" s="108" t="s">
        <v>2189</v>
      </c>
      <c r="CH42" s="108" t="s">
        <v>2189</v>
      </c>
      <c r="CI42" s="108" t="s">
        <v>2189</v>
      </c>
      <c r="CJ42" s="109"/>
      <c r="CM42" s="111">
        <f t="shared" si="44"/>
        <v>25</v>
      </c>
      <c r="CN42" s="107">
        <f t="shared" si="74"/>
        <v>0.375</v>
      </c>
      <c r="CP42" s="88">
        <f t="shared" si="45"/>
        <v>0</v>
      </c>
      <c r="CQ42" s="78">
        <f t="shared" si="46"/>
        <v>100</v>
      </c>
      <c r="CR42" s="79">
        <f t="shared" si="75"/>
        <v>3</v>
      </c>
      <c r="CS42" s="92"/>
      <c r="CT42" s="77">
        <f t="shared" si="23"/>
        <v>0</v>
      </c>
      <c r="CU42" s="78">
        <f t="shared" si="47"/>
        <v>100</v>
      </c>
      <c r="CV42" s="79">
        <f t="shared" si="76"/>
        <v>2</v>
      </c>
      <c r="CW42" s="112" t="e">
        <f t="shared" si="48"/>
        <v>#DIV/0!</v>
      </c>
    </row>
    <row r="43" spans="1:101" x14ac:dyDescent="0.35">
      <c r="A43" s="7" t="s">
        <v>307</v>
      </c>
      <c r="B43" s="8" t="s">
        <v>308</v>
      </c>
      <c r="C43" s="21" t="s">
        <v>309</v>
      </c>
      <c r="D43" s="10" t="s">
        <v>21</v>
      </c>
      <c r="E43" s="11" t="s">
        <v>310</v>
      </c>
      <c r="F43" s="11" t="s">
        <v>311</v>
      </c>
      <c r="G43" s="12">
        <v>41117</v>
      </c>
      <c r="H43" s="11" t="s">
        <v>24</v>
      </c>
      <c r="I43" s="11" t="s">
        <v>312</v>
      </c>
      <c r="J43" s="11" t="s">
        <v>313</v>
      </c>
      <c r="K43" s="11" t="s">
        <v>27</v>
      </c>
      <c r="L43" s="23">
        <v>3341658508</v>
      </c>
      <c r="M43" s="14">
        <v>2823131632</v>
      </c>
      <c r="N43" s="14">
        <v>518526876</v>
      </c>
      <c r="O43" s="14">
        <v>1247543929</v>
      </c>
      <c r="P43" s="14">
        <v>94379336</v>
      </c>
      <c r="Q43" s="14">
        <v>30714021</v>
      </c>
      <c r="R43" s="14">
        <v>21213587</v>
      </c>
      <c r="AB43" s="74">
        <f t="shared" si="49"/>
        <v>0</v>
      </c>
      <c r="AC43" s="75" t="e">
        <f t="shared" si="25"/>
        <v>#DIV/0!</v>
      </c>
      <c r="AD43" s="75" t="e">
        <f t="shared" si="50"/>
        <v>#DIV/0!</v>
      </c>
      <c r="AE43" s="76" t="e">
        <f t="shared" si="65"/>
        <v>#DIV/0!</v>
      </c>
      <c r="AF43" s="77" t="e">
        <f t="shared" si="26"/>
        <v>#DIV/0!</v>
      </c>
      <c r="AG43" s="77" t="e">
        <f t="shared" si="27"/>
        <v>#DIV/0!</v>
      </c>
      <c r="AH43" s="77" t="e">
        <f t="shared" si="51"/>
        <v>#DIV/0!</v>
      </c>
      <c r="AI43" s="78" t="e">
        <f t="shared" si="52"/>
        <v>#DIV/0!</v>
      </c>
      <c r="AJ43" s="79" t="e">
        <f t="shared" si="66"/>
        <v>#DIV/0!</v>
      </c>
      <c r="AN43" s="81">
        <f t="shared" si="2"/>
        <v>0</v>
      </c>
      <c r="AO43" s="82" t="e">
        <f t="shared" si="3"/>
        <v>#DIV/0!</v>
      </c>
      <c r="AP43" s="83" t="e">
        <f t="shared" si="28"/>
        <v>#DIV/0!</v>
      </c>
      <c r="AQ43" s="84" t="e">
        <f t="shared" si="67"/>
        <v>#DIV/0!</v>
      </c>
      <c r="AS43" s="86">
        <f t="shared" si="5"/>
        <v>0.5</v>
      </c>
      <c r="AT43" s="87">
        <f t="shared" si="29"/>
        <v>0</v>
      </c>
      <c r="AU43" s="87">
        <f t="shared" si="30"/>
        <v>0</v>
      </c>
      <c r="AV43" s="88" t="e">
        <f t="shared" si="6"/>
        <v>#DIV/0!</v>
      </c>
      <c r="AW43" s="78" t="e">
        <f t="shared" si="31"/>
        <v>#DIV/0!</v>
      </c>
      <c r="AX43" s="89" t="e">
        <f t="shared" si="68"/>
        <v>#DIV/0!</v>
      </c>
      <c r="BA43" s="91">
        <f t="shared" si="8"/>
        <v>0</v>
      </c>
      <c r="BB43" s="77" t="e">
        <f t="shared" si="32"/>
        <v>#DIV/0!</v>
      </c>
      <c r="BC43" s="78" t="e">
        <f t="shared" si="33"/>
        <v>#DIV/0!</v>
      </c>
      <c r="BD43" s="79" t="e">
        <f t="shared" si="69"/>
        <v>#DIV/0!</v>
      </c>
      <c r="BE43" s="92"/>
      <c r="BF43" s="92"/>
      <c r="BG43" s="114">
        <v>659580</v>
      </c>
      <c r="BH43" s="94">
        <f t="shared" si="10"/>
        <v>0</v>
      </c>
      <c r="BI43" s="77" t="e">
        <f t="shared" si="11"/>
        <v>#DIV/0!</v>
      </c>
      <c r="BJ43" s="95" t="str">
        <f t="shared" si="34"/>
        <v>비제조/서비스업</v>
      </c>
      <c r="BK43" s="96" t="e">
        <f t="shared" si="12"/>
        <v>#DIV/0!</v>
      </c>
      <c r="BL43" s="97" t="e">
        <f t="shared" si="35"/>
        <v>#DIV/0!</v>
      </c>
      <c r="BM43" s="98" t="e">
        <f t="shared" si="36"/>
        <v>#DIV/0!</v>
      </c>
      <c r="BN43" s="99" t="e">
        <f t="shared" si="37"/>
        <v>#DIV/0!</v>
      </c>
      <c r="BP43" s="101">
        <f t="shared" si="38"/>
        <v>0</v>
      </c>
      <c r="BQ43" s="78">
        <f t="shared" si="39"/>
        <v>25</v>
      </c>
      <c r="BR43" s="79">
        <f t="shared" si="70"/>
        <v>0.5</v>
      </c>
      <c r="BS43" s="102"/>
      <c r="BT43" s="102"/>
      <c r="BU43" s="103">
        <f t="shared" si="40"/>
        <v>0</v>
      </c>
      <c r="BV43" s="77">
        <f t="shared" si="14"/>
        <v>0</v>
      </c>
      <c r="BW43" s="96">
        <f t="shared" si="15"/>
        <v>0</v>
      </c>
      <c r="BX43" s="96">
        <f t="shared" si="41"/>
        <v>0</v>
      </c>
      <c r="BY43" s="96">
        <f t="shared" si="16"/>
        <v>0</v>
      </c>
      <c r="BZ43" s="96" t="e">
        <f t="shared" si="42"/>
        <v>#NUM!</v>
      </c>
      <c r="CA43" s="96" t="e">
        <f t="shared" si="17"/>
        <v>#NUM!</v>
      </c>
      <c r="CB43" s="104" t="e">
        <f t="shared" si="43"/>
        <v>#NUM!</v>
      </c>
      <c r="CC43" s="105">
        <f t="shared" si="71"/>
        <v>544.45232497456891</v>
      </c>
      <c r="CD43" s="106">
        <f t="shared" si="72"/>
        <v>25</v>
      </c>
      <c r="CE43" s="107">
        <f t="shared" si="73"/>
        <v>0.375</v>
      </c>
      <c r="CF43" s="108" t="s">
        <v>2189</v>
      </c>
      <c r="CG43" s="108" t="s">
        <v>2189</v>
      </c>
      <c r="CH43" s="108" t="s">
        <v>2189</v>
      </c>
      <c r="CI43" s="108" t="s">
        <v>2189</v>
      </c>
      <c r="CJ43" s="109"/>
      <c r="CM43" s="111">
        <f t="shared" si="44"/>
        <v>25</v>
      </c>
      <c r="CN43" s="107">
        <f t="shared" si="74"/>
        <v>0.375</v>
      </c>
      <c r="CP43" s="88">
        <f t="shared" si="45"/>
        <v>0</v>
      </c>
      <c r="CQ43" s="78">
        <f t="shared" si="46"/>
        <v>100</v>
      </c>
      <c r="CR43" s="79">
        <f t="shared" si="75"/>
        <v>3</v>
      </c>
      <c r="CS43" s="92"/>
      <c r="CT43" s="77">
        <f t="shared" si="23"/>
        <v>0</v>
      </c>
      <c r="CU43" s="78">
        <f t="shared" si="47"/>
        <v>100</v>
      </c>
      <c r="CV43" s="79">
        <f t="shared" si="76"/>
        <v>2</v>
      </c>
      <c r="CW43" s="112" t="e">
        <f t="shared" si="48"/>
        <v>#DIV/0!</v>
      </c>
    </row>
    <row r="44" spans="1:101" x14ac:dyDescent="0.35">
      <c r="A44" s="7" t="s">
        <v>314</v>
      </c>
      <c r="B44" s="8" t="s">
        <v>315</v>
      </c>
      <c r="C44" s="21" t="s">
        <v>316</v>
      </c>
      <c r="D44" s="22" t="s">
        <v>31</v>
      </c>
      <c r="E44" s="11" t="s">
        <v>317</v>
      </c>
      <c r="F44" s="11" t="s">
        <v>318</v>
      </c>
      <c r="G44" s="12">
        <v>44273</v>
      </c>
      <c r="H44" s="11" t="s">
        <v>24</v>
      </c>
      <c r="I44" s="11" t="s">
        <v>319</v>
      </c>
      <c r="J44" s="11" t="s">
        <v>320</v>
      </c>
      <c r="K44" s="11" t="s">
        <v>50</v>
      </c>
      <c r="L44" s="23">
        <v>2142189396</v>
      </c>
      <c r="M44" s="14">
        <v>399934106</v>
      </c>
      <c r="N44" s="14">
        <v>1742255291</v>
      </c>
      <c r="O44" s="14">
        <v>456725871</v>
      </c>
      <c r="P44" s="14">
        <v>115378989</v>
      </c>
      <c r="Q44" s="14">
        <v>142097807</v>
      </c>
      <c r="R44" s="14">
        <v>122816574</v>
      </c>
      <c r="AB44" s="74">
        <f t="shared" si="49"/>
        <v>0</v>
      </c>
      <c r="AC44" s="75" t="e">
        <f t="shared" si="25"/>
        <v>#DIV/0!</v>
      </c>
      <c r="AD44" s="75" t="e">
        <f t="shared" si="50"/>
        <v>#DIV/0!</v>
      </c>
      <c r="AE44" s="76" t="e">
        <f t="shared" si="65"/>
        <v>#DIV/0!</v>
      </c>
      <c r="AF44" s="77" t="e">
        <f t="shared" si="26"/>
        <v>#DIV/0!</v>
      </c>
      <c r="AG44" s="77" t="e">
        <f t="shared" si="27"/>
        <v>#DIV/0!</v>
      </c>
      <c r="AH44" s="77" t="e">
        <f t="shared" si="51"/>
        <v>#DIV/0!</v>
      </c>
      <c r="AI44" s="78" t="e">
        <f t="shared" si="52"/>
        <v>#DIV/0!</v>
      </c>
      <c r="AJ44" s="79" t="e">
        <f t="shared" si="66"/>
        <v>#DIV/0!</v>
      </c>
      <c r="AN44" s="81">
        <f t="shared" si="2"/>
        <v>0</v>
      </c>
      <c r="AO44" s="82" t="e">
        <f t="shared" si="3"/>
        <v>#DIV/0!</v>
      </c>
      <c r="AP44" s="83" t="e">
        <f t="shared" si="28"/>
        <v>#DIV/0!</v>
      </c>
      <c r="AQ44" s="84" t="e">
        <f t="shared" si="67"/>
        <v>#DIV/0!</v>
      </c>
      <c r="AS44" s="86">
        <f t="shared" si="5"/>
        <v>0.5</v>
      </c>
      <c r="AT44" s="87">
        <f t="shared" si="29"/>
        <v>0</v>
      </c>
      <c r="AU44" s="87">
        <f t="shared" si="30"/>
        <v>0</v>
      </c>
      <c r="AV44" s="88" t="e">
        <f t="shared" si="6"/>
        <v>#DIV/0!</v>
      </c>
      <c r="AW44" s="78" t="e">
        <f t="shared" si="31"/>
        <v>#DIV/0!</v>
      </c>
      <c r="AX44" s="89" t="e">
        <f t="shared" si="68"/>
        <v>#DIV/0!</v>
      </c>
      <c r="BA44" s="91">
        <f t="shared" si="8"/>
        <v>0</v>
      </c>
      <c r="BB44" s="77" t="e">
        <f t="shared" si="32"/>
        <v>#DIV/0!</v>
      </c>
      <c r="BC44" s="78" t="e">
        <f t="shared" si="33"/>
        <v>#DIV/0!</v>
      </c>
      <c r="BD44" s="79" t="e">
        <f t="shared" si="69"/>
        <v>#DIV/0!</v>
      </c>
      <c r="BE44" s="92"/>
      <c r="BF44" s="92"/>
      <c r="BG44" s="114">
        <v>597085</v>
      </c>
      <c r="BH44" s="94">
        <f t="shared" si="10"/>
        <v>0</v>
      </c>
      <c r="BI44" s="77" t="e">
        <f t="shared" si="11"/>
        <v>#DIV/0!</v>
      </c>
      <c r="BJ44" s="95" t="str">
        <f t="shared" si="34"/>
        <v>식약/섬유/종이업</v>
      </c>
      <c r="BK44" s="96" t="e">
        <f t="shared" si="12"/>
        <v>#DIV/0!</v>
      </c>
      <c r="BL44" s="97" t="e">
        <f t="shared" si="35"/>
        <v>#DIV/0!</v>
      </c>
      <c r="BM44" s="98" t="e">
        <f t="shared" si="36"/>
        <v>#DIV/0!</v>
      </c>
      <c r="BN44" s="99" t="e">
        <f t="shared" si="37"/>
        <v>#DIV/0!</v>
      </c>
      <c r="BP44" s="101">
        <f t="shared" si="38"/>
        <v>0</v>
      </c>
      <c r="BQ44" s="78">
        <f t="shared" si="39"/>
        <v>25</v>
      </c>
      <c r="BR44" s="79">
        <f t="shared" si="70"/>
        <v>0.5</v>
      </c>
      <c r="BS44" s="102"/>
      <c r="BT44" s="102"/>
      <c r="BU44" s="103">
        <f t="shared" si="40"/>
        <v>0</v>
      </c>
      <c r="BV44" s="77">
        <f t="shared" si="14"/>
        <v>0</v>
      </c>
      <c r="BW44" s="96">
        <f t="shared" si="15"/>
        <v>0</v>
      </c>
      <c r="BX44" s="96">
        <f t="shared" si="41"/>
        <v>0</v>
      </c>
      <c r="BY44" s="96">
        <f t="shared" si="16"/>
        <v>0</v>
      </c>
      <c r="BZ44" s="96" t="e">
        <f t="shared" si="42"/>
        <v>#NUM!</v>
      </c>
      <c r="CA44" s="96" t="e">
        <f t="shared" si="17"/>
        <v>#NUM!</v>
      </c>
      <c r="CB44" s="104" t="e">
        <f t="shared" si="43"/>
        <v>#NUM!</v>
      </c>
      <c r="CC44" s="105">
        <f t="shared" si="71"/>
        <v>22.954965788650316</v>
      </c>
      <c r="CD44" s="106">
        <f t="shared" si="72"/>
        <v>91.72551540628757</v>
      </c>
      <c r="CE44" s="107">
        <f t="shared" si="73"/>
        <v>1.3758827310943136</v>
      </c>
      <c r="CF44" s="108" t="s">
        <v>2189</v>
      </c>
      <c r="CG44" s="108" t="s">
        <v>2189</v>
      </c>
      <c r="CH44" s="108" t="s">
        <v>2189</v>
      </c>
      <c r="CI44" s="108" t="s">
        <v>2189</v>
      </c>
      <c r="CJ44" s="109"/>
      <c r="CM44" s="111">
        <f t="shared" si="44"/>
        <v>25</v>
      </c>
      <c r="CN44" s="107">
        <f t="shared" si="74"/>
        <v>0.375</v>
      </c>
      <c r="CP44" s="88">
        <f t="shared" si="45"/>
        <v>0</v>
      </c>
      <c r="CQ44" s="78">
        <f t="shared" si="46"/>
        <v>100</v>
      </c>
      <c r="CR44" s="79">
        <f t="shared" si="75"/>
        <v>3</v>
      </c>
      <c r="CS44" s="92"/>
      <c r="CT44" s="77">
        <f t="shared" si="23"/>
        <v>0</v>
      </c>
      <c r="CU44" s="78">
        <f t="shared" si="47"/>
        <v>100</v>
      </c>
      <c r="CV44" s="79">
        <f t="shared" si="76"/>
        <v>2</v>
      </c>
      <c r="CW44" s="112" t="e">
        <f t="shared" si="48"/>
        <v>#DIV/0!</v>
      </c>
    </row>
    <row r="45" spans="1:101" x14ac:dyDescent="0.35">
      <c r="A45" s="7" t="s">
        <v>321</v>
      </c>
      <c r="B45" s="28" t="s">
        <v>322</v>
      </c>
      <c r="C45" s="21" t="s">
        <v>323</v>
      </c>
      <c r="D45" s="22" t="s">
        <v>75</v>
      </c>
      <c r="E45" s="11" t="s">
        <v>324</v>
      </c>
      <c r="F45" s="11" t="s">
        <v>325</v>
      </c>
      <c r="G45" s="12">
        <v>39288</v>
      </c>
      <c r="H45" s="11" t="s">
        <v>24</v>
      </c>
      <c r="I45" s="11" t="s">
        <v>326</v>
      </c>
      <c r="J45" s="11" t="s">
        <v>327</v>
      </c>
      <c r="K45" s="11" t="s">
        <v>27</v>
      </c>
      <c r="L45" s="23">
        <v>19550742827</v>
      </c>
      <c r="M45" s="14">
        <v>3581307796</v>
      </c>
      <c r="N45" s="14">
        <v>15969435031</v>
      </c>
      <c r="O45" s="14">
        <v>1983533544</v>
      </c>
      <c r="P45" s="14">
        <v>611371885</v>
      </c>
      <c r="Q45" s="14">
        <v>602096059</v>
      </c>
      <c r="R45" s="14">
        <v>453183233</v>
      </c>
      <c r="AB45" s="74">
        <f t="shared" si="49"/>
        <v>0</v>
      </c>
      <c r="AC45" s="75" t="e">
        <f t="shared" si="25"/>
        <v>#DIV/0!</v>
      </c>
      <c r="AD45" s="75" t="e">
        <f t="shared" si="50"/>
        <v>#DIV/0!</v>
      </c>
      <c r="AE45" s="76" t="e">
        <f t="shared" si="65"/>
        <v>#DIV/0!</v>
      </c>
      <c r="AF45" s="77" t="e">
        <f t="shared" si="26"/>
        <v>#DIV/0!</v>
      </c>
      <c r="AG45" s="77" t="e">
        <f t="shared" si="27"/>
        <v>#DIV/0!</v>
      </c>
      <c r="AH45" s="77" t="e">
        <f t="shared" si="51"/>
        <v>#DIV/0!</v>
      </c>
      <c r="AI45" s="78" t="e">
        <f t="shared" si="52"/>
        <v>#DIV/0!</v>
      </c>
      <c r="AJ45" s="79" t="e">
        <f t="shared" si="66"/>
        <v>#DIV/0!</v>
      </c>
      <c r="AM45" s="80"/>
      <c r="AN45" s="81">
        <f t="shared" si="2"/>
        <v>0</v>
      </c>
      <c r="AO45" s="82" t="e">
        <f t="shared" si="3"/>
        <v>#DIV/0!</v>
      </c>
      <c r="AP45" s="83" t="e">
        <f t="shared" si="28"/>
        <v>#DIV/0!</v>
      </c>
      <c r="AQ45" s="84" t="e">
        <f t="shared" si="67"/>
        <v>#DIV/0!</v>
      </c>
      <c r="AS45" s="86">
        <f t="shared" si="5"/>
        <v>0.5</v>
      </c>
      <c r="AT45" s="87">
        <f t="shared" si="29"/>
        <v>0</v>
      </c>
      <c r="AU45" s="87">
        <f t="shared" si="30"/>
        <v>0</v>
      </c>
      <c r="AV45" s="88" t="e">
        <f t="shared" si="6"/>
        <v>#DIV/0!</v>
      </c>
      <c r="AW45" s="78" t="e">
        <f t="shared" si="31"/>
        <v>#DIV/0!</v>
      </c>
      <c r="AX45" s="89" t="e">
        <f t="shared" si="68"/>
        <v>#DIV/0!</v>
      </c>
      <c r="BA45" s="91">
        <f t="shared" si="8"/>
        <v>0</v>
      </c>
      <c r="BB45" s="77" t="e">
        <f t="shared" si="32"/>
        <v>#DIV/0!</v>
      </c>
      <c r="BC45" s="78" t="e">
        <f t="shared" si="33"/>
        <v>#DIV/0!</v>
      </c>
      <c r="BD45" s="79" t="e">
        <f t="shared" si="69"/>
        <v>#DIV/0!</v>
      </c>
      <c r="BE45" s="92"/>
      <c r="BF45" s="92"/>
      <c r="BG45" s="93">
        <v>0</v>
      </c>
      <c r="BH45" s="94">
        <f t="shared" si="10"/>
        <v>0</v>
      </c>
      <c r="BI45" s="77" t="e">
        <f t="shared" si="11"/>
        <v>#DIV/0!</v>
      </c>
      <c r="BJ45" s="95" t="str">
        <f t="shared" si="34"/>
        <v>금속/비금속/화학업</v>
      </c>
      <c r="BK45" s="96" t="e">
        <f t="shared" si="12"/>
        <v>#DIV/0!</v>
      </c>
      <c r="BL45" s="97" t="e">
        <f t="shared" si="35"/>
        <v>#DIV/0!</v>
      </c>
      <c r="BM45" s="98" t="e">
        <f t="shared" si="36"/>
        <v>#DIV/0!</v>
      </c>
      <c r="BN45" s="99" t="e">
        <f t="shared" si="37"/>
        <v>#DIV/0!</v>
      </c>
      <c r="BP45" s="101">
        <f t="shared" si="38"/>
        <v>0</v>
      </c>
      <c r="BQ45" s="78">
        <f t="shared" si="39"/>
        <v>25</v>
      </c>
      <c r="BR45" s="79">
        <f t="shared" si="70"/>
        <v>0.5</v>
      </c>
      <c r="BS45" s="102"/>
      <c r="BT45" s="102"/>
      <c r="BU45" s="103">
        <f t="shared" si="40"/>
        <v>0</v>
      </c>
      <c r="BV45" s="77">
        <f t="shared" si="14"/>
        <v>0</v>
      </c>
      <c r="BW45" s="96">
        <f t="shared" si="15"/>
        <v>0</v>
      </c>
      <c r="BX45" s="96">
        <f t="shared" si="41"/>
        <v>0</v>
      </c>
      <c r="BY45" s="96">
        <f t="shared" si="16"/>
        <v>0</v>
      </c>
      <c r="BZ45" s="96" t="e">
        <f t="shared" si="42"/>
        <v>#NUM!</v>
      </c>
      <c r="CA45" s="96" t="e">
        <f t="shared" si="17"/>
        <v>#NUM!</v>
      </c>
      <c r="CB45" s="104" t="e">
        <f t="shared" si="43"/>
        <v>#NUM!</v>
      </c>
      <c r="CC45" s="105">
        <f t="shared" si="71"/>
        <v>22.426014377139428</v>
      </c>
      <c r="CD45" s="106">
        <f t="shared" si="72"/>
        <v>91.924868953339413</v>
      </c>
      <c r="CE45" s="107">
        <f t="shared" si="73"/>
        <v>1.3788730343000912</v>
      </c>
      <c r="CF45" s="108" t="s">
        <v>2189</v>
      </c>
      <c r="CG45" s="108" t="s">
        <v>2189</v>
      </c>
      <c r="CH45" s="108" t="s">
        <v>2189</v>
      </c>
      <c r="CI45" s="108" t="s">
        <v>2189</v>
      </c>
      <c r="CJ45" s="109"/>
      <c r="CM45" s="111">
        <f t="shared" si="44"/>
        <v>25</v>
      </c>
      <c r="CN45" s="107">
        <f t="shared" si="74"/>
        <v>0.375</v>
      </c>
      <c r="CP45" s="88">
        <f t="shared" si="45"/>
        <v>0</v>
      </c>
      <c r="CQ45" s="78">
        <f t="shared" si="46"/>
        <v>100</v>
      </c>
      <c r="CR45" s="79">
        <f t="shared" si="75"/>
        <v>3</v>
      </c>
      <c r="CS45" s="92"/>
      <c r="CT45" s="77">
        <f t="shared" si="23"/>
        <v>0</v>
      </c>
      <c r="CU45" s="78">
        <f t="shared" si="47"/>
        <v>100</v>
      </c>
      <c r="CV45" s="79">
        <f t="shared" si="76"/>
        <v>2</v>
      </c>
      <c r="CW45" s="112" t="e">
        <f t="shared" si="48"/>
        <v>#DIV/0!</v>
      </c>
    </row>
    <row r="46" spans="1:101" x14ac:dyDescent="0.35">
      <c r="A46" s="7" t="s">
        <v>328</v>
      </c>
      <c r="B46" s="8" t="s">
        <v>329</v>
      </c>
      <c r="C46" s="21" t="s">
        <v>330</v>
      </c>
      <c r="D46" s="25" t="s">
        <v>262</v>
      </c>
      <c r="E46" s="11" t="s">
        <v>263</v>
      </c>
      <c r="F46" s="11" t="s">
        <v>331</v>
      </c>
      <c r="G46" s="12">
        <v>31675</v>
      </c>
      <c r="H46" s="11" t="s">
        <v>24</v>
      </c>
      <c r="I46" s="11" t="s">
        <v>332</v>
      </c>
      <c r="J46" s="11" t="s">
        <v>333</v>
      </c>
      <c r="K46" s="11" t="s">
        <v>27</v>
      </c>
      <c r="L46" s="23">
        <v>5612706908</v>
      </c>
      <c r="M46" s="14">
        <v>5005166436</v>
      </c>
      <c r="N46" s="14">
        <v>607540471</v>
      </c>
      <c r="O46" s="14">
        <v>1137658845</v>
      </c>
      <c r="P46" s="14">
        <v>12048913</v>
      </c>
      <c r="Q46" s="14">
        <v>5565314</v>
      </c>
      <c r="R46" s="14">
        <v>4440548</v>
      </c>
      <c r="AB46" s="74">
        <f t="shared" si="49"/>
        <v>0</v>
      </c>
      <c r="AC46" s="75" t="e">
        <f t="shared" si="25"/>
        <v>#DIV/0!</v>
      </c>
      <c r="AD46" s="75" t="e">
        <f t="shared" si="50"/>
        <v>#DIV/0!</v>
      </c>
      <c r="AE46" s="119" t="e">
        <f>AD46*0.04</f>
        <v>#DIV/0!</v>
      </c>
      <c r="AF46" s="77" t="e">
        <f t="shared" si="26"/>
        <v>#DIV/0!</v>
      </c>
      <c r="AG46" s="77" t="e">
        <f t="shared" si="27"/>
        <v>#DIV/0!</v>
      </c>
      <c r="AH46" s="77" t="e">
        <f t="shared" si="51"/>
        <v>#DIV/0!</v>
      </c>
      <c r="AI46" s="78" t="e">
        <f t="shared" si="52"/>
        <v>#DIV/0!</v>
      </c>
      <c r="AJ46" s="120" t="e">
        <f>AI46*0.05</f>
        <v>#DIV/0!</v>
      </c>
      <c r="AN46" s="81">
        <f t="shared" si="2"/>
        <v>0</v>
      </c>
      <c r="AO46" s="82" t="e">
        <f t="shared" si="3"/>
        <v>#DIV/0!</v>
      </c>
      <c r="AP46" s="83" t="e">
        <f t="shared" si="28"/>
        <v>#DIV/0!</v>
      </c>
      <c r="AQ46" s="121" t="e">
        <f>AP46*0.03</f>
        <v>#DIV/0!</v>
      </c>
      <c r="AS46" s="86">
        <f t="shared" si="5"/>
        <v>0.5</v>
      </c>
      <c r="AT46" s="87">
        <f t="shared" si="29"/>
        <v>0</v>
      </c>
      <c r="AU46" s="87">
        <f t="shared" si="30"/>
        <v>0</v>
      </c>
      <c r="AV46" s="88" t="e">
        <f t="shared" si="6"/>
        <v>#DIV/0!</v>
      </c>
      <c r="AW46" s="78" t="e">
        <f t="shared" si="31"/>
        <v>#DIV/0!</v>
      </c>
      <c r="AX46" s="122" t="e">
        <f>AW46*0.02</f>
        <v>#DIV/0!</v>
      </c>
      <c r="BA46" s="91">
        <f t="shared" si="8"/>
        <v>0</v>
      </c>
      <c r="BB46" s="77" t="e">
        <f t="shared" si="32"/>
        <v>#DIV/0!</v>
      </c>
      <c r="BC46" s="78" t="e">
        <f t="shared" si="33"/>
        <v>#DIV/0!</v>
      </c>
      <c r="BD46" s="120" t="e">
        <f>BC46*0.02</f>
        <v>#DIV/0!</v>
      </c>
      <c r="BE46" s="92"/>
      <c r="BF46" s="92"/>
      <c r="BG46" s="114">
        <v>7385000</v>
      </c>
      <c r="BH46" s="94">
        <f t="shared" si="10"/>
        <v>0</v>
      </c>
      <c r="BI46" s="77" t="e">
        <f t="shared" si="11"/>
        <v>#DIV/0!</v>
      </c>
      <c r="BJ46" s="95" t="str">
        <f t="shared" si="34"/>
        <v>금융업</v>
      </c>
      <c r="BK46" s="96" t="e">
        <f t="shared" si="12"/>
        <v>#DIV/0!</v>
      </c>
      <c r="BL46" s="97" t="e">
        <f t="shared" si="35"/>
        <v>#DIV/0!</v>
      </c>
      <c r="BM46" s="98" t="e">
        <f t="shared" si="36"/>
        <v>#DIV/0!</v>
      </c>
      <c r="BN46" s="99" t="e">
        <f t="shared" si="37"/>
        <v>#DIV/0!</v>
      </c>
      <c r="BP46" s="101">
        <f t="shared" si="38"/>
        <v>0</v>
      </c>
      <c r="BQ46" s="78">
        <f t="shared" si="39"/>
        <v>25</v>
      </c>
      <c r="BR46" s="120">
        <f>BQ46*0.01</f>
        <v>0.25</v>
      </c>
      <c r="BS46" s="102"/>
      <c r="BT46" s="102"/>
      <c r="BU46" s="103">
        <f t="shared" si="40"/>
        <v>0</v>
      </c>
      <c r="BV46" s="77">
        <f t="shared" si="14"/>
        <v>0</v>
      </c>
      <c r="BW46" s="96">
        <f t="shared" si="15"/>
        <v>0</v>
      </c>
      <c r="BX46" s="96">
        <f t="shared" si="41"/>
        <v>0</v>
      </c>
      <c r="BY46" s="96">
        <f t="shared" si="16"/>
        <v>0</v>
      </c>
      <c r="BZ46" s="96" t="e">
        <f t="shared" si="42"/>
        <v>#NUM!</v>
      </c>
      <c r="CA46" s="96" t="e">
        <f t="shared" si="17"/>
        <v>#NUM!</v>
      </c>
      <c r="CB46" s="104" t="e">
        <f t="shared" si="43"/>
        <v>#NUM!</v>
      </c>
      <c r="CC46" s="123" t="s">
        <v>2200</v>
      </c>
      <c r="CD46" s="124" t="s">
        <v>2200</v>
      </c>
      <c r="CE46" s="125"/>
      <c r="CF46" s="126" t="s">
        <v>2201</v>
      </c>
      <c r="CG46" s="127">
        <v>4.41</v>
      </c>
      <c r="CH46" s="126" t="s">
        <v>2201</v>
      </c>
      <c r="CI46" s="128">
        <f>IF((100-(75*(CG46-1)/9))&gt;100,100,IF((100-(75*(CG46-1)/9))&lt;25,25,(100-(75*(CG46-1)/9))))</f>
        <v>71.583333333333329</v>
      </c>
      <c r="CJ46" s="129">
        <f>CI46*0.04</f>
        <v>2.8633333333333333</v>
      </c>
      <c r="CM46" s="111">
        <f t="shared" si="44"/>
        <v>25</v>
      </c>
      <c r="CN46" s="130">
        <f>CM46*0.03</f>
        <v>0.75</v>
      </c>
      <c r="CP46" s="88">
        <f t="shared" si="45"/>
        <v>0</v>
      </c>
      <c r="CQ46" s="78">
        <f t="shared" si="46"/>
        <v>100</v>
      </c>
      <c r="CR46" s="120">
        <f>CQ46*0.04</f>
        <v>4</v>
      </c>
      <c r="CS46" s="92"/>
      <c r="CT46" s="77">
        <f t="shared" si="23"/>
        <v>0</v>
      </c>
      <c r="CU46" s="78">
        <f t="shared" si="47"/>
        <v>100</v>
      </c>
      <c r="CV46" s="131">
        <f>CU46*0.03</f>
        <v>3</v>
      </c>
      <c r="CW46" s="112" t="e">
        <f t="shared" si="48"/>
        <v>#DIV/0!</v>
      </c>
    </row>
    <row r="47" spans="1:101" x14ac:dyDescent="0.35">
      <c r="A47" s="7" t="s">
        <v>334</v>
      </c>
      <c r="B47" s="8" t="s">
        <v>335</v>
      </c>
      <c r="C47" s="21" t="s">
        <v>336</v>
      </c>
      <c r="D47" s="22" t="s">
        <v>75</v>
      </c>
      <c r="E47" s="11" t="s">
        <v>337</v>
      </c>
      <c r="F47" s="11" t="s">
        <v>338</v>
      </c>
      <c r="G47" s="12">
        <v>43105</v>
      </c>
      <c r="H47" s="11" t="s">
        <v>24</v>
      </c>
      <c r="I47" s="11" t="s">
        <v>339</v>
      </c>
      <c r="J47" s="11" t="s">
        <v>340</v>
      </c>
      <c r="K47" s="11" t="s">
        <v>50</v>
      </c>
      <c r="L47" s="23">
        <v>1810477193</v>
      </c>
      <c r="M47" s="14">
        <v>690879147</v>
      </c>
      <c r="N47" s="14">
        <v>1119598046</v>
      </c>
      <c r="O47" s="14">
        <v>1256030179</v>
      </c>
      <c r="P47" s="14">
        <v>107526937</v>
      </c>
      <c r="Q47" s="14">
        <v>88400704</v>
      </c>
      <c r="R47" s="14">
        <v>69270430</v>
      </c>
      <c r="AB47" s="74">
        <f t="shared" si="49"/>
        <v>0</v>
      </c>
      <c r="AC47" s="75" t="e">
        <f t="shared" si="25"/>
        <v>#DIV/0!</v>
      </c>
      <c r="AD47" s="75" t="e">
        <f t="shared" si="50"/>
        <v>#DIV/0!</v>
      </c>
      <c r="AE47" s="76" t="e">
        <f t="shared" ref="AE47:AE62" si="77">AD47*0.03</f>
        <v>#DIV/0!</v>
      </c>
      <c r="AF47" s="77" t="e">
        <f t="shared" si="26"/>
        <v>#DIV/0!</v>
      </c>
      <c r="AG47" s="77" t="e">
        <f t="shared" si="27"/>
        <v>#DIV/0!</v>
      </c>
      <c r="AH47" s="77" t="e">
        <f t="shared" si="51"/>
        <v>#DIV/0!</v>
      </c>
      <c r="AI47" s="78" t="e">
        <f t="shared" si="52"/>
        <v>#DIV/0!</v>
      </c>
      <c r="AJ47" s="79" t="e">
        <f t="shared" ref="AJ47:AJ62" si="78">AI47*0.04</f>
        <v>#DIV/0!</v>
      </c>
      <c r="AN47" s="81">
        <f t="shared" si="2"/>
        <v>0</v>
      </c>
      <c r="AO47" s="82" t="e">
        <f t="shared" si="3"/>
        <v>#DIV/0!</v>
      </c>
      <c r="AP47" s="83" t="e">
        <f t="shared" si="28"/>
        <v>#DIV/0!</v>
      </c>
      <c r="AQ47" s="84" t="e">
        <f t="shared" ref="AQ47:AQ62" si="79">AP47*0.02</f>
        <v>#DIV/0!</v>
      </c>
      <c r="AS47" s="86">
        <f t="shared" si="5"/>
        <v>0.25</v>
      </c>
      <c r="AT47" s="87">
        <f t="shared" si="29"/>
        <v>0</v>
      </c>
      <c r="AU47" s="87">
        <f t="shared" si="30"/>
        <v>0</v>
      </c>
      <c r="AV47" s="88" t="e">
        <f t="shared" si="6"/>
        <v>#DIV/0!</v>
      </c>
      <c r="AW47" s="78" t="e">
        <f t="shared" si="31"/>
        <v>#DIV/0!</v>
      </c>
      <c r="AX47" s="89" t="e">
        <f t="shared" ref="AX47:AX62" si="80">AW47*0.01</f>
        <v>#DIV/0!</v>
      </c>
      <c r="BA47" s="91">
        <f t="shared" si="8"/>
        <v>0</v>
      </c>
      <c r="BB47" s="77" t="e">
        <f t="shared" si="32"/>
        <v>#DIV/0!</v>
      </c>
      <c r="BC47" s="78" t="e">
        <f t="shared" si="33"/>
        <v>#DIV/0!</v>
      </c>
      <c r="BD47" s="79" t="e">
        <f t="shared" ref="BD47:BD62" si="81">BC47*0.01</f>
        <v>#DIV/0!</v>
      </c>
      <c r="BE47" s="92"/>
      <c r="BF47" s="92"/>
      <c r="BG47" s="114">
        <v>1093949</v>
      </c>
      <c r="BH47" s="94">
        <f t="shared" si="10"/>
        <v>0</v>
      </c>
      <c r="BI47" s="77" t="e">
        <f t="shared" si="11"/>
        <v>#DIV/0!</v>
      </c>
      <c r="BJ47" s="95" t="str">
        <f t="shared" si="34"/>
        <v>금속/비금속/화학업</v>
      </c>
      <c r="BK47" s="96" t="e">
        <f t="shared" si="12"/>
        <v>#DIV/0!</v>
      </c>
      <c r="BL47" s="97" t="e">
        <f t="shared" si="35"/>
        <v>#DIV/0!</v>
      </c>
      <c r="BM47" s="98" t="e">
        <f t="shared" si="36"/>
        <v>#DIV/0!</v>
      </c>
      <c r="BN47" s="99" t="e">
        <f t="shared" si="37"/>
        <v>#DIV/0!</v>
      </c>
      <c r="BP47" s="101">
        <f t="shared" si="38"/>
        <v>0</v>
      </c>
      <c r="BQ47" s="78">
        <f t="shared" si="39"/>
        <v>25</v>
      </c>
      <c r="BR47" s="79">
        <f t="shared" ref="BR47:BR62" si="82">BQ47*0.02</f>
        <v>0.5</v>
      </c>
      <c r="BS47" s="102"/>
      <c r="BT47" s="102"/>
      <c r="BU47" s="103">
        <f t="shared" si="40"/>
        <v>0</v>
      </c>
      <c r="BV47" s="77">
        <f t="shared" si="14"/>
        <v>0</v>
      </c>
      <c r="BW47" s="96">
        <f t="shared" si="15"/>
        <v>0</v>
      </c>
      <c r="BX47" s="96">
        <f t="shared" si="41"/>
        <v>0</v>
      </c>
      <c r="BY47" s="96">
        <f t="shared" si="16"/>
        <v>0</v>
      </c>
      <c r="BZ47" s="96" t="e">
        <f t="shared" si="42"/>
        <v>#NUM!</v>
      </c>
      <c r="CA47" s="96" t="e">
        <f t="shared" si="17"/>
        <v>#NUM!</v>
      </c>
      <c r="CB47" s="104" t="e">
        <f t="shared" si="43"/>
        <v>#NUM!</v>
      </c>
      <c r="CC47" s="105">
        <f t="shared" ref="CC47:CC62" si="83">(M47/N47)*100</f>
        <v>61.707784277429866</v>
      </c>
      <c r="CD47" s="106">
        <f t="shared" ref="CD47:CD62" si="84">IF((100-(75*(CC47-1)/(200-1)))&gt;100, 100, IF((100-(75*(CC47-1)/(200-1)))&lt;25, 25, (100-(75*(CC47-1)/(200-1)))))</f>
        <v>77.120181804988746</v>
      </c>
      <c r="CE47" s="107">
        <f t="shared" ref="CE47:CE62" si="85">CD47*0.015</f>
        <v>1.1568027270748311</v>
      </c>
      <c r="CF47" s="108" t="s">
        <v>2189</v>
      </c>
      <c r="CG47" s="108" t="s">
        <v>2189</v>
      </c>
      <c r="CH47" s="108" t="s">
        <v>2189</v>
      </c>
      <c r="CI47" s="108" t="s">
        <v>2189</v>
      </c>
      <c r="CJ47" s="109"/>
      <c r="CM47" s="111">
        <f t="shared" si="44"/>
        <v>25</v>
      </c>
      <c r="CN47" s="107">
        <f t="shared" ref="CN47:CN62" si="86">CM47*0.015</f>
        <v>0.375</v>
      </c>
      <c r="CP47" s="88">
        <f t="shared" si="45"/>
        <v>0</v>
      </c>
      <c r="CQ47" s="78">
        <f t="shared" si="46"/>
        <v>100</v>
      </c>
      <c r="CR47" s="79">
        <f t="shared" ref="CR47:CR62" si="87">CQ47*0.03</f>
        <v>3</v>
      </c>
      <c r="CS47" s="92"/>
      <c r="CT47" s="77">
        <f t="shared" si="23"/>
        <v>0</v>
      </c>
      <c r="CU47" s="78">
        <f t="shared" si="47"/>
        <v>100</v>
      </c>
      <c r="CV47" s="79">
        <f t="shared" ref="CV47:CV62" si="88">CU47*0.02</f>
        <v>2</v>
      </c>
      <c r="CW47" s="112" t="e">
        <f t="shared" si="48"/>
        <v>#DIV/0!</v>
      </c>
    </row>
    <row r="48" spans="1:101" x14ac:dyDescent="0.35">
      <c r="A48" s="7" t="s">
        <v>341</v>
      </c>
      <c r="B48" s="8" t="s">
        <v>342</v>
      </c>
      <c r="C48" s="21" t="s">
        <v>343</v>
      </c>
      <c r="D48" s="22" t="s">
        <v>21</v>
      </c>
      <c r="E48" s="11" t="s">
        <v>234</v>
      </c>
      <c r="F48" s="11" t="s">
        <v>344</v>
      </c>
      <c r="G48" s="12">
        <v>32819</v>
      </c>
      <c r="H48" s="11" t="s">
        <v>24</v>
      </c>
      <c r="I48" s="11" t="s">
        <v>345</v>
      </c>
      <c r="J48" s="11" t="s">
        <v>346</v>
      </c>
      <c r="K48" s="11" t="s">
        <v>27</v>
      </c>
      <c r="L48" s="23">
        <v>26432121000</v>
      </c>
      <c r="M48" s="14">
        <v>16048739000</v>
      </c>
      <c r="N48" s="14">
        <v>10383382000</v>
      </c>
      <c r="O48" s="14">
        <v>12414588000</v>
      </c>
      <c r="P48" s="14">
        <v>1321131000</v>
      </c>
      <c r="Q48" s="14">
        <v>1146250000</v>
      </c>
      <c r="R48" s="14">
        <v>869490000</v>
      </c>
      <c r="AB48" s="74">
        <f t="shared" si="49"/>
        <v>0</v>
      </c>
      <c r="AC48" s="75" t="e">
        <f t="shared" si="25"/>
        <v>#DIV/0!</v>
      </c>
      <c r="AD48" s="75" t="e">
        <f t="shared" si="50"/>
        <v>#DIV/0!</v>
      </c>
      <c r="AE48" s="76" t="e">
        <f t="shared" si="77"/>
        <v>#DIV/0!</v>
      </c>
      <c r="AF48" s="77" t="e">
        <f t="shared" si="26"/>
        <v>#DIV/0!</v>
      </c>
      <c r="AG48" s="77" t="e">
        <f t="shared" si="27"/>
        <v>#DIV/0!</v>
      </c>
      <c r="AH48" s="77" t="e">
        <f t="shared" si="51"/>
        <v>#DIV/0!</v>
      </c>
      <c r="AI48" s="78" t="e">
        <f t="shared" si="52"/>
        <v>#DIV/0!</v>
      </c>
      <c r="AJ48" s="79" t="e">
        <f t="shared" si="78"/>
        <v>#DIV/0!</v>
      </c>
      <c r="AM48" s="80"/>
      <c r="AN48" s="81">
        <f t="shared" si="2"/>
        <v>0</v>
      </c>
      <c r="AO48" s="82" t="e">
        <f t="shared" si="3"/>
        <v>#DIV/0!</v>
      </c>
      <c r="AP48" s="83" t="e">
        <f t="shared" si="28"/>
        <v>#DIV/0!</v>
      </c>
      <c r="AQ48" s="84" t="e">
        <f t="shared" si="79"/>
        <v>#DIV/0!</v>
      </c>
      <c r="AS48" s="86">
        <f t="shared" si="5"/>
        <v>0.5</v>
      </c>
      <c r="AT48" s="87">
        <f t="shared" si="29"/>
        <v>0</v>
      </c>
      <c r="AU48" s="87">
        <f t="shared" si="30"/>
        <v>0</v>
      </c>
      <c r="AV48" s="88" t="e">
        <f t="shared" si="6"/>
        <v>#DIV/0!</v>
      </c>
      <c r="AW48" s="78" t="e">
        <f t="shared" si="31"/>
        <v>#DIV/0!</v>
      </c>
      <c r="AX48" s="89" t="e">
        <f t="shared" si="80"/>
        <v>#DIV/0!</v>
      </c>
      <c r="BA48" s="91">
        <f t="shared" si="8"/>
        <v>0</v>
      </c>
      <c r="BB48" s="77" t="e">
        <f t="shared" si="32"/>
        <v>#DIV/0!</v>
      </c>
      <c r="BC48" s="78" t="e">
        <f t="shared" si="33"/>
        <v>#DIV/0!</v>
      </c>
      <c r="BD48" s="79" t="e">
        <f t="shared" si="81"/>
        <v>#DIV/0!</v>
      </c>
      <c r="BE48" s="92"/>
      <c r="BF48" s="92"/>
      <c r="BG48" s="93">
        <v>0</v>
      </c>
      <c r="BH48" s="94">
        <f t="shared" si="10"/>
        <v>0</v>
      </c>
      <c r="BI48" s="77" t="e">
        <f t="shared" si="11"/>
        <v>#DIV/0!</v>
      </c>
      <c r="BJ48" s="95" t="str">
        <f t="shared" si="34"/>
        <v>비제조/서비스업</v>
      </c>
      <c r="BK48" s="96" t="e">
        <f t="shared" si="12"/>
        <v>#DIV/0!</v>
      </c>
      <c r="BL48" s="97" t="e">
        <f t="shared" si="35"/>
        <v>#DIV/0!</v>
      </c>
      <c r="BM48" s="98" t="e">
        <f t="shared" si="36"/>
        <v>#DIV/0!</v>
      </c>
      <c r="BN48" s="99" t="e">
        <f t="shared" si="37"/>
        <v>#DIV/0!</v>
      </c>
      <c r="BP48" s="101">
        <f t="shared" si="38"/>
        <v>0</v>
      </c>
      <c r="BQ48" s="78">
        <f t="shared" si="39"/>
        <v>25</v>
      </c>
      <c r="BR48" s="79">
        <f t="shared" si="82"/>
        <v>0.5</v>
      </c>
      <c r="BS48" s="102"/>
      <c r="BT48" s="102"/>
      <c r="BU48" s="103">
        <f t="shared" si="40"/>
        <v>0</v>
      </c>
      <c r="BV48" s="77">
        <f t="shared" si="14"/>
        <v>0</v>
      </c>
      <c r="BW48" s="96">
        <f t="shared" si="15"/>
        <v>0</v>
      </c>
      <c r="BX48" s="96">
        <f t="shared" si="41"/>
        <v>0</v>
      </c>
      <c r="BY48" s="96">
        <f t="shared" si="16"/>
        <v>0</v>
      </c>
      <c r="BZ48" s="96" t="e">
        <f t="shared" si="42"/>
        <v>#NUM!</v>
      </c>
      <c r="CA48" s="96" t="e">
        <f t="shared" si="17"/>
        <v>#NUM!</v>
      </c>
      <c r="CB48" s="104" t="e">
        <f t="shared" si="43"/>
        <v>#NUM!</v>
      </c>
      <c r="CC48" s="105">
        <f t="shared" si="83"/>
        <v>154.5617699512548</v>
      </c>
      <c r="CD48" s="106">
        <f t="shared" si="84"/>
        <v>42.12496107364769</v>
      </c>
      <c r="CE48" s="107">
        <f t="shared" si="85"/>
        <v>0.63187441610471529</v>
      </c>
      <c r="CF48" s="108" t="s">
        <v>2189</v>
      </c>
      <c r="CG48" s="108" t="s">
        <v>2189</v>
      </c>
      <c r="CH48" s="108" t="s">
        <v>2189</v>
      </c>
      <c r="CI48" s="108" t="s">
        <v>2189</v>
      </c>
      <c r="CJ48" s="109"/>
      <c r="CM48" s="111">
        <f t="shared" si="44"/>
        <v>25</v>
      </c>
      <c r="CN48" s="107">
        <f t="shared" si="86"/>
        <v>0.375</v>
      </c>
      <c r="CP48" s="88">
        <f t="shared" si="45"/>
        <v>0</v>
      </c>
      <c r="CQ48" s="78">
        <f t="shared" si="46"/>
        <v>100</v>
      </c>
      <c r="CR48" s="79">
        <f t="shared" si="87"/>
        <v>3</v>
      </c>
      <c r="CS48" s="92"/>
      <c r="CT48" s="77">
        <f t="shared" si="23"/>
        <v>0</v>
      </c>
      <c r="CU48" s="78">
        <f t="shared" si="47"/>
        <v>100</v>
      </c>
      <c r="CV48" s="79">
        <f t="shared" si="88"/>
        <v>2</v>
      </c>
      <c r="CW48" s="112" t="e">
        <f t="shared" si="48"/>
        <v>#DIV/0!</v>
      </c>
    </row>
    <row r="49" spans="1:101" x14ac:dyDescent="0.35">
      <c r="A49" s="7" t="s">
        <v>347</v>
      </c>
      <c r="B49" s="8" t="s">
        <v>348</v>
      </c>
      <c r="C49" s="21" t="s">
        <v>349</v>
      </c>
      <c r="D49" s="10" t="s">
        <v>141</v>
      </c>
      <c r="E49" s="11" t="s">
        <v>163</v>
      </c>
      <c r="F49" s="11" t="s">
        <v>350</v>
      </c>
      <c r="G49" s="12">
        <v>35425</v>
      </c>
      <c r="H49" s="11" t="s">
        <v>24</v>
      </c>
      <c r="I49" s="11" t="s">
        <v>351</v>
      </c>
      <c r="J49" s="11" t="s">
        <v>352</v>
      </c>
      <c r="K49" s="11" t="s">
        <v>50</v>
      </c>
      <c r="L49" s="23">
        <v>91800233000</v>
      </c>
      <c r="M49" s="14">
        <v>31637411000</v>
      </c>
      <c r="N49" s="14">
        <v>60162822000</v>
      </c>
      <c r="O49" s="14">
        <v>37878699000</v>
      </c>
      <c r="P49" s="14">
        <v>7660947000</v>
      </c>
      <c r="Q49" s="14">
        <v>4467040000</v>
      </c>
      <c r="R49" s="14">
        <v>2790457000</v>
      </c>
      <c r="AB49" s="74">
        <f t="shared" si="49"/>
        <v>0</v>
      </c>
      <c r="AC49" s="75" t="e">
        <f t="shared" si="25"/>
        <v>#DIV/0!</v>
      </c>
      <c r="AD49" s="75" t="e">
        <f t="shared" si="50"/>
        <v>#DIV/0!</v>
      </c>
      <c r="AE49" s="76" t="e">
        <f t="shared" si="77"/>
        <v>#DIV/0!</v>
      </c>
      <c r="AF49" s="77" t="e">
        <f t="shared" si="26"/>
        <v>#DIV/0!</v>
      </c>
      <c r="AG49" s="77" t="e">
        <f t="shared" si="27"/>
        <v>#DIV/0!</v>
      </c>
      <c r="AH49" s="77" t="e">
        <f t="shared" si="51"/>
        <v>#DIV/0!</v>
      </c>
      <c r="AI49" s="78" t="e">
        <f t="shared" si="52"/>
        <v>#DIV/0!</v>
      </c>
      <c r="AJ49" s="79" t="e">
        <f t="shared" si="78"/>
        <v>#DIV/0!</v>
      </c>
      <c r="AM49" s="80"/>
      <c r="AN49" s="81">
        <f t="shared" si="2"/>
        <v>0</v>
      </c>
      <c r="AO49" s="82" t="e">
        <f t="shared" si="3"/>
        <v>#DIV/0!</v>
      </c>
      <c r="AP49" s="83" t="e">
        <f t="shared" si="28"/>
        <v>#DIV/0!</v>
      </c>
      <c r="AQ49" s="84" t="e">
        <f t="shared" si="79"/>
        <v>#DIV/0!</v>
      </c>
      <c r="AS49" s="86">
        <f t="shared" si="5"/>
        <v>0.5</v>
      </c>
      <c r="AT49" s="87">
        <f t="shared" si="29"/>
        <v>0</v>
      </c>
      <c r="AU49" s="87">
        <f t="shared" si="30"/>
        <v>0</v>
      </c>
      <c r="AV49" s="88" t="e">
        <f t="shared" si="6"/>
        <v>#DIV/0!</v>
      </c>
      <c r="AW49" s="78" t="e">
        <f t="shared" si="31"/>
        <v>#DIV/0!</v>
      </c>
      <c r="AX49" s="89" t="e">
        <f t="shared" si="80"/>
        <v>#DIV/0!</v>
      </c>
      <c r="BA49" s="91">
        <f t="shared" si="8"/>
        <v>0</v>
      </c>
      <c r="BB49" s="77" t="e">
        <f t="shared" si="32"/>
        <v>#DIV/0!</v>
      </c>
      <c r="BC49" s="78" t="e">
        <f t="shared" si="33"/>
        <v>#DIV/0!</v>
      </c>
      <c r="BD49" s="79" t="e">
        <f t="shared" si="81"/>
        <v>#DIV/0!</v>
      </c>
      <c r="BE49" s="92"/>
      <c r="BF49" s="92"/>
      <c r="BG49" s="93">
        <v>0</v>
      </c>
      <c r="BH49" s="94">
        <f t="shared" si="10"/>
        <v>0</v>
      </c>
      <c r="BI49" s="77" t="e">
        <f t="shared" si="11"/>
        <v>#DIV/0!</v>
      </c>
      <c r="BJ49" s="95" t="str">
        <f t="shared" si="34"/>
        <v>전기전자/기계업</v>
      </c>
      <c r="BK49" s="96" t="e">
        <f t="shared" si="12"/>
        <v>#DIV/0!</v>
      </c>
      <c r="BL49" s="97" t="e">
        <f t="shared" si="35"/>
        <v>#DIV/0!</v>
      </c>
      <c r="BM49" s="98" t="e">
        <f t="shared" si="36"/>
        <v>#DIV/0!</v>
      </c>
      <c r="BN49" s="99" t="e">
        <f t="shared" si="37"/>
        <v>#DIV/0!</v>
      </c>
      <c r="BP49" s="101">
        <f t="shared" si="38"/>
        <v>0</v>
      </c>
      <c r="BQ49" s="78">
        <f t="shared" si="39"/>
        <v>25</v>
      </c>
      <c r="BR49" s="79">
        <f t="shared" si="82"/>
        <v>0.5</v>
      </c>
      <c r="BS49" s="102"/>
      <c r="BT49" s="102"/>
      <c r="BU49" s="103">
        <f t="shared" si="40"/>
        <v>0</v>
      </c>
      <c r="BV49" s="77">
        <f t="shared" si="14"/>
        <v>0</v>
      </c>
      <c r="BW49" s="96">
        <f t="shared" si="15"/>
        <v>0</v>
      </c>
      <c r="BX49" s="96">
        <f t="shared" si="41"/>
        <v>0</v>
      </c>
      <c r="BY49" s="96">
        <f t="shared" si="16"/>
        <v>0</v>
      </c>
      <c r="BZ49" s="96" t="e">
        <f t="shared" si="42"/>
        <v>#NUM!</v>
      </c>
      <c r="CA49" s="96" t="e">
        <f t="shared" si="17"/>
        <v>#NUM!</v>
      </c>
      <c r="CB49" s="104" t="e">
        <f t="shared" si="43"/>
        <v>#NUM!</v>
      </c>
      <c r="CC49" s="105">
        <f t="shared" si="83"/>
        <v>52.586314850722928</v>
      </c>
      <c r="CD49" s="106">
        <f t="shared" si="84"/>
        <v>80.557921538672261</v>
      </c>
      <c r="CE49" s="107">
        <f t="shared" si="85"/>
        <v>1.208368823080084</v>
      </c>
      <c r="CF49" s="108" t="s">
        <v>2189</v>
      </c>
      <c r="CG49" s="108" t="s">
        <v>2189</v>
      </c>
      <c r="CH49" s="108" t="s">
        <v>2189</v>
      </c>
      <c r="CI49" s="108" t="s">
        <v>2189</v>
      </c>
      <c r="CJ49" s="109"/>
      <c r="CM49" s="111">
        <f t="shared" si="44"/>
        <v>25</v>
      </c>
      <c r="CN49" s="107">
        <f t="shared" si="86"/>
        <v>0.375</v>
      </c>
      <c r="CP49" s="88">
        <f t="shared" si="45"/>
        <v>0</v>
      </c>
      <c r="CQ49" s="78">
        <f t="shared" si="46"/>
        <v>100</v>
      </c>
      <c r="CR49" s="79">
        <f t="shared" si="87"/>
        <v>3</v>
      </c>
      <c r="CS49" s="92"/>
      <c r="CT49" s="77">
        <f t="shared" si="23"/>
        <v>0</v>
      </c>
      <c r="CU49" s="78">
        <f t="shared" si="47"/>
        <v>100</v>
      </c>
      <c r="CV49" s="79">
        <f t="shared" si="88"/>
        <v>2</v>
      </c>
      <c r="CW49" s="112" t="e">
        <f t="shared" si="48"/>
        <v>#DIV/0!</v>
      </c>
    </row>
    <row r="50" spans="1:101" x14ac:dyDescent="0.35">
      <c r="A50" s="7" t="s">
        <v>353</v>
      </c>
      <c r="B50" s="8" t="s">
        <v>354</v>
      </c>
      <c r="C50" s="21" t="s">
        <v>355</v>
      </c>
      <c r="D50" s="22" t="s">
        <v>141</v>
      </c>
      <c r="E50" s="11" t="s">
        <v>356</v>
      </c>
      <c r="F50" s="11" t="s">
        <v>357</v>
      </c>
      <c r="G50" s="12">
        <v>27949</v>
      </c>
      <c r="H50" s="11" t="s">
        <v>24</v>
      </c>
      <c r="I50" s="11" t="s">
        <v>358</v>
      </c>
      <c r="J50" s="11" t="s">
        <v>359</v>
      </c>
      <c r="K50" s="11" t="s">
        <v>102</v>
      </c>
      <c r="L50" s="23">
        <v>913694578</v>
      </c>
      <c r="M50" s="14">
        <v>256815975</v>
      </c>
      <c r="N50" s="14">
        <v>656878603</v>
      </c>
      <c r="O50" s="14">
        <v>320369756</v>
      </c>
      <c r="P50" s="14">
        <v>25070424</v>
      </c>
      <c r="Q50" s="14">
        <v>28857902</v>
      </c>
      <c r="R50" s="14">
        <v>22824949</v>
      </c>
      <c r="AB50" s="74">
        <f t="shared" si="49"/>
        <v>0</v>
      </c>
      <c r="AC50" s="75" t="e">
        <f t="shared" si="25"/>
        <v>#DIV/0!</v>
      </c>
      <c r="AD50" s="75" t="e">
        <f t="shared" si="50"/>
        <v>#DIV/0!</v>
      </c>
      <c r="AE50" s="76" t="e">
        <f t="shared" si="77"/>
        <v>#DIV/0!</v>
      </c>
      <c r="AF50" s="77" t="e">
        <f t="shared" si="26"/>
        <v>#DIV/0!</v>
      </c>
      <c r="AG50" s="77" t="e">
        <f t="shared" si="27"/>
        <v>#DIV/0!</v>
      </c>
      <c r="AH50" s="77" t="e">
        <f t="shared" si="51"/>
        <v>#DIV/0!</v>
      </c>
      <c r="AI50" s="78" t="e">
        <f t="shared" si="52"/>
        <v>#DIV/0!</v>
      </c>
      <c r="AJ50" s="79" t="e">
        <f t="shared" si="78"/>
        <v>#DIV/0!</v>
      </c>
      <c r="AN50" s="81">
        <f t="shared" si="2"/>
        <v>0</v>
      </c>
      <c r="AO50" s="82" t="e">
        <f t="shared" si="3"/>
        <v>#DIV/0!</v>
      </c>
      <c r="AP50" s="83" t="e">
        <f t="shared" si="28"/>
        <v>#DIV/0!</v>
      </c>
      <c r="AQ50" s="84" t="e">
        <f t="shared" si="79"/>
        <v>#DIV/0!</v>
      </c>
      <c r="AS50" s="86">
        <f t="shared" si="5"/>
        <v>0.25</v>
      </c>
      <c r="AT50" s="87">
        <f t="shared" si="29"/>
        <v>0</v>
      </c>
      <c r="AU50" s="87">
        <f t="shared" si="30"/>
        <v>0</v>
      </c>
      <c r="AV50" s="88" t="e">
        <f t="shared" si="6"/>
        <v>#DIV/0!</v>
      </c>
      <c r="AW50" s="78" t="e">
        <f t="shared" si="31"/>
        <v>#DIV/0!</v>
      </c>
      <c r="AX50" s="89" t="e">
        <f t="shared" si="80"/>
        <v>#DIV/0!</v>
      </c>
      <c r="BA50" s="91">
        <f t="shared" si="8"/>
        <v>0</v>
      </c>
      <c r="BB50" s="77" t="e">
        <f t="shared" si="32"/>
        <v>#DIV/0!</v>
      </c>
      <c r="BC50" s="78" t="e">
        <f t="shared" si="33"/>
        <v>#DIV/0!</v>
      </c>
      <c r="BD50" s="79" t="e">
        <f t="shared" si="81"/>
        <v>#DIV/0!</v>
      </c>
      <c r="BE50" s="92"/>
      <c r="BF50" s="92"/>
      <c r="BG50" s="114">
        <v>265271</v>
      </c>
      <c r="BH50" s="94">
        <f t="shared" si="10"/>
        <v>0</v>
      </c>
      <c r="BI50" s="77" t="e">
        <f t="shared" si="11"/>
        <v>#DIV/0!</v>
      </c>
      <c r="BJ50" s="95" t="str">
        <f t="shared" si="34"/>
        <v>전기전자/기계업</v>
      </c>
      <c r="BK50" s="96" t="e">
        <f t="shared" si="12"/>
        <v>#DIV/0!</v>
      </c>
      <c r="BL50" s="97" t="e">
        <f t="shared" si="35"/>
        <v>#DIV/0!</v>
      </c>
      <c r="BM50" s="98" t="e">
        <f t="shared" si="36"/>
        <v>#DIV/0!</v>
      </c>
      <c r="BN50" s="99" t="e">
        <f t="shared" si="37"/>
        <v>#DIV/0!</v>
      </c>
      <c r="BP50" s="101">
        <f t="shared" si="38"/>
        <v>0</v>
      </c>
      <c r="BQ50" s="78">
        <f t="shared" si="39"/>
        <v>25</v>
      </c>
      <c r="BR50" s="79">
        <f t="shared" si="82"/>
        <v>0.5</v>
      </c>
      <c r="BS50" s="102"/>
      <c r="BT50" s="102"/>
      <c r="BU50" s="103">
        <f t="shared" si="40"/>
        <v>0</v>
      </c>
      <c r="BV50" s="77">
        <f t="shared" si="14"/>
        <v>0</v>
      </c>
      <c r="BW50" s="96">
        <f t="shared" si="15"/>
        <v>0</v>
      </c>
      <c r="BX50" s="96">
        <f t="shared" si="41"/>
        <v>0</v>
      </c>
      <c r="BY50" s="96">
        <f t="shared" si="16"/>
        <v>0</v>
      </c>
      <c r="BZ50" s="96" t="e">
        <f t="shared" si="42"/>
        <v>#NUM!</v>
      </c>
      <c r="CA50" s="96" t="e">
        <f t="shared" si="17"/>
        <v>#NUM!</v>
      </c>
      <c r="CB50" s="104" t="e">
        <f t="shared" si="43"/>
        <v>#NUM!</v>
      </c>
      <c r="CC50" s="105">
        <f t="shared" si="83"/>
        <v>39.096413527112553</v>
      </c>
      <c r="CD50" s="106">
        <f t="shared" si="84"/>
        <v>85.642055203349543</v>
      </c>
      <c r="CE50" s="107">
        <f t="shared" si="85"/>
        <v>1.2846308280502432</v>
      </c>
      <c r="CF50" s="108" t="s">
        <v>2189</v>
      </c>
      <c r="CG50" s="108" t="s">
        <v>2189</v>
      </c>
      <c r="CH50" s="108" t="s">
        <v>2189</v>
      </c>
      <c r="CI50" s="108" t="s">
        <v>2189</v>
      </c>
      <c r="CJ50" s="109"/>
      <c r="CM50" s="111">
        <f t="shared" si="44"/>
        <v>25</v>
      </c>
      <c r="CN50" s="107">
        <f t="shared" si="86"/>
        <v>0.375</v>
      </c>
      <c r="CP50" s="88">
        <f t="shared" si="45"/>
        <v>0</v>
      </c>
      <c r="CQ50" s="78">
        <f t="shared" si="46"/>
        <v>100</v>
      </c>
      <c r="CR50" s="79">
        <f t="shared" si="87"/>
        <v>3</v>
      </c>
      <c r="CS50" s="92"/>
      <c r="CT50" s="77">
        <f t="shared" si="23"/>
        <v>0</v>
      </c>
      <c r="CU50" s="78">
        <f t="shared" si="47"/>
        <v>100</v>
      </c>
      <c r="CV50" s="79">
        <f t="shared" si="88"/>
        <v>2</v>
      </c>
      <c r="CW50" s="112" t="e">
        <f t="shared" si="48"/>
        <v>#DIV/0!</v>
      </c>
    </row>
    <row r="51" spans="1:101" x14ac:dyDescent="0.35">
      <c r="A51" s="7" t="s">
        <v>360</v>
      </c>
      <c r="B51" s="8" t="s">
        <v>361</v>
      </c>
      <c r="C51" s="21" t="s">
        <v>362</v>
      </c>
      <c r="D51" s="10" t="s">
        <v>141</v>
      </c>
      <c r="E51" s="11" t="s">
        <v>356</v>
      </c>
      <c r="F51" s="11" t="s">
        <v>363</v>
      </c>
      <c r="G51" s="12">
        <v>37326</v>
      </c>
      <c r="H51" s="11" t="s">
        <v>24</v>
      </c>
      <c r="I51" s="11" t="s">
        <v>364</v>
      </c>
      <c r="J51" s="11" t="s">
        <v>365</v>
      </c>
      <c r="K51" s="11" t="s">
        <v>110</v>
      </c>
      <c r="L51" s="23">
        <v>1219422735</v>
      </c>
      <c r="M51" s="14">
        <v>343607691</v>
      </c>
      <c r="N51" s="14">
        <v>875815044</v>
      </c>
      <c r="O51" s="14">
        <v>1004821817</v>
      </c>
      <c r="P51" s="14">
        <v>113170594</v>
      </c>
      <c r="Q51" s="14">
        <v>122466158</v>
      </c>
      <c r="R51" s="14">
        <v>91032057</v>
      </c>
      <c r="AB51" s="74">
        <f t="shared" si="49"/>
        <v>0</v>
      </c>
      <c r="AC51" s="75" t="e">
        <f t="shared" si="25"/>
        <v>#DIV/0!</v>
      </c>
      <c r="AD51" s="75" t="e">
        <f t="shared" si="50"/>
        <v>#DIV/0!</v>
      </c>
      <c r="AE51" s="76" t="e">
        <f t="shared" si="77"/>
        <v>#DIV/0!</v>
      </c>
      <c r="AF51" s="77" t="e">
        <f t="shared" si="26"/>
        <v>#DIV/0!</v>
      </c>
      <c r="AG51" s="77" t="e">
        <f t="shared" si="27"/>
        <v>#DIV/0!</v>
      </c>
      <c r="AH51" s="77" t="e">
        <f t="shared" si="51"/>
        <v>#DIV/0!</v>
      </c>
      <c r="AI51" s="78" t="e">
        <f t="shared" si="52"/>
        <v>#DIV/0!</v>
      </c>
      <c r="AJ51" s="79" t="e">
        <f t="shared" si="78"/>
        <v>#DIV/0!</v>
      </c>
      <c r="AN51" s="81">
        <f t="shared" si="2"/>
        <v>0</v>
      </c>
      <c r="AO51" s="82" t="e">
        <f t="shared" si="3"/>
        <v>#DIV/0!</v>
      </c>
      <c r="AP51" s="83" t="e">
        <f t="shared" si="28"/>
        <v>#DIV/0!</v>
      </c>
      <c r="AQ51" s="84" t="e">
        <f t="shared" si="79"/>
        <v>#DIV/0!</v>
      </c>
      <c r="AS51" s="86">
        <f t="shared" si="5"/>
        <v>0.25</v>
      </c>
      <c r="AT51" s="87">
        <f t="shared" si="29"/>
        <v>0</v>
      </c>
      <c r="AU51" s="87">
        <f t="shared" si="30"/>
        <v>0</v>
      </c>
      <c r="AV51" s="88" t="e">
        <f t="shared" si="6"/>
        <v>#DIV/0!</v>
      </c>
      <c r="AW51" s="78" t="e">
        <f t="shared" si="31"/>
        <v>#DIV/0!</v>
      </c>
      <c r="AX51" s="89" t="e">
        <f t="shared" si="80"/>
        <v>#DIV/0!</v>
      </c>
      <c r="BA51" s="91">
        <f t="shared" si="8"/>
        <v>0</v>
      </c>
      <c r="BB51" s="77" t="e">
        <f t="shared" si="32"/>
        <v>#DIV/0!</v>
      </c>
      <c r="BC51" s="78" t="e">
        <f t="shared" si="33"/>
        <v>#DIV/0!</v>
      </c>
      <c r="BD51" s="79" t="e">
        <f t="shared" si="81"/>
        <v>#DIV/0!</v>
      </c>
      <c r="BE51" s="92"/>
      <c r="BF51" s="92"/>
      <c r="BG51" s="114">
        <v>388212</v>
      </c>
      <c r="BH51" s="94">
        <f t="shared" si="10"/>
        <v>0</v>
      </c>
      <c r="BI51" s="77" t="e">
        <f t="shared" si="11"/>
        <v>#DIV/0!</v>
      </c>
      <c r="BJ51" s="95" t="str">
        <f t="shared" si="34"/>
        <v>전기전자/기계업</v>
      </c>
      <c r="BK51" s="96" t="e">
        <f t="shared" si="12"/>
        <v>#DIV/0!</v>
      </c>
      <c r="BL51" s="97" t="e">
        <f t="shared" si="35"/>
        <v>#DIV/0!</v>
      </c>
      <c r="BM51" s="98" t="e">
        <f t="shared" si="36"/>
        <v>#DIV/0!</v>
      </c>
      <c r="BN51" s="99" t="e">
        <f t="shared" si="37"/>
        <v>#DIV/0!</v>
      </c>
      <c r="BP51" s="101">
        <f t="shared" si="38"/>
        <v>0</v>
      </c>
      <c r="BQ51" s="78">
        <f t="shared" si="39"/>
        <v>25</v>
      </c>
      <c r="BR51" s="79">
        <f t="shared" si="82"/>
        <v>0.5</v>
      </c>
      <c r="BS51" s="102"/>
      <c r="BT51" s="102"/>
      <c r="BU51" s="103">
        <f t="shared" si="40"/>
        <v>0</v>
      </c>
      <c r="BV51" s="77">
        <f t="shared" si="14"/>
        <v>0</v>
      </c>
      <c r="BW51" s="96">
        <f t="shared" si="15"/>
        <v>0</v>
      </c>
      <c r="BX51" s="96">
        <f t="shared" si="41"/>
        <v>0</v>
      </c>
      <c r="BY51" s="96">
        <f t="shared" si="16"/>
        <v>0</v>
      </c>
      <c r="BZ51" s="96" t="e">
        <f t="shared" si="42"/>
        <v>#NUM!</v>
      </c>
      <c r="CA51" s="96" t="e">
        <f t="shared" si="17"/>
        <v>#NUM!</v>
      </c>
      <c r="CB51" s="104" t="e">
        <f t="shared" si="43"/>
        <v>#NUM!</v>
      </c>
      <c r="CC51" s="105">
        <f t="shared" si="83"/>
        <v>39.23290577776374</v>
      </c>
      <c r="CD51" s="106">
        <f t="shared" si="84"/>
        <v>85.590613400340303</v>
      </c>
      <c r="CE51" s="107">
        <f t="shared" si="85"/>
        <v>1.2838592010051044</v>
      </c>
      <c r="CF51" s="108" t="s">
        <v>2189</v>
      </c>
      <c r="CG51" s="108" t="s">
        <v>2189</v>
      </c>
      <c r="CH51" s="108" t="s">
        <v>2189</v>
      </c>
      <c r="CI51" s="108" t="s">
        <v>2189</v>
      </c>
      <c r="CJ51" s="109"/>
      <c r="CM51" s="111">
        <f t="shared" si="44"/>
        <v>25</v>
      </c>
      <c r="CN51" s="107">
        <f t="shared" si="86"/>
        <v>0.375</v>
      </c>
      <c r="CP51" s="88">
        <f t="shared" si="45"/>
        <v>0</v>
      </c>
      <c r="CQ51" s="78">
        <f t="shared" si="46"/>
        <v>100</v>
      </c>
      <c r="CR51" s="79">
        <f t="shared" si="87"/>
        <v>3</v>
      </c>
      <c r="CS51" s="92"/>
      <c r="CT51" s="77">
        <f t="shared" si="23"/>
        <v>0</v>
      </c>
      <c r="CU51" s="78">
        <f t="shared" si="47"/>
        <v>100</v>
      </c>
      <c r="CV51" s="79">
        <f t="shared" si="88"/>
        <v>2</v>
      </c>
      <c r="CW51" s="112" t="e">
        <f t="shared" si="48"/>
        <v>#DIV/0!</v>
      </c>
    </row>
    <row r="52" spans="1:101" x14ac:dyDescent="0.35">
      <c r="A52" s="7" t="s">
        <v>366</v>
      </c>
      <c r="B52" s="8" t="s">
        <v>367</v>
      </c>
      <c r="C52" s="21" t="s">
        <v>368</v>
      </c>
      <c r="D52" s="10" t="s">
        <v>141</v>
      </c>
      <c r="E52" s="11" t="s">
        <v>369</v>
      </c>
      <c r="F52" s="11" t="s">
        <v>370</v>
      </c>
      <c r="G52" s="12">
        <v>31936</v>
      </c>
      <c r="H52" s="11" t="s">
        <v>24</v>
      </c>
      <c r="I52" s="11" t="s">
        <v>371</v>
      </c>
      <c r="J52" s="11" t="s">
        <v>372</v>
      </c>
      <c r="K52" s="11" t="s">
        <v>50</v>
      </c>
      <c r="L52" s="23">
        <v>692740658</v>
      </c>
      <c r="M52" s="14">
        <v>395155324</v>
      </c>
      <c r="N52" s="14">
        <v>297585335</v>
      </c>
      <c r="O52" s="14">
        <v>1186678750</v>
      </c>
      <c r="P52" s="14">
        <v>24052569</v>
      </c>
      <c r="Q52" s="14">
        <v>10186256</v>
      </c>
      <c r="R52" s="14">
        <v>7026979</v>
      </c>
      <c r="AB52" s="74">
        <f t="shared" si="49"/>
        <v>0</v>
      </c>
      <c r="AC52" s="75" t="e">
        <f t="shared" si="25"/>
        <v>#DIV/0!</v>
      </c>
      <c r="AD52" s="75" t="e">
        <f t="shared" si="50"/>
        <v>#DIV/0!</v>
      </c>
      <c r="AE52" s="76" t="e">
        <f t="shared" si="77"/>
        <v>#DIV/0!</v>
      </c>
      <c r="AF52" s="77" t="e">
        <f t="shared" si="26"/>
        <v>#DIV/0!</v>
      </c>
      <c r="AG52" s="77" t="e">
        <f t="shared" si="27"/>
        <v>#DIV/0!</v>
      </c>
      <c r="AH52" s="77" t="e">
        <f t="shared" si="51"/>
        <v>#DIV/0!</v>
      </c>
      <c r="AI52" s="78" t="e">
        <f t="shared" si="52"/>
        <v>#DIV/0!</v>
      </c>
      <c r="AJ52" s="79" t="e">
        <f t="shared" si="78"/>
        <v>#DIV/0!</v>
      </c>
      <c r="AN52" s="81">
        <f t="shared" si="2"/>
        <v>0</v>
      </c>
      <c r="AO52" s="82" t="e">
        <f t="shared" si="3"/>
        <v>#DIV/0!</v>
      </c>
      <c r="AP52" s="83" t="e">
        <f t="shared" si="28"/>
        <v>#DIV/0!</v>
      </c>
      <c r="AQ52" s="84" t="e">
        <f t="shared" si="79"/>
        <v>#DIV/0!</v>
      </c>
      <c r="AS52" s="86">
        <f t="shared" si="5"/>
        <v>0.25</v>
      </c>
      <c r="AT52" s="87">
        <f t="shared" si="29"/>
        <v>0</v>
      </c>
      <c r="AU52" s="87">
        <f t="shared" si="30"/>
        <v>0</v>
      </c>
      <c r="AV52" s="88" t="e">
        <f t="shared" si="6"/>
        <v>#DIV/0!</v>
      </c>
      <c r="AW52" s="78" t="e">
        <f t="shared" si="31"/>
        <v>#DIV/0!</v>
      </c>
      <c r="AX52" s="89" t="e">
        <f t="shared" si="80"/>
        <v>#DIV/0!</v>
      </c>
      <c r="BA52" s="91">
        <f t="shared" si="8"/>
        <v>0</v>
      </c>
      <c r="BB52" s="77" t="e">
        <f t="shared" si="32"/>
        <v>#DIV/0!</v>
      </c>
      <c r="BC52" s="78" t="e">
        <f t="shared" si="33"/>
        <v>#DIV/0!</v>
      </c>
      <c r="BD52" s="79" t="e">
        <f t="shared" si="81"/>
        <v>#DIV/0!</v>
      </c>
      <c r="BE52" s="92"/>
      <c r="BF52" s="92"/>
      <c r="BG52" s="114">
        <v>1344018</v>
      </c>
      <c r="BH52" s="94">
        <f t="shared" si="10"/>
        <v>0</v>
      </c>
      <c r="BI52" s="77" t="e">
        <f t="shared" si="11"/>
        <v>#DIV/0!</v>
      </c>
      <c r="BJ52" s="95" t="str">
        <f t="shared" si="34"/>
        <v>전기전자/기계업</v>
      </c>
      <c r="BK52" s="96" t="e">
        <f t="shared" si="12"/>
        <v>#DIV/0!</v>
      </c>
      <c r="BL52" s="97" t="e">
        <f t="shared" si="35"/>
        <v>#DIV/0!</v>
      </c>
      <c r="BM52" s="98" t="e">
        <f t="shared" si="36"/>
        <v>#DIV/0!</v>
      </c>
      <c r="BN52" s="99" t="e">
        <f t="shared" si="37"/>
        <v>#DIV/0!</v>
      </c>
      <c r="BP52" s="101">
        <f t="shared" si="38"/>
        <v>0</v>
      </c>
      <c r="BQ52" s="78">
        <f t="shared" si="39"/>
        <v>25</v>
      </c>
      <c r="BR52" s="79">
        <f t="shared" si="82"/>
        <v>0.5</v>
      </c>
      <c r="BS52" s="102"/>
      <c r="BT52" s="102"/>
      <c r="BU52" s="103">
        <f t="shared" si="40"/>
        <v>0</v>
      </c>
      <c r="BV52" s="77">
        <f t="shared" si="14"/>
        <v>0</v>
      </c>
      <c r="BW52" s="96">
        <f t="shared" si="15"/>
        <v>0</v>
      </c>
      <c r="BX52" s="96">
        <f t="shared" si="41"/>
        <v>0</v>
      </c>
      <c r="BY52" s="96">
        <f t="shared" si="16"/>
        <v>0</v>
      </c>
      <c r="BZ52" s="96" t="e">
        <f t="shared" si="42"/>
        <v>#NUM!</v>
      </c>
      <c r="CA52" s="96" t="e">
        <f t="shared" si="17"/>
        <v>#NUM!</v>
      </c>
      <c r="CB52" s="104" t="e">
        <f t="shared" si="43"/>
        <v>#NUM!</v>
      </c>
      <c r="CC52" s="105">
        <f t="shared" si="83"/>
        <v>132.78723025783512</v>
      </c>
      <c r="CD52" s="106">
        <f t="shared" si="84"/>
        <v>50.331445882725461</v>
      </c>
      <c r="CE52" s="107">
        <f t="shared" si="85"/>
        <v>0.7549716882408819</v>
      </c>
      <c r="CF52" s="108" t="s">
        <v>2189</v>
      </c>
      <c r="CG52" s="108" t="s">
        <v>2189</v>
      </c>
      <c r="CH52" s="108" t="s">
        <v>2189</v>
      </c>
      <c r="CI52" s="108" t="s">
        <v>2189</v>
      </c>
      <c r="CJ52" s="109"/>
      <c r="CM52" s="111">
        <f t="shared" si="44"/>
        <v>25</v>
      </c>
      <c r="CN52" s="107">
        <f t="shared" si="86"/>
        <v>0.375</v>
      </c>
      <c r="CP52" s="88">
        <f t="shared" si="45"/>
        <v>0</v>
      </c>
      <c r="CQ52" s="78">
        <f t="shared" si="46"/>
        <v>100</v>
      </c>
      <c r="CR52" s="79">
        <f t="shared" si="87"/>
        <v>3</v>
      </c>
      <c r="CS52" s="92"/>
      <c r="CT52" s="77">
        <f t="shared" si="23"/>
        <v>0</v>
      </c>
      <c r="CU52" s="78">
        <f t="shared" si="47"/>
        <v>100</v>
      </c>
      <c r="CV52" s="79">
        <f t="shared" si="88"/>
        <v>2</v>
      </c>
      <c r="CW52" s="112" t="e">
        <f t="shared" si="48"/>
        <v>#DIV/0!</v>
      </c>
    </row>
    <row r="53" spans="1:101" x14ac:dyDescent="0.35">
      <c r="A53" s="7" t="s">
        <v>373</v>
      </c>
      <c r="B53" s="8" t="s">
        <v>374</v>
      </c>
      <c r="C53" s="21" t="s">
        <v>375</v>
      </c>
      <c r="D53" s="22" t="s">
        <v>21</v>
      </c>
      <c r="E53" s="11" t="s">
        <v>376</v>
      </c>
      <c r="F53" s="11" t="s">
        <v>377</v>
      </c>
      <c r="G53" s="12">
        <v>32826</v>
      </c>
      <c r="H53" s="11" t="s">
        <v>24</v>
      </c>
      <c r="I53" s="11" t="s">
        <v>378</v>
      </c>
      <c r="J53" s="11" t="s">
        <v>379</v>
      </c>
      <c r="K53" s="11" t="s">
        <v>27</v>
      </c>
      <c r="L53" s="23">
        <v>57863012</v>
      </c>
      <c r="M53" s="14">
        <v>24529480</v>
      </c>
      <c r="N53" s="14">
        <v>33333532</v>
      </c>
      <c r="O53" s="14">
        <v>30093883</v>
      </c>
      <c r="P53" s="14">
        <v>4174665</v>
      </c>
      <c r="Q53" s="14">
        <v>4390397</v>
      </c>
      <c r="R53" s="14">
        <v>4613111</v>
      </c>
      <c r="AB53" s="74">
        <f t="shared" si="49"/>
        <v>0</v>
      </c>
      <c r="AC53" s="75" t="e">
        <f t="shared" si="25"/>
        <v>#DIV/0!</v>
      </c>
      <c r="AD53" s="75" t="e">
        <f t="shared" si="50"/>
        <v>#DIV/0!</v>
      </c>
      <c r="AE53" s="76" t="e">
        <f t="shared" si="77"/>
        <v>#DIV/0!</v>
      </c>
      <c r="AF53" s="77" t="e">
        <f t="shared" si="26"/>
        <v>#DIV/0!</v>
      </c>
      <c r="AG53" s="77" t="e">
        <f t="shared" si="27"/>
        <v>#DIV/0!</v>
      </c>
      <c r="AH53" s="77" t="e">
        <f t="shared" si="51"/>
        <v>#DIV/0!</v>
      </c>
      <c r="AI53" s="78" t="e">
        <f t="shared" si="52"/>
        <v>#DIV/0!</v>
      </c>
      <c r="AJ53" s="79" t="e">
        <f t="shared" si="78"/>
        <v>#DIV/0!</v>
      </c>
      <c r="AN53" s="81">
        <f t="shared" si="2"/>
        <v>0</v>
      </c>
      <c r="AO53" s="82" t="e">
        <f t="shared" si="3"/>
        <v>#DIV/0!</v>
      </c>
      <c r="AP53" s="83" t="e">
        <f t="shared" si="28"/>
        <v>#DIV/0!</v>
      </c>
      <c r="AQ53" s="84" t="e">
        <f t="shared" si="79"/>
        <v>#DIV/0!</v>
      </c>
      <c r="AS53" s="86">
        <f t="shared" si="5"/>
        <v>0.25</v>
      </c>
      <c r="AT53" s="87">
        <f t="shared" si="29"/>
        <v>0</v>
      </c>
      <c r="AU53" s="87">
        <f t="shared" si="30"/>
        <v>0</v>
      </c>
      <c r="AV53" s="88" t="e">
        <f t="shared" si="6"/>
        <v>#DIV/0!</v>
      </c>
      <c r="AW53" s="78" t="e">
        <f t="shared" si="31"/>
        <v>#DIV/0!</v>
      </c>
      <c r="AX53" s="89" t="e">
        <f t="shared" si="80"/>
        <v>#DIV/0!</v>
      </c>
      <c r="BA53" s="91">
        <f t="shared" si="8"/>
        <v>0</v>
      </c>
      <c r="BB53" s="77" t="e">
        <f t="shared" si="32"/>
        <v>#DIV/0!</v>
      </c>
      <c r="BC53" s="78" t="e">
        <f t="shared" si="33"/>
        <v>#DIV/0!</v>
      </c>
      <c r="BD53" s="79" t="e">
        <f t="shared" si="81"/>
        <v>#DIV/0!</v>
      </c>
      <c r="BE53" s="92"/>
      <c r="BF53" s="26"/>
      <c r="BG53" s="114">
        <v>143168</v>
      </c>
      <c r="BH53" s="94">
        <f t="shared" si="10"/>
        <v>0</v>
      </c>
      <c r="BI53" s="77" t="e">
        <f t="shared" si="11"/>
        <v>#DIV/0!</v>
      </c>
      <c r="BJ53" s="95" t="str">
        <f t="shared" si="34"/>
        <v>비제조/서비스업</v>
      </c>
      <c r="BK53" s="96" t="e">
        <f t="shared" si="12"/>
        <v>#DIV/0!</v>
      </c>
      <c r="BL53" s="97" t="e">
        <f t="shared" si="35"/>
        <v>#DIV/0!</v>
      </c>
      <c r="BM53" s="98" t="e">
        <f t="shared" si="36"/>
        <v>#DIV/0!</v>
      </c>
      <c r="BN53" s="99" t="e">
        <f t="shared" si="37"/>
        <v>#DIV/0!</v>
      </c>
      <c r="BP53" s="101">
        <f t="shared" si="38"/>
        <v>0</v>
      </c>
      <c r="BQ53" s="78">
        <f t="shared" si="39"/>
        <v>25</v>
      </c>
      <c r="BR53" s="79">
        <f t="shared" si="82"/>
        <v>0.5</v>
      </c>
      <c r="BS53" s="102"/>
      <c r="BT53" s="102"/>
      <c r="BU53" s="103">
        <f t="shared" si="40"/>
        <v>0</v>
      </c>
      <c r="BV53" s="77">
        <f t="shared" si="14"/>
        <v>0</v>
      </c>
      <c r="BW53" s="96">
        <f t="shared" si="15"/>
        <v>0</v>
      </c>
      <c r="BX53" s="96">
        <f t="shared" si="41"/>
        <v>0</v>
      </c>
      <c r="BY53" s="96">
        <f t="shared" si="16"/>
        <v>0</v>
      </c>
      <c r="BZ53" s="96" t="e">
        <f t="shared" si="42"/>
        <v>#NUM!</v>
      </c>
      <c r="CA53" s="96" t="e">
        <f t="shared" si="17"/>
        <v>#NUM!</v>
      </c>
      <c r="CB53" s="104" t="e">
        <f t="shared" si="43"/>
        <v>#NUM!</v>
      </c>
      <c r="CC53" s="105">
        <f t="shared" si="83"/>
        <v>73.588001415511556</v>
      </c>
      <c r="CD53" s="106">
        <f t="shared" si="84"/>
        <v>72.642713034354941</v>
      </c>
      <c r="CE53" s="107">
        <f t="shared" si="85"/>
        <v>1.0896406955153242</v>
      </c>
      <c r="CF53" s="108" t="s">
        <v>2189</v>
      </c>
      <c r="CG53" s="108" t="s">
        <v>2189</v>
      </c>
      <c r="CH53" s="108" t="s">
        <v>2189</v>
      </c>
      <c r="CI53" s="108" t="s">
        <v>2189</v>
      </c>
      <c r="CJ53" s="109"/>
      <c r="CM53" s="111">
        <f t="shared" si="44"/>
        <v>25</v>
      </c>
      <c r="CN53" s="107">
        <f t="shared" si="86"/>
        <v>0.375</v>
      </c>
      <c r="CP53" s="88">
        <f t="shared" si="45"/>
        <v>0</v>
      </c>
      <c r="CQ53" s="78">
        <f t="shared" si="46"/>
        <v>100</v>
      </c>
      <c r="CR53" s="79">
        <f t="shared" si="87"/>
        <v>3</v>
      </c>
      <c r="CS53" s="92"/>
      <c r="CT53" s="77">
        <f t="shared" si="23"/>
        <v>0</v>
      </c>
      <c r="CU53" s="78">
        <f t="shared" si="47"/>
        <v>100</v>
      </c>
      <c r="CV53" s="79">
        <f t="shared" si="88"/>
        <v>2</v>
      </c>
      <c r="CW53" s="112" t="e">
        <f t="shared" si="48"/>
        <v>#DIV/0!</v>
      </c>
    </row>
    <row r="54" spans="1:101" x14ac:dyDescent="0.35">
      <c r="A54" s="7" t="s">
        <v>380</v>
      </c>
      <c r="B54" s="8" t="s">
        <v>381</v>
      </c>
      <c r="C54" s="21" t="s">
        <v>382</v>
      </c>
      <c r="D54" s="22" t="s">
        <v>75</v>
      </c>
      <c r="E54" s="11" t="s">
        <v>383</v>
      </c>
      <c r="F54" s="11" t="s">
        <v>384</v>
      </c>
      <c r="G54" s="12">
        <v>28306</v>
      </c>
      <c r="H54" s="11" t="s">
        <v>24</v>
      </c>
      <c r="I54" s="11" t="s">
        <v>385</v>
      </c>
      <c r="J54" s="11" t="s">
        <v>386</v>
      </c>
      <c r="K54" s="11" t="s">
        <v>27</v>
      </c>
      <c r="L54" s="23">
        <v>342108581</v>
      </c>
      <c r="M54" s="14">
        <v>116198537</v>
      </c>
      <c r="N54" s="14">
        <v>225910045</v>
      </c>
      <c r="O54" s="14">
        <v>202589425</v>
      </c>
      <c r="P54" s="14">
        <v>26820420</v>
      </c>
      <c r="Q54" s="14">
        <v>25169767</v>
      </c>
      <c r="R54" s="14">
        <v>18699263</v>
      </c>
      <c r="AB54" s="74">
        <f t="shared" si="49"/>
        <v>0</v>
      </c>
      <c r="AC54" s="75" t="e">
        <f t="shared" si="25"/>
        <v>#DIV/0!</v>
      </c>
      <c r="AD54" s="75" t="e">
        <f t="shared" si="50"/>
        <v>#DIV/0!</v>
      </c>
      <c r="AE54" s="76" t="e">
        <f t="shared" si="77"/>
        <v>#DIV/0!</v>
      </c>
      <c r="AF54" s="77" t="e">
        <f t="shared" si="26"/>
        <v>#DIV/0!</v>
      </c>
      <c r="AG54" s="77" t="e">
        <f t="shared" si="27"/>
        <v>#DIV/0!</v>
      </c>
      <c r="AH54" s="77" t="e">
        <f t="shared" si="51"/>
        <v>#DIV/0!</v>
      </c>
      <c r="AI54" s="78" t="e">
        <f t="shared" si="52"/>
        <v>#DIV/0!</v>
      </c>
      <c r="AJ54" s="79" t="e">
        <f t="shared" si="78"/>
        <v>#DIV/0!</v>
      </c>
      <c r="AN54" s="81">
        <f t="shared" si="2"/>
        <v>0</v>
      </c>
      <c r="AO54" s="82" t="e">
        <f t="shared" si="3"/>
        <v>#DIV/0!</v>
      </c>
      <c r="AP54" s="83" t="e">
        <f t="shared" si="28"/>
        <v>#DIV/0!</v>
      </c>
      <c r="AQ54" s="84" t="e">
        <f t="shared" si="79"/>
        <v>#DIV/0!</v>
      </c>
      <c r="AS54" s="86">
        <f t="shared" si="5"/>
        <v>0.25</v>
      </c>
      <c r="AT54" s="87">
        <f t="shared" si="29"/>
        <v>0</v>
      </c>
      <c r="AU54" s="87">
        <f t="shared" si="30"/>
        <v>0</v>
      </c>
      <c r="AV54" s="88" t="e">
        <f t="shared" si="6"/>
        <v>#DIV/0!</v>
      </c>
      <c r="AW54" s="78" t="e">
        <f t="shared" si="31"/>
        <v>#DIV/0!</v>
      </c>
      <c r="AX54" s="89" t="e">
        <f t="shared" si="80"/>
        <v>#DIV/0!</v>
      </c>
      <c r="BA54" s="91">
        <f t="shared" si="8"/>
        <v>0</v>
      </c>
      <c r="BB54" s="77" t="e">
        <f t="shared" si="32"/>
        <v>#DIV/0!</v>
      </c>
      <c r="BC54" s="78" t="e">
        <f t="shared" si="33"/>
        <v>#DIV/0!</v>
      </c>
      <c r="BD54" s="79" t="e">
        <f t="shared" si="81"/>
        <v>#DIV/0!</v>
      </c>
      <c r="BE54" s="92"/>
      <c r="BF54" s="92"/>
      <c r="BG54" s="93">
        <v>0</v>
      </c>
      <c r="BH54" s="94">
        <f t="shared" si="10"/>
        <v>0</v>
      </c>
      <c r="BI54" s="77" t="e">
        <f t="shared" si="11"/>
        <v>#DIV/0!</v>
      </c>
      <c r="BJ54" s="95" t="str">
        <f t="shared" si="34"/>
        <v>금속/비금속/화학업</v>
      </c>
      <c r="BK54" s="96" t="e">
        <f t="shared" si="12"/>
        <v>#DIV/0!</v>
      </c>
      <c r="BL54" s="97" t="e">
        <f t="shared" si="35"/>
        <v>#DIV/0!</v>
      </c>
      <c r="BM54" s="98" t="e">
        <f t="shared" si="36"/>
        <v>#DIV/0!</v>
      </c>
      <c r="BN54" s="99" t="e">
        <f t="shared" si="37"/>
        <v>#DIV/0!</v>
      </c>
      <c r="BP54" s="101">
        <f t="shared" si="38"/>
        <v>0</v>
      </c>
      <c r="BQ54" s="78">
        <f t="shared" si="39"/>
        <v>25</v>
      </c>
      <c r="BR54" s="79">
        <f t="shared" si="82"/>
        <v>0.5</v>
      </c>
      <c r="BS54" s="102"/>
      <c r="BT54" s="102"/>
      <c r="BU54" s="103">
        <f t="shared" si="40"/>
        <v>0</v>
      </c>
      <c r="BV54" s="77">
        <f t="shared" si="14"/>
        <v>0</v>
      </c>
      <c r="BW54" s="96">
        <f t="shared" si="15"/>
        <v>0</v>
      </c>
      <c r="BX54" s="96">
        <f t="shared" si="41"/>
        <v>0</v>
      </c>
      <c r="BY54" s="96">
        <f t="shared" si="16"/>
        <v>0</v>
      </c>
      <c r="BZ54" s="96" t="e">
        <f t="shared" si="42"/>
        <v>#NUM!</v>
      </c>
      <c r="CA54" s="96" t="e">
        <f t="shared" si="17"/>
        <v>#NUM!</v>
      </c>
      <c r="CB54" s="104" t="e">
        <f t="shared" si="43"/>
        <v>#NUM!</v>
      </c>
      <c r="CC54" s="105">
        <f t="shared" si="83"/>
        <v>51.43575488199297</v>
      </c>
      <c r="CD54" s="106">
        <f t="shared" si="84"/>
        <v>80.99154966759059</v>
      </c>
      <c r="CE54" s="107">
        <f t="shared" si="85"/>
        <v>1.2148732450138588</v>
      </c>
      <c r="CF54" s="108" t="s">
        <v>2189</v>
      </c>
      <c r="CG54" s="108" t="s">
        <v>2189</v>
      </c>
      <c r="CH54" s="108" t="s">
        <v>2189</v>
      </c>
      <c r="CI54" s="108" t="s">
        <v>2189</v>
      </c>
      <c r="CJ54" s="109"/>
      <c r="CM54" s="111">
        <f t="shared" si="44"/>
        <v>25</v>
      </c>
      <c r="CN54" s="107">
        <f t="shared" si="86"/>
        <v>0.375</v>
      </c>
      <c r="CP54" s="88">
        <f t="shared" si="45"/>
        <v>0</v>
      </c>
      <c r="CQ54" s="78">
        <f t="shared" si="46"/>
        <v>100</v>
      </c>
      <c r="CR54" s="79">
        <f t="shared" si="87"/>
        <v>3</v>
      </c>
      <c r="CS54" s="92"/>
      <c r="CT54" s="77">
        <f t="shared" si="23"/>
        <v>0</v>
      </c>
      <c r="CU54" s="78">
        <f t="shared" si="47"/>
        <v>100</v>
      </c>
      <c r="CV54" s="79">
        <f t="shared" si="88"/>
        <v>2</v>
      </c>
      <c r="CW54" s="112" t="e">
        <f t="shared" si="48"/>
        <v>#DIV/0!</v>
      </c>
    </row>
    <row r="55" spans="1:101" x14ac:dyDescent="0.35">
      <c r="A55" s="7" t="s">
        <v>387</v>
      </c>
      <c r="B55" s="8" t="s">
        <v>388</v>
      </c>
      <c r="C55" s="21" t="s">
        <v>389</v>
      </c>
      <c r="D55" s="10" t="s">
        <v>21</v>
      </c>
      <c r="E55" s="11" t="s">
        <v>390</v>
      </c>
      <c r="F55" s="11" t="s">
        <v>391</v>
      </c>
      <c r="G55" s="12">
        <v>42867</v>
      </c>
      <c r="H55" s="11" t="s">
        <v>24</v>
      </c>
      <c r="I55" s="11" t="s">
        <v>392</v>
      </c>
      <c r="J55" s="11" t="s">
        <v>393</v>
      </c>
      <c r="K55" s="11" t="s">
        <v>394</v>
      </c>
      <c r="L55" s="23">
        <v>1064615087</v>
      </c>
      <c r="M55" s="14">
        <v>672093137</v>
      </c>
      <c r="N55" s="14">
        <v>392521950</v>
      </c>
      <c r="O55" s="14">
        <v>2304288140</v>
      </c>
      <c r="P55" s="14">
        <v>25053659</v>
      </c>
      <c r="Q55" s="14">
        <v>30627192</v>
      </c>
      <c r="R55" s="14">
        <v>23488574</v>
      </c>
      <c r="AB55" s="74">
        <f t="shared" si="49"/>
        <v>0</v>
      </c>
      <c r="AC55" s="75" t="e">
        <f t="shared" si="25"/>
        <v>#DIV/0!</v>
      </c>
      <c r="AD55" s="75" t="e">
        <f t="shared" si="50"/>
        <v>#DIV/0!</v>
      </c>
      <c r="AE55" s="76" t="e">
        <f t="shared" si="77"/>
        <v>#DIV/0!</v>
      </c>
      <c r="AF55" s="77" t="e">
        <f t="shared" si="26"/>
        <v>#DIV/0!</v>
      </c>
      <c r="AG55" s="77" t="e">
        <f t="shared" si="27"/>
        <v>#DIV/0!</v>
      </c>
      <c r="AH55" s="77" t="e">
        <f t="shared" si="51"/>
        <v>#DIV/0!</v>
      </c>
      <c r="AI55" s="78" t="e">
        <f t="shared" si="52"/>
        <v>#DIV/0!</v>
      </c>
      <c r="AJ55" s="79" t="e">
        <f t="shared" si="78"/>
        <v>#DIV/0!</v>
      </c>
      <c r="AN55" s="81">
        <f t="shared" si="2"/>
        <v>0</v>
      </c>
      <c r="AO55" s="82" t="e">
        <f t="shared" si="3"/>
        <v>#DIV/0!</v>
      </c>
      <c r="AP55" s="83" t="e">
        <f t="shared" si="28"/>
        <v>#DIV/0!</v>
      </c>
      <c r="AQ55" s="84" t="e">
        <f t="shared" si="79"/>
        <v>#DIV/0!</v>
      </c>
      <c r="AS55" s="86">
        <f t="shared" si="5"/>
        <v>0.25</v>
      </c>
      <c r="AT55" s="87">
        <f t="shared" si="29"/>
        <v>0</v>
      </c>
      <c r="AU55" s="87">
        <f t="shared" si="30"/>
        <v>0</v>
      </c>
      <c r="AV55" s="88" t="e">
        <f t="shared" si="6"/>
        <v>#DIV/0!</v>
      </c>
      <c r="AW55" s="78" t="e">
        <f t="shared" si="31"/>
        <v>#DIV/0!</v>
      </c>
      <c r="AX55" s="89" t="e">
        <f t="shared" si="80"/>
        <v>#DIV/0!</v>
      </c>
      <c r="BA55" s="91">
        <f t="shared" si="8"/>
        <v>0</v>
      </c>
      <c r="BB55" s="77" t="e">
        <f t="shared" si="32"/>
        <v>#DIV/0!</v>
      </c>
      <c r="BC55" s="78" t="e">
        <f t="shared" si="33"/>
        <v>#DIV/0!</v>
      </c>
      <c r="BD55" s="79" t="e">
        <f t="shared" si="81"/>
        <v>#DIV/0!</v>
      </c>
      <c r="BE55" s="92"/>
      <c r="BF55" s="92"/>
      <c r="BG55" s="93">
        <v>0</v>
      </c>
      <c r="BH55" s="94">
        <f t="shared" si="10"/>
        <v>0</v>
      </c>
      <c r="BI55" s="77" t="e">
        <f t="shared" si="11"/>
        <v>#DIV/0!</v>
      </c>
      <c r="BJ55" s="95" t="str">
        <f t="shared" si="34"/>
        <v>비제조/서비스업</v>
      </c>
      <c r="BK55" s="96" t="e">
        <f t="shared" si="12"/>
        <v>#DIV/0!</v>
      </c>
      <c r="BL55" s="97" t="e">
        <f t="shared" si="35"/>
        <v>#DIV/0!</v>
      </c>
      <c r="BM55" s="98" t="e">
        <f t="shared" si="36"/>
        <v>#DIV/0!</v>
      </c>
      <c r="BN55" s="99" t="e">
        <f t="shared" si="37"/>
        <v>#DIV/0!</v>
      </c>
      <c r="BP55" s="101">
        <f t="shared" si="38"/>
        <v>0</v>
      </c>
      <c r="BQ55" s="78">
        <f t="shared" si="39"/>
        <v>25</v>
      </c>
      <c r="BR55" s="79">
        <f t="shared" si="82"/>
        <v>0.5</v>
      </c>
      <c r="BS55" s="102"/>
      <c r="BT55" s="102"/>
      <c r="BU55" s="103">
        <f t="shared" si="40"/>
        <v>0</v>
      </c>
      <c r="BV55" s="77">
        <f t="shared" si="14"/>
        <v>0</v>
      </c>
      <c r="BW55" s="96">
        <f t="shared" si="15"/>
        <v>0</v>
      </c>
      <c r="BX55" s="96">
        <f t="shared" si="41"/>
        <v>0</v>
      </c>
      <c r="BY55" s="96">
        <f t="shared" si="16"/>
        <v>0</v>
      </c>
      <c r="BZ55" s="96" t="e">
        <f t="shared" si="42"/>
        <v>#NUM!</v>
      </c>
      <c r="CA55" s="96" t="e">
        <f t="shared" si="17"/>
        <v>#NUM!</v>
      </c>
      <c r="CB55" s="104" t="e">
        <f t="shared" si="43"/>
        <v>#NUM!</v>
      </c>
      <c r="CC55" s="105">
        <f t="shared" si="83"/>
        <v>171.22434477868055</v>
      </c>
      <c r="CD55" s="106">
        <f t="shared" si="84"/>
        <v>35.845096188939493</v>
      </c>
      <c r="CE55" s="107">
        <f t="shared" si="85"/>
        <v>0.53767644283409233</v>
      </c>
      <c r="CF55" s="108" t="s">
        <v>2189</v>
      </c>
      <c r="CG55" s="108" t="s">
        <v>2189</v>
      </c>
      <c r="CH55" s="108" t="s">
        <v>2189</v>
      </c>
      <c r="CI55" s="108" t="s">
        <v>2189</v>
      </c>
      <c r="CJ55" s="109"/>
      <c r="CM55" s="111">
        <f t="shared" si="44"/>
        <v>25</v>
      </c>
      <c r="CN55" s="107">
        <f t="shared" si="86"/>
        <v>0.375</v>
      </c>
      <c r="CP55" s="88">
        <f t="shared" si="45"/>
        <v>0</v>
      </c>
      <c r="CQ55" s="78">
        <f t="shared" si="46"/>
        <v>100</v>
      </c>
      <c r="CR55" s="79">
        <f t="shared" si="87"/>
        <v>3</v>
      </c>
      <c r="CS55" s="92"/>
      <c r="CT55" s="77">
        <f t="shared" si="23"/>
        <v>0</v>
      </c>
      <c r="CU55" s="78">
        <f t="shared" si="47"/>
        <v>100</v>
      </c>
      <c r="CV55" s="79">
        <f t="shared" si="88"/>
        <v>2</v>
      </c>
      <c r="CW55" s="112" t="e">
        <f t="shared" si="48"/>
        <v>#DIV/0!</v>
      </c>
    </row>
    <row r="56" spans="1:101" x14ac:dyDescent="0.35">
      <c r="A56" s="7" t="s">
        <v>395</v>
      </c>
      <c r="B56" s="8" t="s">
        <v>396</v>
      </c>
      <c r="C56" s="21" t="s">
        <v>397</v>
      </c>
      <c r="D56" s="10" t="s">
        <v>21</v>
      </c>
      <c r="E56" s="11" t="s">
        <v>91</v>
      </c>
      <c r="F56" s="11" t="s">
        <v>398</v>
      </c>
      <c r="G56" s="12">
        <v>35094</v>
      </c>
      <c r="H56" s="11" t="s">
        <v>24</v>
      </c>
      <c r="I56" s="11" t="s">
        <v>399</v>
      </c>
      <c r="J56" s="11" t="s">
        <v>400</v>
      </c>
      <c r="K56" s="11" t="s">
        <v>212</v>
      </c>
      <c r="L56" s="23">
        <v>1800240035</v>
      </c>
      <c r="M56" s="14">
        <v>1098232792</v>
      </c>
      <c r="N56" s="14">
        <v>702007244</v>
      </c>
      <c r="O56" s="14">
        <v>2052333741</v>
      </c>
      <c r="P56" s="14">
        <v>96367097</v>
      </c>
      <c r="Q56" s="14">
        <v>87514929</v>
      </c>
      <c r="R56" s="14">
        <v>58220411</v>
      </c>
      <c r="AB56" s="74">
        <f t="shared" si="49"/>
        <v>0</v>
      </c>
      <c r="AC56" s="75" t="e">
        <f t="shared" si="25"/>
        <v>#DIV/0!</v>
      </c>
      <c r="AD56" s="75" t="e">
        <f t="shared" si="50"/>
        <v>#DIV/0!</v>
      </c>
      <c r="AE56" s="76" t="e">
        <f t="shared" si="77"/>
        <v>#DIV/0!</v>
      </c>
      <c r="AF56" s="77" t="e">
        <f t="shared" si="26"/>
        <v>#DIV/0!</v>
      </c>
      <c r="AG56" s="77" t="e">
        <f t="shared" si="27"/>
        <v>#DIV/0!</v>
      </c>
      <c r="AH56" s="77" t="e">
        <f t="shared" si="51"/>
        <v>#DIV/0!</v>
      </c>
      <c r="AI56" s="78" t="e">
        <f t="shared" si="52"/>
        <v>#DIV/0!</v>
      </c>
      <c r="AJ56" s="79" t="e">
        <f t="shared" si="78"/>
        <v>#DIV/0!</v>
      </c>
      <c r="AN56" s="81">
        <f t="shared" si="2"/>
        <v>0</v>
      </c>
      <c r="AO56" s="82" t="e">
        <f t="shared" si="3"/>
        <v>#DIV/0!</v>
      </c>
      <c r="AP56" s="83" t="e">
        <f t="shared" si="28"/>
        <v>#DIV/0!</v>
      </c>
      <c r="AQ56" s="84" t="e">
        <f t="shared" si="79"/>
        <v>#DIV/0!</v>
      </c>
      <c r="AS56" s="86">
        <f t="shared" si="5"/>
        <v>0.25</v>
      </c>
      <c r="AT56" s="87">
        <f t="shared" si="29"/>
        <v>0</v>
      </c>
      <c r="AU56" s="87">
        <f t="shared" si="30"/>
        <v>0</v>
      </c>
      <c r="AV56" s="88" t="e">
        <f t="shared" si="6"/>
        <v>#DIV/0!</v>
      </c>
      <c r="AW56" s="78" t="e">
        <f t="shared" si="31"/>
        <v>#DIV/0!</v>
      </c>
      <c r="AX56" s="89" t="e">
        <f t="shared" si="80"/>
        <v>#DIV/0!</v>
      </c>
      <c r="BA56" s="91">
        <f t="shared" si="8"/>
        <v>0</v>
      </c>
      <c r="BB56" s="77" t="e">
        <f t="shared" si="32"/>
        <v>#DIV/0!</v>
      </c>
      <c r="BC56" s="78" t="e">
        <f t="shared" si="33"/>
        <v>#DIV/0!</v>
      </c>
      <c r="BD56" s="79" t="e">
        <f t="shared" si="81"/>
        <v>#DIV/0!</v>
      </c>
      <c r="BE56" s="92"/>
      <c r="BF56" s="92"/>
      <c r="BG56" s="114">
        <v>1252782</v>
      </c>
      <c r="BH56" s="94">
        <f t="shared" si="10"/>
        <v>0</v>
      </c>
      <c r="BI56" s="77" t="e">
        <f t="shared" si="11"/>
        <v>#DIV/0!</v>
      </c>
      <c r="BJ56" s="95" t="str">
        <f t="shared" si="34"/>
        <v>비제조/서비스업</v>
      </c>
      <c r="BK56" s="96" t="e">
        <f t="shared" si="12"/>
        <v>#DIV/0!</v>
      </c>
      <c r="BL56" s="97" t="e">
        <f t="shared" si="35"/>
        <v>#DIV/0!</v>
      </c>
      <c r="BM56" s="98" t="e">
        <f t="shared" si="36"/>
        <v>#DIV/0!</v>
      </c>
      <c r="BN56" s="99" t="e">
        <f t="shared" si="37"/>
        <v>#DIV/0!</v>
      </c>
      <c r="BP56" s="101">
        <f t="shared" si="38"/>
        <v>0</v>
      </c>
      <c r="BQ56" s="78">
        <f t="shared" si="39"/>
        <v>25</v>
      </c>
      <c r="BR56" s="79">
        <f t="shared" si="82"/>
        <v>0.5</v>
      </c>
      <c r="BS56" s="102"/>
      <c r="BT56" s="102"/>
      <c r="BU56" s="103">
        <f t="shared" si="40"/>
        <v>0</v>
      </c>
      <c r="BV56" s="77">
        <f t="shared" si="14"/>
        <v>0</v>
      </c>
      <c r="BW56" s="96">
        <f t="shared" si="15"/>
        <v>0</v>
      </c>
      <c r="BX56" s="96">
        <f t="shared" si="41"/>
        <v>0</v>
      </c>
      <c r="BY56" s="96">
        <f t="shared" si="16"/>
        <v>0</v>
      </c>
      <c r="BZ56" s="96" t="e">
        <f t="shared" si="42"/>
        <v>#NUM!</v>
      </c>
      <c r="CA56" s="96" t="e">
        <f t="shared" si="17"/>
        <v>#NUM!</v>
      </c>
      <c r="CB56" s="104" t="e">
        <f t="shared" si="43"/>
        <v>#NUM!</v>
      </c>
      <c r="CC56" s="105">
        <f t="shared" si="83"/>
        <v>156.44180332703232</v>
      </c>
      <c r="CD56" s="106">
        <f t="shared" si="84"/>
        <v>41.416405781269226</v>
      </c>
      <c r="CE56" s="107">
        <f t="shared" si="85"/>
        <v>0.62124608671903836</v>
      </c>
      <c r="CF56" s="108" t="s">
        <v>2189</v>
      </c>
      <c r="CG56" s="108" t="s">
        <v>2189</v>
      </c>
      <c r="CH56" s="108" t="s">
        <v>2189</v>
      </c>
      <c r="CI56" s="108" t="s">
        <v>2189</v>
      </c>
      <c r="CJ56" s="109"/>
      <c r="CM56" s="111">
        <f t="shared" si="44"/>
        <v>25</v>
      </c>
      <c r="CN56" s="107">
        <f t="shared" si="86"/>
        <v>0.375</v>
      </c>
      <c r="CP56" s="88">
        <f t="shared" si="45"/>
        <v>0</v>
      </c>
      <c r="CQ56" s="78">
        <f t="shared" si="46"/>
        <v>100</v>
      </c>
      <c r="CR56" s="79">
        <f t="shared" si="87"/>
        <v>3</v>
      </c>
      <c r="CS56" s="92"/>
      <c r="CT56" s="77">
        <f t="shared" si="23"/>
        <v>0</v>
      </c>
      <c r="CU56" s="78">
        <f t="shared" si="47"/>
        <v>100</v>
      </c>
      <c r="CV56" s="79">
        <f t="shared" si="88"/>
        <v>2</v>
      </c>
      <c r="CW56" s="112" t="e">
        <f t="shared" si="48"/>
        <v>#DIV/0!</v>
      </c>
    </row>
    <row r="57" spans="1:101" x14ac:dyDescent="0.35">
      <c r="A57" s="7" t="s">
        <v>401</v>
      </c>
      <c r="B57" s="8" t="s">
        <v>402</v>
      </c>
      <c r="C57" s="21" t="s">
        <v>403</v>
      </c>
      <c r="D57" s="10" t="s">
        <v>31</v>
      </c>
      <c r="E57" s="11" t="s">
        <v>404</v>
      </c>
      <c r="F57" s="11" t="s">
        <v>405</v>
      </c>
      <c r="G57" s="12">
        <v>33252</v>
      </c>
      <c r="H57" s="11" t="s">
        <v>24</v>
      </c>
      <c r="I57" s="11" t="s">
        <v>406</v>
      </c>
      <c r="J57" s="11" t="s">
        <v>407</v>
      </c>
      <c r="K57" s="11" t="s">
        <v>110</v>
      </c>
      <c r="L57" s="23">
        <v>252929703</v>
      </c>
      <c r="M57" s="14">
        <v>156846243</v>
      </c>
      <c r="N57" s="14">
        <v>96083460</v>
      </c>
      <c r="O57" s="14">
        <v>272260521</v>
      </c>
      <c r="P57" s="14">
        <v>5775173</v>
      </c>
      <c r="Q57" s="14">
        <v>1931650</v>
      </c>
      <c r="R57" s="14">
        <v>1853171</v>
      </c>
      <c r="AB57" s="74">
        <f t="shared" si="49"/>
        <v>0</v>
      </c>
      <c r="AC57" s="75" t="e">
        <f t="shared" si="25"/>
        <v>#DIV/0!</v>
      </c>
      <c r="AD57" s="75" t="e">
        <f t="shared" si="50"/>
        <v>#DIV/0!</v>
      </c>
      <c r="AE57" s="76" t="e">
        <f t="shared" si="77"/>
        <v>#DIV/0!</v>
      </c>
      <c r="AF57" s="77" t="e">
        <f t="shared" si="26"/>
        <v>#DIV/0!</v>
      </c>
      <c r="AG57" s="77" t="e">
        <f t="shared" si="27"/>
        <v>#DIV/0!</v>
      </c>
      <c r="AH57" s="77" t="e">
        <f t="shared" si="51"/>
        <v>#DIV/0!</v>
      </c>
      <c r="AI57" s="78" t="e">
        <f t="shared" si="52"/>
        <v>#DIV/0!</v>
      </c>
      <c r="AJ57" s="79" t="e">
        <f t="shared" si="78"/>
        <v>#DIV/0!</v>
      </c>
      <c r="AN57" s="81">
        <f t="shared" si="2"/>
        <v>0</v>
      </c>
      <c r="AO57" s="82" t="e">
        <f t="shared" si="3"/>
        <v>#DIV/0!</v>
      </c>
      <c r="AP57" s="83" t="e">
        <f t="shared" si="28"/>
        <v>#DIV/0!</v>
      </c>
      <c r="AQ57" s="84" t="e">
        <f t="shared" si="79"/>
        <v>#DIV/0!</v>
      </c>
      <c r="AS57" s="86">
        <f t="shared" si="5"/>
        <v>0.25</v>
      </c>
      <c r="AT57" s="87">
        <f t="shared" si="29"/>
        <v>0</v>
      </c>
      <c r="AU57" s="87">
        <f t="shared" si="30"/>
        <v>0</v>
      </c>
      <c r="AV57" s="88" t="e">
        <f t="shared" si="6"/>
        <v>#DIV/0!</v>
      </c>
      <c r="AW57" s="78" t="e">
        <f t="shared" si="31"/>
        <v>#DIV/0!</v>
      </c>
      <c r="AX57" s="89" t="e">
        <f t="shared" si="80"/>
        <v>#DIV/0!</v>
      </c>
      <c r="BA57" s="91">
        <f t="shared" si="8"/>
        <v>0</v>
      </c>
      <c r="BB57" s="77" t="e">
        <f t="shared" si="32"/>
        <v>#DIV/0!</v>
      </c>
      <c r="BC57" s="78" t="e">
        <f t="shared" si="33"/>
        <v>#DIV/0!</v>
      </c>
      <c r="BD57" s="79" t="e">
        <f t="shared" si="81"/>
        <v>#DIV/0!</v>
      </c>
      <c r="BE57" s="92"/>
      <c r="BF57" s="92"/>
      <c r="BG57" s="114">
        <v>449043</v>
      </c>
      <c r="BH57" s="94">
        <f t="shared" si="10"/>
        <v>0</v>
      </c>
      <c r="BI57" s="77" t="e">
        <f t="shared" si="11"/>
        <v>#DIV/0!</v>
      </c>
      <c r="BJ57" s="95" t="str">
        <f t="shared" si="34"/>
        <v>식약/섬유/종이업</v>
      </c>
      <c r="BK57" s="96" t="e">
        <f t="shared" si="12"/>
        <v>#DIV/0!</v>
      </c>
      <c r="BL57" s="97" t="e">
        <f t="shared" si="35"/>
        <v>#DIV/0!</v>
      </c>
      <c r="BM57" s="98" t="e">
        <f t="shared" si="36"/>
        <v>#DIV/0!</v>
      </c>
      <c r="BN57" s="99" t="e">
        <f t="shared" si="37"/>
        <v>#DIV/0!</v>
      </c>
      <c r="BP57" s="101">
        <f t="shared" si="38"/>
        <v>0</v>
      </c>
      <c r="BQ57" s="78">
        <f t="shared" si="39"/>
        <v>25</v>
      </c>
      <c r="BR57" s="79">
        <f t="shared" si="82"/>
        <v>0.5</v>
      </c>
      <c r="BS57" s="102"/>
      <c r="BT57" s="102"/>
      <c r="BU57" s="103">
        <f t="shared" si="40"/>
        <v>0</v>
      </c>
      <c r="BV57" s="77">
        <f t="shared" si="14"/>
        <v>0</v>
      </c>
      <c r="BW57" s="96">
        <f t="shared" si="15"/>
        <v>0</v>
      </c>
      <c r="BX57" s="96">
        <f t="shared" si="41"/>
        <v>0</v>
      </c>
      <c r="BY57" s="96">
        <f t="shared" si="16"/>
        <v>0</v>
      </c>
      <c r="BZ57" s="96" t="e">
        <f t="shared" si="42"/>
        <v>#NUM!</v>
      </c>
      <c r="CA57" s="96" t="e">
        <f t="shared" si="17"/>
        <v>#NUM!</v>
      </c>
      <c r="CB57" s="104" t="e">
        <f t="shared" si="43"/>
        <v>#NUM!</v>
      </c>
      <c r="CC57" s="105">
        <f t="shared" si="83"/>
        <v>163.2395867093046</v>
      </c>
      <c r="CD57" s="106">
        <f t="shared" si="84"/>
        <v>38.854427119608815</v>
      </c>
      <c r="CE57" s="107">
        <f t="shared" si="85"/>
        <v>0.58281640679413216</v>
      </c>
      <c r="CF57" s="108" t="s">
        <v>2189</v>
      </c>
      <c r="CG57" s="108" t="s">
        <v>2189</v>
      </c>
      <c r="CH57" s="108" t="s">
        <v>2189</v>
      </c>
      <c r="CI57" s="108" t="s">
        <v>2189</v>
      </c>
      <c r="CJ57" s="109"/>
      <c r="CM57" s="111">
        <f t="shared" si="44"/>
        <v>25</v>
      </c>
      <c r="CN57" s="107">
        <f t="shared" si="86"/>
        <v>0.375</v>
      </c>
      <c r="CP57" s="88">
        <f t="shared" si="45"/>
        <v>0</v>
      </c>
      <c r="CQ57" s="78">
        <f t="shared" si="46"/>
        <v>100</v>
      </c>
      <c r="CR57" s="79">
        <f t="shared" si="87"/>
        <v>3</v>
      </c>
      <c r="CS57" s="92"/>
      <c r="CT57" s="77">
        <f t="shared" si="23"/>
        <v>0</v>
      </c>
      <c r="CU57" s="78">
        <f t="shared" si="47"/>
        <v>100</v>
      </c>
      <c r="CV57" s="79">
        <f t="shared" si="88"/>
        <v>2</v>
      </c>
      <c r="CW57" s="112" t="e">
        <f t="shared" si="48"/>
        <v>#DIV/0!</v>
      </c>
    </row>
    <row r="58" spans="1:101" x14ac:dyDescent="0.35">
      <c r="A58" s="7" t="s">
        <v>408</v>
      </c>
      <c r="B58" s="8" t="s">
        <v>409</v>
      </c>
      <c r="C58" s="21" t="s">
        <v>410</v>
      </c>
      <c r="D58" s="10" t="s">
        <v>75</v>
      </c>
      <c r="E58" s="11" t="s">
        <v>106</v>
      </c>
      <c r="F58" s="11" t="s">
        <v>411</v>
      </c>
      <c r="G58" s="12">
        <v>33082</v>
      </c>
      <c r="H58" s="11" t="s">
        <v>24</v>
      </c>
      <c r="I58" s="11" t="s">
        <v>412</v>
      </c>
      <c r="J58" s="11" t="s">
        <v>413</v>
      </c>
      <c r="K58" s="11" t="s">
        <v>27</v>
      </c>
      <c r="L58" s="23">
        <v>10091235345</v>
      </c>
      <c r="M58" s="14">
        <v>1690777750</v>
      </c>
      <c r="N58" s="14">
        <v>8400457595</v>
      </c>
      <c r="O58" s="14">
        <v>8081377635</v>
      </c>
      <c r="P58" s="14">
        <v>931364084</v>
      </c>
      <c r="Q58" s="14">
        <v>876898600</v>
      </c>
      <c r="R58" s="14">
        <v>656193706</v>
      </c>
      <c r="AB58" s="74">
        <f t="shared" si="49"/>
        <v>0</v>
      </c>
      <c r="AC58" s="75" t="e">
        <f t="shared" si="25"/>
        <v>#DIV/0!</v>
      </c>
      <c r="AD58" s="75" t="e">
        <f t="shared" si="50"/>
        <v>#DIV/0!</v>
      </c>
      <c r="AE58" s="76" t="e">
        <f t="shared" si="77"/>
        <v>#DIV/0!</v>
      </c>
      <c r="AF58" s="77" t="e">
        <f t="shared" si="26"/>
        <v>#DIV/0!</v>
      </c>
      <c r="AG58" s="77" t="e">
        <f t="shared" si="27"/>
        <v>#DIV/0!</v>
      </c>
      <c r="AH58" s="77" t="e">
        <f t="shared" si="51"/>
        <v>#DIV/0!</v>
      </c>
      <c r="AI58" s="78" t="e">
        <f t="shared" si="52"/>
        <v>#DIV/0!</v>
      </c>
      <c r="AJ58" s="79" t="e">
        <f t="shared" si="78"/>
        <v>#DIV/0!</v>
      </c>
      <c r="AN58" s="81">
        <f t="shared" si="2"/>
        <v>0</v>
      </c>
      <c r="AO58" s="82" t="e">
        <f t="shared" si="3"/>
        <v>#DIV/0!</v>
      </c>
      <c r="AP58" s="83" t="e">
        <f t="shared" si="28"/>
        <v>#DIV/0!</v>
      </c>
      <c r="AQ58" s="84" t="e">
        <f t="shared" si="79"/>
        <v>#DIV/0!</v>
      </c>
      <c r="AS58" s="86">
        <f t="shared" si="5"/>
        <v>0.5</v>
      </c>
      <c r="AT58" s="87">
        <f t="shared" si="29"/>
        <v>0</v>
      </c>
      <c r="AU58" s="87">
        <f t="shared" si="30"/>
        <v>0</v>
      </c>
      <c r="AV58" s="88" t="e">
        <f t="shared" si="6"/>
        <v>#DIV/0!</v>
      </c>
      <c r="AW58" s="78" t="e">
        <f t="shared" si="31"/>
        <v>#DIV/0!</v>
      </c>
      <c r="AX58" s="89" t="e">
        <f t="shared" si="80"/>
        <v>#DIV/0!</v>
      </c>
      <c r="BA58" s="91">
        <f t="shared" si="8"/>
        <v>0</v>
      </c>
      <c r="BB58" s="77" t="e">
        <f t="shared" si="32"/>
        <v>#DIV/0!</v>
      </c>
      <c r="BC58" s="78" t="e">
        <f t="shared" si="33"/>
        <v>#DIV/0!</v>
      </c>
      <c r="BD58" s="79" t="e">
        <f t="shared" si="81"/>
        <v>#DIV/0!</v>
      </c>
      <c r="BE58" s="92"/>
      <c r="BF58" s="92"/>
      <c r="BG58" s="114">
        <v>1439928</v>
      </c>
      <c r="BH58" s="94">
        <f t="shared" si="10"/>
        <v>0</v>
      </c>
      <c r="BI58" s="77" t="e">
        <f t="shared" si="11"/>
        <v>#DIV/0!</v>
      </c>
      <c r="BJ58" s="95" t="str">
        <f t="shared" si="34"/>
        <v>금속/비금속/화학업</v>
      </c>
      <c r="BK58" s="96" t="e">
        <f t="shared" si="12"/>
        <v>#DIV/0!</v>
      </c>
      <c r="BL58" s="97" t="e">
        <f t="shared" si="35"/>
        <v>#DIV/0!</v>
      </c>
      <c r="BM58" s="98" t="e">
        <f t="shared" si="36"/>
        <v>#DIV/0!</v>
      </c>
      <c r="BN58" s="99" t="e">
        <f t="shared" si="37"/>
        <v>#DIV/0!</v>
      </c>
      <c r="BP58" s="101">
        <f t="shared" si="38"/>
        <v>0</v>
      </c>
      <c r="BQ58" s="78">
        <f t="shared" si="39"/>
        <v>25</v>
      </c>
      <c r="BR58" s="79">
        <f t="shared" si="82"/>
        <v>0.5</v>
      </c>
      <c r="BS58" s="102"/>
      <c r="BT58" s="102"/>
      <c r="BU58" s="103">
        <f t="shared" si="40"/>
        <v>0</v>
      </c>
      <c r="BV58" s="77">
        <f t="shared" si="14"/>
        <v>0</v>
      </c>
      <c r="BW58" s="96">
        <f t="shared" si="15"/>
        <v>0</v>
      </c>
      <c r="BX58" s="96">
        <f t="shared" si="41"/>
        <v>0</v>
      </c>
      <c r="BY58" s="96">
        <f t="shared" si="16"/>
        <v>0</v>
      </c>
      <c r="BZ58" s="96" t="e">
        <f t="shared" si="42"/>
        <v>#NUM!</v>
      </c>
      <c r="CA58" s="96" t="e">
        <f t="shared" si="17"/>
        <v>#NUM!</v>
      </c>
      <c r="CB58" s="104" t="e">
        <f t="shared" si="43"/>
        <v>#NUM!</v>
      </c>
      <c r="CC58" s="105">
        <f t="shared" si="83"/>
        <v>20.127210105868048</v>
      </c>
      <c r="CD58" s="106">
        <f t="shared" si="84"/>
        <v>92.791252472662791</v>
      </c>
      <c r="CE58" s="107">
        <f t="shared" si="85"/>
        <v>1.3918687870899418</v>
      </c>
      <c r="CF58" s="108" t="s">
        <v>2189</v>
      </c>
      <c r="CG58" s="108" t="s">
        <v>2189</v>
      </c>
      <c r="CH58" s="108" t="s">
        <v>2189</v>
      </c>
      <c r="CI58" s="108" t="s">
        <v>2189</v>
      </c>
      <c r="CJ58" s="109"/>
      <c r="CM58" s="111">
        <f t="shared" si="44"/>
        <v>25</v>
      </c>
      <c r="CN58" s="107">
        <f t="shared" si="86"/>
        <v>0.375</v>
      </c>
      <c r="CP58" s="88">
        <f t="shared" si="45"/>
        <v>0</v>
      </c>
      <c r="CQ58" s="78">
        <f t="shared" si="46"/>
        <v>100</v>
      </c>
      <c r="CR58" s="79">
        <f t="shared" si="87"/>
        <v>3</v>
      </c>
      <c r="CS58" s="92"/>
      <c r="CT58" s="77">
        <f t="shared" si="23"/>
        <v>0</v>
      </c>
      <c r="CU58" s="78">
        <f t="shared" si="47"/>
        <v>100</v>
      </c>
      <c r="CV58" s="79">
        <f t="shared" si="88"/>
        <v>2</v>
      </c>
      <c r="CW58" s="112" t="e">
        <f t="shared" si="48"/>
        <v>#DIV/0!</v>
      </c>
    </row>
    <row r="59" spans="1:101" x14ac:dyDescent="0.35">
      <c r="A59" s="7" t="s">
        <v>414</v>
      </c>
      <c r="B59" s="8" t="s">
        <v>415</v>
      </c>
      <c r="C59" s="21" t="s">
        <v>416</v>
      </c>
      <c r="D59" s="10" t="s">
        <v>75</v>
      </c>
      <c r="E59" s="11" t="s">
        <v>114</v>
      </c>
      <c r="F59" s="11" t="s">
        <v>417</v>
      </c>
      <c r="G59" s="12">
        <v>27905</v>
      </c>
      <c r="H59" s="11" t="s">
        <v>24</v>
      </c>
      <c r="I59" s="11" t="s">
        <v>418</v>
      </c>
      <c r="J59" s="11" t="s">
        <v>419</v>
      </c>
      <c r="K59" s="11" t="s">
        <v>110</v>
      </c>
      <c r="L59" s="23">
        <v>1426860291</v>
      </c>
      <c r="M59" s="14">
        <v>243570816</v>
      </c>
      <c r="N59" s="14">
        <v>1183289475</v>
      </c>
      <c r="O59" s="14">
        <v>559167200</v>
      </c>
      <c r="P59" s="14">
        <v>43001257</v>
      </c>
      <c r="Q59" s="14">
        <v>60233515</v>
      </c>
      <c r="R59" s="14">
        <v>45128788</v>
      </c>
      <c r="AB59" s="74">
        <f t="shared" si="49"/>
        <v>0</v>
      </c>
      <c r="AC59" s="75" t="e">
        <f t="shared" si="25"/>
        <v>#DIV/0!</v>
      </c>
      <c r="AD59" s="75" t="e">
        <f t="shared" si="50"/>
        <v>#DIV/0!</v>
      </c>
      <c r="AE59" s="76" t="e">
        <f t="shared" si="77"/>
        <v>#DIV/0!</v>
      </c>
      <c r="AF59" s="77" t="e">
        <f t="shared" si="26"/>
        <v>#DIV/0!</v>
      </c>
      <c r="AG59" s="77" t="e">
        <f t="shared" si="27"/>
        <v>#DIV/0!</v>
      </c>
      <c r="AH59" s="77" t="e">
        <f t="shared" si="51"/>
        <v>#DIV/0!</v>
      </c>
      <c r="AI59" s="78" t="e">
        <f t="shared" si="52"/>
        <v>#DIV/0!</v>
      </c>
      <c r="AJ59" s="79" t="e">
        <f t="shared" si="78"/>
        <v>#DIV/0!</v>
      </c>
      <c r="AN59" s="81">
        <f t="shared" si="2"/>
        <v>0</v>
      </c>
      <c r="AO59" s="82" t="e">
        <f t="shared" si="3"/>
        <v>#DIV/0!</v>
      </c>
      <c r="AP59" s="83" t="e">
        <f t="shared" si="28"/>
        <v>#DIV/0!</v>
      </c>
      <c r="AQ59" s="84" t="e">
        <f t="shared" si="79"/>
        <v>#DIV/0!</v>
      </c>
      <c r="AS59" s="86">
        <f t="shared" si="5"/>
        <v>0.25</v>
      </c>
      <c r="AT59" s="87">
        <f t="shared" si="29"/>
        <v>0</v>
      </c>
      <c r="AU59" s="87">
        <f t="shared" si="30"/>
        <v>0</v>
      </c>
      <c r="AV59" s="88" t="e">
        <f t="shared" si="6"/>
        <v>#DIV/0!</v>
      </c>
      <c r="AW59" s="78" t="e">
        <f t="shared" si="31"/>
        <v>#DIV/0!</v>
      </c>
      <c r="AX59" s="89" t="e">
        <f t="shared" si="80"/>
        <v>#DIV/0!</v>
      </c>
      <c r="BA59" s="91">
        <f t="shared" si="8"/>
        <v>0</v>
      </c>
      <c r="BB59" s="77" t="e">
        <f t="shared" si="32"/>
        <v>#DIV/0!</v>
      </c>
      <c r="BC59" s="78" t="e">
        <f t="shared" si="33"/>
        <v>#DIV/0!</v>
      </c>
      <c r="BD59" s="79" t="e">
        <f t="shared" si="81"/>
        <v>#DIV/0!</v>
      </c>
      <c r="BE59" s="92"/>
      <c r="BF59" s="92"/>
      <c r="BG59" s="114">
        <v>1241000</v>
      </c>
      <c r="BH59" s="94">
        <f t="shared" si="10"/>
        <v>0</v>
      </c>
      <c r="BI59" s="77" t="e">
        <f t="shared" si="11"/>
        <v>#DIV/0!</v>
      </c>
      <c r="BJ59" s="95" t="str">
        <f t="shared" si="34"/>
        <v>금속/비금속/화학업</v>
      </c>
      <c r="BK59" s="96" t="e">
        <f t="shared" si="12"/>
        <v>#DIV/0!</v>
      </c>
      <c r="BL59" s="97" t="e">
        <f t="shared" si="35"/>
        <v>#DIV/0!</v>
      </c>
      <c r="BM59" s="98" t="e">
        <f t="shared" si="36"/>
        <v>#DIV/0!</v>
      </c>
      <c r="BN59" s="99" t="e">
        <f t="shared" si="37"/>
        <v>#DIV/0!</v>
      </c>
      <c r="BP59" s="101">
        <f t="shared" si="38"/>
        <v>0</v>
      </c>
      <c r="BQ59" s="78">
        <f t="shared" si="39"/>
        <v>25</v>
      </c>
      <c r="BR59" s="79">
        <f t="shared" si="82"/>
        <v>0.5</v>
      </c>
      <c r="BS59" s="102"/>
      <c r="BT59" s="102"/>
      <c r="BU59" s="103">
        <f t="shared" si="40"/>
        <v>0</v>
      </c>
      <c r="BV59" s="77">
        <f t="shared" si="14"/>
        <v>0</v>
      </c>
      <c r="BW59" s="96">
        <f t="shared" si="15"/>
        <v>0</v>
      </c>
      <c r="BX59" s="96">
        <f t="shared" si="41"/>
        <v>0</v>
      </c>
      <c r="BY59" s="96">
        <f t="shared" si="16"/>
        <v>0</v>
      </c>
      <c r="BZ59" s="96" t="e">
        <f t="shared" si="42"/>
        <v>#NUM!</v>
      </c>
      <c r="CA59" s="96" t="e">
        <f t="shared" si="17"/>
        <v>#NUM!</v>
      </c>
      <c r="CB59" s="104" t="e">
        <f t="shared" si="43"/>
        <v>#NUM!</v>
      </c>
      <c r="CC59" s="105">
        <f t="shared" si="83"/>
        <v>20.584212159919701</v>
      </c>
      <c r="CD59" s="106">
        <f t="shared" si="84"/>
        <v>92.619015517618209</v>
      </c>
      <c r="CE59" s="107">
        <f t="shared" si="85"/>
        <v>1.3892852327642731</v>
      </c>
      <c r="CF59" s="108" t="s">
        <v>2189</v>
      </c>
      <c r="CG59" s="108" t="s">
        <v>2189</v>
      </c>
      <c r="CH59" s="108" t="s">
        <v>2189</v>
      </c>
      <c r="CI59" s="108" t="s">
        <v>2189</v>
      </c>
      <c r="CJ59" s="109"/>
      <c r="CM59" s="111">
        <f t="shared" si="44"/>
        <v>25</v>
      </c>
      <c r="CN59" s="107">
        <f t="shared" si="86"/>
        <v>0.375</v>
      </c>
      <c r="CP59" s="88">
        <f t="shared" si="45"/>
        <v>0</v>
      </c>
      <c r="CQ59" s="78">
        <f t="shared" si="46"/>
        <v>100</v>
      </c>
      <c r="CR59" s="79">
        <f t="shared" si="87"/>
        <v>3</v>
      </c>
      <c r="CS59" s="92"/>
      <c r="CT59" s="77">
        <f t="shared" si="23"/>
        <v>0</v>
      </c>
      <c r="CU59" s="78">
        <f t="shared" si="47"/>
        <v>100</v>
      </c>
      <c r="CV59" s="79">
        <f t="shared" si="88"/>
        <v>2</v>
      </c>
      <c r="CW59" s="112" t="e">
        <f t="shared" si="48"/>
        <v>#DIV/0!</v>
      </c>
    </row>
    <row r="60" spans="1:101" x14ac:dyDescent="0.35">
      <c r="A60" s="7" t="s">
        <v>420</v>
      </c>
      <c r="B60" s="8" t="s">
        <v>421</v>
      </c>
      <c r="C60" s="21" t="s">
        <v>422</v>
      </c>
      <c r="D60" s="10" t="s">
        <v>31</v>
      </c>
      <c r="E60" s="11" t="s">
        <v>183</v>
      </c>
      <c r="F60" s="11" t="s">
        <v>423</v>
      </c>
      <c r="G60" s="12">
        <v>32829</v>
      </c>
      <c r="H60" s="11" t="s">
        <v>24</v>
      </c>
      <c r="I60" s="11" t="s">
        <v>424</v>
      </c>
      <c r="J60" s="11" t="s">
        <v>425</v>
      </c>
      <c r="K60" s="11" t="s">
        <v>27</v>
      </c>
      <c r="L60" s="23">
        <v>767629606</v>
      </c>
      <c r="M60" s="14">
        <v>261642769</v>
      </c>
      <c r="N60" s="14">
        <v>505986838</v>
      </c>
      <c r="O60" s="14">
        <v>850526444</v>
      </c>
      <c r="P60" s="14">
        <v>33566313</v>
      </c>
      <c r="Q60" s="14">
        <v>31909767</v>
      </c>
      <c r="R60" s="14">
        <v>23739402</v>
      </c>
      <c r="AB60" s="74">
        <f t="shared" si="49"/>
        <v>0</v>
      </c>
      <c r="AC60" s="75" t="e">
        <f t="shared" si="25"/>
        <v>#DIV/0!</v>
      </c>
      <c r="AD60" s="75" t="e">
        <f t="shared" si="50"/>
        <v>#DIV/0!</v>
      </c>
      <c r="AE60" s="76" t="e">
        <f t="shared" si="77"/>
        <v>#DIV/0!</v>
      </c>
      <c r="AF60" s="77" t="e">
        <f t="shared" si="26"/>
        <v>#DIV/0!</v>
      </c>
      <c r="AG60" s="77" t="e">
        <f t="shared" si="27"/>
        <v>#DIV/0!</v>
      </c>
      <c r="AH60" s="77" t="e">
        <f t="shared" si="51"/>
        <v>#DIV/0!</v>
      </c>
      <c r="AI60" s="78" t="e">
        <f t="shared" si="52"/>
        <v>#DIV/0!</v>
      </c>
      <c r="AJ60" s="79" t="e">
        <f t="shared" si="78"/>
        <v>#DIV/0!</v>
      </c>
      <c r="AN60" s="81">
        <f t="shared" si="2"/>
        <v>0</v>
      </c>
      <c r="AO60" s="82" t="e">
        <f t="shared" si="3"/>
        <v>#DIV/0!</v>
      </c>
      <c r="AP60" s="83" t="e">
        <f t="shared" si="28"/>
        <v>#DIV/0!</v>
      </c>
      <c r="AQ60" s="84" t="e">
        <f t="shared" si="79"/>
        <v>#DIV/0!</v>
      </c>
      <c r="AS60" s="86">
        <f t="shared" si="5"/>
        <v>0.25</v>
      </c>
      <c r="AT60" s="87">
        <f t="shared" si="29"/>
        <v>0</v>
      </c>
      <c r="AU60" s="87">
        <f t="shared" si="30"/>
        <v>0</v>
      </c>
      <c r="AV60" s="88" t="e">
        <f t="shared" si="6"/>
        <v>#DIV/0!</v>
      </c>
      <c r="AW60" s="78" t="e">
        <f t="shared" si="31"/>
        <v>#DIV/0!</v>
      </c>
      <c r="AX60" s="89" t="e">
        <f t="shared" si="80"/>
        <v>#DIV/0!</v>
      </c>
      <c r="BA60" s="91">
        <f t="shared" si="8"/>
        <v>0</v>
      </c>
      <c r="BB60" s="77" t="e">
        <f t="shared" si="32"/>
        <v>#DIV/0!</v>
      </c>
      <c r="BC60" s="78" t="e">
        <f t="shared" si="33"/>
        <v>#DIV/0!</v>
      </c>
      <c r="BD60" s="79" t="e">
        <f t="shared" si="81"/>
        <v>#DIV/0!</v>
      </c>
      <c r="BE60" s="92"/>
      <c r="BF60" s="92"/>
      <c r="BG60" s="114">
        <v>730964</v>
      </c>
      <c r="BH60" s="94">
        <f t="shared" si="10"/>
        <v>0</v>
      </c>
      <c r="BI60" s="77" t="e">
        <f t="shared" si="11"/>
        <v>#DIV/0!</v>
      </c>
      <c r="BJ60" s="95" t="str">
        <f t="shared" si="34"/>
        <v>식약/섬유/종이업</v>
      </c>
      <c r="BK60" s="96" t="e">
        <f t="shared" si="12"/>
        <v>#DIV/0!</v>
      </c>
      <c r="BL60" s="97" t="e">
        <f t="shared" si="35"/>
        <v>#DIV/0!</v>
      </c>
      <c r="BM60" s="98" t="e">
        <f t="shared" si="36"/>
        <v>#DIV/0!</v>
      </c>
      <c r="BN60" s="99" t="e">
        <f t="shared" si="37"/>
        <v>#DIV/0!</v>
      </c>
      <c r="BP60" s="101">
        <f t="shared" si="38"/>
        <v>0</v>
      </c>
      <c r="BQ60" s="78">
        <f t="shared" si="39"/>
        <v>25</v>
      </c>
      <c r="BR60" s="79">
        <f t="shared" si="82"/>
        <v>0.5</v>
      </c>
      <c r="BS60" s="102"/>
      <c r="BT60" s="102"/>
      <c r="BU60" s="103">
        <f t="shared" si="40"/>
        <v>0</v>
      </c>
      <c r="BV60" s="77">
        <f t="shared" si="14"/>
        <v>0</v>
      </c>
      <c r="BW60" s="96">
        <f t="shared" si="15"/>
        <v>0</v>
      </c>
      <c r="BX60" s="96">
        <f t="shared" si="41"/>
        <v>0</v>
      </c>
      <c r="BY60" s="96">
        <f t="shared" si="16"/>
        <v>0</v>
      </c>
      <c r="BZ60" s="96" t="e">
        <f t="shared" si="42"/>
        <v>#NUM!</v>
      </c>
      <c r="CA60" s="96" t="e">
        <f t="shared" si="17"/>
        <v>#NUM!</v>
      </c>
      <c r="CB60" s="104" t="e">
        <f t="shared" si="43"/>
        <v>#NUM!</v>
      </c>
      <c r="CC60" s="105">
        <f t="shared" si="83"/>
        <v>51.709402172235954</v>
      </c>
      <c r="CD60" s="106">
        <f t="shared" si="84"/>
        <v>80.888416266745239</v>
      </c>
      <c r="CE60" s="107">
        <f t="shared" si="85"/>
        <v>1.2133262440011785</v>
      </c>
      <c r="CF60" s="108" t="s">
        <v>2189</v>
      </c>
      <c r="CG60" s="108" t="s">
        <v>2189</v>
      </c>
      <c r="CH60" s="108" t="s">
        <v>2189</v>
      </c>
      <c r="CI60" s="108" t="s">
        <v>2189</v>
      </c>
      <c r="CJ60" s="109"/>
      <c r="CM60" s="111">
        <f t="shared" si="44"/>
        <v>25</v>
      </c>
      <c r="CN60" s="107">
        <f t="shared" si="86"/>
        <v>0.375</v>
      </c>
      <c r="CP60" s="88">
        <f t="shared" si="45"/>
        <v>0</v>
      </c>
      <c r="CQ60" s="78">
        <f t="shared" si="46"/>
        <v>100</v>
      </c>
      <c r="CR60" s="79">
        <f t="shared" si="87"/>
        <v>3</v>
      </c>
      <c r="CS60" s="92"/>
      <c r="CT60" s="77">
        <f t="shared" si="23"/>
        <v>0</v>
      </c>
      <c r="CU60" s="78">
        <f t="shared" si="47"/>
        <v>100</v>
      </c>
      <c r="CV60" s="79">
        <f t="shared" si="88"/>
        <v>2</v>
      </c>
      <c r="CW60" s="112" t="e">
        <f t="shared" si="48"/>
        <v>#DIV/0!</v>
      </c>
    </row>
    <row r="61" spans="1:101" x14ac:dyDescent="0.35">
      <c r="A61" s="7" t="s">
        <v>426</v>
      </c>
      <c r="B61" s="8" t="s">
        <v>427</v>
      </c>
      <c r="C61" s="21" t="s">
        <v>428</v>
      </c>
      <c r="D61" s="10" t="s">
        <v>141</v>
      </c>
      <c r="E61" s="11" t="s">
        <v>429</v>
      </c>
      <c r="F61" s="11" t="s">
        <v>430</v>
      </c>
      <c r="G61" s="12">
        <v>33130</v>
      </c>
      <c r="H61" s="11" t="s">
        <v>24</v>
      </c>
      <c r="I61" s="11" t="s">
        <v>431</v>
      </c>
      <c r="J61" s="11" t="s">
        <v>432</v>
      </c>
      <c r="K61" s="11" t="s">
        <v>50</v>
      </c>
      <c r="L61" s="23">
        <v>153664335</v>
      </c>
      <c r="M61" s="14">
        <v>48649816</v>
      </c>
      <c r="N61" s="14">
        <v>105014518</v>
      </c>
      <c r="O61" s="14">
        <v>130228176</v>
      </c>
      <c r="P61" s="14">
        <v>4340165</v>
      </c>
      <c r="Q61" s="14">
        <v>4654301</v>
      </c>
      <c r="R61" s="14">
        <v>4153557</v>
      </c>
      <c r="AB61" s="74">
        <f t="shared" si="49"/>
        <v>0</v>
      </c>
      <c r="AC61" s="75" t="e">
        <f t="shared" si="25"/>
        <v>#DIV/0!</v>
      </c>
      <c r="AD61" s="75" t="e">
        <f t="shared" si="50"/>
        <v>#DIV/0!</v>
      </c>
      <c r="AE61" s="76" t="e">
        <f t="shared" si="77"/>
        <v>#DIV/0!</v>
      </c>
      <c r="AF61" s="77" t="e">
        <f t="shared" si="26"/>
        <v>#DIV/0!</v>
      </c>
      <c r="AG61" s="77" t="e">
        <f t="shared" si="27"/>
        <v>#DIV/0!</v>
      </c>
      <c r="AH61" s="77" t="e">
        <f t="shared" si="51"/>
        <v>#DIV/0!</v>
      </c>
      <c r="AI61" s="78" t="e">
        <f t="shared" si="52"/>
        <v>#DIV/0!</v>
      </c>
      <c r="AJ61" s="79" t="e">
        <f t="shared" si="78"/>
        <v>#DIV/0!</v>
      </c>
      <c r="AN61" s="81">
        <f t="shared" si="2"/>
        <v>0</v>
      </c>
      <c r="AO61" s="82" t="e">
        <f t="shared" si="3"/>
        <v>#DIV/0!</v>
      </c>
      <c r="AP61" s="83" t="e">
        <f t="shared" si="28"/>
        <v>#DIV/0!</v>
      </c>
      <c r="AQ61" s="84" t="e">
        <f t="shared" si="79"/>
        <v>#DIV/0!</v>
      </c>
      <c r="AS61" s="86">
        <f t="shared" si="5"/>
        <v>0.25</v>
      </c>
      <c r="AT61" s="87">
        <f t="shared" si="29"/>
        <v>0</v>
      </c>
      <c r="AU61" s="87">
        <f t="shared" si="30"/>
        <v>0</v>
      </c>
      <c r="AV61" s="88" t="e">
        <f t="shared" si="6"/>
        <v>#DIV/0!</v>
      </c>
      <c r="AW61" s="78" t="e">
        <f t="shared" si="31"/>
        <v>#DIV/0!</v>
      </c>
      <c r="AX61" s="89" t="e">
        <f t="shared" si="80"/>
        <v>#DIV/0!</v>
      </c>
      <c r="BA61" s="91">
        <f t="shared" si="8"/>
        <v>0</v>
      </c>
      <c r="BB61" s="77" t="e">
        <f t="shared" si="32"/>
        <v>#DIV/0!</v>
      </c>
      <c r="BC61" s="78" t="e">
        <f t="shared" si="33"/>
        <v>#DIV/0!</v>
      </c>
      <c r="BD61" s="79" t="e">
        <f t="shared" si="81"/>
        <v>#DIV/0!</v>
      </c>
      <c r="BE61" s="92"/>
      <c r="BF61" s="92"/>
      <c r="BG61" s="114">
        <v>278489.71000000002</v>
      </c>
      <c r="BH61" s="94">
        <f t="shared" si="10"/>
        <v>0</v>
      </c>
      <c r="BI61" s="77" t="e">
        <f t="shared" si="11"/>
        <v>#DIV/0!</v>
      </c>
      <c r="BJ61" s="95" t="str">
        <f t="shared" si="34"/>
        <v>전기전자/기계업</v>
      </c>
      <c r="BK61" s="96" t="e">
        <f t="shared" si="12"/>
        <v>#DIV/0!</v>
      </c>
      <c r="BL61" s="97" t="e">
        <f t="shared" si="35"/>
        <v>#DIV/0!</v>
      </c>
      <c r="BM61" s="98" t="e">
        <f t="shared" si="36"/>
        <v>#DIV/0!</v>
      </c>
      <c r="BN61" s="99" t="e">
        <f t="shared" si="37"/>
        <v>#DIV/0!</v>
      </c>
      <c r="BP61" s="101">
        <f t="shared" si="38"/>
        <v>0</v>
      </c>
      <c r="BQ61" s="78">
        <f t="shared" si="39"/>
        <v>25</v>
      </c>
      <c r="BR61" s="79">
        <f t="shared" si="82"/>
        <v>0.5</v>
      </c>
      <c r="BS61" s="102"/>
      <c r="BT61" s="102"/>
      <c r="BU61" s="103">
        <f t="shared" si="40"/>
        <v>0</v>
      </c>
      <c r="BV61" s="77">
        <f t="shared" si="14"/>
        <v>0</v>
      </c>
      <c r="BW61" s="96">
        <f t="shared" si="15"/>
        <v>0</v>
      </c>
      <c r="BX61" s="96">
        <f t="shared" si="41"/>
        <v>0</v>
      </c>
      <c r="BY61" s="96">
        <f t="shared" si="16"/>
        <v>0</v>
      </c>
      <c r="BZ61" s="96" t="e">
        <f t="shared" si="42"/>
        <v>#NUM!</v>
      </c>
      <c r="CA61" s="96" t="e">
        <f t="shared" si="17"/>
        <v>#NUM!</v>
      </c>
      <c r="CB61" s="104" t="e">
        <f t="shared" si="43"/>
        <v>#NUM!</v>
      </c>
      <c r="CC61" s="105">
        <f t="shared" si="83"/>
        <v>46.326752649571745</v>
      </c>
      <c r="CD61" s="106">
        <f t="shared" si="84"/>
        <v>82.917053021518186</v>
      </c>
      <c r="CE61" s="107">
        <f t="shared" si="85"/>
        <v>1.2437557953227727</v>
      </c>
      <c r="CF61" s="108" t="s">
        <v>2189</v>
      </c>
      <c r="CG61" s="108" t="s">
        <v>2189</v>
      </c>
      <c r="CH61" s="108" t="s">
        <v>2189</v>
      </c>
      <c r="CI61" s="108" t="s">
        <v>2189</v>
      </c>
      <c r="CJ61" s="109"/>
      <c r="CM61" s="111">
        <f t="shared" si="44"/>
        <v>25</v>
      </c>
      <c r="CN61" s="107">
        <f t="shared" si="86"/>
        <v>0.375</v>
      </c>
      <c r="CP61" s="88">
        <f t="shared" si="45"/>
        <v>0</v>
      </c>
      <c r="CQ61" s="78">
        <f t="shared" si="46"/>
        <v>100</v>
      </c>
      <c r="CR61" s="79">
        <f t="shared" si="87"/>
        <v>3</v>
      </c>
      <c r="CS61" s="92"/>
      <c r="CT61" s="77">
        <f t="shared" si="23"/>
        <v>0</v>
      </c>
      <c r="CU61" s="78">
        <f t="shared" si="47"/>
        <v>100</v>
      </c>
      <c r="CV61" s="79">
        <f t="shared" si="88"/>
        <v>2</v>
      </c>
      <c r="CW61" s="112" t="e">
        <f t="shared" si="48"/>
        <v>#DIV/0!</v>
      </c>
    </row>
    <row r="62" spans="1:101" x14ac:dyDescent="0.35">
      <c r="A62" s="7" t="s">
        <v>433</v>
      </c>
      <c r="B62" s="8" t="s">
        <v>434</v>
      </c>
      <c r="C62" s="21" t="s">
        <v>435</v>
      </c>
      <c r="D62" s="10" t="s">
        <v>21</v>
      </c>
      <c r="E62" s="11" t="s">
        <v>22</v>
      </c>
      <c r="F62" s="11" t="s">
        <v>436</v>
      </c>
      <c r="G62" s="12">
        <v>37294</v>
      </c>
      <c r="H62" s="11" t="s">
        <v>24</v>
      </c>
      <c r="I62" s="11" t="s">
        <v>437</v>
      </c>
      <c r="J62" s="11" t="s">
        <v>438</v>
      </c>
      <c r="K62" s="11" t="s">
        <v>439</v>
      </c>
      <c r="L62" s="23">
        <v>913454051</v>
      </c>
      <c r="M62" s="14">
        <v>123544315</v>
      </c>
      <c r="N62" s="14">
        <v>789909736</v>
      </c>
      <c r="O62" s="14">
        <v>184873955</v>
      </c>
      <c r="P62" s="14">
        <v>65584851</v>
      </c>
      <c r="Q62" s="14">
        <v>76860200</v>
      </c>
      <c r="R62" s="14">
        <v>56946615</v>
      </c>
      <c r="AB62" s="74">
        <f t="shared" si="49"/>
        <v>0</v>
      </c>
      <c r="AC62" s="75" t="e">
        <f t="shared" si="25"/>
        <v>#DIV/0!</v>
      </c>
      <c r="AD62" s="75" t="e">
        <f t="shared" si="50"/>
        <v>#DIV/0!</v>
      </c>
      <c r="AE62" s="76" t="e">
        <f t="shared" si="77"/>
        <v>#DIV/0!</v>
      </c>
      <c r="AF62" s="77" t="e">
        <f t="shared" si="26"/>
        <v>#DIV/0!</v>
      </c>
      <c r="AG62" s="77" t="e">
        <f t="shared" si="27"/>
        <v>#DIV/0!</v>
      </c>
      <c r="AH62" s="77" t="e">
        <f t="shared" si="51"/>
        <v>#DIV/0!</v>
      </c>
      <c r="AI62" s="78" t="e">
        <f t="shared" si="52"/>
        <v>#DIV/0!</v>
      </c>
      <c r="AJ62" s="79" t="e">
        <f t="shared" si="78"/>
        <v>#DIV/0!</v>
      </c>
      <c r="AN62" s="81">
        <f t="shared" si="2"/>
        <v>0</v>
      </c>
      <c r="AO62" s="82" t="e">
        <f t="shared" si="3"/>
        <v>#DIV/0!</v>
      </c>
      <c r="AP62" s="83" t="e">
        <f t="shared" si="28"/>
        <v>#DIV/0!</v>
      </c>
      <c r="AQ62" s="84" t="e">
        <f t="shared" si="79"/>
        <v>#DIV/0!</v>
      </c>
      <c r="AS62" s="86">
        <f t="shared" si="5"/>
        <v>0.25</v>
      </c>
      <c r="AT62" s="87">
        <f t="shared" si="29"/>
        <v>0</v>
      </c>
      <c r="AU62" s="87">
        <f t="shared" si="30"/>
        <v>0</v>
      </c>
      <c r="AV62" s="88" t="e">
        <f t="shared" si="6"/>
        <v>#DIV/0!</v>
      </c>
      <c r="AW62" s="78" t="e">
        <f t="shared" si="31"/>
        <v>#DIV/0!</v>
      </c>
      <c r="AX62" s="89" t="e">
        <f t="shared" si="80"/>
        <v>#DIV/0!</v>
      </c>
      <c r="BA62" s="91">
        <f t="shared" si="8"/>
        <v>0</v>
      </c>
      <c r="BB62" s="77" t="e">
        <f t="shared" si="32"/>
        <v>#DIV/0!</v>
      </c>
      <c r="BC62" s="78" t="e">
        <f t="shared" si="33"/>
        <v>#DIV/0!</v>
      </c>
      <c r="BD62" s="79" t="e">
        <f t="shared" si="81"/>
        <v>#DIV/0!</v>
      </c>
      <c r="BE62" s="92"/>
      <c r="BF62" s="92"/>
      <c r="BG62" s="93">
        <v>0</v>
      </c>
      <c r="BH62" s="94">
        <f t="shared" si="10"/>
        <v>0</v>
      </c>
      <c r="BI62" s="77" t="e">
        <f t="shared" si="11"/>
        <v>#DIV/0!</v>
      </c>
      <c r="BJ62" s="95" t="str">
        <f t="shared" si="34"/>
        <v>비제조/서비스업</v>
      </c>
      <c r="BK62" s="96" t="e">
        <f t="shared" si="12"/>
        <v>#DIV/0!</v>
      </c>
      <c r="BL62" s="97" t="e">
        <f t="shared" si="35"/>
        <v>#DIV/0!</v>
      </c>
      <c r="BM62" s="98" t="e">
        <f t="shared" si="36"/>
        <v>#DIV/0!</v>
      </c>
      <c r="BN62" s="99" t="e">
        <f t="shared" si="37"/>
        <v>#DIV/0!</v>
      </c>
      <c r="BP62" s="101">
        <f t="shared" si="38"/>
        <v>0</v>
      </c>
      <c r="BQ62" s="78">
        <f t="shared" si="39"/>
        <v>25</v>
      </c>
      <c r="BR62" s="79">
        <f t="shared" si="82"/>
        <v>0.5</v>
      </c>
      <c r="BS62" s="102"/>
      <c r="BT62" s="102"/>
      <c r="BU62" s="103">
        <f t="shared" si="40"/>
        <v>0</v>
      </c>
      <c r="BV62" s="77">
        <f t="shared" si="14"/>
        <v>0</v>
      </c>
      <c r="BW62" s="96">
        <f t="shared" si="15"/>
        <v>0</v>
      </c>
      <c r="BX62" s="96">
        <f t="shared" si="41"/>
        <v>0</v>
      </c>
      <c r="BY62" s="96">
        <f t="shared" si="16"/>
        <v>0</v>
      </c>
      <c r="BZ62" s="96" t="e">
        <f t="shared" si="42"/>
        <v>#NUM!</v>
      </c>
      <c r="CA62" s="96" t="e">
        <f t="shared" si="17"/>
        <v>#NUM!</v>
      </c>
      <c r="CB62" s="104" t="e">
        <f t="shared" si="43"/>
        <v>#NUM!</v>
      </c>
      <c r="CC62" s="105">
        <f t="shared" si="83"/>
        <v>15.640307919941881</v>
      </c>
      <c r="CD62" s="106">
        <f t="shared" si="84"/>
        <v>94.482296010072162</v>
      </c>
      <c r="CE62" s="107">
        <f t="shared" si="85"/>
        <v>1.4172344401510824</v>
      </c>
      <c r="CF62" s="108" t="s">
        <v>2189</v>
      </c>
      <c r="CG62" s="108" t="s">
        <v>2189</v>
      </c>
      <c r="CH62" s="108" t="s">
        <v>2189</v>
      </c>
      <c r="CI62" s="108" t="s">
        <v>2189</v>
      </c>
      <c r="CJ62" s="109"/>
      <c r="CM62" s="111">
        <f t="shared" si="44"/>
        <v>25</v>
      </c>
      <c r="CN62" s="107">
        <f t="shared" si="86"/>
        <v>0.375</v>
      </c>
      <c r="CP62" s="88">
        <f t="shared" si="45"/>
        <v>0</v>
      </c>
      <c r="CQ62" s="78">
        <f t="shared" si="46"/>
        <v>100</v>
      </c>
      <c r="CR62" s="79">
        <f t="shared" si="87"/>
        <v>3</v>
      </c>
      <c r="CS62" s="92"/>
      <c r="CT62" s="77">
        <f t="shared" si="23"/>
        <v>0</v>
      </c>
      <c r="CU62" s="78">
        <f t="shared" si="47"/>
        <v>100</v>
      </c>
      <c r="CV62" s="79">
        <f t="shared" si="88"/>
        <v>2</v>
      </c>
      <c r="CW62" s="112" t="e">
        <f t="shared" si="48"/>
        <v>#DIV/0!</v>
      </c>
    </row>
    <row r="63" spans="1:101" x14ac:dyDescent="0.35">
      <c r="A63" s="7" t="s">
        <v>440</v>
      </c>
      <c r="B63" s="8" t="s">
        <v>441</v>
      </c>
      <c r="C63" s="21" t="s">
        <v>442</v>
      </c>
      <c r="D63" s="29" t="s">
        <v>262</v>
      </c>
      <c r="E63" s="11" t="s">
        <v>263</v>
      </c>
      <c r="F63" s="11" t="s">
        <v>443</v>
      </c>
      <c r="G63" s="12">
        <v>37455</v>
      </c>
      <c r="H63" s="11" t="s">
        <v>24</v>
      </c>
      <c r="I63" s="11" t="s">
        <v>444</v>
      </c>
      <c r="J63" s="11" t="s">
        <v>445</v>
      </c>
      <c r="K63" s="11" t="s">
        <v>27</v>
      </c>
      <c r="L63" s="23">
        <v>12149139534</v>
      </c>
      <c r="M63" s="14">
        <v>10584274049</v>
      </c>
      <c r="N63" s="14">
        <v>1564865485</v>
      </c>
      <c r="O63" s="14">
        <v>4036211805</v>
      </c>
      <c r="P63" s="14">
        <v>90025670</v>
      </c>
      <c r="Q63" s="14">
        <v>63262018</v>
      </c>
      <c r="R63" s="14">
        <v>44599774</v>
      </c>
      <c r="AB63" s="74">
        <f t="shared" si="49"/>
        <v>0</v>
      </c>
      <c r="AC63" s="75" t="e">
        <f t="shared" si="25"/>
        <v>#DIV/0!</v>
      </c>
      <c r="AD63" s="75" t="e">
        <f t="shared" si="50"/>
        <v>#DIV/0!</v>
      </c>
      <c r="AE63" s="119" t="e">
        <f>AD63*0.04</f>
        <v>#DIV/0!</v>
      </c>
      <c r="AF63" s="77" t="e">
        <f t="shared" si="26"/>
        <v>#DIV/0!</v>
      </c>
      <c r="AG63" s="77" t="e">
        <f t="shared" si="27"/>
        <v>#DIV/0!</v>
      </c>
      <c r="AH63" s="77" t="e">
        <f t="shared" si="51"/>
        <v>#DIV/0!</v>
      </c>
      <c r="AI63" s="78" t="e">
        <f t="shared" si="52"/>
        <v>#DIV/0!</v>
      </c>
      <c r="AJ63" s="120" t="e">
        <f>AI63*0.05</f>
        <v>#DIV/0!</v>
      </c>
      <c r="AN63" s="81">
        <f t="shared" si="2"/>
        <v>0</v>
      </c>
      <c r="AO63" s="82" t="e">
        <f t="shared" si="3"/>
        <v>#DIV/0!</v>
      </c>
      <c r="AP63" s="83" t="e">
        <f t="shared" si="28"/>
        <v>#DIV/0!</v>
      </c>
      <c r="AQ63" s="121" t="e">
        <f>AP63*0.03</f>
        <v>#DIV/0!</v>
      </c>
      <c r="AS63" s="86">
        <f t="shared" si="5"/>
        <v>0.5</v>
      </c>
      <c r="AT63" s="87">
        <f t="shared" si="29"/>
        <v>0</v>
      </c>
      <c r="AU63" s="87">
        <f t="shared" si="30"/>
        <v>0</v>
      </c>
      <c r="AV63" s="88" t="e">
        <f t="shared" si="6"/>
        <v>#DIV/0!</v>
      </c>
      <c r="AW63" s="78" t="e">
        <f t="shared" si="31"/>
        <v>#DIV/0!</v>
      </c>
      <c r="AX63" s="122" t="e">
        <f>AW63*0.02</f>
        <v>#DIV/0!</v>
      </c>
      <c r="BA63" s="91">
        <f t="shared" si="8"/>
        <v>0</v>
      </c>
      <c r="BB63" s="77" t="e">
        <f t="shared" si="32"/>
        <v>#DIV/0!</v>
      </c>
      <c r="BC63" s="78" t="e">
        <f t="shared" si="33"/>
        <v>#DIV/0!</v>
      </c>
      <c r="BD63" s="120" t="e">
        <f>BC63*0.02</f>
        <v>#DIV/0!</v>
      </c>
      <c r="BE63" s="92"/>
      <c r="BF63" s="92"/>
      <c r="BG63" s="114">
        <v>7240850</v>
      </c>
      <c r="BH63" s="94">
        <f t="shared" si="10"/>
        <v>0</v>
      </c>
      <c r="BI63" s="77" t="e">
        <f t="shared" si="11"/>
        <v>#DIV/0!</v>
      </c>
      <c r="BJ63" s="95" t="str">
        <f t="shared" si="34"/>
        <v>금융업</v>
      </c>
      <c r="BK63" s="96" t="e">
        <f t="shared" si="12"/>
        <v>#DIV/0!</v>
      </c>
      <c r="BL63" s="97" t="e">
        <f t="shared" si="35"/>
        <v>#DIV/0!</v>
      </c>
      <c r="BM63" s="98" t="e">
        <f t="shared" si="36"/>
        <v>#DIV/0!</v>
      </c>
      <c r="BN63" s="99" t="e">
        <f t="shared" si="37"/>
        <v>#DIV/0!</v>
      </c>
      <c r="BP63" s="101">
        <f t="shared" si="38"/>
        <v>0</v>
      </c>
      <c r="BQ63" s="78">
        <f t="shared" si="39"/>
        <v>25</v>
      </c>
      <c r="BR63" s="120">
        <f>BQ63*0.01</f>
        <v>0.25</v>
      </c>
      <c r="BS63" s="102"/>
      <c r="BT63" s="102"/>
      <c r="BU63" s="103">
        <f t="shared" si="40"/>
        <v>0</v>
      </c>
      <c r="BV63" s="77">
        <f t="shared" si="14"/>
        <v>0</v>
      </c>
      <c r="BW63" s="96">
        <f t="shared" si="15"/>
        <v>0</v>
      </c>
      <c r="BX63" s="96">
        <f t="shared" si="41"/>
        <v>0</v>
      </c>
      <c r="BY63" s="96">
        <f t="shared" si="16"/>
        <v>0</v>
      </c>
      <c r="BZ63" s="96" t="e">
        <f t="shared" si="42"/>
        <v>#NUM!</v>
      </c>
      <c r="CA63" s="96" t="e">
        <f t="shared" si="17"/>
        <v>#NUM!</v>
      </c>
      <c r="CB63" s="104" t="e">
        <f t="shared" si="43"/>
        <v>#NUM!</v>
      </c>
      <c r="CC63" s="123" t="s">
        <v>2200</v>
      </c>
      <c r="CD63" s="124" t="s">
        <v>2200</v>
      </c>
      <c r="CE63" s="125"/>
      <c r="CF63" s="126" t="s">
        <v>2201</v>
      </c>
      <c r="CG63" s="127">
        <v>0.55000000000000004</v>
      </c>
      <c r="CH63" s="126" t="s">
        <v>2201</v>
      </c>
      <c r="CI63" s="128">
        <f>IF((100-(75*(CG63-1)/9))&gt;100,100,IF((100-(75*(CG63-1)/9))&lt;25,25,(100-(75*(CG63-1)/9))))</f>
        <v>100</v>
      </c>
      <c r="CJ63" s="129">
        <f>CI63*0.04</f>
        <v>4</v>
      </c>
      <c r="CM63" s="111">
        <f t="shared" si="44"/>
        <v>25</v>
      </c>
      <c r="CN63" s="130">
        <f>CM63*0.03</f>
        <v>0.75</v>
      </c>
      <c r="CP63" s="88">
        <f t="shared" si="45"/>
        <v>0</v>
      </c>
      <c r="CQ63" s="78">
        <f t="shared" si="46"/>
        <v>100</v>
      </c>
      <c r="CR63" s="120">
        <f>CQ63*0.04</f>
        <v>4</v>
      </c>
      <c r="CS63" s="92"/>
      <c r="CT63" s="77">
        <f t="shared" si="23"/>
        <v>0</v>
      </c>
      <c r="CU63" s="78">
        <f t="shared" si="47"/>
        <v>100</v>
      </c>
      <c r="CV63" s="131">
        <f>CU63*0.03</f>
        <v>3</v>
      </c>
      <c r="CW63" s="112" t="e">
        <f t="shared" si="48"/>
        <v>#DIV/0!</v>
      </c>
    </row>
    <row r="64" spans="1:101" x14ac:dyDescent="0.35">
      <c r="A64" s="7" t="s">
        <v>446</v>
      </c>
      <c r="B64" s="8" t="s">
        <v>447</v>
      </c>
      <c r="C64" s="21" t="s">
        <v>448</v>
      </c>
      <c r="D64" s="10" t="s">
        <v>31</v>
      </c>
      <c r="E64" s="11" t="s">
        <v>449</v>
      </c>
      <c r="F64" s="11" t="s">
        <v>450</v>
      </c>
      <c r="G64" s="12">
        <v>44147</v>
      </c>
      <c r="H64" s="11" t="s">
        <v>24</v>
      </c>
      <c r="I64" s="11" t="s">
        <v>451</v>
      </c>
      <c r="J64" s="11" t="s">
        <v>452</v>
      </c>
      <c r="K64" s="11" t="s">
        <v>453</v>
      </c>
      <c r="L64" s="23">
        <v>262827323</v>
      </c>
      <c r="M64" s="14">
        <v>108764144</v>
      </c>
      <c r="N64" s="14">
        <v>154063179</v>
      </c>
      <c r="O64" s="14">
        <v>498874562</v>
      </c>
      <c r="P64" s="14">
        <v>2862765</v>
      </c>
      <c r="Q64" s="14">
        <v>2792639</v>
      </c>
      <c r="R64" s="14">
        <v>2643471</v>
      </c>
      <c r="AB64" s="74">
        <f t="shared" si="49"/>
        <v>0</v>
      </c>
      <c r="AC64" s="75" t="e">
        <f t="shared" si="25"/>
        <v>#DIV/0!</v>
      </c>
      <c r="AD64" s="75" t="e">
        <f t="shared" si="50"/>
        <v>#DIV/0!</v>
      </c>
      <c r="AE64" s="76" t="e">
        <f t="shared" ref="AE64:AE75" si="89">AD64*0.03</f>
        <v>#DIV/0!</v>
      </c>
      <c r="AF64" s="77" t="e">
        <f t="shared" si="26"/>
        <v>#DIV/0!</v>
      </c>
      <c r="AG64" s="77" t="e">
        <f t="shared" si="27"/>
        <v>#DIV/0!</v>
      </c>
      <c r="AH64" s="77" t="e">
        <f t="shared" si="51"/>
        <v>#DIV/0!</v>
      </c>
      <c r="AI64" s="78" t="e">
        <f t="shared" si="52"/>
        <v>#DIV/0!</v>
      </c>
      <c r="AJ64" s="79" t="e">
        <f t="shared" ref="AJ64:AJ75" si="90">AI64*0.04</f>
        <v>#DIV/0!</v>
      </c>
      <c r="AN64" s="81">
        <f t="shared" si="2"/>
        <v>0</v>
      </c>
      <c r="AO64" s="82" t="e">
        <f t="shared" si="3"/>
        <v>#DIV/0!</v>
      </c>
      <c r="AP64" s="83" t="e">
        <f t="shared" si="28"/>
        <v>#DIV/0!</v>
      </c>
      <c r="AQ64" s="84" t="e">
        <f t="shared" ref="AQ64:AQ75" si="91">AP64*0.02</f>
        <v>#DIV/0!</v>
      </c>
      <c r="AS64" s="86">
        <f t="shared" si="5"/>
        <v>0.25</v>
      </c>
      <c r="AT64" s="87">
        <f t="shared" si="29"/>
        <v>0</v>
      </c>
      <c r="AU64" s="87">
        <f t="shared" si="30"/>
        <v>0</v>
      </c>
      <c r="AV64" s="88" t="e">
        <f t="shared" si="6"/>
        <v>#DIV/0!</v>
      </c>
      <c r="AW64" s="78" t="e">
        <f t="shared" si="31"/>
        <v>#DIV/0!</v>
      </c>
      <c r="AX64" s="89" t="e">
        <f t="shared" ref="AX64:AX75" si="92">AW64*0.01</f>
        <v>#DIV/0!</v>
      </c>
      <c r="BA64" s="91">
        <f t="shared" si="8"/>
        <v>0</v>
      </c>
      <c r="BB64" s="77" t="e">
        <f t="shared" si="32"/>
        <v>#DIV/0!</v>
      </c>
      <c r="BC64" s="78" t="e">
        <f t="shared" si="33"/>
        <v>#DIV/0!</v>
      </c>
      <c r="BD64" s="79" t="e">
        <f t="shared" ref="BD64:BD75" si="93">BC64*0.01</f>
        <v>#DIV/0!</v>
      </c>
      <c r="BE64" s="92"/>
      <c r="BF64" s="92"/>
      <c r="BG64" s="114">
        <v>900613</v>
      </c>
      <c r="BH64" s="94">
        <f t="shared" si="10"/>
        <v>0</v>
      </c>
      <c r="BI64" s="77" t="e">
        <f t="shared" si="11"/>
        <v>#DIV/0!</v>
      </c>
      <c r="BJ64" s="95" t="str">
        <f t="shared" si="34"/>
        <v>식약/섬유/종이업</v>
      </c>
      <c r="BK64" s="96" t="e">
        <f t="shared" si="12"/>
        <v>#DIV/0!</v>
      </c>
      <c r="BL64" s="97" t="e">
        <f t="shared" si="35"/>
        <v>#DIV/0!</v>
      </c>
      <c r="BM64" s="98" t="e">
        <f t="shared" si="36"/>
        <v>#DIV/0!</v>
      </c>
      <c r="BN64" s="99" t="e">
        <f t="shared" si="37"/>
        <v>#DIV/0!</v>
      </c>
      <c r="BP64" s="101">
        <f t="shared" si="38"/>
        <v>0</v>
      </c>
      <c r="BQ64" s="78">
        <f t="shared" si="39"/>
        <v>25</v>
      </c>
      <c r="BR64" s="79">
        <f t="shared" ref="BR64:BR75" si="94">BQ64*0.02</f>
        <v>0.5</v>
      </c>
      <c r="BS64" s="102"/>
      <c r="BT64" s="102"/>
      <c r="BU64" s="103">
        <f t="shared" si="40"/>
        <v>0</v>
      </c>
      <c r="BV64" s="77">
        <f t="shared" si="14"/>
        <v>0</v>
      </c>
      <c r="BW64" s="96">
        <f t="shared" si="15"/>
        <v>0</v>
      </c>
      <c r="BX64" s="96">
        <f t="shared" si="41"/>
        <v>0</v>
      </c>
      <c r="BY64" s="96">
        <f t="shared" si="16"/>
        <v>0</v>
      </c>
      <c r="BZ64" s="96" t="e">
        <f t="shared" si="42"/>
        <v>#NUM!</v>
      </c>
      <c r="CA64" s="96" t="e">
        <f t="shared" si="17"/>
        <v>#NUM!</v>
      </c>
      <c r="CB64" s="104" t="e">
        <f t="shared" si="43"/>
        <v>#NUM!</v>
      </c>
      <c r="CC64" s="105">
        <f t="shared" ref="CC64:CC75" si="95">(M64/N64)*100</f>
        <v>70.597104840995144</v>
      </c>
      <c r="CD64" s="106">
        <f t="shared" ref="CD64:CD75" si="96">IF((100-(75*(CC64-1)/(200-1)))&gt;100, 100, IF((100-(75*(CC64-1)/(200-1)))&lt;25, 25, (100-(75*(CC64-1)/(200-1)))))</f>
        <v>73.769935361433994</v>
      </c>
      <c r="CE64" s="107">
        <f t="shared" ref="CE64:CE75" si="97">CD64*0.015</f>
        <v>1.1065490304215098</v>
      </c>
      <c r="CF64" s="108" t="s">
        <v>2189</v>
      </c>
      <c r="CG64" s="108" t="s">
        <v>2189</v>
      </c>
      <c r="CH64" s="108" t="s">
        <v>2189</v>
      </c>
      <c r="CI64" s="108" t="s">
        <v>2189</v>
      </c>
      <c r="CJ64" s="109"/>
      <c r="CM64" s="111">
        <f t="shared" si="44"/>
        <v>25</v>
      </c>
      <c r="CN64" s="107">
        <f t="shared" ref="CN64:CN75" si="98">CM64*0.015</f>
        <v>0.375</v>
      </c>
      <c r="CP64" s="88">
        <f t="shared" si="45"/>
        <v>0</v>
      </c>
      <c r="CQ64" s="78">
        <f t="shared" si="46"/>
        <v>100</v>
      </c>
      <c r="CR64" s="79">
        <f t="shared" ref="CR64:CR75" si="99">CQ64*0.03</f>
        <v>3</v>
      </c>
      <c r="CS64" s="92"/>
      <c r="CT64" s="77">
        <f t="shared" si="23"/>
        <v>0</v>
      </c>
      <c r="CU64" s="78">
        <f t="shared" si="47"/>
        <v>100</v>
      </c>
      <c r="CV64" s="79">
        <f t="shared" ref="CV64:CV75" si="100">CU64*0.02</f>
        <v>2</v>
      </c>
      <c r="CW64" s="112" t="e">
        <f t="shared" si="48"/>
        <v>#DIV/0!</v>
      </c>
    </row>
    <row r="65" spans="1:101" x14ac:dyDescent="0.35">
      <c r="A65" s="7" t="s">
        <v>454</v>
      </c>
      <c r="B65" s="8" t="s">
        <v>455</v>
      </c>
      <c r="C65" s="21" t="s">
        <v>456</v>
      </c>
      <c r="D65" s="10" t="s">
        <v>75</v>
      </c>
      <c r="E65" s="11" t="s">
        <v>149</v>
      </c>
      <c r="F65" s="11" t="s">
        <v>457</v>
      </c>
      <c r="G65" s="12">
        <v>38645</v>
      </c>
      <c r="H65" s="11" t="s">
        <v>24</v>
      </c>
      <c r="I65" s="11" t="s">
        <v>458</v>
      </c>
      <c r="J65" s="11" t="s">
        <v>459</v>
      </c>
      <c r="K65" s="11" t="s">
        <v>153</v>
      </c>
      <c r="L65" s="23">
        <v>196645335</v>
      </c>
      <c r="M65" s="14">
        <v>74168153</v>
      </c>
      <c r="N65" s="14">
        <v>122477182</v>
      </c>
      <c r="O65" s="14">
        <v>324927356</v>
      </c>
      <c r="P65" s="14">
        <v>17219652</v>
      </c>
      <c r="Q65" s="14">
        <v>5989331</v>
      </c>
      <c r="R65" s="14">
        <v>2870341</v>
      </c>
      <c r="AB65" s="74">
        <f t="shared" si="49"/>
        <v>0</v>
      </c>
      <c r="AC65" s="75" t="e">
        <f t="shared" si="25"/>
        <v>#DIV/0!</v>
      </c>
      <c r="AD65" s="75" t="e">
        <f t="shared" si="50"/>
        <v>#DIV/0!</v>
      </c>
      <c r="AE65" s="76" t="e">
        <f t="shared" si="89"/>
        <v>#DIV/0!</v>
      </c>
      <c r="AF65" s="77" t="e">
        <f t="shared" si="26"/>
        <v>#DIV/0!</v>
      </c>
      <c r="AG65" s="77" t="e">
        <f t="shared" si="27"/>
        <v>#DIV/0!</v>
      </c>
      <c r="AH65" s="77" t="e">
        <f t="shared" si="51"/>
        <v>#DIV/0!</v>
      </c>
      <c r="AI65" s="78" t="e">
        <f t="shared" si="52"/>
        <v>#DIV/0!</v>
      </c>
      <c r="AJ65" s="79" t="e">
        <f t="shared" si="90"/>
        <v>#DIV/0!</v>
      </c>
      <c r="AN65" s="81">
        <f t="shared" si="2"/>
        <v>0</v>
      </c>
      <c r="AO65" s="82" t="e">
        <f t="shared" si="3"/>
        <v>#DIV/0!</v>
      </c>
      <c r="AP65" s="83" t="e">
        <f t="shared" si="28"/>
        <v>#DIV/0!</v>
      </c>
      <c r="AQ65" s="84" t="e">
        <f t="shared" si="91"/>
        <v>#DIV/0!</v>
      </c>
      <c r="AS65" s="86">
        <f t="shared" si="5"/>
        <v>0.25</v>
      </c>
      <c r="AT65" s="87">
        <f t="shared" si="29"/>
        <v>0</v>
      </c>
      <c r="AU65" s="87">
        <f t="shared" si="30"/>
        <v>0</v>
      </c>
      <c r="AV65" s="88" t="e">
        <f t="shared" si="6"/>
        <v>#DIV/0!</v>
      </c>
      <c r="AW65" s="78" t="e">
        <f t="shared" si="31"/>
        <v>#DIV/0!</v>
      </c>
      <c r="AX65" s="89" t="e">
        <f t="shared" si="92"/>
        <v>#DIV/0!</v>
      </c>
      <c r="BA65" s="91">
        <f t="shared" si="8"/>
        <v>0</v>
      </c>
      <c r="BB65" s="77" t="e">
        <f t="shared" si="32"/>
        <v>#DIV/0!</v>
      </c>
      <c r="BC65" s="78" t="e">
        <f t="shared" si="33"/>
        <v>#DIV/0!</v>
      </c>
      <c r="BD65" s="79" t="e">
        <f t="shared" si="93"/>
        <v>#DIV/0!</v>
      </c>
      <c r="BE65" s="92"/>
      <c r="BF65" s="92"/>
      <c r="BG65" s="93">
        <v>0</v>
      </c>
      <c r="BH65" s="94">
        <f t="shared" si="10"/>
        <v>0</v>
      </c>
      <c r="BI65" s="77" t="e">
        <f t="shared" si="11"/>
        <v>#DIV/0!</v>
      </c>
      <c r="BJ65" s="95" t="str">
        <f t="shared" si="34"/>
        <v>금속/비금속/화학업</v>
      </c>
      <c r="BK65" s="96" t="e">
        <f t="shared" si="12"/>
        <v>#DIV/0!</v>
      </c>
      <c r="BL65" s="97" t="e">
        <f t="shared" si="35"/>
        <v>#DIV/0!</v>
      </c>
      <c r="BM65" s="98" t="e">
        <f t="shared" si="36"/>
        <v>#DIV/0!</v>
      </c>
      <c r="BN65" s="99" t="e">
        <f t="shared" si="37"/>
        <v>#DIV/0!</v>
      </c>
      <c r="BP65" s="101">
        <f t="shared" si="38"/>
        <v>0</v>
      </c>
      <c r="BQ65" s="78">
        <f t="shared" si="39"/>
        <v>25</v>
      </c>
      <c r="BR65" s="79">
        <f t="shared" si="94"/>
        <v>0.5</v>
      </c>
      <c r="BS65" s="102"/>
      <c r="BT65" s="102"/>
      <c r="BU65" s="103">
        <f t="shared" si="40"/>
        <v>0</v>
      </c>
      <c r="BV65" s="77">
        <f t="shared" si="14"/>
        <v>0</v>
      </c>
      <c r="BW65" s="96">
        <f t="shared" si="15"/>
        <v>0</v>
      </c>
      <c r="BX65" s="96">
        <f t="shared" si="41"/>
        <v>0</v>
      </c>
      <c r="BY65" s="96">
        <f t="shared" si="16"/>
        <v>0</v>
      </c>
      <c r="BZ65" s="96" t="e">
        <f t="shared" si="42"/>
        <v>#NUM!</v>
      </c>
      <c r="CA65" s="96" t="e">
        <f t="shared" si="17"/>
        <v>#NUM!</v>
      </c>
      <c r="CB65" s="104" t="e">
        <f t="shared" si="43"/>
        <v>#NUM!</v>
      </c>
      <c r="CC65" s="105">
        <f t="shared" si="95"/>
        <v>60.55671088186859</v>
      </c>
      <c r="CD65" s="106">
        <f t="shared" si="96"/>
        <v>77.554003436481679</v>
      </c>
      <c r="CE65" s="107">
        <f t="shared" si="97"/>
        <v>1.1633100515472252</v>
      </c>
      <c r="CF65" s="108" t="s">
        <v>2189</v>
      </c>
      <c r="CG65" s="108" t="s">
        <v>2189</v>
      </c>
      <c r="CH65" s="108" t="s">
        <v>2189</v>
      </c>
      <c r="CI65" s="108" t="s">
        <v>2189</v>
      </c>
      <c r="CJ65" s="109"/>
      <c r="CM65" s="111">
        <f t="shared" si="44"/>
        <v>25</v>
      </c>
      <c r="CN65" s="107">
        <f t="shared" si="98"/>
        <v>0.375</v>
      </c>
      <c r="CP65" s="88">
        <f t="shared" si="45"/>
        <v>0</v>
      </c>
      <c r="CQ65" s="78">
        <f t="shared" si="46"/>
        <v>100</v>
      </c>
      <c r="CR65" s="79">
        <f t="shared" si="99"/>
        <v>3</v>
      </c>
      <c r="CS65" s="92"/>
      <c r="CT65" s="77">
        <f t="shared" si="23"/>
        <v>0</v>
      </c>
      <c r="CU65" s="78">
        <f t="shared" si="47"/>
        <v>100</v>
      </c>
      <c r="CV65" s="79">
        <f t="shared" si="100"/>
        <v>2</v>
      </c>
      <c r="CW65" s="112" t="e">
        <f t="shared" si="48"/>
        <v>#DIV/0!</v>
      </c>
    </row>
    <row r="66" spans="1:101" x14ac:dyDescent="0.35">
      <c r="A66" s="7" t="s">
        <v>460</v>
      </c>
      <c r="B66" s="8" t="s">
        <v>461</v>
      </c>
      <c r="C66" s="21" t="s">
        <v>462</v>
      </c>
      <c r="D66" s="10" t="s">
        <v>75</v>
      </c>
      <c r="E66" s="11" t="s">
        <v>324</v>
      </c>
      <c r="F66" s="11" t="s">
        <v>463</v>
      </c>
      <c r="G66" s="12">
        <v>33269</v>
      </c>
      <c r="H66" s="11" t="s">
        <v>24</v>
      </c>
      <c r="I66" s="11" t="s">
        <v>464</v>
      </c>
      <c r="J66" s="11" t="s">
        <v>465</v>
      </c>
      <c r="K66" s="11" t="s">
        <v>102</v>
      </c>
      <c r="L66" s="23">
        <v>315529254</v>
      </c>
      <c r="M66" s="14">
        <v>128655873</v>
      </c>
      <c r="N66" s="14">
        <v>186873382</v>
      </c>
      <c r="O66" s="14">
        <v>1220548455</v>
      </c>
      <c r="P66" s="14">
        <v>27189227</v>
      </c>
      <c r="Q66" s="14">
        <v>23861778</v>
      </c>
      <c r="R66" s="14">
        <v>17593831</v>
      </c>
      <c r="AB66" s="74">
        <f t="shared" si="49"/>
        <v>0</v>
      </c>
      <c r="AC66" s="75" t="e">
        <f t="shared" si="25"/>
        <v>#DIV/0!</v>
      </c>
      <c r="AD66" s="75" t="e">
        <f t="shared" si="50"/>
        <v>#DIV/0!</v>
      </c>
      <c r="AE66" s="76" t="e">
        <f t="shared" si="89"/>
        <v>#DIV/0!</v>
      </c>
      <c r="AF66" s="77" t="e">
        <f t="shared" si="26"/>
        <v>#DIV/0!</v>
      </c>
      <c r="AG66" s="77" t="e">
        <f t="shared" si="27"/>
        <v>#DIV/0!</v>
      </c>
      <c r="AH66" s="77" t="e">
        <f t="shared" si="51"/>
        <v>#DIV/0!</v>
      </c>
      <c r="AI66" s="78" t="e">
        <f t="shared" si="52"/>
        <v>#DIV/0!</v>
      </c>
      <c r="AJ66" s="79" t="e">
        <f t="shared" si="90"/>
        <v>#DIV/0!</v>
      </c>
      <c r="AN66" s="81">
        <f t="shared" ref="AN66:AN128" si="101">SUM(AK66:AL66)</f>
        <v>0</v>
      </c>
      <c r="AO66" s="82" t="e">
        <f t="shared" ref="AO66:AO129" si="102">(AM66/AN66)*100</f>
        <v>#DIV/0!</v>
      </c>
      <c r="AP66" s="83" t="e">
        <f t="shared" si="28"/>
        <v>#DIV/0!</v>
      </c>
      <c r="AQ66" s="84" t="e">
        <f t="shared" si="91"/>
        <v>#DIV/0!</v>
      </c>
      <c r="AS66" s="86">
        <f t="shared" ref="AS66:AS129" si="103">IF(L66&gt;=2000000000, 0.5, IF(L66&lt;2000000000, 0.25))</f>
        <v>0.25</v>
      </c>
      <c r="AT66" s="87">
        <f t="shared" si="29"/>
        <v>0</v>
      </c>
      <c r="AU66" s="87">
        <f t="shared" si="30"/>
        <v>0</v>
      </c>
      <c r="AV66" s="88" t="e">
        <f t="shared" ref="AV66:AV129" si="104">(AR66-AU66)/AK66*100</f>
        <v>#DIV/0!</v>
      </c>
      <c r="AW66" s="78" t="e">
        <f t="shared" si="31"/>
        <v>#DIV/0!</v>
      </c>
      <c r="AX66" s="89" t="e">
        <f t="shared" si="92"/>
        <v>#DIV/0!</v>
      </c>
      <c r="BA66" s="91">
        <f t="shared" ref="BA66:BA129" si="105">AR66*AY66</f>
        <v>0</v>
      </c>
      <c r="BB66" s="77" t="e">
        <f t="shared" si="32"/>
        <v>#DIV/0!</v>
      </c>
      <c r="BC66" s="78" t="e">
        <f t="shared" si="33"/>
        <v>#DIV/0!</v>
      </c>
      <c r="BD66" s="79" t="e">
        <f t="shared" si="93"/>
        <v>#DIV/0!</v>
      </c>
      <c r="BE66" s="92"/>
      <c r="BF66" s="92"/>
      <c r="BG66" s="114">
        <v>906171</v>
      </c>
      <c r="BH66" s="94">
        <f t="shared" ref="BH66:BH129" si="106">SUM(BE66:BF66)</f>
        <v>0</v>
      </c>
      <c r="BI66" s="77" t="e">
        <f t="shared" ref="BI66:BI129" si="107">(BG66/BH66)*100</f>
        <v>#DIV/0!</v>
      </c>
      <c r="BJ66" s="95" t="str">
        <f t="shared" si="34"/>
        <v>금속/비금속/화학업</v>
      </c>
      <c r="BK66" s="96" t="e">
        <f t="shared" ref="BK66:BK129" si="108">AVERAGEIF(BJ:BJ, BJ66, BI:BI)</f>
        <v>#DIV/0!</v>
      </c>
      <c r="BL66" s="97" t="e">
        <f t="shared" si="35"/>
        <v>#DIV/0!</v>
      </c>
      <c r="BM66" s="98" t="e">
        <f t="shared" si="36"/>
        <v>#DIV/0!</v>
      </c>
      <c r="BN66" s="99" t="e">
        <f t="shared" si="37"/>
        <v>#DIV/0!</v>
      </c>
      <c r="BP66" s="101">
        <f t="shared" si="38"/>
        <v>0</v>
      </c>
      <c r="BQ66" s="78">
        <f t="shared" si="39"/>
        <v>25</v>
      </c>
      <c r="BR66" s="79">
        <f t="shared" si="94"/>
        <v>0.5</v>
      </c>
      <c r="BS66" s="102"/>
      <c r="BT66" s="102"/>
      <c r="BU66" s="103">
        <f t="shared" si="40"/>
        <v>0</v>
      </c>
      <c r="BV66" s="77">
        <f t="shared" ref="BV66:BV129" si="109">BU66/O66*100</f>
        <v>0</v>
      </c>
      <c r="BW66" s="96">
        <f t="shared" ref="BW66:BW129" si="110">AVERAGEIF(BJ:BJ, BJ66, BV:BV)</f>
        <v>0</v>
      </c>
      <c r="BX66" s="96">
        <f t="shared" si="41"/>
        <v>0</v>
      </c>
      <c r="BY66" s="96">
        <f t="shared" ref="BY66:BY129" si="111">SQRT(SUMIF(BJ:BJ, BJ66, BX:BX)/COUNTIF(BJ:BJ, BJ66))</f>
        <v>0</v>
      </c>
      <c r="BZ66" s="96" t="e">
        <f t="shared" si="42"/>
        <v>#NUM!</v>
      </c>
      <c r="CA66" s="96" t="e">
        <f t="shared" ref="CA66:CA129" si="112">IF(BZ66&lt;=5, 100, IF(BZ66&lt;=15, 85, IF(BZ66&lt;=35, 70, IF(BZ66&lt;=60, 55, IF(BZ66&lt;=90, 40, 25)))))</f>
        <v>#NUM!</v>
      </c>
      <c r="CB66" s="104" t="e">
        <f t="shared" si="43"/>
        <v>#NUM!</v>
      </c>
      <c r="CC66" s="105">
        <f t="shared" si="95"/>
        <v>68.846548193792529</v>
      </c>
      <c r="CD66" s="106">
        <f t="shared" si="96"/>
        <v>74.429692891786743</v>
      </c>
      <c r="CE66" s="107">
        <f t="shared" si="97"/>
        <v>1.116445393376801</v>
      </c>
      <c r="CF66" s="108" t="s">
        <v>2189</v>
      </c>
      <c r="CG66" s="108" t="s">
        <v>2189</v>
      </c>
      <c r="CH66" s="108" t="s">
        <v>2189</v>
      </c>
      <c r="CI66" s="108" t="s">
        <v>2189</v>
      </c>
      <c r="CJ66" s="109"/>
      <c r="CM66" s="111">
        <f t="shared" si="44"/>
        <v>25</v>
      </c>
      <c r="CN66" s="107">
        <f t="shared" si="98"/>
        <v>0.375</v>
      </c>
      <c r="CP66" s="88">
        <f t="shared" si="45"/>
        <v>0</v>
      </c>
      <c r="CQ66" s="78">
        <f t="shared" si="46"/>
        <v>100</v>
      </c>
      <c r="CR66" s="79">
        <f t="shared" si="99"/>
        <v>3</v>
      </c>
      <c r="CS66" s="92"/>
      <c r="CT66" s="77">
        <f t="shared" ref="CT66:CT129" si="113">(CS66/N66)*100</f>
        <v>0</v>
      </c>
      <c r="CU66" s="78">
        <f t="shared" si="47"/>
        <v>100</v>
      </c>
      <c r="CV66" s="79">
        <f t="shared" si="100"/>
        <v>2</v>
      </c>
      <c r="CW66" s="112" t="e">
        <f t="shared" si="48"/>
        <v>#DIV/0!</v>
      </c>
    </row>
    <row r="67" spans="1:101" x14ac:dyDescent="0.35">
      <c r="A67" s="7" t="s">
        <v>466</v>
      </c>
      <c r="B67" s="8" t="s">
        <v>467</v>
      </c>
      <c r="C67" s="21" t="s">
        <v>468</v>
      </c>
      <c r="D67" s="10" t="s">
        <v>21</v>
      </c>
      <c r="E67" s="11" t="s">
        <v>83</v>
      </c>
      <c r="F67" s="11" t="s">
        <v>469</v>
      </c>
      <c r="G67" s="12">
        <v>27937</v>
      </c>
      <c r="H67" s="11" t="s">
        <v>24</v>
      </c>
      <c r="I67" s="11" t="s">
        <v>470</v>
      </c>
      <c r="J67" s="11" t="s">
        <v>471</v>
      </c>
      <c r="K67" s="11" t="s">
        <v>118</v>
      </c>
      <c r="L67" s="23">
        <v>1690618825</v>
      </c>
      <c r="M67" s="14">
        <v>1132886300</v>
      </c>
      <c r="N67" s="14">
        <v>557732525</v>
      </c>
      <c r="O67" s="14">
        <v>2041695477</v>
      </c>
      <c r="P67" s="14">
        <v>55276798</v>
      </c>
      <c r="Q67" s="14">
        <v>60210595</v>
      </c>
      <c r="R67" s="14">
        <v>23918674</v>
      </c>
      <c r="AB67" s="74">
        <f t="shared" si="49"/>
        <v>0</v>
      </c>
      <c r="AC67" s="75" t="e">
        <f t="shared" ref="AC67:AC130" si="114">(AB67/S67)*100</f>
        <v>#DIV/0!</v>
      </c>
      <c r="AD67" s="75" t="e">
        <f t="shared" si="50"/>
        <v>#DIV/0!</v>
      </c>
      <c r="AE67" s="76" t="e">
        <f t="shared" si="89"/>
        <v>#DIV/0!</v>
      </c>
      <c r="AF67" s="77" t="e">
        <f t="shared" ref="AF67:AF130" si="115">(U67+V67)/(S67-T67-AA67)*100</f>
        <v>#DIV/0!</v>
      </c>
      <c r="AG67" s="77" t="e">
        <f t="shared" ref="AG67:AG130" si="116">(U67+V67+Z67+W67+X67-AA67)/(S67-T67-AA67)*100</f>
        <v>#DIV/0!</v>
      </c>
      <c r="AH67" s="77" t="e">
        <f t="shared" si="51"/>
        <v>#DIV/0!</v>
      </c>
      <c r="AI67" s="78" t="e">
        <f t="shared" si="52"/>
        <v>#DIV/0!</v>
      </c>
      <c r="AJ67" s="79" t="e">
        <f t="shared" si="90"/>
        <v>#DIV/0!</v>
      </c>
      <c r="AN67" s="81">
        <f t="shared" si="101"/>
        <v>0</v>
      </c>
      <c r="AO67" s="82" t="e">
        <f t="shared" si="102"/>
        <v>#DIV/0!</v>
      </c>
      <c r="AP67" s="83" t="e">
        <f t="shared" ref="AP67:AP130" si="117">IF(AO67&lt;10, 100, IF(AO67&lt;20, 80, IF(AO67&lt;30, 60, IF(AO67&lt;50, 40, IF(AO67&gt;=50, 20)))))</f>
        <v>#DIV/0!</v>
      </c>
      <c r="AQ67" s="84" t="e">
        <f t="shared" si="91"/>
        <v>#DIV/0!</v>
      </c>
      <c r="AS67" s="86">
        <f t="shared" si="103"/>
        <v>0.25</v>
      </c>
      <c r="AT67" s="87">
        <f t="shared" ref="AT67:AT130" si="118">AK67*AS67</f>
        <v>0</v>
      </c>
      <c r="AU67" s="87">
        <f t="shared" ref="AU67:AU130" si="119">ROUNDDOWN(AT67,0)</f>
        <v>0</v>
      </c>
      <c r="AV67" s="88" t="e">
        <f t="shared" si="104"/>
        <v>#DIV/0!</v>
      </c>
      <c r="AW67" s="78" t="e">
        <f t="shared" ref="AW67:AW130" si="120">IF(AV67&lt;0, 20, IF(AV67=0, 40, IF(AV67&lt;20, 60, IF(AV67&lt;40, 80, IF(AV67&gt;=40, 100)))))</f>
        <v>#DIV/0!</v>
      </c>
      <c r="AX67" s="89" t="e">
        <f t="shared" si="92"/>
        <v>#DIV/0!</v>
      </c>
      <c r="BA67" s="91">
        <f t="shared" si="105"/>
        <v>0</v>
      </c>
      <c r="BB67" s="77" t="e">
        <f t="shared" ref="BB67:BB130" si="121">(AZ67/BA67)*100</f>
        <v>#DIV/0!</v>
      </c>
      <c r="BC67" s="78" t="e">
        <f t="shared" ref="BC67:BC130" si="122">IF(BB67&lt;70, 25, IF(BB67&lt;80, 50, IF(BB67&lt;90, 75, IF(BB67&gt;=90, 100))))</f>
        <v>#DIV/0!</v>
      </c>
      <c r="BD67" s="79" t="e">
        <f t="shared" si="93"/>
        <v>#DIV/0!</v>
      </c>
      <c r="BE67" s="92"/>
      <c r="BF67" s="92"/>
      <c r="BG67" s="114">
        <v>600000</v>
      </c>
      <c r="BH67" s="94">
        <f t="shared" si="106"/>
        <v>0</v>
      </c>
      <c r="BI67" s="77" t="e">
        <f t="shared" si="107"/>
        <v>#DIV/0!</v>
      </c>
      <c r="BJ67" s="95" t="str">
        <f t="shared" ref="BJ67:BJ130" si="123">IF(D67="금융업(보험)", "금융업", IF(D67="금융업(증권)", "금융업", IF(D67="금융업(종금)", "금융업", D67)))</f>
        <v>비제조/서비스업</v>
      </c>
      <c r="BK67" s="96" t="e">
        <f t="shared" si="108"/>
        <v>#DIV/0!</v>
      </c>
      <c r="BL67" s="97" t="e">
        <f t="shared" ref="BL67:BL130" si="124">BI67-BK67</f>
        <v>#DIV/0!</v>
      </c>
      <c r="BM67" s="98" t="e">
        <f t="shared" ref="BM67:BM130" si="125">IF(BL67&lt;-2, 100, IF(BL67&lt;0, 80, IF(BL67&lt;2, 60, IF(BL67&lt;10, 40, 20))))</f>
        <v>#DIV/0!</v>
      </c>
      <c r="BN67" s="99" t="e">
        <f t="shared" ref="BN67:BN130" si="126">BM67*0.02</f>
        <v>#DIV/0!</v>
      </c>
      <c r="BP67" s="101">
        <f t="shared" ref="BP67:BP130" si="127">(BO67/O67)*100</f>
        <v>0</v>
      </c>
      <c r="BQ67" s="78">
        <f t="shared" ref="BQ67:BQ130" si="128">IF(BP67=0, 25, IF(BP67&lt;0.1, 40, IF(BP67&lt;0.5, 55, IF(BP67&lt;2, 70, IF(BP67&lt;4, 85, IF(BP67&gt;=4, 100))))))</f>
        <v>25</v>
      </c>
      <c r="BR67" s="79">
        <f t="shared" si="94"/>
        <v>0.5</v>
      </c>
      <c r="BS67" s="102"/>
      <c r="BT67" s="102"/>
      <c r="BU67" s="103">
        <f t="shared" ref="BU67:BU130" si="129">BS67-BT67</f>
        <v>0</v>
      </c>
      <c r="BV67" s="77">
        <f t="shared" si="109"/>
        <v>0</v>
      </c>
      <c r="BW67" s="96">
        <f t="shared" si="110"/>
        <v>0</v>
      </c>
      <c r="BX67" s="96">
        <f t="shared" ref="BX67:BX130" si="130">(BV67-BW67)^2</f>
        <v>0</v>
      </c>
      <c r="BY67" s="96">
        <f t="shared" si="111"/>
        <v>0</v>
      </c>
      <c r="BZ67" s="96" t="e">
        <f t="shared" ref="BZ67:BZ130" si="131">(1-_xlfn.NORM.DIST(BV67, BW67, BY67, TRUE))*100</f>
        <v>#NUM!</v>
      </c>
      <c r="CA67" s="96" t="e">
        <f t="shared" si="112"/>
        <v>#NUM!</v>
      </c>
      <c r="CB67" s="104" t="e">
        <f t="shared" ref="CB67:CB130" si="132">CA67*0.02</f>
        <v>#NUM!</v>
      </c>
      <c r="CC67" s="105">
        <f t="shared" si="95"/>
        <v>203.12358509125858</v>
      </c>
      <c r="CD67" s="106">
        <f t="shared" si="96"/>
        <v>25</v>
      </c>
      <c r="CE67" s="107">
        <f t="shared" si="97"/>
        <v>0.375</v>
      </c>
      <c r="CF67" s="108" t="s">
        <v>2189</v>
      </c>
      <c r="CG67" s="108" t="s">
        <v>2189</v>
      </c>
      <c r="CH67" s="108" t="s">
        <v>2189</v>
      </c>
      <c r="CI67" s="108" t="s">
        <v>2189</v>
      </c>
      <c r="CJ67" s="109"/>
      <c r="CM67" s="111">
        <f t="shared" ref="CM67:CM130" si="133">IF(CL67="A", 100, IF(CL67="B", 85, IF(CL67="C", 70, IF(CL67="D", 55, IF(CL67="E", 40, 25)))))</f>
        <v>25</v>
      </c>
      <c r="CN67" s="107">
        <f t="shared" si="98"/>
        <v>0.375</v>
      </c>
      <c r="CP67" s="88">
        <f t="shared" ref="CP67:CP130" si="134">(CO67/N67)*100</f>
        <v>0</v>
      </c>
      <c r="CQ67" s="78">
        <f t="shared" ref="CQ67:CQ130" si="135">IF(CP67&lt;3, 100, IF(CP67&lt;10, 80, IF(CP67&lt;35, 60, IF(CP67&lt;100, 40, IF(CP67&gt;=100, 20)))))</f>
        <v>100</v>
      </c>
      <c r="CR67" s="79">
        <f t="shared" si="99"/>
        <v>3</v>
      </c>
      <c r="CS67" s="92"/>
      <c r="CT67" s="77">
        <f t="shared" si="113"/>
        <v>0</v>
      </c>
      <c r="CU67" s="78">
        <f t="shared" ref="CU67:CU130" si="136">IF(CT67&lt;3, 100, IF(CT67&lt;10, 80, IF(CT67&lt;35, 60, IF(CT67&lt;100, 40, 20))))</f>
        <v>100</v>
      </c>
      <c r="CV67" s="79">
        <f t="shared" si="100"/>
        <v>2</v>
      </c>
      <c r="CW67" s="112" t="e">
        <f t="shared" ref="CW67:CW130" si="137">AE67+AJ67+AQ67+AX67+BD67+BN67+BR67+CB67+CE67+CJ67+CN67+CR67+CV67</f>
        <v>#DIV/0!</v>
      </c>
    </row>
    <row r="68" spans="1:101" x14ac:dyDescent="0.35">
      <c r="A68" s="7" t="s">
        <v>472</v>
      </c>
      <c r="B68" s="8" t="s">
        <v>473</v>
      </c>
      <c r="C68" s="21" t="s">
        <v>474</v>
      </c>
      <c r="D68" s="10" t="s">
        <v>75</v>
      </c>
      <c r="E68" s="11" t="s">
        <v>76</v>
      </c>
      <c r="F68" s="11" t="s">
        <v>475</v>
      </c>
      <c r="G68" s="12">
        <v>32164</v>
      </c>
      <c r="H68" s="11" t="s">
        <v>24</v>
      </c>
      <c r="I68" s="11" t="s">
        <v>476</v>
      </c>
      <c r="J68" s="11" t="s">
        <v>477</v>
      </c>
      <c r="K68" s="11" t="s">
        <v>27</v>
      </c>
      <c r="L68" s="23">
        <v>4278839838</v>
      </c>
      <c r="M68" s="14">
        <v>1085433049</v>
      </c>
      <c r="N68" s="14">
        <v>3193406789</v>
      </c>
      <c r="O68" s="14">
        <v>5086855586</v>
      </c>
      <c r="P68" s="14">
        <v>656205503</v>
      </c>
      <c r="Q68" s="14">
        <v>747318671</v>
      </c>
      <c r="R68" s="14">
        <v>575138552</v>
      </c>
      <c r="AB68" s="74">
        <f t="shared" ref="AB68:AB131" si="138">SUM(U68,V68,Z68,W68,X68)</f>
        <v>0</v>
      </c>
      <c r="AC68" s="75" t="e">
        <f t="shared" si="114"/>
        <v>#DIV/0!</v>
      </c>
      <c r="AD68" s="75" t="e">
        <f t="shared" ref="AD68:AD131" si="139">100-(75*(AC68-0.1))/(87-0.1)</f>
        <v>#DIV/0!</v>
      </c>
      <c r="AE68" s="76" t="e">
        <f t="shared" si="89"/>
        <v>#DIV/0!</v>
      </c>
      <c r="AF68" s="77" t="e">
        <f t="shared" si="115"/>
        <v>#DIV/0!</v>
      </c>
      <c r="AG68" s="77" t="e">
        <f t="shared" si="116"/>
        <v>#DIV/0!</v>
      </c>
      <c r="AH68" s="77" t="e">
        <f t="shared" ref="AH68:AH131" si="140">AG68-AF68</f>
        <v>#DIV/0!</v>
      </c>
      <c r="AI68" s="78" t="e">
        <f t="shared" ref="AI68:AI131" si="141">IF(AH68&lt;10, 100, IF(AH68&lt;30, 80, IF(AH68&lt;50, 60, IF(AH68&lt;80, 40, IF(AH68&lt;=100, 20)))))</f>
        <v>#DIV/0!</v>
      </c>
      <c r="AJ68" s="79" t="e">
        <f t="shared" si="90"/>
        <v>#DIV/0!</v>
      </c>
      <c r="AN68" s="81">
        <f t="shared" si="101"/>
        <v>0</v>
      </c>
      <c r="AO68" s="82" t="e">
        <f t="shared" si="102"/>
        <v>#DIV/0!</v>
      </c>
      <c r="AP68" s="83" t="e">
        <f t="shared" si="117"/>
        <v>#DIV/0!</v>
      </c>
      <c r="AQ68" s="84" t="e">
        <f t="shared" si="91"/>
        <v>#DIV/0!</v>
      </c>
      <c r="AS68" s="86">
        <f t="shared" si="103"/>
        <v>0.5</v>
      </c>
      <c r="AT68" s="87">
        <f t="shared" si="118"/>
        <v>0</v>
      </c>
      <c r="AU68" s="87">
        <f t="shared" si="119"/>
        <v>0</v>
      </c>
      <c r="AV68" s="88" t="e">
        <f t="shared" si="104"/>
        <v>#DIV/0!</v>
      </c>
      <c r="AW68" s="78" t="e">
        <f t="shared" si="120"/>
        <v>#DIV/0!</v>
      </c>
      <c r="AX68" s="89" t="e">
        <f t="shared" si="92"/>
        <v>#DIV/0!</v>
      </c>
      <c r="BA68" s="91">
        <f t="shared" si="105"/>
        <v>0</v>
      </c>
      <c r="BB68" s="77" t="e">
        <f t="shared" si="121"/>
        <v>#DIV/0!</v>
      </c>
      <c r="BC68" s="78" t="e">
        <f t="shared" si="122"/>
        <v>#DIV/0!</v>
      </c>
      <c r="BD68" s="79" t="e">
        <f t="shared" si="93"/>
        <v>#DIV/0!</v>
      </c>
      <c r="BE68" s="92"/>
      <c r="BF68" s="92"/>
      <c r="BG68" s="114">
        <v>1182000</v>
      </c>
      <c r="BH68" s="94">
        <f t="shared" si="106"/>
        <v>0</v>
      </c>
      <c r="BI68" s="77" t="e">
        <f t="shared" si="107"/>
        <v>#DIV/0!</v>
      </c>
      <c r="BJ68" s="95" t="str">
        <f t="shared" si="123"/>
        <v>금속/비금속/화학업</v>
      </c>
      <c r="BK68" s="96" t="e">
        <f t="shared" si="108"/>
        <v>#DIV/0!</v>
      </c>
      <c r="BL68" s="97" t="e">
        <f t="shared" si="124"/>
        <v>#DIV/0!</v>
      </c>
      <c r="BM68" s="98" t="e">
        <f t="shared" si="125"/>
        <v>#DIV/0!</v>
      </c>
      <c r="BN68" s="99" t="e">
        <f t="shared" si="126"/>
        <v>#DIV/0!</v>
      </c>
      <c r="BP68" s="101">
        <f t="shared" si="127"/>
        <v>0</v>
      </c>
      <c r="BQ68" s="78">
        <f t="shared" si="128"/>
        <v>25</v>
      </c>
      <c r="BR68" s="79">
        <f t="shared" si="94"/>
        <v>0.5</v>
      </c>
      <c r="BS68" s="102"/>
      <c r="BT68" s="102"/>
      <c r="BU68" s="103">
        <f t="shared" si="129"/>
        <v>0</v>
      </c>
      <c r="BV68" s="77">
        <f t="shared" si="109"/>
        <v>0</v>
      </c>
      <c r="BW68" s="96">
        <f t="shared" si="110"/>
        <v>0</v>
      </c>
      <c r="BX68" s="96">
        <f t="shared" si="130"/>
        <v>0</v>
      </c>
      <c r="BY68" s="96">
        <f t="shared" si="111"/>
        <v>0</v>
      </c>
      <c r="BZ68" s="96" t="e">
        <f t="shared" si="131"/>
        <v>#NUM!</v>
      </c>
      <c r="CA68" s="96" t="e">
        <f t="shared" si="112"/>
        <v>#NUM!</v>
      </c>
      <c r="CB68" s="104" t="e">
        <f t="shared" si="132"/>
        <v>#NUM!</v>
      </c>
      <c r="CC68" s="105">
        <f t="shared" si="95"/>
        <v>33.98981466247519</v>
      </c>
      <c r="CD68" s="106">
        <f t="shared" si="96"/>
        <v>87.5666527653988</v>
      </c>
      <c r="CE68" s="107">
        <f t="shared" si="97"/>
        <v>1.3134997914809821</v>
      </c>
      <c r="CF68" s="108" t="s">
        <v>2189</v>
      </c>
      <c r="CG68" s="108" t="s">
        <v>2189</v>
      </c>
      <c r="CH68" s="108" t="s">
        <v>2189</v>
      </c>
      <c r="CI68" s="108" t="s">
        <v>2189</v>
      </c>
      <c r="CJ68" s="109"/>
      <c r="CM68" s="111">
        <f t="shared" si="133"/>
        <v>25</v>
      </c>
      <c r="CN68" s="107">
        <f t="shared" si="98"/>
        <v>0.375</v>
      </c>
      <c r="CP68" s="88">
        <f t="shared" si="134"/>
        <v>0</v>
      </c>
      <c r="CQ68" s="78">
        <f t="shared" si="135"/>
        <v>100</v>
      </c>
      <c r="CR68" s="79">
        <f t="shared" si="99"/>
        <v>3</v>
      </c>
      <c r="CS68" s="92"/>
      <c r="CT68" s="77">
        <f t="shared" si="113"/>
        <v>0</v>
      </c>
      <c r="CU68" s="78">
        <f t="shared" si="136"/>
        <v>100</v>
      </c>
      <c r="CV68" s="79">
        <f t="shared" si="100"/>
        <v>2</v>
      </c>
      <c r="CW68" s="112" t="e">
        <f t="shared" si="137"/>
        <v>#DIV/0!</v>
      </c>
    </row>
    <row r="69" spans="1:101" x14ac:dyDescent="0.35">
      <c r="A69" s="7" t="s">
        <v>478</v>
      </c>
      <c r="B69" s="8" t="s">
        <v>479</v>
      </c>
      <c r="C69" s="21" t="s">
        <v>480</v>
      </c>
      <c r="D69" s="10" t="s">
        <v>141</v>
      </c>
      <c r="E69" s="11" t="s">
        <v>481</v>
      </c>
      <c r="F69" s="11" t="s">
        <v>482</v>
      </c>
      <c r="G69" s="12">
        <v>39385</v>
      </c>
      <c r="H69" s="11" t="s">
        <v>483</v>
      </c>
      <c r="I69" s="11" t="s">
        <v>484</v>
      </c>
      <c r="J69" s="11" t="s">
        <v>485</v>
      </c>
      <c r="K69" s="11" t="s">
        <v>87</v>
      </c>
      <c r="L69" s="23">
        <v>270299658</v>
      </c>
      <c r="M69" s="14">
        <v>18481909</v>
      </c>
      <c r="N69" s="14">
        <v>251817749</v>
      </c>
      <c r="O69" s="14">
        <v>116116871</v>
      </c>
      <c r="P69" s="14">
        <v>9240856</v>
      </c>
      <c r="Q69" s="14">
        <v>9598370</v>
      </c>
      <c r="R69" s="14">
        <v>7492215</v>
      </c>
      <c r="AB69" s="74">
        <f t="shared" si="138"/>
        <v>0</v>
      </c>
      <c r="AC69" s="75" t="e">
        <f t="shared" si="114"/>
        <v>#DIV/0!</v>
      </c>
      <c r="AD69" s="75" t="e">
        <f t="shared" si="139"/>
        <v>#DIV/0!</v>
      </c>
      <c r="AE69" s="76" t="e">
        <f t="shared" si="89"/>
        <v>#DIV/0!</v>
      </c>
      <c r="AF69" s="77" t="e">
        <f t="shared" si="115"/>
        <v>#DIV/0!</v>
      </c>
      <c r="AG69" s="77" t="e">
        <f t="shared" si="116"/>
        <v>#DIV/0!</v>
      </c>
      <c r="AH69" s="77" t="e">
        <f t="shared" si="140"/>
        <v>#DIV/0!</v>
      </c>
      <c r="AI69" s="78" t="e">
        <f t="shared" si="141"/>
        <v>#DIV/0!</v>
      </c>
      <c r="AJ69" s="79" t="e">
        <f t="shared" si="90"/>
        <v>#DIV/0!</v>
      </c>
      <c r="AN69" s="81">
        <f t="shared" si="101"/>
        <v>0</v>
      </c>
      <c r="AO69" s="82" t="e">
        <f t="shared" si="102"/>
        <v>#DIV/0!</v>
      </c>
      <c r="AP69" s="83" t="e">
        <f t="shared" si="117"/>
        <v>#DIV/0!</v>
      </c>
      <c r="AQ69" s="84" t="e">
        <f t="shared" si="91"/>
        <v>#DIV/0!</v>
      </c>
      <c r="AS69" s="86">
        <f t="shared" si="103"/>
        <v>0.25</v>
      </c>
      <c r="AT69" s="87">
        <f t="shared" si="118"/>
        <v>0</v>
      </c>
      <c r="AU69" s="87">
        <f t="shared" si="119"/>
        <v>0</v>
      </c>
      <c r="AV69" s="88" t="e">
        <f t="shared" si="104"/>
        <v>#DIV/0!</v>
      </c>
      <c r="AW69" s="78" t="e">
        <f t="shared" si="120"/>
        <v>#DIV/0!</v>
      </c>
      <c r="AX69" s="89" t="e">
        <f t="shared" si="92"/>
        <v>#DIV/0!</v>
      </c>
      <c r="BA69" s="91">
        <f t="shared" si="105"/>
        <v>0</v>
      </c>
      <c r="BB69" s="77" t="e">
        <f t="shared" si="121"/>
        <v>#DIV/0!</v>
      </c>
      <c r="BC69" s="78" t="e">
        <f t="shared" si="122"/>
        <v>#DIV/0!</v>
      </c>
      <c r="BD69" s="79" t="e">
        <f t="shared" si="93"/>
        <v>#DIV/0!</v>
      </c>
      <c r="BE69" s="92"/>
      <c r="BF69" s="92"/>
      <c r="BG69" s="114">
        <v>40919</v>
      </c>
      <c r="BH69" s="94">
        <f t="shared" si="106"/>
        <v>0</v>
      </c>
      <c r="BI69" s="77" t="e">
        <f t="shared" si="107"/>
        <v>#DIV/0!</v>
      </c>
      <c r="BJ69" s="95" t="str">
        <f t="shared" si="123"/>
        <v>전기전자/기계업</v>
      </c>
      <c r="BK69" s="96" t="e">
        <f t="shared" si="108"/>
        <v>#DIV/0!</v>
      </c>
      <c r="BL69" s="97" t="e">
        <f t="shared" si="124"/>
        <v>#DIV/0!</v>
      </c>
      <c r="BM69" s="98" t="e">
        <f t="shared" si="125"/>
        <v>#DIV/0!</v>
      </c>
      <c r="BN69" s="99" t="e">
        <f t="shared" si="126"/>
        <v>#DIV/0!</v>
      </c>
      <c r="BP69" s="101">
        <f t="shared" si="127"/>
        <v>0</v>
      </c>
      <c r="BQ69" s="78">
        <f t="shared" si="128"/>
        <v>25</v>
      </c>
      <c r="BR69" s="79">
        <f t="shared" si="94"/>
        <v>0.5</v>
      </c>
      <c r="BS69" s="102"/>
      <c r="BT69" s="102"/>
      <c r="BU69" s="103">
        <f t="shared" si="129"/>
        <v>0</v>
      </c>
      <c r="BV69" s="77">
        <f t="shared" si="109"/>
        <v>0</v>
      </c>
      <c r="BW69" s="96">
        <f t="shared" si="110"/>
        <v>0</v>
      </c>
      <c r="BX69" s="96">
        <f t="shared" si="130"/>
        <v>0</v>
      </c>
      <c r="BY69" s="96">
        <f t="shared" si="111"/>
        <v>0</v>
      </c>
      <c r="BZ69" s="96" t="e">
        <f t="shared" si="131"/>
        <v>#NUM!</v>
      </c>
      <c r="CA69" s="96" t="e">
        <f t="shared" si="112"/>
        <v>#NUM!</v>
      </c>
      <c r="CB69" s="104" t="e">
        <f t="shared" si="132"/>
        <v>#NUM!</v>
      </c>
      <c r="CC69" s="105">
        <f t="shared" si="95"/>
        <v>7.3393988602447555</v>
      </c>
      <c r="CD69" s="106">
        <f t="shared" si="96"/>
        <v>97.610779324028357</v>
      </c>
      <c r="CE69" s="107">
        <f t="shared" si="97"/>
        <v>1.4641616898604253</v>
      </c>
      <c r="CF69" s="108" t="s">
        <v>2189</v>
      </c>
      <c r="CG69" s="108" t="s">
        <v>2189</v>
      </c>
      <c r="CH69" s="108" t="s">
        <v>2189</v>
      </c>
      <c r="CI69" s="108" t="s">
        <v>2189</v>
      </c>
      <c r="CJ69" s="109"/>
      <c r="CM69" s="111">
        <f t="shared" si="133"/>
        <v>25</v>
      </c>
      <c r="CN69" s="107">
        <f t="shared" si="98"/>
        <v>0.375</v>
      </c>
      <c r="CP69" s="88">
        <f t="shared" si="134"/>
        <v>0</v>
      </c>
      <c r="CQ69" s="78">
        <f t="shared" si="135"/>
        <v>100</v>
      </c>
      <c r="CR69" s="79">
        <f t="shared" si="99"/>
        <v>3</v>
      </c>
      <c r="CS69" s="92"/>
      <c r="CT69" s="77">
        <f t="shared" si="113"/>
        <v>0</v>
      </c>
      <c r="CU69" s="78">
        <f t="shared" si="136"/>
        <v>100</v>
      </c>
      <c r="CV69" s="79">
        <f t="shared" si="100"/>
        <v>2</v>
      </c>
      <c r="CW69" s="112" t="e">
        <f t="shared" si="137"/>
        <v>#DIV/0!</v>
      </c>
    </row>
    <row r="70" spans="1:101" x14ac:dyDescent="0.35">
      <c r="A70" s="7" t="s">
        <v>486</v>
      </c>
      <c r="B70" s="8" t="s">
        <v>487</v>
      </c>
      <c r="C70" s="21" t="s">
        <v>488</v>
      </c>
      <c r="D70" s="10" t="s">
        <v>141</v>
      </c>
      <c r="E70" s="11" t="s">
        <v>489</v>
      </c>
      <c r="F70" s="11" t="s">
        <v>490</v>
      </c>
      <c r="G70" s="12">
        <v>26866</v>
      </c>
      <c r="H70" s="11" t="s">
        <v>24</v>
      </c>
      <c r="I70" s="11" t="s">
        <v>491</v>
      </c>
      <c r="J70" s="11" t="s">
        <v>492</v>
      </c>
      <c r="K70" s="11" t="s">
        <v>27</v>
      </c>
      <c r="L70" s="23">
        <v>46715448000</v>
      </c>
      <c r="M70" s="14">
        <v>20245275000</v>
      </c>
      <c r="N70" s="14">
        <v>26470173000</v>
      </c>
      <c r="O70" s="14">
        <v>46409721000</v>
      </c>
      <c r="P70" s="14">
        <v>3000886000</v>
      </c>
      <c r="Q70" s="14">
        <v>2639370000</v>
      </c>
      <c r="R70" s="14">
        <v>1953513000</v>
      </c>
      <c r="AB70" s="74">
        <f t="shared" si="138"/>
        <v>0</v>
      </c>
      <c r="AC70" s="75" t="e">
        <f t="shared" si="114"/>
        <v>#DIV/0!</v>
      </c>
      <c r="AD70" s="75" t="e">
        <f t="shared" si="139"/>
        <v>#DIV/0!</v>
      </c>
      <c r="AE70" s="76" t="e">
        <f t="shared" si="89"/>
        <v>#DIV/0!</v>
      </c>
      <c r="AF70" s="77" t="e">
        <f t="shared" si="115"/>
        <v>#DIV/0!</v>
      </c>
      <c r="AG70" s="77" t="e">
        <f t="shared" si="116"/>
        <v>#DIV/0!</v>
      </c>
      <c r="AH70" s="77" t="e">
        <f t="shared" si="140"/>
        <v>#DIV/0!</v>
      </c>
      <c r="AI70" s="78" t="e">
        <f t="shared" si="141"/>
        <v>#DIV/0!</v>
      </c>
      <c r="AJ70" s="79" t="e">
        <f t="shared" si="90"/>
        <v>#DIV/0!</v>
      </c>
      <c r="AN70" s="81">
        <f t="shared" si="101"/>
        <v>0</v>
      </c>
      <c r="AO70" s="82" t="e">
        <f t="shared" si="102"/>
        <v>#DIV/0!</v>
      </c>
      <c r="AP70" s="83" t="e">
        <f t="shared" si="117"/>
        <v>#DIV/0!</v>
      </c>
      <c r="AQ70" s="84" t="e">
        <f t="shared" si="91"/>
        <v>#DIV/0!</v>
      </c>
      <c r="AS70" s="86">
        <f t="shared" si="103"/>
        <v>0.5</v>
      </c>
      <c r="AT70" s="87">
        <f t="shared" si="118"/>
        <v>0</v>
      </c>
      <c r="AU70" s="87">
        <f t="shared" si="119"/>
        <v>0</v>
      </c>
      <c r="AV70" s="88" t="e">
        <f t="shared" si="104"/>
        <v>#DIV/0!</v>
      </c>
      <c r="AW70" s="78" t="e">
        <f t="shared" si="120"/>
        <v>#DIV/0!</v>
      </c>
      <c r="AX70" s="89" t="e">
        <f t="shared" si="92"/>
        <v>#DIV/0!</v>
      </c>
      <c r="BA70" s="91">
        <f t="shared" si="105"/>
        <v>0</v>
      </c>
      <c r="BB70" s="77" t="e">
        <f t="shared" si="121"/>
        <v>#DIV/0!</v>
      </c>
      <c r="BC70" s="78" t="e">
        <f t="shared" si="122"/>
        <v>#DIV/0!</v>
      </c>
      <c r="BD70" s="79" t="e">
        <f t="shared" si="93"/>
        <v>#DIV/0!</v>
      </c>
      <c r="BE70" s="92"/>
      <c r="BF70" s="92"/>
      <c r="BG70" s="114">
        <v>1488000</v>
      </c>
      <c r="BH70" s="94">
        <f t="shared" si="106"/>
        <v>0</v>
      </c>
      <c r="BI70" s="77" t="e">
        <f t="shared" si="107"/>
        <v>#DIV/0!</v>
      </c>
      <c r="BJ70" s="95" t="str">
        <f t="shared" si="123"/>
        <v>전기전자/기계업</v>
      </c>
      <c r="BK70" s="96" t="e">
        <f t="shared" si="108"/>
        <v>#DIV/0!</v>
      </c>
      <c r="BL70" s="97" t="e">
        <f t="shared" si="124"/>
        <v>#DIV/0!</v>
      </c>
      <c r="BM70" s="98" t="e">
        <f t="shared" si="125"/>
        <v>#DIV/0!</v>
      </c>
      <c r="BN70" s="99" t="e">
        <f t="shared" si="126"/>
        <v>#DIV/0!</v>
      </c>
      <c r="BP70" s="101">
        <f t="shared" si="127"/>
        <v>0</v>
      </c>
      <c r="BQ70" s="78">
        <f t="shared" si="128"/>
        <v>25</v>
      </c>
      <c r="BR70" s="79">
        <f t="shared" si="94"/>
        <v>0.5</v>
      </c>
      <c r="BS70" s="102"/>
      <c r="BT70" s="102"/>
      <c r="BU70" s="103">
        <f t="shared" si="129"/>
        <v>0</v>
      </c>
      <c r="BV70" s="77">
        <f t="shared" si="109"/>
        <v>0</v>
      </c>
      <c r="BW70" s="96">
        <f t="shared" si="110"/>
        <v>0</v>
      </c>
      <c r="BX70" s="96">
        <f t="shared" si="130"/>
        <v>0</v>
      </c>
      <c r="BY70" s="96">
        <f t="shared" si="111"/>
        <v>0</v>
      </c>
      <c r="BZ70" s="96" t="e">
        <f t="shared" si="131"/>
        <v>#NUM!</v>
      </c>
      <c r="CA70" s="96" t="e">
        <f t="shared" si="112"/>
        <v>#NUM!</v>
      </c>
      <c r="CB70" s="104" t="e">
        <f t="shared" si="132"/>
        <v>#NUM!</v>
      </c>
      <c r="CC70" s="105">
        <f t="shared" si="95"/>
        <v>76.483349768813369</v>
      </c>
      <c r="CD70" s="106">
        <f t="shared" si="96"/>
        <v>71.551501343412042</v>
      </c>
      <c r="CE70" s="107">
        <f t="shared" si="97"/>
        <v>1.0732725201511806</v>
      </c>
      <c r="CF70" s="108" t="s">
        <v>2189</v>
      </c>
      <c r="CG70" s="108" t="s">
        <v>2189</v>
      </c>
      <c r="CH70" s="108" t="s">
        <v>2189</v>
      </c>
      <c r="CI70" s="108" t="s">
        <v>2189</v>
      </c>
      <c r="CJ70" s="109"/>
      <c r="CM70" s="111">
        <f t="shared" si="133"/>
        <v>25</v>
      </c>
      <c r="CN70" s="107">
        <f t="shared" si="98"/>
        <v>0.375</v>
      </c>
      <c r="CP70" s="88">
        <f t="shared" si="134"/>
        <v>0</v>
      </c>
      <c r="CQ70" s="78">
        <f t="shared" si="135"/>
        <v>100</v>
      </c>
      <c r="CR70" s="79">
        <f t="shared" si="99"/>
        <v>3</v>
      </c>
      <c r="CS70" s="92"/>
      <c r="CT70" s="77">
        <f t="shared" si="113"/>
        <v>0</v>
      </c>
      <c r="CU70" s="78">
        <f t="shared" si="136"/>
        <v>100</v>
      </c>
      <c r="CV70" s="79">
        <f t="shared" si="100"/>
        <v>2</v>
      </c>
      <c r="CW70" s="112" t="e">
        <f t="shared" si="137"/>
        <v>#DIV/0!</v>
      </c>
    </row>
    <row r="71" spans="1:101" x14ac:dyDescent="0.35">
      <c r="A71" s="7" t="s">
        <v>493</v>
      </c>
      <c r="B71" s="8" t="s">
        <v>494</v>
      </c>
      <c r="C71" s="21" t="s">
        <v>495</v>
      </c>
      <c r="D71" s="10" t="s">
        <v>21</v>
      </c>
      <c r="E71" s="11" t="s">
        <v>91</v>
      </c>
      <c r="F71" s="11" t="s">
        <v>496</v>
      </c>
      <c r="G71" s="12">
        <v>28122</v>
      </c>
      <c r="H71" s="11" t="s">
        <v>24</v>
      </c>
      <c r="I71" s="11" t="s">
        <v>497</v>
      </c>
      <c r="J71" s="11" t="s">
        <v>498</v>
      </c>
      <c r="K71" s="11" t="s">
        <v>50</v>
      </c>
      <c r="L71" s="23">
        <v>345786655</v>
      </c>
      <c r="M71" s="14">
        <v>238784577</v>
      </c>
      <c r="N71" s="14">
        <v>107002078</v>
      </c>
      <c r="O71" s="14">
        <v>450379452</v>
      </c>
      <c r="P71" s="14">
        <v>11115820</v>
      </c>
      <c r="Q71" s="14">
        <v>15758165</v>
      </c>
      <c r="R71" s="14">
        <v>19332576</v>
      </c>
      <c r="AB71" s="74">
        <f t="shared" si="138"/>
        <v>0</v>
      </c>
      <c r="AC71" s="75" t="e">
        <f t="shared" si="114"/>
        <v>#DIV/0!</v>
      </c>
      <c r="AD71" s="75" t="e">
        <f t="shared" si="139"/>
        <v>#DIV/0!</v>
      </c>
      <c r="AE71" s="76" t="e">
        <f t="shared" si="89"/>
        <v>#DIV/0!</v>
      </c>
      <c r="AF71" s="77" t="e">
        <f t="shared" si="115"/>
        <v>#DIV/0!</v>
      </c>
      <c r="AG71" s="77" t="e">
        <f t="shared" si="116"/>
        <v>#DIV/0!</v>
      </c>
      <c r="AH71" s="77" t="e">
        <f t="shared" si="140"/>
        <v>#DIV/0!</v>
      </c>
      <c r="AI71" s="78" t="e">
        <f t="shared" si="141"/>
        <v>#DIV/0!</v>
      </c>
      <c r="AJ71" s="79" t="e">
        <f t="shared" si="90"/>
        <v>#DIV/0!</v>
      </c>
      <c r="AN71" s="81">
        <f t="shared" si="101"/>
        <v>0</v>
      </c>
      <c r="AO71" s="82" t="e">
        <f t="shared" si="102"/>
        <v>#DIV/0!</v>
      </c>
      <c r="AP71" s="83" t="e">
        <f t="shared" si="117"/>
        <v>#DIV/0!</v>
      </c>
      <c r="AQ71" s="84" t="e">
        <f t="shared" si="91"/>
        <v>#DIV/0!</v>
      </c>
      <c r="AS71" s="86">
        <f t="shared" si="103"/>
        <v>0.25</v>
      </c>
      <c r="AT71" s="87">
        <f t="shared" si="118"/>
        <v>0</v>
      </c>
      <c r="AU71" s="87">
        <f t="shared" si="119"/>
        <v>0</v>
      </c>
      <c r="AV71" s="88" t="e">
        <f t="shared" si="104"/>
        <v>#DIV/0!</v>
      </c>
      <c r="AW71" s="78" t="e">
        <f t="shared" si="120"/>
        <v>#DIV/0!</v>
      </c>
      <c r="AX71" s="89" t="e">
        <f t="shared" si="92"/>
        <v>#DIV/0!</v>
      </c>
      <c r="BA71" s="91">
        <f t="shared" si="105"/>
        <v>0</v>
      </c>
      <c r="BB71" s="77" t="e">
        <f t="shared" si="121"/>
        <v>#DIV/0!</v>
      </c>
      <c r="BC71" s="78" t="e">
        <f t="shared" si="122"/>
        <v>#DIV/0!</v>
      </c>
      <c r="BD71" s="79" t="e">
        <f t="shared" si="93"/>
        <v>#DIV/0!</v>
      </c>
      <c r="BE71" s="92"/>
      <c r="BF71" s="92"/>
      <c r="BG71" s="114">
        <v>554164</v>
      </c>
      <c r="BH71" s="94">
        <f t="shared" si="106"/>
        <v>0</v>
      </c>
      <c r="BI71" s="77" t="e">
        <f t="shared" si="107"/>
        <v>#DIV/0!</v>
      </c>
      <c r="BJ71" s="95" t="str">
        <f t="shared" si="123"/>
        <v>비제조/서비스업</v>
      </c>
      <c r="BK71" s="96" t="e">
        <f t="shared" si="108"/>
        <v>#DIV/0!</v>
      </c>
      <c r="BL71" s="97" t="e">
        <f t="shared" si="124"/>
        <v>#DIV/0!</v>
      </c>
      <c r="BM71" s="98" t="e">
        <f t="shared" si="125"/>
        <v>#DIV/0!</v>
      </c>
      <c r="BN71" s="99" t="e">
        <f t="shared" si="126"/>
        <v>#DIV/0!</v>
      </c>
      <c r="BP71" s="101">
        <f t="shared" si="127"/>
        <v>0</v>
      </c>
      <c r="BQ71" s="78">
        <f t="shared" si="128"/>
        <v>25</v>
      </c>
      <c r="BR71" s="79">
        <f t="shared" si="94"/>
        <v>0.5</v>
      </c>
      <c r="BS71" s="102"/>
      <c r="BT71" s="102"/>
      <c r="BU71" s="103">
        <f t="shared" si="129"/>
        <v>0</v>
      </c>
      <c r="BV71" s="77">
        <f t="shared" si="109"/>
        <v>0</v>
      </c>
      <c r="BW71" s="96">
        <f t="shared" si="110"/>
        <v>0</v>
      </c>
      <c r="BX71" s="96">
        <f t="shared" si="130"/>
        <v>0</v>
      </c>
      <c r="BY71" s="96">
        <f t="shared" si="111"/>
        <v>0</v>
      </c>
      <c r="BZ71" s="96" t="e">
        <f t="shared" si="131"/>
        <v>#NUM!</v>
      </c>
      <c r="CA71" s="96" t="e">
        <f t="shared" si="112"/>
        <v>#NUM!</v>
      </c>
      <c r="CB71" s="104" t="e">
        <f t="shared" si="132"/>
        <v>#NUM!</v>
      </c>
      <c r="CC71" s="105">
        <f t="shared" si="95"/>
        <v>223.15882220530332</v>
      </c>
      <c r="CD71" s="106">
        <f t="shared" si="96"/>
        <v>25</v>
      </c>
      <c r="CE71" s="107">
        <f t="shared" si="97"/>
        <v>0.375</v>
      </c>
      <c r="CF71" s="108" t="s">
        <v>2189</v>
      </c>
      <c r="CG71" s="108" t="s">
        <v>2189</v>
      </c>
      <c r="CH71" s="108" t="s">
        <v>2189</v>
      </c>
      <c r="CI71" s="108" t="s">
        <v>2189</v>
      </c>
      <c r="CJ71" s="109"/>
      <c r="CM71" s="111">
        <f t="shared" si="133"/>
        <v>25</v>
      </c>
      <c r="CN71" s="107">
        <f t="shared" si="98"/>
        <v>0.375</v>
      </c>
      <c r="CP71" s="88">
        <f t="shared" si="134"/>
        <v>0</v>
      </c>
      <c r="CQ71" s="78">
        <f t="shared" si="135"/>
        <v>100</v>
      </c>
      <c r="CR71" s="79">
        <f t="shared" si="99"/>
        <v>3</v>
      </c>
      <c r="CS71" s="92"/>
      <c r="CT71" s="77">
        <f t="shared" si="113"/>
        <v>0</v>
      </c>
      <c r="CU71" s="78">
        <f t="shared" si="136"/>
        <v>100</v>
      </c>
      <c r="CV71" s="79">
        <f t="shared" si="100"/>
        <v>2</v>
      </c>
      <c r="CW71" s="112" t="e">
        <f t="shared" si="137"/>
        <v>#DIV/0!</v>
      </c>
    </row>
    <row r="72" spans="1:101" x14ac:dyDescent="0.35">
      <c r="A72" s="7" t="s">
        <v>499</v>
      </c>
      <c r="B72" s="8" t="s">
        <v>500</v>
      </c>
      <c r="C72" s="21" t="s">
        <v>501</v>
      </c>
      <c r="D72" s="10" t="s">
        <v>75</v>
      </c>
      <c r="E72" s="11" t="s">
        <v>383</v>
      </c>
      <c r="F72" s="11" t="s">
        <v>502</v>
      </c>
      <c r="G72" s="12">
        <v>35013</v>
      </c>
      <c r="H72" s="11" t="s">
        <v>24</v>
      </c>
      <c r="I72" s="11" t="s">
        <v>503</v>
      </c>
      <c r="J72" s="11" t="s">
        <v>504</v>
      </c>
      <c r="K72" s="11" t="s">
        <v>27</v>
      </c>
      <c r="L72" s="23">
        <v>883470621</v>
      </c>
      <c r="M72" s="14">
        <v>371844780</v>
      </c>
      <c r="N72" s="14">
        <v>511625841</v>
      </c>
      <c r="O72" s="14">
        <v>2169565871</v>
      </c>
      <c r="P72" s="14">
        <v>63633740</v>
      </c>
      <c r="Q72" s="14">
        <v>65632977</v>
      </c>
      <c r="R72" s="14">
        <v>47307536</v>
      </c>
      <c r="AB72" s="74">
        <f t="shared" si="138"/>
        <v>0</v>
      </c>
      <c r="AC72" s="75" t="e">
        <f t="shared" si="114"/>
        <v>#DIV/0!</v>
      </c>
      <c r="AD72" s="75" t="e">
        <f t="shared" si="139"/>
        <v>#DIV/0!</v>
      </c>
      <c r="AE72" s="76" t="e">
        <f t="shared" si="89"/>
        <v>#DIV/0!</v>
      </c>
      <c r="AF72" s="77" t="e">
        <f t="shared" si="115"/>
        <v>#DIV/0!</v>
      </c>
      <c r="AG72" s="77" t="e">
        <f t="shared" si="116"/>
        <v>#DIV/0!</v>
      </c>
      <c r="AH72" s="77" t="e">
        <f t="shared" si="140"/>
        <v>#DIV/0!</v>
      </c>
      <c r="AI72" s="78" t="e">
        <f t="shared" si="141"/>
        <v>#DIV/0!</v>
      </c>
      <c r="AJ72" s="79" t="e">
        <f t="shared" si="90"/>
        <v>#DIV/0!</v>
      </c>
      <c r="AN72" s="81">
        <f t="shared" si="101"/>
        <v>0</v>
      </c>
      <c r="AO72" s="82" t="e">
        <f t="shared" si="102"/>
        <v>#DIV/0!</v>
      </c>
      <c r="AP72" s="83" t="e">
        <f t="shared" si="117"/>
        <v>#DIV/0!</v>
      </c>
      <c r="AQ72" s="84" t="e">
        <f t="shared" si="91"/>
        <v>#DIV/0!</v>
      </c>
      <c r="AS72" s="86">
        <f t="shared" si="103"/>
        <v>0.25</v>
      </c>
      <c r="AT72" s="87">
        <f t="shared" si="118"/>
        <v>0</v>
      </c>
      <c r="AU72" s="87">
        <f t="shared" si="119"/>
        <v>0</v>
      </c>
      <c r="AV72" s="88" t="e">
        <f t="shared" si="104"/>
        <v>#DIV/0!</v>
      </c>
      <c r="AW72" s="78" t="e">
        <f t="shared" si="120"/>
        <v>#DIV/0!</v>
      </c>
      <c r="AX72" s="89" t="e">
        <f t="shared" si="92"/>
        <v>#DIV/0!</v>
      </c>
      <c r="BA72" s="91">
        <f t="shared" si="105"/>
        <v>0</v>
      </c>
      <c r="BB72" s="77" t="e">
        <f t="shared" si="121"/>
        <v>#DIV/0!</v>
      </c>
      <c r="BC72" s="78" t="e">
        <f t="shared" si="122"/>
        <v>#DIV/0!</v>
      </c>
      <c r="BD72" s="79" t="e">
        <f t="shared" si="93"/>
        <v>#DIV/0!</v>
      </c>
      <c r="BE72" s="92"/>
      <c r="BF72" s="92"/>
      <c r="BG72" s="93">
        <v>0</v>
      </c>
      <c r="BH72" s="94">
        <f t="shared" si="106"/>
        <v>0</v>
      </c>
      <c r="BI72" s="77" t="e">
        <f t="shared" si="107"/>
        <v>#DIV/0!</v>
      </c>
      <c r="BJ72" s="95" t="str">
        <f t="shared" si="123"/>
        <v>금속/비금속/화학업</v>
      </c>
      <c r="BK72" s="96" t="e">
        <f t="shared" si="108"/>
        <v>#DIV/0!</v>
      </c>
      <c r="BL72" s="97" t="e">
        <f t="shared" si="124"/>
        <v>#DIV/0!</v>
      </c>
      <c r="BM72" s="98" t="e">
        <f t="shared" si="125"/>
        <v>#DIV/0!</v>
      </c>
      <c r="BN72" s="99" t="e">
        <f t="shared" si="126"/>
        <v>#DIV/0!</v>
      </c>
      <c r="BP72" s="101">
        <f t="shared" si="127"/>
        <v>0</v>
      </c>
      <c r="BQ72" s="78">
        <f t="shared" si="128"/>
        <v>25</v>
      </c>
      <c r="BR72" s="79">
        <f t="shared" si="94"/>
        <v>0.5</v>
      </c>
      <c r="BS72" s="102"/>
      <c r="BT72" s="102"/>
      <c r="BU72" s="103">
        <f t="shared" si="129"/>
        <v>0</v>
      </c>
      <c r="BV72" s="77">
        <f t="shared" si="109"/>
        <v>0</v>
      </c>
      <c r="BW72" s="96">
        <f t="shared" si="110"/>
        <v>0</v>
      </c>
      <c r="BX72" s="96">
        <f t="shared" si="130"/>
        <v>0</v>
      </c>
      <c r="BY72" s="96">
        <f t="shared" si="111"/>
        <v>0</v>
      </c>
      <c r="BZ72" s="96" t="e">
        <f t="shared" si="131"/>
        <v>#NUM!</v>
      </c>
      <c r="CA72" s="96" t="e">
        <f t="shared" si="112"/>
        <v>#NUM!</v>
      </c>
      <c r="CB72" s="104" t="e">
        <f t="shared" si="132"/>
        <v>#NUM!</v>
      </c>
      <c r="CC72" s="105">
        <f t="shared" si="95"/>
        <v>72.679045935836541</v>
      </c>
      <c r="CD72" s="106">
        <f t="shared" si="96"/>
        <v>72.985284195036485</v>
      </c>
      <c r="CE72" s="107">
        <f t="shared" si="97"/>
        <v>1.0947792629255473</v>
      </c>
      <c r="CF72" s="108" t="s">
        <v>2189</v>
      </c>
      <c r="CG72" s="108" t="s">
        <v>2189</v>
      </c>
      <c r="CH72" s="108" t="s">
        <v>2189</v>
      </c>
      <c r="CI72" s="108" t="s">
        <v>2189</v>
      </c>
      <c r="CJ72" s="109"/>
      <c r="CM72" s="111">
        <f t="shared" si="133"/>
        <v>25</v>
      </c>
      <c r="CN72" s="107">
        <f t="shared" si="98"/>
        <v>0.375</v>
      </c>
      <c r="CP72" s="88">
        <f t="shared" si="134"/>
        <v>0</v>
      </c>
      <c r="CQ72" s="78">
        <f t="shared" si="135"/>
        <v>100</v>
      </c>
      <c r="CR72" s="79">
        <f t="shared" si="99"/>
        <v>3</v>
      </c>
      <c r="CS72" s="92"/>
      <c r="CT72" s="77">
        <f t="shared" si="113"/>
        <v>0</v>
      </c>
      <c r="CU72" s="78">
        <f t="shared" si="136"/>
        <v>100</v>
      </c>
      <c r="CV72" s="79">
        <f t="shared" si="100"/>
        <v>2</v>
      </c>
      <c r="CW72" s="112" t="e">
        <f t="shared" si="137"/>
        <v>#DIV/0!</v>
      </c>
    </row>
    <row r="73" spans="1:101" x14ac:dyDescent="0.35">
      <c r="A73" s="7" t="s">
        <v>505</v>
      </c>
      <c r="B73" s="8" t="s">
        <v>506</v>
      </c>
      <c r="C73" s="21" t="s">
        <v>507</v>
      </c>
      <c r="D73" s="10" t="s">
        <v>75</v>
      </c>
      <c r="E73" s="11" t="s">
        <v>508</v>
      </c>
      <c r="F73" s="11" t="s">
        <v>509</v>
      </c>
      <c r="G73" s="12">
        <v>32130</v>
      </c>
      <c r="H73" s="11" t="s">
        <v>24</v>
      </c>
      <c r="I73" s="11" t="s">
        <v>510</v>
      </c>
      <c r="J73" s="11" t="s">
        <v>511</v>
      </c>
      <c r="K73" s="11" t="s">
        <v>102</v>
      </c>
      <c r="L73" s="23">
        <v>736767227</v>
      </c>
      <c r="M73" s="14">
        <v>105463213</v>
      </c>
      <c r="N73" s="14">
        <v>631304014</v>
      </c>
      <c r="O73" s="14">
        <v>737876931</v>
      </c>
      <c r="P73" s="14">
        <v>30653869</v>
      </c>
      <c r="Q73" s="14">
        <v>35607383</v>
      </c>
      <c r="R73" s="14">
        <v>31223584</v>
      </c>
      <c r="AB73" s="74">
        <f t="shared" si="138"/>
        <v>0</v>
      </c>
      <c r="AC73" s="75" t="e">
        <f t="shared" si="114"/>
        <v>#DIV/0!</v>
      </c>
      <c r="AD73" s="75" t="e">
        <f t="shared" si="139"/>
        <v>#DIV/0!</v>
      </c>
      <c r="AE73" s="76" t="e">
        <f t="shared" si="89"/>
        <v>#DIV/0!</v>
      </c>
      <c r="AF73" s="77" t="e">
        <f t="shared" si="115"/>
        <v>#DIV/0!</v>
      </c>
      <c r="AG73" s="77" t="e">
        <f t="shared" si="116"/>
        <v>#DIV/0!</v>
      </c>
      <c r="AH73" s="77" t="e">
        <f t="shared" si="140"/>
        <v>#DIV/0!</v>
      </c>
      <c r="AI73" s="78" t="e">
        <f t="shared" si="141"/>
        <v>#DIV/0!</v>
      </c>
      <c r="AJ73" s="79" t="e">
        <f t="shared" si="90"/>
        <v>#DIV/0!</v>
      </c>
      <c r="AN73" s="81">
        <f t="shared" si="101"/>
        <v>0</v>
      </c>
      <c r="AO73" s="82" t="e">
        <f t="shared" si="102"/>
        <v>#DIV/0!</v>
      </c>
      <c r="AP73" s="83" t="e">
        <f t="shared" si="117"/>
        <v>#DIV/0!</v>
      </c>
      <c r="AQ73" s="84" t="e">
        <f t="shared" si="91"/>
        <v>#DIV/0!</v>
      </c>
      <c r="AS73" s="86">
        <f t="shared" si="103"/>
        <v>0.25</v>
      </c>
      <c r="AT73" s="87">
        <f t="shared" si="118"/>
        <v>0</v>
      </c>
      <c r="AU73" s="87">
        <f t="shared" si="119"/>
        <v>0</v>
      </c>
      <c r="AV73" s="88" t="e">
        <f t="shared" si="104"/>
        <v>#DIV/0!</v>
      </c>
      <c r="AW73" s="78" t="e">
        <f t="shared" si="120"/>
        <v>#DIV/0!</v>
      </c>
      <c r="AX73" s="89" t="e">
        <f t="shared" si="92"/>
        <v>#DIV/0!</v>
      </c>
      <c r="BA73" s="91">
        <f t="shared" si="105"/>
        <v>0</v>
      </c>
      <c r="BB73" s="77" t="e">
        <f t="shared" si="121"/>
        <v>#DIV/0!</v>
      </c>
      <c r="BC73" s="78" t="e">
        <f t="shared" si="122"/>
        <v>#DIV/0!</v>
      </c>
      <c r="BD73" s="79" t="e">
        <f t="shared" si="93"/>
        <v>#DIV/0!</v>
      </c>
      <c r="BE73" s="92"/>
      <c r="BF73" s="92"/>
      <c r="BG73" s="114">
        <v>53545</v>
      </c>
      <c r="BH73" s="94">
        <f t="shared" si="106"/>
        <v>0</v>
      </c>
      <c r="BI73" s="77" t="e">
        <f t="shared" si="107"/>
        <v>#DIV/0!</v>
      </c>
      <c r="BJ73" s="95" t="str">
        <f t="shared" si="123"/>
        <v>금속/비금속/화학업</v>
      </c>
      <c r="BK73" s="96" t="e">
        <f t="shared" si="108"/>
        <v>#DIV/0!</v>
      </c>
      <c r="BL73" s="97" t="e">
        <f t="shared" si="124"/>
        <v>#DIV/0!</v>
      </c>
      <c r="BM73" s="98" t="e">
        <f t="shared" si="125"/>
        <v>#DIV/0!</v>
      </c>
      <c r="BN73" s="99" t="e">
        <f t="shared" si="126"/>
        <v>#DIV/0!</v>
      </c>
      <c r="BP73" s="101">
        <f t="shared" si="127"/>
        <v>0</v>
      </c>
      <c r="BQ73" s="78">
        <f t="shared" si="128"/>
        <v>25</v>
      </c>
      <c r="BR73" s="79">
        <f t="shared" si="94"/>
        <v>0.5</v>
      </c>
      <c r="BS73" s="102"/>
      <c r="BT73" s="102"/>
      <c r="BU73" s="103">
        <f t="shared" si="129"/>
        <v>0</v>
      </c>
      <c r="BV73" s="77">
        <f t="shared" si="109"/>
        <v>0</v>
      </c>
      <c r="BW73" s="96">
        <f t="shared" si="110"/>
        <v>0</v>
      </c>
      <c r="BX73" s="96">
        <f t="shared" si="130"/>
        <v>0</v>
      </c>
      <c r="BY73" s="96">
        <f t="shared" si="111"/>
        <v>0</v>
      </c>
      <c r="BZ73" s="96" t="e">
        <f t="shared" si="131"/>
        <v>#NUM!</v>
      </c>
      <c r="CA73" s="96" t="e">
        <f t="shared" si="112"/>
        <v>#NUM!</v>
      </c>
      <c r="CB73" s="104" t="e">
        <f t="shared" si="132"/>
        <v>#NUM!</v>
      </c>
      <c r="CC73" s="105">
        <f t="shared" si="95"/>
        <v>16.705614198740072</v>
      </c>
      <c r="CD73" s="106">
        <f t="shared" si="96"/>
        <v>94.080798668816556</v>
      </c>
      <c r="CE73" s="107">
        <f t="shared" si="97"/>
        <v>1.4112119800322482</v>
      </c>
      <c r="CF73" s="108" t="s">
        <v>2189</v>
      </c>
      <c r="CG73" s="108" t="s">
        <v>2189</v>
      </c>
      <c r="CH73" s="108" t="s">
        <v>2189</v>
      </c>
      <c r="CI73" s="108" t="s">
        <v>2189</v>
      </c>
      <c r="CJ73" s="109"/>
      <c r="CM73" s="111">
        <f t="shared" si="133"/>
        <v>25</v>
      </c>
      <c r="CN73" s="107">
        <f t="shared" si="98"/>
        <v>0.375</v>
      </c>
      <c r="CP73" s="88">
        <f t="shared" si="134"/>
        <v>0</v>
      </c>
      <c r="CQ73" s="78">
        <f t="shared" si="135"/>
        <v>100</v>
      </c>
      <c r="CR73" s="79">
        <f t="shared" si="99"/>
        <v>3</v>
      </c>
      <c r="CS73" s="92"/>
      <c r="CT73" s="77">
        <f t="shared" si="113"/>
        <v>0</v>
      </c>
      <c r="CU73" s="78">
        <f t="shared" si="136"/>
        <v>100</v>
      </c>
      <c r="CV73" s="79">
        <f t="shared" si="100"/>
        <v>2</v>
      </c>
      <c r="CW73" s="112" t="e">
        <f t="shared" si="137"/>
        <v>#DIV/0!</v>
      </c>
    </row>
    <row r="74" spans="1:101" x14ac:dyDescent="0.35">
      <c r="A74" s="7" t="s">
        <v>512</v>
      </c>
      <c r="B74" s="8" t="s">
        <v>513</v>
      </c>
      <c r="C74" s="21" t="s">
        <v>514</v>
      </c>
      <c r="D74" s="10" t="s">
        <v>75</v>
      </c>
      <c r="E74" s="11" t="s">
        <v>149</v>
      </c>
      <c r="F74" s="11" t="s">
        <v>515</v>
      </c>
      <c r="G74" s="12">
        <v>38901</v>
      </c>
      <c r="H74" s="11" t="s">
        <v>24</v>
      </c>
      <c r="I74" s="11" t="s">
        <v>516</v>
      </c>
      <c r="J74" s="8" t="s">
        <v>517</v>
      </c>
      <c r="K74" s="11" t="s">
        <v>50</v>
      </c>
      <c r="L74" s="23">
        <v>593723438</v>
      </c>
      <c r="M74" s="14">
        <v>279635129</v>
      </c>
      <c r="N74" s="14">
        <v>314088309</v>
      </c>
      <c r="O74" s="14">
        <v>667825639</v>
      </c>
      <c r="P74" s="14">
        <v>18091323</v>
      </c>
      <c r="Q74" s="14">
        <v>10916465</v>
      </c>
      <c r="R74" s="14">
        <v>7428246</v>
      </c>
      <c r="AB74" s="74">
        <f t="shared" si="138"/>
        <v>0</v>
      </c>
      <c r="AC74" s="75" t="e">
        <f t="shared" si="114"/>
        <v>#DIV/0!</v>
      </c>
      <c r="AD74" s="75" t="e">
        <f t="shared" si="139"/>
        <v>#DIV/0!</v>
      </c>
      <c r="AE74" s="76" t="e">
        <f t="shared" si="89"/>
        <v>#DIV/0!</v>
      </c>
      <c r="AF74" s="77" t="e">
        <f t="shared" si="115"/>
        <v>#DIV/0!</v>
      </c>
      <c r="AG74" s="77" t="e">
        <f t="shared" si="116"/>
        <v>#DIV/0!</v>
      </c>
      <c r="AH74" s="77" t="e">
        <f t="shared" si="140"/>
        <v>#DIV/0!</v>
      </c>
      <c r="AI74" s="78" t="e">
        <f t="shared" si="141"/>
        <v>#DIV/0!</v>
      </c>
      <c r="AJ74" s="79" t="e">
        <f t="shared" si="90"/>
        <v>#DIV/0!</v>
      </c>
      <c r="AM74" s="80"/>
      <c r="AN74" s="81">
        <f t="shared" si="101"/>
        <v>0</v>
      </c>
      <c r="AO74" s="82" t="e">
        <f t="shared" si="102"/>
        <v>#DIV/0!</v>
      </c>
      <c r="AP74" s="83" t="e">
        <f t="shared" si="117"/>
        <v>#DIV/0!</v>
      </c>
      <c r="AQ74" s="84" t="e">
        <f t="shared" si="91"/>
        <v>#DIV/0!</v>
      </c>
      <c r="AS74" s="86">
        <f t="shared" si="103"/>
        <v>0.25</v>
      </c>
      <c r="AT74" s="87">
        <f t="shared" si="118"/>
        <v>0</v>
      </c>
      <c r="AU74" s="87">
        <f t="shared" si="119"/>
        <v>0</v>
      </c>
      <c r="AV74" s="88" t="e">
        <f t="shared" si="104"/>
        <v>#DIV/0!</v>
      </c>
      <c r="AW74" s="78" t="e">
        <f t="shared" si="120"/>
        <v>#DIV/0!</v>
      </c>
      <c r="AX74" s="89" t="e">
        <f t="shared" si="92"/>
        <v>#DIV/0!</v>
      </c>
      <c r="BA74" s="91">
        <f t="shared" si="105"/>
        <v>0</v>
      </c>
      <c r="BB74" s="77" t="e">
        <f t="shared" si="121"/>
        <v>#DIV/0!</v>
      </c>
      <c r="BC74" s="78" t="e">
        <f t="shared" si="122"/>
        <v>#DIV/0!</v>
      </c>
      <c r="BD74" s="79" t="e">
        <f t="shared" si="93"/>
        <v>#DIV/0!</v>
      </c>
      <c r="BE74" s="92"/>
      <c r="BF74" s="92"/>
      <c r="BG74" s="114">
        <v>1114040</v>
      </c>
      <c r="BH74" s="94">
        <f t="shared" si="106"/>
        <v>0</v>
      </c>
      <c r="BI74" s="77" t="e">
        <f t="shared" si="107"/>
        <v>#DIV/0!</v>
      </c>
      <c r="BJ74" s="95" t="str">
        <f t="shared" si="123"/>
        <v>금속/비금속/화학업</v>
      </c>
      <c r="BK74" s="96" t="e">
        <f t="shared" si="108"/>
        <v>#DIV/0!</v>
      </c>
      <c r="BL74" s="97" t="e">
        <f t="shared" si="124"/>
        <v>#DIV/0!</v>
      </c>
      <c r="BM74" s="98" t="e">
        <f t="shared" si="125"/>
        <v>#DIV/0!</v>
      </c>
      <c r="BN74" s="99" t="e">
        <f t="shared" si="126"/>
        <v>#DIV/0!</v>
      </c>
      <c r="BP74" s="101">
        <f t="shared" si="127"/>
        <v>0</v>
      </c>
      <c r="BQ74" s="78">
        <f t="shared" si="128"/>
        <v>25</v>
      </c>
      <c r="BR74" s="79">
        <f t="shared" si="94"/>
        <v>0.5</v>
      </c>
      <c r="BS74" s="102"/>
      <c r="BT74" s="102"/>
      <c r="BU74" s="103">
        <f t="shared" si="129"/>
        <v>0</v>
      </c>
      <c r="BV74" s="77">
        <f t="shared" si="109"/>
        <v>0</v>
      </c>
      <c r="BW74" s="96">
        <f t="shared" si="110"/>
        <v>0</v>
      </c>
      <c r="BX74" s="96">
        <f t="shared" si="130"/>
        <v>0</v>
      </c>
      <c r="BY74" s="96">
        <f t="shared" si="111"/>
        <v>0</v>
      </c>
      <c r="BZ74" s="96" t="e">
        <f t="shared" si="131"/>
        <v>#NUM!</v>
      </c>
      <c r="CA74" s="96" t="e">
        <f t="shared" si="112"/>
        <v>#NUM!</v>
      </c>
      <c r="CB74" s="104" t="e">
        <f t="shared" si="132"/>
        <v>#NUM!</v>
      </c>
      <c r="CC74" s="105">
        <f t="shared" si="95"/>
        <v>89.030734665135213</v>
      </c>
      <c r="CD74" s="106">
        <f t="shared" si="96"/>
        <v>66.822587437763104</v>
      </c>
      <c r="CE74" s="107">
        <f t="shared" si="97"/>
        <v>1.0023388115664464</v>
      </c>
      <c r="CF74" s="108" t="s">
        <v>2189</v>
      </c>
      <c r="CG74" s="108" t="s">
        <v>2189</v>
      </c>
      <c r="CH74" s="108" t="s">
        <v>2189</v>
      </c>
      <c r="CI74" s="108" t="s">
        <v>2189</v>
      </c>
      <c r="CJ74" s="109"/>
      <c r="CM74" s="111">
        <f t="shared" si="133"/>
        <v>25</v>
      </c>
      <c r="CN74" s="107">
        <f t="shared" si="98"/>
        <v>0.375</v>
      </c>
      <c r="CP74" s="88">
        <f t="shared" si="134"/>
        <v>0</v>
      </c>
      <c r="CQ74" s="78">
        <f t="shared" si="135"/>
        <v>100</v>
      </c>
      <c r="CR74" s="79">
        <f t="shared" si="99"/>
        <v>3</v>
      </c>
      <c r="CS74" s="92"/>
      <c r="CT74" s="77">
        <f t="shared" si="113"/>
        <v>0</v>
      </c>
      <c r="CU74" s="78">
        <f t="shared" si="136"/>
        <v>100</v>
      </c>
      <c r="CV74" s="79">
        <f t="shared" si="100"/>
        <v>2</v>
      </c>
      <c r="CW74" s="112" t="e">
        <f t="shared" si="137"/>
        <v>#DIV/0!</v>
      </c>
    </row>
    <row r="75" spans="1:101" x14ac:dyDescent="0.35">
      <c r="A75" s="7" t="s">
        <v>518</v>
      </c>
      <c r="B75" s="8" t="s">
        <v>519</v>
      </c>
      <c r="C75" s="21" t="s">
        <v>520</v>
      </c>
      <c r="D75" s="10" t="s">
        <v>31</v>
      </c>
      <c r="E75" s="11" t="s">
        <v>183</v>
      </c>
      <c r="F75" s="11" t="s">
        <v>521</v>
      </c>
      <c r="G75" s="12">
        <v>32721</v>
      </c>
      <c r="H75" s="11" t="s">
        <v>24</v>
      </c>
      <c r="I75" s="11" t="s">
        <v>522</v>
      </c>
      <c r="J75" s="11" t="s">
        <v>523</v>
      </c>
      <c r="K75" s="11" t="s">
        <v>50</v>
      </c>
      <c r="L75" s="23">
        <v>1943161484</v>
      </c>
      <c r="M75" s="14">
        <v>692777309</v>
      </c>
      <c r="N75" s="14">
        <v>1250384175</v>
      </c>
      <c r="O75" s="14">
        <v>1244928840</v>
      </c>
      <c r="P75" s="14">
        <v>70305248</v>
      </c>
      <c r="Q75" s="14">
        <v>56807679</v>
      </c>
      <c r="R75" s="14">
        <v>54307547</v>
      </c>
      <c r="AB75" s="74">
        <f t="shared" si="138"/>
        <v>0</v>
      </c>
      <c r="AC75" s="75" t="e">
        <f t="shared" si="114"/>
        <v>#DIV/0!</v>
      </c>
      <c r="AD75" s="75" t="e">
        <f t="shared" si="139"/>
        <v>#DIV/0!</v>
      </c>
      <c r="AE75" s="76" t="e">
        <f t="shared" si="89"/>
        <v>#DIV/0!</v>
      </c>
      <c r="AF75" s="77" t="e">
        <f t="shared" si="115"/>
        <v>#DIV/0!</v>
      </c>
      <c r="AG75" s="77" t="e">
        <f t="shared" si="116"/>
        <v>#DIV/0!</v>
      </c>
      <c r="AH75" s="77" t="e">
        <f t="shared" si="140"/>
        <v>#DIV/0!</v>
      </c>
      <c r="AI75" s="78" t="e">
        <f t="shared" si="141"/>
        <v>#DIV/0!</v>
      </c>
      <c r="AJ75" s="79" t="e">
        <f t="shared" si="90"/>
        <v>#DIV/0!</v>
      </c>
      <c r="AM75" s="80"/>
      <c r="AN75" s="81">
        <f t="shared" si="101"/>
        <v>0</v>
      </c>
      <c r="AO75" s="82" t="e">
        <f t="shared" si="102"/>
        <v>#DIV/0!</v>
      </c>
      <c r="AP75" s="83" t="e">
        <f t="shared" si="117"/>
        <v>#DIV/0!</v>
      </c>
      <c r="AQ75" s="84" t="e">
        <f t="shared" si="91"/>
        <v>#DIV/0!</v>
      </c>
      <c r="AS75" s="86">
        <f t="shared" si="103"/>
        <v>0.25</v>
      </c>
      <c r="AT75" s="87">
        <f t="shared" si="118"/>
        <v>0</v>
      </c>
      <c r="AU75" s="87">
        <f t="shared" si="119"/>
        <v>0</v>
      </c>
      <c r="AV75" s="88" t="e">
        <f t="shared" si="104"/>
        <v>#DIV/0!</v>
      </c>
      <c r="AW75" s="78" t="e">
        <f t="shared" si="120"/>
        <v>#DIV/0!</v>
      </c>
      <c r="AX75" s="89" t="e">
        <f t="shared" si="92"/>
        <v>#DIV/0!</v>
      </c>
      <c r="BA75" s="91">
        <f t="shared" si="105"/>
        <v>0</v>
      </c>
      <c r="BB75" s="77" t="e">
        <f t="shared" si="121"/>
        <v>#DIV/0!</v>
      </c>
      <c r="BC75" s="78" t="e">
        <f t="shared" si="122"/>
        <v>#DIV/0!</v>
      </c>
      <c r="BD75" s="79" t="e">
        <f t="shared" si="93"/>
        <v>#DIV/0!</v>
      </c>
      <c r="BE75" s="92"/>
      <c r="BF75" s="92"/>
      <c r="BG75" s="93">
        <v>0</v>
      </c>
      <c r="BH75" s="94">
        <f t="shared" si="106"/>
        <v>0</v>
      </c>
      <c r="BI75" s="77" t="e">
        <f t="shared" si="107"/>
        <v>#DIV/0!</v>
      </c>
      <c r="BJ75" s="95" t="str">
        <f t="shared" si="123"/>
        <v>식약/섬유/종이업</v>
      </c>
      <c r="BK75" s="96" t="e">
        <f t="shared" si="108"/>
        <v>#DIV/0!</v>
      </c>
      <c r="BL75" s="97" t="e">
        <f t="shared" si="124"/>
        <v>#DIV/0!</v>
      </c>
      <c r="BM75" s="98" t="e">
        <f t="shared" si="125"/>
        <v>#DIV/0!</v>
      </c>
      <c r="BN75" s="99" t="e">
        <f t="shared" si="126"/>
        <v>#DIV/0!</v>
      </c>
      <c r="BP75" s="101">
        <f t="shared" si="127"/>
        <v>0</v>
      </c>
      <c r="BQ75" s="78">
        <f t="shared" si="128"/>
        <v>25</v>
      </c>
      <c r="BR75" s="79">
        <f t="shared" si="94"/>
        <v>0.5</v>
      </c>
      <c r="BS75" s="102"/>
      <c r="BT75" s="102"/>
      <c r="BU75" s="103">
        <f t="shared" si="129"/>
        <v>0</v>
      </c>
      <c r="BV75" s="77">
        <f t="shared" si="109"/>
        <v>0</v>
      </c>
      <c r="BW75" s="96">
        <f t="shared" si="110"/>
        <v>0</v>
      </c>
      <c r="BX75" s="96">
        <f t="shared" si="130"/>
        <v>0</v>
      </c>
      <c r="BY75" s="96">
        <f t="shared" si="111"/>
        <v>0</v>
      </c>
      <c r="BZ75" s="96" t="e">
        <f t="shared" si="131"/>
        <v>#NUM!</v>
      </c>
      <c r="CA75" s="96" t="e">
        <f t="shared" si="112"/>
        <v>#NUM!</v>
      </c>
      <c r="CB75" s="104" t="e">
        <f t="shared" si="132"/>
        <v>#NUM!</v>
      </c>
      <c r="CC75" s="105">
        <f t="shared" si="95"/>
        <v>55.405156499201539</v>
      </c>
      <c r="CD75" s="106">
        <f t="shared" si="96"/>
        <v>79.495544032964247</v>
      </c>
      <c r="CE75" s="107">
        <f t="shared" si="97"/>
        <v>1.1924331604944636</v>
      </c>
      <c r="CF75" s="108" t="s">
        <v>2189</v>
      </c>
      <c r="CG75" s="108" t="s">
        <v>2189</v>
      </c>
      <c r="CH75" s="108" t="s">
        <v>2189</v>
      </c>
      <c r="CI75" s="108" t="s">
        <v>2189</v>
      </c>
      <c r="CJ75" s="109"/>
      <c r="CM75" s="111">
        <f t="shared" si="133"/>
        <v>25</v>
      </c>
      <c r="CN75" s="107">
        <f t="shared" si="98"/>
        <v>0.375</v>
      </c>
      <c r="CP75" s="88">
        <f t="shared" si="134"/>
        <v>0</v>
      </c>
      <c r="CQ75" s="78">
        <f t="shared" si="135"/>
        <v>100</v>
      </c>
      <c r="CR75" s="79">
        <f t="shared" si="99"/>
        <v>3</v>
      </c>
      <c r="CS75" s="92"/>
      <c r="CT75" s="77">
        <f t="shared" si="113"/>
        <v>0</v>
      </c>
      <c r="CU75" s="78">
        <f t="shared" si="136"/>
        <v>100</v>
      </c>
      <c r="CV75" s="79">
        <f t="shared" si="100"/>
        <v>2</v>
      </c>
      <c r="CW75" s="112" t="e">
        <f t="shared" si="137"/>
        <v>#DIV/0!</v>
      </c>
    </row>
    <row r="76" spans="1:101" x14ac:dyDescent="0.35">
      <c r="A76" s="7" t="s">
        <v>524</v>
      </c>
      <c r="B76" s="8" t="s">
        <v>525</v>
      </c>
      <c r="C76" s="21" t="s">
        <v>526</v>
      </c>
      <c r="D76" s="25" t="s">
        <v>262</v>
      </c>
      <c r="E76" s="11" t="s">
        <v>263</v>
      </c>
      <c r="F76" s="11" t="s">
        <v>527</v>
      </c>
      <c r="G76" s="12">
        <v>35388</v>
      </c>
      <c r="H76" s="11" t="s">
        <v>24</v>
      </c>
      <c r="I76" s="11" t="s">
        <v>528</v>
      </c>
      <c r="J76" s="11" t="s">
        <v>529</v>
      </c>
      <c r="K76" s="11" t="s">
        <v>27</v>
      </c>
      <c r="L76" s="23">
        <v>3939974802</v>
      </c>
      <c r="M76" s="14">
        <v>3279267721</v>
      </c>
      <c r="N76" s="14">
        <v>660707081</v>
      </c>
      <c r="O76" s="14">
        <v>1268326077</v>
      </c>
      <c r="P76" s="14">
        <v>46098647</v>
      </c>
      <c r="Q76" s="14">
        <v>67910650</v>
      </c>
      <c r="R76" s="14">
        <v>48368439</v>
      </c>
      <c r="AB76" s="74">
        <f t="shared" si="138"/>
        <v>0</v>
      </c>
      <c r="AC76" s="75" t="e">
        <f t="shared" si="114"/>
        <v>#DIV/0!</v>
      </c>
      <c r="AD76" s="75" t="e">
        <f t="shared" si="139"/>
        <v>#DIV/0!</v>
      </c>
      <c r="AE76" s="119" t="e">
        <f>AD76*0.04</f>
        <v>#DIV/0!</v>
      </c>
      <c r="AF76" s="77" t="e">
        <f t="shared" si="115"/>
        <v>#DIV/0!</v>
      </c>
      <c r="AG76" s="77" t="e">
        <f t="shared" si="116"/>
        <v>#DIV/0!</v>
      </c>
      <c r="AH76" s="77" t="e">
        <f t="shared" si="140"/>
        <v>#DIV/0!</v>
      </c>
      <c r="AI76" s="78" t="e">
        <f t="shared" si="141"/>
        <v>#DIV/0!</v>
      </c>
      <c r="AJ76" s="120" t="e">
        <f>AI76*0.05</f>
        <v>#DIV/0!</v>
      </c>
      <c r="AN76" s="81">
        <f t="shared" si="101"/>
        <v>0</v>
      </c>
      <c r="AO76" s="82" t="e">
        <f t="shared" si="102"/>
        <v>#DIV/0!</v>
      </c>
      <c r="AP76" s="83" t="e">
        <f t="shared" si="117"/>
        <v>#DIV/0!</v>
      </c>
      <c r="AQ76" s="121" t="e">
        <f>AP76*0.03</f>
        <v>#DIV/0!</v>
      </c>
      <c r="AS76" s="86">
        <f t="shared" si="103"/>
        <v>0.5</v>
      </c>
      <c r="AT76" s="87">
        <f t="shared" si="118"/>
        <v>0</v>
      </c>
      <c r="AU76" s="87">
        <f t="shared" si="119"/>
        <v>0</v>
      </c>
      <c r="AV76" s="88" t="e">
        <f t="shared" si="104"/>
        <v>#DIV/0!</v>
      </c>
      <c r="AW76" s="78" t="e">
        <f t="shared" si="120"/>
        <v>#DIV/0!</v>
      </c>
      <c r="AX76" s="122" t="e">
        <f>AW76*0.02</f>
        <v>#DIV/0!</v>
      </c>
      <c r="BA76" s="91">
        <f t="shared" si="105"/>
        <v>0</v>
      </c>
      <c r="BB76" s="77" t="e">
        <f t="shared" si="121"/>
        <v>#DIV/0!</v>
      </c>
      <c r="BC76" s="78" t="e">
        <f t="shared" si="122"/>
        <v>#DIV/0!</v>
      </c>
      <c r="BD76" s="120" t="e">
        <f>BC76*0.02</f>
        <v>#DIV/0!</v>
      </c>
      <c r="BE76" s="92"/>
      <c r="BF76" s="92"/>
      <c r="BG76" s="114">
        <v>8958000</v>
      </c>
      <c r="BH76" s="94">
        <f t="shared" si="106"/>
        <v>0</v>
      </c>
      <c r="BI76" s="77" t="e">
        <f t="shared" si="107"/>
        <v>#DIV/0!</v>
      </c>
      <c r="BJ76" s="95" t="str">
        <f t="shared" si="123"/>
        <v>금융업</v>
      </c>
      <c r="BK76" s="96" t="e">
        <f t="shared" si="108"/>
        <v>#DIV/0!</v>
      </c>
      <c r="BL76" s="97" t="e">
        <f t="shared" si="124"/>
        <v>#DIV/0!</v>
      </c>
      <c r="BM76" s="98" t="e">
        <f t="shared" si="125"/>
        <v>#DIV/0!</v>
      </c>
      <c r="BN76" s="99" t="e">
        <f t="shared" si="126"/>
        <v>#DIV/0!</v>
      </c>
      <c r="BP76" s="101">
        <f t="shared" si="127"/>
        <v>0</v>
      </c>
      <c r="BQ76" s="78">
        <f t="shared" si="128"/>
        <v>25</v>
      </c>
      <c r="BR76" s="120">
        <f>BQ76*0.01</f>
        <v>0.25</v>
      </c>
      <c r="BS76" s="102"/>
      <c r="BT76" s="102"/>
      <c r="BU76" s="103">
        <f t="shared" si="129"/>
        <v>0</v>
      </c>
      <c r="BV76" s="77">
        <f t="shared" si="109"/>
        <v>0</v>
      </c>
      <c r="BW76" s="96">
        <f t="shared" si="110"/>
        <v>0</v>
      </c>
      <c r="BX76" s="96">
        <f t="shared" si="130"/>
        <v>0</v>
      </c>
      <c r="BY76" s="96">
        <f t="shared" si="111"/>
        <v>0</v>
      </c>
      <c r="BZ76" s="96" t="e">
        <f t="shared" si="131"/>
        <v>#NUM!</v>
      </c>
      <c r="CA76" s="96" t="e">
        <f t="shared" si="112"/>
        <v>#NUM!</v>
      </c>
      <c r="CB76" s="104" t="e">
        <f t="shared" si="132"/>
        <v>#NUM!</v>
      </c>
      <c r="CC76" s="123" t="s">
        <v>2200</v>
      </c>
      <c r="CD76" s="124" t="s">
        <v>2200</v>
      </c>
      <c r="CE76" s="125"/>
      <c r="CF76" s="126" t="s">
        <v>2201</v>
      </c>
      <c r="CG76" s="127">
        <v>7.3</v>
      </c>
      <c r="CH76" s="126" t="s">
        <v>2201</v>
      </c>
      <c r="CI76" s="128">
        <f>IF((100-(75*(CG76-1)/9))&gt;100,100,IF((100-(75*(CG76-1)/9))&lt;25,25,(100-(75*(CG76-1)/9))))</f>
        <v>47.5</v>
      </c>
      <c r="CJ76" s="129">
        <f>CI76*0.04</f>
        <v>1.9000000000000001</v>
      </c>
      <c r="CM76" s="111">
        <f t="shared" si="133"/>
        <v>25</v>
      </c>
      <c r="CN76" s="130">
        <f>CM76*0.03</f>
        <v>0.75</v>
      </c>
      <c r="CP76" s="88">
        <f t="shared" si="134"/>
        <v>0</v>
      </c>
      <c r="CQ76" s="78">
        <f t="shared" si="135"/>
        <v>100</v>
      </c>
      <c r="CR76" s="120">
        <f>CQ76*0.04</f>
        <v>4</v>
      </c>
      <c r="CS76" s="92"/>
      <c r="CT76" s="77">
        <f t="shared" si="113"/>
        <v>0</v>
      </c>
      <c r="CU76" s="78">
        <f t="shared" si="136"/>
        <v>100</v>
      </c>
      <c r="CV76" s="131">
        <f>CU76*0.03</f>
        <v>3</v>
      </c>
      <c r="CW76" s="112" t="e">
        <f t="shared" si="137"/>
        <v>#DIV/0!</v>
      </c>
    </row>
    <row r="77" spans="1:101" x14ac:dyDescent="0.35">
      <c r="A77" s="7" t="s">
        <v>530</v>
      </c>
      <c r="B77" s="8" t="s">
        <v>531</v>
      </c>
      <c r="C77" s="21" t="s">
        <v>532</v>
      </c>
      <c r="D77" s="22" t="s">
        <v>141</v>
      </c>
      <c r="E77" s="11" t="s">
        <v>481</v>
      </c>
      <c r="F77" s="11" t="s">
        <v>533</v>
      </c>
      <c r="G77" s="12">
        <v>27572</v>
      </c>
      <c r="H77" s="11" t="s">
        <v>24</v>
      </c>
      <c r="I77" s="11" t="s">
        <v>534</v>
      </c>
      <c r="J77" s="11" t="s">
        <v>535</v>
      </c>
      <c r="K77" s="11" t="s">
        <v>536</v>
      </c>
      <c r="L77" s="23">
        <v>1037444849</v>
      </c>
      <c r="M77" s="14">
        <v>756037859</v>
      </c>
      <c r="N77" s="14">
        <v>281406990</v>
      </c>
      <c r="O77" s="14">
        <v>1020419354</v>
      </c>
      <c r="P77" s="14">
        <v>62957426</v>
      </c>
      <c r="Q77" s="14">
        <v>23841777</v>
      </c>
      <c r="R77" s="14">
        <v>11209133</v>
      </c>
      <c r="AB77" s="74">
        <f t="shared" si="138"/>
        <v>0</v>
      </c>
      <c r="AC77" s="75" t="e">
        <f t="shared" si="114"/>
        <v>#DIV/0!</v>
      </c>
      <c r="AD77" s="75" t="e">
        <f t="shared" si="139"/>
        <v>#DIV/0!</v>
      </c>
      <c r="AE77" s="76" t="e">
        <f t="shared" ref="AE77:AE101" si="142">AD77*0.03</f>
        <v>#DIV/0!</v>
      </c>
      <c r="AF77" s="77" t="e">
        <f t="shared" si="115"/>
        <v>#DIV/0!</v>
      </c>
      <c r="AG77" s="77" t="e">
        <f t="shared" si="116"/>
        <v>#DIV/0!</v>
      </c>
      <c r="AH77" s="77" t="e">
        <f t="shared" si="140"/>
        <v>#DIV/0!</v>
      </c>
      <c r="AI77" s="78" t="e">
        <f t="shared" si="141"/>
        <v>#DIV/0!</v>
      </c>
      <c r="AJ77" s="79" t="e">
        <f t="shared" ref="AJ77:AJ101" si="143">AI77*0.04</f>
        <v>#DIV/0!</v>
      </c>
      <c r="AN77" s="81">
        <f t="shared" si="101"/>
        <v>0</v>
      </c>
      <c r="AO77" s="82" t="e">
        <f t="shared" si="102"/>
        <v>#DIV/0!</v>
      </c>
      <c r="AP77" s="83" t="e">
        <f t="shared" si="117"/>
        <v>#DIV/0!</v>
      </c>
      <c r="AQ77" s="84" t="e">
        <f t="shared" ref="AQ77:AQ101" si="144">AP77*0.02</f>
        <v>#DIV/0!</v>
      </c>
      <c r="AS77" s="86">
        <f t="shared" si="103"/>
        <v>0.25</v>
      </c>
      <c r="AT77" s="87">
        <f t="shared" si="118"/>
        <v>0</v>
      </c>
      <c r="AU77" s="87">
        <f t="shared" si="119"/>
        <v>0</v>
      </c>
      <c r="AV77" s="88" t="e">
        <f t="shared" si="104"/>
        <v>#DIV/0!</v>
      </c>
      <c r="AW77" s="78" t="e">
        <f t="shared" si="120"/>
        <v>#DIV/0!</v>
      </c>
      <c r="AX77" s="89" t="e">
        <f t="shared" ref="AX77:AX101" si="145">AW77*0.01</f>
        <v>#DIV/0!</v>
      </c>
      <c r="BA77" s="91">
        <f t="shared" si="105"/>
        <v>0</v>
      </c>
      <c r="BB77" s="77" t="e">
        <f t="shared" si="121"/>
        <v>#DIV/0!</v>
      </c>
      <c r="BC77" s="78" t="e">
        <f t="shared" si="122"/>
        <v>#DIV/0!</v>
      </c>
      <c r="BD77" s="79" t="e">
        <f t="shared" ref="BD77:BD101" si="146">BC77*0.01</f>
        <v>#DIV/0!</v>
      </c>
      <c r="BE77" s="92"/>
      <c r="BF77" s="92"/>
      <c r="BG77" s="114">
        <v>938840</v>
      </c>
      <c r="BH77" s="94">
        <f t="shared" si="106"/>
        <v>0</v>
      </c>
      <c r="BI77" s="77" t="e">
        <f t="shared" si="107"/>
        <v>#DIV/0!</v>
      </c>
      <c r="BJ77" s="95" t="str">
        <f t="shared" si="123"/>
        <v>전기전자/기계업</v>
      </c>
      <c r="BK77" s="96" t="e">
        <f t="shared" si="108"/>
        <v>#DIV/0!</v>
      </c>
      <c r="BL77" s="97" t="e">
        <f t="shared" si="124"/>
        <v>#DIV/0!</v>
      </c>
      <c r="BM77" s="98" t="e">
        <f t="shared" si="125"/>
        <v>#DIV/0!</v>
      </c>
      <c r="BN77" s="99" t="e">
        <f t="shared" si="126"/>
        <v>#DIV/0!</v>
      </c>
      <c r="BP77" s="101">
        <f t="shared" si="127"/>
        <v>0</v>
      </c>
      <c r="BQ77" s="78">
        <f t="shared" si="128"/>
        <v>25</v>
      </c>
      <c r="BR77" s="79">
        <f t="shared" ref="BR77:BR101" si="147">BQ77*0.02</f>
        <v>0.5</v>
      </c>
      <c r="BS77" s="102"/>
      <c r="BT77" s="102"/>
      <c r="BU77" s="103">
        <f t="shared" si="129"/>
        <v>0</v>
      </c>
      <c r="BV77" s="77">
        <f t="shared" si="109"/>
        <v>0</v>
      </c>
      <c r="BW77" s="96">
        <f t="shared" si="110"/>
        <v>0</v>
      </c>
      <c r="BX77" s="96">
        <f t="shared" si="130"/>
        <v>0</v>
      </c>
      <c r="BY77" s="96">
        <f t="shared" si="111"/>
        <v>0</v>
      </c>
      <c r="BZ77" s="96" t="e">
        <f t="shared" si="131"/>
        <v>#NUM!</v>
      </c>
      <c r="CA77" s="96" t="e">
        <f t="shared" si="112"/>
        <v>#NUM!</v>
      </c>
      <c r="CB77" s="104" t="e">
        <f t="shared" si="132"/>
        <v>#NUM!</v>
      </c>
      <c r="CC77" s="105">
        <f t="shared" ref="CC77:CC101" si="148">(M77/N77)*100</f>
        <v>268.66349659615776</v>
      </c>
      <c r="CD77" s="106">
        <f t="shared" ref="CD77:CD101" si="149">IF((100-(75*(CC77-1)/(200-1)))&gt;100, 100, IF((100-(75*(CC77-1)/(200-1)))&lt;25, 25, (100-(75*(CC77-1)/(200-1)))))</f>
        <v>25</v>
      </c>
      <c r="CE77" s="107">
        <f t="shared" ref="CE77:CE101" si="150">CD77*0.015</f>
        <v>0.375</v>
      </c>
      <c r="CF77" s="108" t="s">
        <v>2189</v>
      </c>
      <c r="CG77" s="108" t="s">
        <v>2189</v>
      </c>
      <c r="CH77" s="108" t="s">
        <v>2189</v>
      </c>
      <c r="CI77" s="108" t="s">
        <v>2189</v>
      </c>
      <c r="CJ77" s="109"/>
      <c r="CM77" s="111">
        <f t="shared" si="133"/>
        <v>25</v>
      </c>
      <c r="CN77" s="107">
        <f t="shared" ref="CN77:CN101" si="151">CM77*0.015</f>
        <v>0.375</v>
      </c>
      <c r="CP77" s="88">
        <f t="shared" si="134"/>
        <v>0</v>
      </c>
      <c r="CQ77" s="78">
        <f t="shared" si="135"/>
        <v>100</v>
      </c>
      <c r="CR77" s="79">
        <f t="shared" ref="CR77:CR101" si="152">CQ77*0.03</f>
        <v>3</v>
      </c>
      <c r="CS77" s="92"/>
      <c r="CT77" s="77">
        <f t="shared" si="113"/>
        <v>0</v>
      </c>
      <c r="CU77" s="78">
        <f t="shared" si="136"/>
        <v>100</v>
      </c>
      <c r="CV77" s="79">
        <f t="shared" ref="CV77:CV101" si="153">CU77*0.02</f>
        <v>2</v>
      </c>
      <c r="CW77" s="112" t="e">
        <f t="shared" si="137"/>
        <v>#DIV/0!</v>
      </c>
    </row>
    <row r="78" spans="1:101" x14ac:dyDescent="0.35">
      <c r="A78" s="7" t="s">
        <v>537</v>
      </c>
      <c r="B78" s="8" t="s">
        <v>538</v>
      </c>
      <c r="C78" s="21" t="s">
        <v>539</v>
      </c>
      <c r="D78" s="10" t="s">
        <v>31</v>
      </c>
      <c r="E78" s="11" t="s">
        <v>46</v>
      </c>
      <c r="F78" s="11" t="s">
        <v>540</v>
      </c>
      <c r="G78" s="12">
        <v>25659</v>
      </c>
      <c r="H78" s="11" t="s">
        <v>24</v>
      </c>
      <c r="I78" s="11" t="s">
        <v>541</v>
      </c>
      <c r="J78" s="11" t="s">
        <v>542</v>
      </c>
      <c r="K78" s="11" t="s">
        <v>27</v>
      </c>
      <c r="L78" s="23">
        <v>2858930432</v>
      </c>
      <c r="M78" s="14">
        <v>1570209001</v>
      </c>
      <c r="N78" s="14">
        <v>1288721432</v>
      </c>
      <c r="O78" s="14">
        <v>3289633814</v>
      </c>
      <c r="P78" s="14">
        <v>129259533</v>
      </c>
      <c r="Q78" s="14">
        <v>115619859</v>
      </c>
      <c r="R78" s="14">
        <v>84739843</v>
      </c>
      <c r="AB78" s="74">
        <f t="shared" si="138"/>
        <v>0</v>
      </c>
      <c r="AC78" s="75" t="e">
        <f t="shared" si="114"/>
        <v>#DIV/0!</v>
      </c>
      <c r="AD78" s="75" t="e">
        <f t="shared" si="139"/>
        <v>#DIV/0!</v>
      </c>
      <c r="AE78" s="76" t="e">
        <f t="shared" si="142"/>
        <v>#DIV/0!</v>
      </c>
      <c r="AF78" s="77" t="e">
        <f t="shared" si="115"/>
        <v>#DIV/0!</v>
      </c>
      <c r="AG78" s="77" t="e">
        <f t="shared" si="116"/>
        <v>#DIV/0!</v>
      </c>
      <c r="AH78" s="77" t="e">
        <f t="shared" si="140"/>
        <v>#DIV/0!</v>
      </c>
      <c r="AI78" s="78" t="e">
        <f t="shared" si="141"/>
        <v>#DIV/0!</v>
      </c>
      <c r="AJ78" s="79" t="e">
        <f t="shared" si="143"/>
        <v>#DIV/0!</v>
      </c>
      <c r="AM78" s="80"/>
      <c r="AN78" s="81">
        <f t="shared" si="101"/>
        <v>0</v>
      </c>
      <c r="AO78" s="82" t="e">
        <f t="shared" si="102"/>
        <v>#DIV/0!</v>
      </c>
      <c r="AP78" s="83" t="e">
        <f t="shared" si="117"/>
        <v>#DIV/0!</v>
      </c>
      <c r="AQ78" s="84" t="e">
        <f t="shared" si="144"/>
        <v>#DIV/0!</v>
      </c>
      <c r="AS78" s="86">
        <f t="shared" si="103"/>
        <v>0.5</v>
      </c>
      <c r="AT78" s="87">
        <f t="shared" si="118"/>
        <v>0</v>
      </c>
      <c r="AU78" s="87">
        <f t="shared" si="119"/>
        <v>0</v>
      </c>
      <c r="AV78" s="88" t="e">
        <f t="shared" si="104"/>
        <v>#DIV/0!</v>
      </c>
      <c r="AW78" s="78" t="e">
        <f t="shared" si="120"/>
        <v>#DIV/0!</v>
      </c>
      <c r="AX78" s="89" t="e">
        <f t="shared" si="145"/>
        <v>#DIV/0!</v>
      </c>
      <c r="BA78" s="91">
        <f t="shared" si="105"/>
        <v>0</v>
      </c>
      <c r="BB78" s="77" t="e">
        <f t="shared" si="121"/>
        <v>#DIV/0!</v>
      </c>
      <c r="BC78" s="78" t="e">
        <f t="shared" si="122"/>
        <v>#DIV/0!</v>
      </c>
      <c r="BD78" s="79" t="e">
        <f t="shared" si="146"/>
        <v>#DIV/0!</v>
      </c>
      <c r="BE78" s="92"/>
      <c r="BF78" s="92"/>
      <c r="BG78" s="114">
        <v>5632000</v>
      </c>
      <c r="BH78" s="94">
        <f t="shared" si="106"/>
        <v>0</v>
      </c>
      <c r="BI78" s="77" t="e">
        <f t="shared" si="107"/>
        <v>#DIV/0!</v>
      </c>
      <c r="BJ78" s="95" t="str">
        <f t="shared" si="123"/>
        <v>식약/섬유/종이업</v>
      </c>
      <c r="BK78" s="96" t="e">
        <f t="shared" si="108"/>
        <v>#DIV/0!</v>
      </c>
      <c r="BL78" s="97" t="e">
        <f t="shared" si="124"/>
        <v>#DIV/0!</v>
      </c>
      <c r="BM78" s="98" t="e">
        <f t="shared" si="125"/>
        <v>#DIV/0!</v>
      </c>
      <c r="BN78" s="99" t="e">
        <f t="shared" si="126"/>
        <v>#DIV/0!</v>
      </c>
      <c r="BP78" s="101">
        <f t="shared" si="127"/>
        <v>0</v>
      </c>
      <c r="BQ78" s="78">
        <f t="shared" si="128"/>
        <v>25</v>
      </c>
      <c r="BR78" s="79">
        <f t="shared" si="147"/>
        <v>0.5</v>
      </c>
      <c r="BS78" s="102"/>
      <c r="BT78" s="102"/>
      <c r="BU78" s="103">
        <f t="shared" si="129"/>
        <v>0</v>
      </c>
      <c r="BV78" s="77">
        <f t="shared" si="109"/>
        <v>0</v>
      </c>
      <c r="BW78" s="96">
        <f t="shared" si="110"/>
        <v>0</v>
      </c>
      <c r="BX78" s="96">
        <f t="shared" si="130"/>
        <v>0</v>
      </c>
      <c r="BY78" s="96">
        <f t="shared" si="111"/>
        <v>0</v>
      </c>
      <c r="BZ78" s="96" t="e">
        <f t="shared" si="131"/>
        <v>#NUM!</v>
      </c>
      <c r="CA78" s="96" t="e">
        <f t="shared" si="112"/>
        <v>#NUM!</v>
      </c>
      <c r="CB78" s="104" t="e">
        <f t="shared" si="132"/>
        <v>#NUM!</v>
      </c>
      <c r="CC78" s="105">
        <f t="shared" si="148"/>
        <v>121.84239060594749</v>
      </c>
      <c r="CD78" s="106">
        <f t="shared" si="149"/>
        <v>54.456385450019788</v>
      </c>
      <c r="CE78" s="107">
        <f t="shared" si="150"/>
        <v>0.81684578175029676</v>
      </c>
      <c r="CF78" s="108" t="s">
        <v>2189</v>
      </c>
      <c r="CG78" s="108" t="s">
        <v>2189</v>
      </c>
      <c r="CH78" s="108" t="s">
        <v>2189</v>
      </c>
      <c r="CI78" s="108" t="s">
        <v>2189</v>
      </c>
      <c r="CJ78" s="109"/>
      <c r="CM78" s="111">
        <f t="shared" si="133"/>
        <v>25</v>
      </c>
      <c r="CN78" s="107">
        <f t="shared" si="151"/>
        <v>0.375</v>
      </c>
      <c r="CP78" s="88">
        <f t="shared" si="134"/>
        <v>0</v>
      </c>
      <c r="CQ78" s="78">
        <f t="shared" si="135"/>
        <v>100</v>
      </c>
      <c r="CR78" s="79">
        <f t="shared" si="152"/>
        <v>3</v>
      </c>
      <c r="CS78" s="92"/>
      <c r="CT78" s="77">
        <f t="shared" si="113"/>
        <v>0</v>
      </c>
      <c r="CU78" s="78">
        <f t="shared" si="136"/>
        <v>100</v>
      </c>
      <c r="CV78" s="79">
        <f t="shared" si="153"/>
        <v>2</v>
      </c>
      <c r="CW78" s="112" t="e">
        <f t="shared" si="137"/>
        <v>#DIV/0!</v>
      </c>
    </row>
    <row r="79" spans="1:101" x14ac:dyDescent="0.35">
      <c r="A79" s="7" t="s">
        <v>543</v>
      </c>
      <c r="B79" s="8" t="s">
        <v>544</v>
      </c>
      <c r="C79" s="21" t="s">
        <v>545</v>
      </c>
      <c r="D79" s="22" t="s">
        <v>75</v>
      </c>
      <c r="E79" s="11" t="s">
        <v>546</v>
      </c>
      <c r="F79" s="11" t="s">
        <v>547</v>
      </c>
      <c r="G79" s="12">
        <v>40389</v>
      </c>
      <c r="H79" s="11" t="s">
        <v>24</v>
      </c>
      <c r="I79" s="11" t="s">
        <v>548</v>
      </c>
      <c r="J79" s="8" t="s">
        <v>549</v>
      </c>
      <c r="K79" s="11" t="s">
        <v>27</v>
      </c>
      <c r="L79" s="23">
        <v>991695975</v>
      </c>
      <c r="M79" s="14">
        <v>405389777</v>
      </c>
      <c r="N79" s="14">
        <v>586306198</v>
      </c>
      <c r="O79" s="14">
        <v>881208064</v>
      </c>
      <c r="P79" s="14">
        <v>14182419</v>
      </c>
      <c r="Q79" s="14">
        <v>20162956</v>
      </c>
      <c r="R79" s="14">
        <v>20025770</v>
      </c>
      <c r="AB79" s="74">
        <f t="shared" si="138"/>
        <v>0</v>
      </c>
      <c r="AC79" s="75" t="e">
        <f t="shared" si="114"/>
        <v>#DIV/0!</v>
      </c>
      <c r="AD79" s="75" t="e">
        <f t="shared" si="139"/>
        <v>#DIV/0!</v>
      </c>
      <c r="AE79" s="76" t="e">
        <f t="shared" si="142"/>
        <v>#DIV/0!</v>
      </c>
      <c r="AF79" s="77" t="e">
        <f t="shared" si="115"/>
        <v>#DIV/0!</v>
      </c>
      <c r="AG79" s="77" t="e">
        <f t="shared" si="116"/>
        <v>#DIV/0!</v>
      </c>
      <c r="AH79" s="77" t="e">
        <f t="shared" si="140"/>
        <v>#DIV/0!</v>
      </c>
      <c r="AI79" s="78" t="e">
        <f t="shared" si="141"/>
        <v>#DIV/0!</v>
      </c>
      <c r="AJ79" s="79" t="e">
        <f t="shared" si="143"/>
        <v>#DIV/0!</v>
      </c>
      <c r="AN79" s="81">
        <f t="shared" si="101"/>
        <v>0</v>
      </c>
      <c r="AO79" s="82" t="e">
        <f t="shared" si="102"/>
        <v>#DIV/0!</v>
      </c>
      <c r="AP79" s="83" t="e">
        <f t="shared" si="117"/>
        <v>#DIV/0!</v>
      </c>
      <c r="AQ79" s="84" t="e">
        <f t="shared" si="144"/>
        <v>#DIV/0!</v>
      </c>
      <c r="AS79" s="86">
        <f t="shared" si="103"/>
        <v>0.25</v>
      </c>
      <c r="AT79" s="87">
        <f t="shared" si="118"/>
        <v>0</v>
      </c>
      <c r="AU79" s="87">
        <f t="shared" si="119"/>
        <v>0</v>
      </c>
      <c r="AV79" s="88" t="e">
        <f t="shared" si="104"/>
        <v>#DIV/0!</v>
      </c>
      <c r="AW79" s="78" t="e">
        <f t="shared" si="120"/>
        <v>#DIV/0!</v>
      </c>
      <c r="AX79" s="89" t="e">
        <f t="shared" si="145"/>
        <v>#DIV/0!</v>
      </c>
      <c r="BA79" s="91">
        <f t="shared" si="105"/>
        <v>0</v>
      </c>
      <c r="BB79" s="77" t="e">
        <f t="shared" si="121"/>
        <v>#DIV/0!</v>
      </c>
      <c r="BC79" s="78" t="e">
        <f t="shared" si="122"/>
        <v>#DIV/0!</v>
      </c>
      <c r="BD79" s="79" t="e">
        <f t="shared" si="146"/>
        <v>#DIV/0!</v>
      </c>
      <c r="BE79" s="92"/>
      <c r="BF79" s="92"/>
      <c r="BG79" s="114">
        <v>563853</v>
      </c>
      <c r="BH79" s="94">
        <f t="shared" si="106"/>
        <v>0</v>
      </c>
      <c r="BI79" s="77" t="e">
        <f t="shared" si="107"/>
        <v>#DIV/0!</v>
      </c>
      <c r="BJ79" s="95" t="str">
        <f t="shared" si="123"/>
        <v>금속/비금속/화학업</v>
      </c>
      <c r="BK79" s="96" t="e">
        <f t="shared" si="108"/>
        <v>#DIV/0!</v>
      </c>
      <c r="BL79" s="97" t="e">
        <f t="shared" si="124"/>
        <v>#DIV/0!</v>
      </c>
      <c r="BM79" s="98" t="e">
        <f t="shared" si="125"/>
        <v>#DIV/0!</v>
      </c>
      <c r="BN79" s="99" t="e">
        <f t="shared" si="126"/>
        <v>#DIV/0!</v>
      </c>
      <c r="BP79" s="101">
        <f t="shared" si="127"/>
        <v>0</v>
      </c>
      <c r="BQ79" s="78">
        <f t="shared" si="128"/>
        <v>25</v>
      </c>
      <c r="BR79" s="79">
        <f t="shared" si="147"/>
        <v>0.5</v>
      </c>
      <c r="BS79" s="102"/>
      <c r="BT79" s="102"/>
      <c r="BU79" s="103">
        <f t="shared" si="129"/>
        <v>0</v>
      </c>
      <c r="BV79" s="77">
        <f t="shared" si="109"/>
        <v>0</v>
      </c>
      <c r="BW79" s="96">
        <f t="shared" si="110"/>
        <v>0</v>
      </c>
      <c r="BX79" s="96">
        <f t="shared" si="130"/>
        <v>0</v>
      </c>
      <c r="BY79" s="96">
        <f t="shared" si="111"/>
        <v>0</v>
      </c>
      <c r="BZ79" s="96" t="e">
        <f t="shared" si="131"/>
        <v>#NUM!</v>
      </c>
      <c r="CA79" s="96" t="e">
        <f t="shared" si="112"/>
        <v>#NUM!</v>
      </c>
      <c r="CB79" s="104" t="e">
        <f t="shared" si="132"/>
        <v>#NUM!</v>
      </c>
      <c r="CC79" s="105">
        <f t="shared" si="148"/>
        <v>69.143014074021437</v>
      </c>
      <c r="CD79" s="106">
        <f t="shared" si="149"/>
        <v>74.317959519841168</v>
      </c>
      <c r="CE79" s="107">
        <f t="shared" si="150"/>
        <v>1.1147693927976174</v>
      </c>
      <c r="CF79" s="108" t="s">
        <v>2189</v>
      </c>
      <c r="CG79" s="108" t="s">
        <v>2189</v>
      </c>
      <c r="CH79" s="108" t="s">
        <v>2189</v>
      </c>
      <c r="CI79" s="108" t="s">
        <v>2189</v>
      </c>
      <c r="CJ79" s="109"/>
      <c r="CM79" s="111">
        <f t="shared" si="133"/>
        <v>25</v>
      </c>
      <c r="CN79" s="107">
        <f t="shared" si="151"/>
        <v>0.375</v>
      </c>
      <c r="CP79" s="88">
        <f t="shared" si="134"/>
        <v>0</v>
      </c>
      <c r="CQ79" s="78">
        <f t="shared" si="135"/>
        <v>100</v>
      </c>
      <c r="CR79" s="79">
        <f t="shared" si="152"/>
        <v>3</v>
      </c>
      <c r="CS79" s="92"/>
      <c r="CT79" s="77">
        <f t="shared" si="113"/>
        <v>0</v>
      </c>
      <c r="CU79" s="78">
        <f t="shared" si="136"/>
        <v>100</v>
      </c>
      <c r="CV79" s="79">
        <f t="shared" si="153"/>
        <v>2</v>
      </c>
      <c r="CW79" s="112" t="e">
        <f t="shared" si="137"/>
        <v>#DIV/0!</v>
      </c>
    </row>
    <row r="80" spans="1:101" x14ac:dyDescent="0.35">
      <c r="A80" s="7" t="s">
        <v>550</v>
      </c>
      <c r="B80" s="8" t="s">
        <v>551</v>
      </c>
      <c r="C80" s="21" t="s">
        <v>552</v>
      </c>
      <c r="D80" s="22" t="s">
        <v>75</v>
      </c>
      <c r="E80" s="11" t="s">
        <v>390</v>
      </c>
      <c r="F80" s="11" t="s">
        <v>553</v>
      </c>
      <c r="G80" s="12">
        <v>40536</v>
      </c>
      <c r="H80" s="11" t="s">
        <v>24</v>
      </c>
      <c r="I80" s="11" t="s">
        <v>554</v>
      </c>
      <c r="J80" s="11" t="s">
        <v>555</v>
      </c>
      <c r="K80" s="11" t="s">
        <v>536</v>
      </c>
      <c r="L80" s="23">
        <v>838882273</v>
      </c>
      <c r="M80" s="14">
        <v>521359056</v>
      </c>
      <c r="N80" s="14">
        <v>317523216</v>
      </c>
      <c r="O80" s="14">
        <v>1019977255</v>
      </c>
      <c r="P80" s="14">
        <v>1019269</v>
      </c>
      <c r="Q80" s="14">
        <v>1770357</v>
      </c>
      <c r="R80" s="14">
        <v>1219262</v>
      </c>
      <c r="AB80" s="74">
        <f t="shared" si="138"/>
        <v>0</v>
      </c>
      <c r="AC80" s="75" t="e">
        <f t="shared" si="114"/>
        <v>#DIV/0!</v>
      </c>
      <c r="AD80" s="75" t="e">
        <f t="shared" si="139"/>
        <v>#DIV/0!</v>
      </c>
      <c r="AE80" s="76" t="e">
        <f t="shared" si="142"/>
        <v>#DIV/0!</v>
      </c>
      <c r="AF80" s="77" t="e">
        <f t="shared" si="115"/>
        <v>#DIV/0!</v>
      </c>
      <c r="AG80" s="77" t="e">
        <f t="shared" si="116"/>
        <v>#DIV/0!</v>
      </c>
      <c r="AH80" s="77" t="e">
        <f t="shared" si="140"/>
        <v>#DIV/0!</v>
      </c>
      <c r="AI80" s="78" t="e">
        <f t="shared" si="141"/>
        <v>#DIV/0!</v>
      </c>
      <c r="AJ80" s="79" t="e">
        <f t="shared" si="143"/>
        <v>#DIV/0!</v>
      </c>
      <c r="AM80" s="80"/>
      <c r="AN80" s="81">
        <f t="shared" si="101"/>
        <v>0</v>
      </c>
      <c r="AO80" s="82" t="e">
        <f t="shared" si="102"/>
        <v>#DIV/0!</v>
      </c>
      <c r="AP80" s="83" t="e">
        <f t="shared" si="117"/>
        <v>#DIV/0!</v>
      </c>
      <c r="AQ80" s="84" t="e">
        <f t="shared" si="144"/>
        <v>#DIV/0!</v>
      </c>
      <c r="AS80" s="86">
        <f t="shared" si="103"/>
        <v>0.25</v>
      </c>
      <c r="AT80" s="87">
        <f t="shared" si="118"/>
        <v>0</v>
      </c>
      <c r="AU80" s="87">
        <f t="shared" si="119"/>
        <v>0</v>
      </c>
      <c r="AV80" s="88" t="e">
        <f t="shared" si="104"/>
        <v>#DIV/0!</v>
      </c>
      <c r="AW80" s="78" t="e">
        <f t="shared" si="120"/>
        <v>#DIV/0!</v>
      </c>
      <c r="AX80" s="89" t="e">
        <f t="shared" si="145"/>
        <v>#DIV/0!</v>
      </c>
      <c r="BA80" s="91">
        <f t="shared" si="105"/>
        <v>0</v>
      </c>
      <c r="BB80" s="77" t="e">
        <f t="shared" si="121"/>
        <v>#DIV/0!</v>
      </c>
      <c r="BC80" s="78" t="e">
        <f t="shared" si="122"/>
        <v>#DIV/0!</v>
      </c>
      <c r="BD80" s="79" t="e">
        <f t="shared" si="146"/>
        <v>#DIV/0!</v>
      </c>
      <c r="BE80" s="92"/>
      <c r="BF80" s="92"/>
      <c r="BG80" s="114">
        <v>139603.65</v>
      </c>
      <c r="BH80" s="94">
        <f t="shared" si="106"/>
        <v>0</v>
      </c>
      <c r="BI80" s="77" t="e">
        <f t="shared" si="107"/>
        <v>#DIV/0!</v>
      </c>
      <c r="BJ80" s="95" t="str">
        <f t="shared" si="123"/>
        <v>금속/비금속/화학업</v>
      </c>
      <c r="BK80" s="96" t="e">
        <f t="shared" si="108"/>
        <v>#DIV/0!</v>
      </c>
      <c r="BL80" s="97" t="e">
        <f t="shared" si="124"/>
        <v>#DIV/0!</v>
      </c>
      <c r="BM80" s="98" t="e">
        <f t="shared" si="125"/>
        <v>#DIV/0!</v>
      </c>
      <c r="BN80" s="99" t="e">
        <f t="shared" si="126"/>
        <v>#DIV/0!</v>
      </c>
      <c r="BP80" s="101">
        <f t="shared" si="127"/>
        <v>0</v>
      </c>
      <c r="BQ80" s="78">
        <f t="shared" si="128"/>
        <v>25</v>
      </c>
      <c r="BR80" s="79">
        <f t="shared" si="147"/>
        <v>0.5</v>
      </c>
      <c r="BS80" s="102"/>
      <c r="BT80" s="102"/>
      <c r="BU80" s="103">
        <f t="shared" si="129"/>
        <v>0</v>
      </c>
      <c r="BV80" s="77">
        <f t="shared" si="109"/>
        <v>0</v>
      </c>
      <c r="BW80" s="96">
        <f t="shared" si="110"/>
        <v>0</v>
      </c>
      <c r="BX80" s="96">
        <f t="shared" si="130"/>
        <v>0</v>
      </c>
      <c r="BY80" s="96">
        <f t="shared" si="111"/>
        <v>0</v>
      </c>
      <c r="BZ80" s="96" t="e">
        <f t="shared" si="131"/>
        <v>#NUM!</v>
      </c>
      <c r="CA80" s="96" t="e">
        <f t="shared" si="112"/>
        <v>#NUM!</v>
      </c>
      <c r="CB80" s="104" t="e">
        <f t="shared" si="132"/>
        <v>#NUM!</v>
      </c>
      <c r="CC80" s="105">
        <f t="shared" si="148"/>
        <v>164.19557050593744</v>
      </c>
      <c r="CD80" s="106">
        <f t="shared" si="149"/>
        <v>38.494131718867806</v>
      </c>
      <c r="CE80" s="107">
        <f t="shared" si="150"/>
        <v>0.57741197578301706</v>
      </c>
      <c r="CF80" s="108" t="s">
        <v>2189</v>
      </c>
      <c r="CG80" s="108" t="s">
        <v>2189</v>
      </c>
      <c r="CH80" s="108" t="s">
        <v>2189</v>
      </c>
      <c r="CI80" s="108" t="s">
        <v>2189</v>
      </c>
      <c r="CJ80" s="109"/>
      <c r="CM80" s="111">
        <f t="shared" si="133"/>
        <v>25</v>
      </c>
      <c r="CN80" s="107">
        <f t="shared" si="151"/>
        <v>0.375</v>
      </c>
      <c r="CP80" s="88">
        <f t="shared" si="134"/>
        <v>0</v>
      </c>
      <c r="CQ80" s="78">
        <f t="shared" si="135"/>
        <v>100</v>
      </c>
      <c r="CR80" s="79">
        <f t="shared" si="152"/>
        <v>3</v>
      </c>
      <c r="CS80" s="92"/>
      <c r="CT80" s="77">
        <f t="shared" si="113"/>
        <v>0</v>
      </c>
      <c r="CU80" s="78">
        <f t="shared" si="136"/>
        <v>100</v>
      </c>
      <c r="CV80" s="79">
        <f t="shared" si="153"/>
        <v>2</v>
      </c>
      <c r="CW80" s="112" t="e">
        <f t="shared" si="137"/>
        <v>#DIV/0!</v>
      </c>
    </row>
    <row r="81" spans="1:101" x14ac:dyDescent="0.35">
      <c r="A81" s="7" t="s">
        <v>556</v>
      </c>
      <c r="B81" s="8" t="s">
        <v>557</v>
      </c>
      <c r="C81" s="21" t="s">
        <v>558</v>
      </c>
      <c r="D81" s="10" t="s">
        <v>21</v>
      </c>
      <c r="E81" s="11" t="s">
        <v>83</v>
      </c>
      <c r="F81" s="11" t="s">
        <v>559</v>
      </c>
      <c r="G81" s="12">
        <v>36973</v>
      </c>
      <c r="H81" s="11" t="s">
        <v>24</v>
      </c>
      <c r="I81" s="11" t="s">
        <v>560</v>
      </c>
      <c r="J81" s="11" t="s">
        <v>561</v>
      </c>
      <c r="K81" s="11" t="s">
        <v>27</v>
      </c>
      <c r="L81" s="23">
        <v>9668849513</v>
      </c>
      <c r="M81" s="14">
        <v>6674852812</v>
      </c>
      <c r="N81" s="14">
        <v>2993996701</v>
      </c>
      <c r="O81" s="14">
        <v>9318914840</v>
      </c>
      <c r="P81" s="14">
        <v>433402928</v>
      </c>
      <c r="Q81" s="14">
        <v>364861645</v>
      </c>
      <c r="R81" s="14">
        <v>254741243</v>
      </c>
      <c r="AB81" s="74">
        <f t="shared" si="138"/>
        <v>0</v>
      </c>
      <c r="AC81" s="75" t="e">
        <f t="shared" si="114"/>
        <v>#DIV/0!</v>
      </c>
      <c r="AD81" s="75" t="e">
        <f t="shared" si="139"/>
        <v>#DIV/0!</v>
      </c>
      <c r="AE81" s="76" t="e">
        <f t="shared" si="142"/>
        <v>#DIV/0!</v>
      </c>
      <c r="AF81" s="77" t="e">
        <f t="shared" si="115"/>
        <v>#DIV/0!</v>
      </c>
      <c r="AG81" s="77" t="e">
        <f t="shared" si="116"/>
        <v>#DIV/0!</v>
      </c>
      <c r="AH81" s="77" t="e">
        <f t="shared" si="140"/>
        <v>#DIV/0!</v>
      </c>
      <c r="AI81" s="78" t="e">
        <f t="shared" si="141"/>
        <v>#DIV/0!</v>
      </c>
      <c r="AJ81" s="79" t="e">
        <f t="shared" si="143"/>
        <v>#DIV/0!</v>
      </c>
      <c r="AN81" s="81">
        <f t="shared" si="101"/>
        <v>0</v>
      </c>
      <c r="AO81" s="82" t="e">
        <f t="shared" si="102"/>
        <v>#DIV/0!</v>
      </c>
      <c r="AP81" s="83" t="e">
        <f t="shared" si="117"/>
        <v>#DIV/0!</v>
      </c>
      <c r="AQ81" s="84" t="e">
        <f t="shared" si="144"/>
        <v>#DIV/0!</v>
      </c>
      <c r="AS81" s="86">
        <f t="shared" si="103"/>
        <v>0.5</v>
      </c>
      <c r="AT81" s="87">
        <f t="shared" si="118"/>
        <v>0</v>
      </c>
      <c r="AU81" s="87">
        <f t="shared" si="119"/>
        <v>0</v>
      </c>
      <c r="AV81" s="88" t="e">
        <f t="shared" si="104"/>
        <v>#DIV/0!</v>
      </c>
      <c r="AW81" s="78" t="e">
        <f t="shared" si="120"/>
        <v>#DIV/0!</v>
      </c>
      <c r="AX81" s="89" t="e">
        <f t="shared" si="145"/>
        <v>#DIV/0!</v>
      </c>
      <c r="BA81" s="91">
        <f t="shared" si="105"/>
        <v>0</v>
      </c>
      <c r="BB81" s="77" t="e">
        <f t="shared" si="121"/>
        <v>#DIV/0!</v>
      </c>
      <c r="BC81" s="78" t="e">
        <f t="shared" si="122"/>
        <v>#DIV/0!</v>
      </c>
      <c r="BD81" s="79" t="e">
        <f t="shared" si="146"/>
        <v>#DIV/0!</v>
      </c>
      <c r="BE81" s="92"/>
      <c r="BF81" s="92"/>
      <c r="BG81" s="93">
        <v>0</v>
      </c>
      <c r="BH81" s="94">
        <f t="shared" si="106"/>
        <v>0</v>
      </c>
      <c r="BI81" s="77" t="e">
        <f t="shared" si="107"/>
        <v>#DIV/0!</v>
      </c>
      <c r="BJ81" s="95" t="str">
        <f t="shared" si="123"/>
        <v>비제조/서비스업</v>
      </c>
      <c r="BK81" s="96" t="e">
        <f t="shared" si="108"/>
        <v>#DIV/0!</v>
      </c>
      <c r="BL81" s="97" t="e">
        <f t="shared" si="124"/>
        <v>#DIV/0!</v>
      </c>
      <c r="BM81" s="98" t="e">
        <f t="shared" si="125"/>
        <v>#DIV/0!</v>
      </c>
      <c r="BN81" s="99" t="e">
        <f t="shared" si="126"/>
        <v>#DIV/0!</v>
      </c>
      <c r="BP81" s="101">
        <f t="shared" si="127"/>
        <v>0</v>
      </c>
      <c r="BQ81" s="78">
        <f t="shared" si="128"/>
        <v>25</v>
      </c>
      <c r="BR81" s="79">
        <f t="shared" si="147"/>
        <v>0.5</v>
      </c>
      <c r="BS81" s="102"/>
      <c r="BT81" s="102"/>
      <c r="BU81" s="103">
        <f t="shared" si="129"/>
        <v>0</v>
      </c>
      <c r="BV81" s="77">
        <f t="shared" si="109"/>
        <v>0</v>
      </c>
      <c r="BW81" s="96">
        <f t="shared" si="110"/>
        <v>0</v>
      </c>
      <c r="BX81" s="96">
        <f t="shared" si="130"/>
        <v>0</v>
      </c>
      <c r="BY81" s="96">
        <f t="shared" si="111"/>
        <v>0</v>
      </c>
      <c r="BZ81" s="96" t="e">
        <f t="shared" si="131"/>
        <v>#NUM!</v>
      </c>
      <c r="CA81" s="96" t="e">
        <f t="shared" si="112"/>
        <v>#NUM!</v>
      </c>
      <c r="CB81" s="104" t="e">
        <f t="shared" si="132"/>
        <v>#NUM!</v>
      </c>
      <c r="CC81" s="105">
        <f t="shared" si="148"/>
        <v>222.94122133703715</v>
      </c>
      <c r="CD81" s="106">
        <f t="shared" si="149"/>
        <v>25</v>
      </c>
      <c r="CE81" s="107">
        <f t="shared" si="150"/>
        <v>0.375</v>
      </c>
      <c r="CF81" s="108" t="s">
        <v>2189</v>
      </c>
      <c r="CG81" s="108" t="s">
        <v>2189</v>
      </c>
      <c r="CH81" s="108" t="s">
        <v>2189</v>
      </c>
      <c r="CI81" s="108" t="s">
        <v>2189</v>
      </c>
      <c r="CJ81" s="109"/>
      <c r="CM81" s="111">
        <f t="shared" si="133"/>
        <v>25</v>
      </c>
      <c r="CN81" s="107">
        <f t="shared" si="151"/>
        <v>0.375</v>
      </c>
      <c r="CP81" s="88">
        <f t="shared" si="134"/>
        <v>0</v>
      </c>
      <c r="CQ81" s="78">
        <f t="shared" si="135"/>
        <v>100</v>
      </c>
      <c r="CR81" s="79">
        <f t="shared" si="152"/>
        <v>3</v>
      </c>
      <c r="CS81" s="92"/>
      <c r="CT81" s="77">
        <f t="shared" si="113"/>
        <v>0</v>
      </c>
      <c r="CU81" s="78">
        <f t="shared" si="136"/>
        <v>100</v>
      </c>
      <c r="CV81" s="79">
        <f t="shared" si="153"/>
        <v>2</v>
      </c>
      <c r="CW81" s="112" t="e">
        <f t="shared" si="137"/>
        <v>#DIV/0!</v>
      </c>
    </row>
    <row r="82" spans="1:101" x14ac:dyDescent="0.35">
      <c r="A82" s="7" t="s">
        <v>562</v>
      </c>
      <c r="B82" s="8" t="s">
        <v>563</v>
      </c>
      <c r="C82" s="21" t="s">
        <v>564</v>
      </c>
      <c r="D82" s="10" t="s">
        <v>31</v>
      </c>
      <c r="E82" s="11" t="s">
        <v>183</v>
      </c>
      <c r="F82" s="11" t="s">
        <v>565</v>
      </c>
      <c r="G82" s="12">
        <v>26841</v>
      </c>
      <c r="H82" s="11" t="s">
        <v>24</v>
      </c>
      <c r="I82" s="11" t="s">
        <v>566</v>
      </c>
      <c r="J82" s="11" t="s">
        <v>567</v>
      </c>
      <c r="K82" s="11" t="s">
        <v>50</v>
      </c>
      <c r="L82" s="23">
        <v>467020461</v>
      </c>
      <c r="M82" s="14">
        <v>22242291</v>
      </c>
      <c r="N82" s="14">
        <v>444778170</v>
      </c>
      <c r="O82" s="14">
        <v>102401976</v>
      </c>
      <c r="P82" s="14">
        <v>54478995</v>
      </c>
      <c r="Q82" s="14">
        <v>56254195</v>
      </c>
      <c r="R82" s="14">
        <v>53906527</v>
      </c>
      <c r="AB82" s="74">
        <f t="shared" si="138"/>
        <v>0</v>
      </c>
      <c r="AC82" s="75" t="e">
        <f t="shared" si="114"/>
        <v>#DIV/0!</v>
      </c>
      <c r="AD82" s="75" t="e">
        <f t="shared" si="139"/>
        <v>#DIV/0!</v>
      </c>
      <c r="AE82" s="76" t="e">
        <f t="shared" si="142"/>
        <v>#DIV/0!</v>
      </c>
      <c r="AF82" s="77" t="e">
        <f t="shared" si="115"/>
        <v>#DIV/0!</v>
      </c>
      <c r="AG82" s="77" t="e">
        <f t="shared" si="116"/>
        <v>#DIV/0!</v>
      </c>
      <c r="AH82" s="77" t="e">
        <f t="shared" si="140"/>
        <v>#DIV/0!</v>
      </c>
      <c r="AI82" s="78" t="e">
        <f t="shared" si="141"/>
        <v>#DIV/0!</v>
      </c>
      <c r="AJ82" s="79" t="e">
        <f t="shared" si="143"/>
        <v>#DIV/0!</v>
      </c>
      <c r="AN82" s="81">
        <f t="shared" si="101"/>
        <v>0</v>
      </c>
      <c r="AO82" s="82" t="e">
        <f t="shared" si="102"/>
        <v>#DIV/0!</v>
      </c>
      <c r="AP82" s="83" t="e">
        <f t="shared" si="117"/>
        <v>#DIV/0!</v>
      </c>
      <c r="AQ82" s="84" t="e">
        <f t="shared" si="144"/>
        <v>#DIV/0!</v>
      </c>
      <c r="AS82" s="86">
        <f t="shared" si="103"/>
        <v>0.25</v>
      </c>
      <c r="AT82" s="87">
        <f t="shared" si="118"/>
        <v>0</v>
      </c>
      <c r="AU82" s="87">
        <f t="shared" si="119"/>
        <v>0</v>
      </c>
      <c r="AV82" s="88" t="e">
        <f t="shared" si="104"/>
        <v>#DIV/0!</v>
      </c>
      <c r="AW82" s="78" t="e">
        <f t="shared" si="120"/>
        <v>#DIV/0!</v>
      </c>
      <c r="AX82" s="89" t="e">
        <f t="shared" si="145"/>
        <v>#DIV/0!</v>
      </c>
      <c r="BA82" s="91">
        <f t="shared" si="105"/>
        <v>0</v>
      </c>
      <c r="BB82" s="77" t="e">
        <f t="shared" si="121"/>
        <v>#DIV/0!</v>
      </c>
      <c r="BC82" s="78" t="e">
        <f t="shared" si="122"/>
        <v>#DIV/0!</v>
      </c>
      <c r="BD82" s="79" t="e">
        <f t="shared" si="146"/>
        <v>#DIV/0!</v>
      </c>
      <c r="BE82" s="92"/>
      <c r="BF82" s="92"/>
      <c r="BG82" s="114">
        <v>299054</v>
      </c>
      <c r="BH82" s="94">
        <f t="shared" si="106"/>
        <v>0</v>
      </c>
      <c r="BI82" s="77" t="e">
        <f t="shared" si="107"/>
        <v>#DIV/0!</v>
      </c>
      <c r="BJ82" s="95" t="str">
        <f t="shared" si="123"/>
        <v>식약/섬유/종이업</v>
      </c>
      <c r="BK82" s="96" t="e">
        <f t="shared" si="108"/>
        <v>#DIV/0!</v>
      </c>
      <c r="BL82" s="97" t="e">
        <f t="shared" si="124"/>
        <v>#DIV/0!</v>
      </c>
      <c r="BM82" s="98" t="e">
        <f t="shared" si="125"/>
        <v>#DIV/0!</v>
      </c>
      <c r="BN82" s="99" t="e">
        <f t="shared" si="126"/>
        <v>#DIV/0!</v>
      </c>
      <c r="BP82" s="101">
        <f t="shared" si="127"/>
        <v>0</v>
      </c>
      <c r="BQ82" s="78">
        <f t="shared" si="128"/>
        <v>25</v>
      </c>
      <c r="BR82" s="79">
        <f t="shared" si="147"/>
        <v>0.5</v>
      </c>
      <c r="BS82" s="102"/>
      <c r="BT82" s="102"/>
      <c r="BU82" s="103">
        <f t="shared" si="129"/>
        <v>0</v>
      </c>
      <c r="BV82" s="77">
        <f t="shared" si="109"/>
        <v>0</v>
      </c>
      <c r="BW82" s="96">
        <f t="shared" si="110"/>
        <v>0</v>
      </c>
      <c r="BX82" s="96">
        <f t="shared" si="130"/>
        <v>0</v>
      </c>
      <c r="BY82" s="96">
        <f t="shared" si="111"/>
        <v>0</v>
      </c>
      <c r="BZ82" s="96" t="e">
        <f t="shared" si="131"/>
        <v>#NUM!</v>
      </c>
      <c r="CA82" s="96" t="e">
        <f t="shared" si="112"/>
        <v>#NUM!</v>
      </c>
      <c r="CB82" s="104" t="e">
        <f t="shared" si="132"/>
        <v>#NUM!</v>
      </c>
      <c r="CC82" s="105">
        <f t="shared" si="148"/>
        <v>5.0007604914602712</v>
      </c>
      <c r="CD82" s="106">
        <f t="shared" si="149"/>
        <v>98.49217569417327</v>
      </c>
      <c r="CE82" s="107">
        <f t="shared" si="150"/>
        <v>1.477382635412599</v>
      </c>
      <c r="CF82" s="108" t="s">
        <v>2189</v>
      </c>
      <c r="CG82" s="108" t="s">
        <v>2189</v>
      </c>
      <c r="CH82" s="108" t="s">
        <v>2189</v>
      </c>
      <c r="CI82" s="108" t="s">
        <v>2189</v>
      </c>
      <c r="CJ82" s="109"/>
      <c r="CM82" s="111">
        <f t="shared" si="133"/>
        <v>25</v>
      </c>
      <c r="CN82" s="107">
        <f t="shared" si="151"/>
        <v>0.375</v>
      </c>
      <c r="CP82" s="88">
        <f t="shared" si="134"/>
        <v>0</v>
      </c>
      <c r="CQ82" s="78">
        <f t="shared" si="135"/>
        <v>100</v>
      </c>
      <c r="CR82" s="79">
        <f t="shared" si="152"/>
        <v>3</v>
      </c>
      <c r="CS82" s="92"/>
      <c r="CT82" s="77">
        <f t="shared" si="113"/>
        <v>0</v>
      </c>
      <c r="CU82" s="78">
        <f t="shared" si="136"/>
        <v>100</v>
      </c>
      <c r="CV82" s="79">
        <f t="shared" si="153"/>
        <v>2</v>
      </c>
      <c r="CW82" s="112" t="e">
        <f t="shared" si="137"/>
        <v>#DIV/0!</v>
      </c>
    </row>
    <row r="83" spans="1:101" x14ac:dyDescent="0.35">
      <c r="A83" s="7" t="s">
        <v>568</v>
      </c>
      <c r="B83" s="8" t="s">
        <v>569</v>
      </c>
      <c r="C83" s="21" t="s">
        <v>570</v>
      </c>
      <c r="D83" s="22" t="s">
        <v>31</v>
      </c>
      <c r="E83" s="11" t="s">
        <v>183</v>
      </c>
      <c r="F83" s="11" t="s">
        <v>571</v>
      </c>
      <c r="G83" s="12">
        <v>37561</v>
      </c>
      <c r="H83" s="11" t="s">
        <v>24</v>
      </c>
      <c r="I83" s="11" t="s">
        <v>572</v>
      </c>
      <c r="J83" s="11" t="s">
        <v>573</v>
      </c>
      <c r="K83" s="11" t="s">
        <v>50</v>
      </c>
      <c r="L83" s="23">
        <v>1374022214</v>
      </c>
      <c r="M83" s="14">
        <v>714171561</v>
      </c>
      <c r="N83" s="14">
        <v>659850653</v>
      </c>
      <c r="O83" s="14">
        <v>1161253630</v>
      </c>
      <c r="P83" s="14">
        <v>105963323</v>
      </c>
      <c r="Q83" s="14">
        <v>44624254</v>
      </c>
      <c r="R83" s="14">
        <v>48561673</v>
      </c>
      <c r="AB83" s="74">
        <f t="shared" si="138"/>
        <v>0</v>
      </c>
      <c r="AC83" s="75" t="e">
        <f t="shared" si="114"/>
        <v>#DIV/0!</v>
      </c>
      <c r="AD83" s="75" t="e">
        <f t="shared" si="139"/>
        <v>#DIV/0!</v>
      </c>
      <c r="AE83" s="76" t="e">
        <f t="shared" si="142"/>
        <v>#DIV/0!</v>
      </c>
      <c r="AF83" s="77" t="e">
        <f t="shared" si="115"/>
        <v>#DIV/0!</v>
      </c>
      <c r="AG83" s="77" t="e">
        <f t="shared" si="116"/>
        <v>#DIV/0!</v>
      </c>
      <c r="AH83" s="77" t="e">
        <f t="shared" si="140"/>
        <v>#DIV/0!</v>
      </c>
      <c r="AI83" s="78" t="e">
        <f t="shared" si="141"/>
        <v>#DIV/0!</v>
      </c>
      <c r="AJ83" s="79" t="e">
        <f t="shared" si="143"/>
        <v>#DIV/0!</v>
      </c>
      <c r="AM83" s="80"/>
      <c r="AN83" s="81">
        <f t="shared" si="101"/>
        <v>0</v>
      </c>
      <c r="AO83" s="82" t="e">
        <f t="shared" si="102"/>
        <v>#DIV/0!</v>
      </c>
      <c r="AP83" s="83" t="e">
        <f t="shared" si="117"/>
        <v>#DIV/0!</v>
      </c>
      <c r="AQ83" s="84" t="e">
        <f t="shared" si="144"/>
        <v>#DIV/0!</v>
      </c>
      <c r="AS83" s="86">
        <f t="shared" si="103"/>
        <v>0.25</v>
      </c>
      <c r="AT83" s="87">
        <f t="shared" si="118"/>
        <v>0</v>
      </c>
      <c r="AU83" s="87">
        <f t="shared" si="119"/>
        <v>0</v>
      </c>
      <c r="AV83" s="88" t="e">
        <f t="shared" si="104"/>
        <v>#DIV/0!</v>
      </c>
      <c r="AW83" s="78" t="e">
        <f t="shared" si="120"/>
        <v>#DIV/0!</v>
      </c>
      <c r="AX83" s="89" t="e">
        <f t="shared" si="145"/>
        <v>#DIV/0!</v>
      </c>
      <c r="BA83" s="91">
        <f t="shared" si="105"/>
        <v>0</v>
      </c>
      <c r="BB83" s="77" t="e">
        <f t="shared" si="121"/>
        <v>#DIV/0!</v>
      </c>
      <c r="BC83" s="78" t="e">
        <f t="shared" si="122"/>
        <v>#DIV/0!</v>
      </c>
      <c r="BD83" s="79" t="e">
        <f t="shared" si="146"/>
        <v>#DIV/0!</v>
      </c>
      <c r="BE83" s="92"/>
      <c r="BF83" s="92"/>
      <c r="BG83" s="114">
        <v>255545</v>
      </c>
      <c r="BH83" s="94">
        <f t="shared" si="106"/>
        <v>0</v>
      </c>
      <c r="BI83" s="77" t="e">
        <f t="shared" si="107"/>
        <v>#DIV/0!</v>
      </c>
      <c r="BJ83" s="95" t="str">
        <f t="shared" si="123"/>
        <v>식약/섬유/종이업</v>
      </c>
      <c r="BK83" s="96" t="e">
        <f t="shared" si="108"/>
        <v>#DIV/0!</v>
      </c>
      <c r="BL83" s="97" t="e">
        <f t="shared" si="124"/>
        <v>#DIV/0!</v>
      </c>
      <c r="BM83" s="98" t="e">
        <f t="shared" si="125"/>
        <v>#DIV/0!</v>
      </c>
      <c r="BN83" s="99" t="e">
        <f t="shared" si="126"/>
        <v>#DIV/0!</v>
      </c>
      <c r="BP83" s="101">
        <f t="shared" si="127"/>
        <v>0</v>
      </c>
      <c r="BQ83" s="78">
        <f t="shared" si="128"/>
        <v>25</v>
      </c>
      <c r="BR83" s="79">
        <f t="shared" si="147"/>
        <v>0.5</v>
      </c>
      <c r="BS83" s="102"/>
      <c r="BT83" s="102"/>
      <c r="BU83" s="103">
        <f t="shared" si="129"/>
        <v>0</v>
      </c>
      <c r="BV83" s="77">
        <f t="shared" si="109"/>
        <v>0</v>
      </c>
      <c r="BW83" s="96">
        <f t="shared" si="110"/>
        <v>0</v>
      </c>
      <c r="BX83" s="96">
        <f t="shared" si="130"/>
        <v>0</v>
      </c>
      <c r="BY83" s="96">
        <f t="shared" si="111"/>
        <v>0</v>
      </c>
      <c r="BZ83" s="96" t="e">
        <f t="shared" si="131"/>
        <v>#NUM!</v>
      </c>
      <c r="CA83" s="96" t="e">
        <f t="shared" si="112"/>
        <v>#NUM!</v>
      </c>
      <c r="CB83" s="104" t="e">
        <f t="shared" si="132"/>
        <v>#NUM!</v>
      </c>
      <c r="CC83" s="105">
        <f t="shared" si="148"/>
        <v>108.23230343912383</v>
      </c>
      <c r="CD83" s="106">
        <f t="shared" si="149"/>
        <v>59.585815286762376</v>
      </c>
      <c r="CE83" s="107">
        <f t="shared" si="150"/>
        <v>0.89378722930143562</v>
      </c>
      <c r="CF83" s="108" t="s">
        <v>2189</v>
      </c>
      <c r="CG83" s="108" t="s">
        <v>2189</v>
      </c>
      <c r="CH83" s="108" t="s">
        <v>2189</v>
      </c>
      <c r="CI83" s="108" t="s">
        <v>2189</v>
      </c>
      <c r="CJ83" s="109"/>
      <c r="CM83" s="111">
        <f t="shared" si="133"/>
        <v>25</v>
      </c>
      <c r="CN83" s="107">
        <f t="shared" si="151"/>
        <v>0.375</v>
      </c>
      <c r="CP83" s="88">
        <f t="shared" si="134"/>
        <v>0</v>
      </c>
      <c r="CQ83" s="78">
        <f t="shared" si="135"/>
        <v>100</v>
      </c>
      <c r="CR83" s="79">
        <f t="shared" si="152"/>
        <v>3</v>
      </c>
      <c r="CS83" s="92"/>
      <c r="CT83" s="77">
        <f t="shared" si="113"/>
        <v>0</v>
      </c>
      <c r="CU83" s="78">
        <f t="shared" si="136"/>
        <v>100</v>
      </c>
      <c r="CV83" s="79">
        <f t="shared" si="153"/>
        <v>2</v>
      </c>
      <c r="CW83" s="112" t="e">
        <f t="shared" si="137"/>
        <v>#DIV/0!</v>
      </c>
    </row>
    <row r="84" spans="1:101" x14ac:dyDescent="0.35">
      <c r="A84" s="7" t="s">
        <v>574</v>
      </c>
      <c r="B84" s="8" t="s">
        <v>575</v>
      </c>
      <c r="C84" s="21" t="s">
        <v>576</v>
      </c>
      <c r="D84" s="10" t="s">
        <v>141</v>
      </c>
      <c r="E84" s="11" t="s">
        <v>356</v>
      </c>
      <c r="F84" s="11" t="s">
        <v>577</v>
      </c>
      <c r="G84" s="12">
        <v>28298</v>
      </c>
      <c r="H84" s="11" t="s">
        <v>24</v>
      </c>
      <c r="I84" s="11" t="s">
        <v>578</v>
      </c>
      <c r="J84" s="11" t="s">
        <v>579</v>
      </c>
      <c r="K84" s="11" t="s">
        <v>153</v>
      </c>
      <c r="L84" s="23">
        <v>688386355</v>
      </c>
      <c r="M84" s="14">
        <v>261400791</v>
      </c>
      <c r="N84" s="14">
        <v>426985565</v>
      </c>
      <c r="O84" s="14">
        <v>696217415</v>
      </c>
      <c r="P84" s="14">
        <v>16849939</v>
      </c>
      <c r="Q84" s="14">
        <v>6695668</v>
      </c>
      <c r="R84" s="14">
        <v>10606180</v>
      </c>
      <c r="AB84" s="74">
        <f t="shared" si="138"/>
        <v>0</v>
      </c>
      <c r="AC84" s="75" t="e">
        <f t="shared" si="114"/>
        <v>#DIV/0!</v>
      </c>
      <c r="AD84" s="75" t="e">
        <f t="shared" si="139"/>
        <v>#DIV/0!</v>
      </c>
      <c r="AE84" s="76" t="e">
        <f t="shared" si="142"/>
        <v>#DIV/0!</v>
      </c>
      <c r="AF84" s="77" t="e">
        <f t="shared" si="115"/>
        <v>#DIV/0!</v>
      </c>
      <c r="AG84" s="77" t="e">
        <f t="shared" si="116"/>
        <v>#DIV/0!</v>
      </c>
      <c r="AH84" s="77" t="e">
        <f t="shared" si="140"/>
        <v>#DIV/0!</v>
      </c>
      <c r="AI84" s="78" t="e">
        <f t="shared" si="141"/>
        <v>#DIV/0!</v>
      </c>
      <c r="AJ84" s="79" t="e">
        <f t="shared" si="143"/>
        <v>#DIV/0!</v>
      </c>
      <c r="AN84" s="81">
        <f t="shared" si="101"/>
        <v>0</v>
      </c>
      <c r="AO84" s="82" t="e">
        <f t="shared" si="102"/>
        <v>#DIV/0!</v>
      </c>
      <c r="AP84" s="83" t="e">
        <f t="shared" si="117"/>
        <v>#DIV/0!</v>
      </c>
      <c r="AQ84" s="84" t="e">
        <f t="shared" si="144"/>
        <v>#DIV/0!</v>
      </c>
      <c r="AS84" s="86">
        <f t="shared" si="103"/>
        <v>0.25</v>
      </c>
      <c r="AT84" s="87">
        <f t="shared" si="118"/>
        <v>0</v>
      </c>
      <c r="AU84" s="87">
        <f t="shared" si="119"/>
        <v>0</v>
      </c>
      <c r="AV84" s="88" t="e">
        <f t="shared" si="104"/>
        <v>#DIV/0!</v>
      </c>
      <c r="AW84" s="78" t="e">
        <f t="shared" si="120"/>
        <v>#DIV/0!</v>
      </c>
      <c r="AX84" s="89" t="e">
        <f t="shared" si="145"/>
        <v>#DIV/0!</v>
      </c>
      <c r="BA84" s="91">
        <f t="shared" si="105"/>
        <v>0</v>
      </c>
      <c r="BB84" s="77" t="e">
        <f t="shared" si="121"/>
        <v>#DIV/0!</v>
      </c>
      <c r="BC84" s="78" t="e">
        <f t="shared" si="122"/>
        <v>#DIV/0!</v>
      </c>
      <c r="BD84" s="79" t="e">
        <f t="shared" si="146"/>
        <v>#DIV/0!</v>
      </c>
      <c r="BE84" s="92"/>
      <c r="BF84" s="92"/>
      <c r="BG84" s="114">
        <v>297529</v>
      </c>
      <c r="BH84" s="94">
        <f t="shared" si="106"/>
        <v>0</v>
      </c>
      <c r="BI84" s="77" t="e">
        <f t="shared" si="107"/>
        <v>#DIV/0!</v>
      </c>
      <c r="BJ84" s="95" t="str">
        <f t="shared" si="123"/>
        <v>전기전자/기계업</v>
      </c>
      <c r="BK84" s="96" t="e">
        <f t="shared" si="108"/>
        <v>#DIV/0!</v>
      </c>
      <c r="BL84" s="97" t="e">
        <f t="shared" si="124"/>
        <v>#DIV/0!</v>
      </c>
      <c r="BM84" s="98" t="e">
        <f t="shared" si="125"/>
        <v>#DIV/0!</v>
      </c>
      <c r="BN84" s="99" t="e">
        <f t="shared" si="126"/>
        <v>#DIV/0!</v>
      </c>
      <c r="BP84" s="101">
        <f t="shared" si="127"/>
        <v>0</v>
      </c>
      <c r="BQ84" s="78">
        <f t="shared" si="128"/>
        <v>25</v>
      </c>
      <c r="BR84" s="79">
        <f t="shared" si="147"/>
        <v>0.5</v>
      </c>
      <c r="BS84" s="102"/>
      <c r="BT84" s="102"/>
      <c r="BU84" s="103">
        <f t="shared" si="129"/>
        <v>0</v>
      </c>
      <c r="BV84" s="77">
        <f t="shared" si="109"/>
        <v>0</v>
      </c>
      <c r="BW84" s="96">
        <f t="shared" si="110"/>
        <v>0</v>
      </c>
      <c r="BX84" s="96">
        <f t="shared" si="130"/>
        <v>0</v>
      </c>
      <c r="BY84" s="96">
        <f t="shared" si="111"/>
        <v>0</v>
      </c>
      <c r="BZ84" s="96" t="e">
        <f t="shared" si="131"/>
        <v>#NUM!</v>
      </c>
      <c r="CA84" s="96" t="e">
        <f t="shared" si="112"/>
        <v>#NUM!</v>
      </c>
      <c r="CB84" s="104" t="e">
        <f t="shared" si="132"/>
        <v>#NUM!</v>
      </c>
      <c r="CC84" s="105">
        <f t="shared" si="148"/>
        <v>61.22005342264908</v>
      </c>
      <c r="CD84" s="106">
        <f t="shared" si="149"/>
        <v>77.303999966338282</v>
      </c>
      <c r="CE84" s="107">
        <f t="shared" si="150"/>
        <v>1.1595599994950743</v>
      </c>
      <c r="CF84" s="108" t="s">
        <v>2189</v>
      </c>
      <c r="CG84" s="108" t="s">
        <v>2189</v>
      </c>
      <c r="CH84" s="108" t="s">
        <v>2189</v>
      </c>
      <c r="CI84" s="108" t="s">
        <v>2189</v>
      </c>
      <c r="CJ84" s="109"/>
      <c r="CM84" s="111">
        <f t="shared" si="133"/>
        <v>25</v>
      </c>
      <c r="CN84" s="107">
        <f t="shared" si="151"/>
        <v>0.375</v>
      </c>
      <c r="CP84" s="88">
        <f t="shared" si="134"/>
        <v>0</v>
      </c>
      <c r="CQ84" s="78">
        <f t="shared" si="135"/>
        <v>100</v>
      </c>
      <c r="CR84" s="79">
        <f t="shared" si="152"/>
        <v>3</v>
      </c>
      <c r="CS84" s="92"/>
      <c r="CT84" s="77">
        <f t="shared" si="113"/>
        <v>0</v>
      </c>
      <c r="CU84" s="78">
        <f t="shared" si="136"/>
        <v>100</v>
      </c>
      <c r="CV84" s="79">
        <f t="shared" si="153"/>
        <v>2</v>
      </c>
      <c r="CW84" s="112" t="e">
        <f t="shared" si="137"/>
        <v>#DIV/0!</v>
      </c>
    </row>
    <row r="85" spans="1:101" x14ac:dyDescent="0.35">
      <c r="A85" s="7" t="s">
        <v>580</v>
      </c>
      <c r="B85" s="8" t="s">
        <v>581</v>
      </c>
      <c r="C85" s="21" t="s">
        <v>582</v>
      </c>
      <c r="D85" s="10" t="s">
        <v>31</v>
      </c>
      <c r="E85" s="11" t="s">
        <v>183</v>
      </c>
      <c r="F85" s="11" t="s">
        <v>583</v>
      </c>
      <c r="G85" s="12">
        <v>36509</v>
      </c>
      <c r="H85" s="11" t="s">
        <v>24</v>
      </c>
      <c r="I85" s="11" t="s">
        <v>584</v>
      </c>
      <c r="J85" s="11" t="s">
        <v>585</v>
      </c>
      <c r="K85" s="11" t="s">
        <v>27</v>
      </c>
      <c r="L85" s="23">
        <v>424552601</v>
      </c>
      <c r="M85" s="14">
        <v>177887391</v>
      </c>
      <c r="N85" s="14">
        <v>246665210</v>
      </c>
      <c r="O85" s="14">
        <v>452801417</v>
      </c>
      <c r="P85" s="14">
        <v>47688591</v>
      </c>
      <c r="Q85" s="14">
        <v>39855973</v>
      </c>
      <c r="R85" s="14">
        <v>31496020</v>
      </c>
      <c r="AB85" s="74">
        <f t="shared" si="138"/>
        <v>0</v>
      </c>
      <c r="AC85" s="75" t="e">
        <f t="shared" si="114"/>
        <v>#DIV/0!</v>
      </c>
      <c r="AD85" s="75" t="e">
        <f t="shared" si="139"/>
        <v>#DIV/0!</v>
      </c>
      <c r="AE85" s="76" t="e">
        <f t="shared" si="142"/>
        <v>#DIV/0!</v>
      </c>
      <c r="AF85" s="77" t="e">
        <f t="shared" si="115"/>
        <v>#DIV/0!</v>
      </c>
      <c r="AG85" s="77" t="e">
        <f t="shared" si="116"/>
        <v>#DIV/0!</v>
      </c>
      <c r="AH85" s="77" t="e">
        <f t="shared" si="140"/>
        <v>#DIV/0!</v>
      </c>
      <c r="AI85" s="78" t="e">
        <f t="shared" si="141"/>
        <v>#DIV/0!</v>
      </c>
      <c r="AJ85" s="79" t="e">
        <f t="shared" si="143"/>
        <v>#DIV/0!</v>
      </c>
      <c r="AN85" s="81">
        <f t="shared" si="101"/>
        <v>0</v>
      </c>
      <c r="AO85" s="82" t="e">
        <f t="shared" si="102"/>
        <v>#DIV/0!</v>
      </c>
      <c r="AP85" s="83" t="e">
        <f t="shared" si="117"/>
        <v>#DIV/0!</v>
      </c>
      <c r="AQ85" s="84" t="e">
        <f t="shared" si="144"/>
        <v>#DIV/0!</v>
      </c>
      <c r="AS85" s="86">
        <f t="shared" si="103"/>
        <v>0.25</v>
      </c>
      <c r="AT85" s="87">
        <f t="shared" si="118"/>
        <v>0</v>
      </c>
      <c r="AU85" s="87">
        <f t="shared" si="119"/>
        <v>0</v>
      </c>
      <c r="AV85" s="88" t="e">
        <f t="shared" si="104"/>
        <v>#DIV/0!</v>
      </c>
      <c r="AW85" s="78" t="e">
        <f t="shared" si="120"/>
        <v>#DIV/0!</v>
      </c>
      <c r="AX85" s="89" t="e">
        <f t="shared" si="145"/>
        <v>#DIV/0!</v>
      </c>
      <c r="BA85" s="91">
        <f t="shared" si="105"/>
        <v>0</v>
      </c>
      <c r="BB85" s="77" t="e">
        <f t="shared" si="121"/>
        <v>#DIV/0!</v>
      </c>
      <c r="BC85" s="78" t="e">
        <f t="shared" si="122"/>
        <v>#DIV/0!</v>
      </c>
      <c r="BD85" s="79" t="e">
        <f t="shared" si="146"/>
        <v>#DIV/0!</v>
      </c>
      <c r="BE85" s="92"/>
      <c r="BF85" s="92"/>
      <c r="BG85" s="114">
        <v>433523</v>
      </c>
      <c r="BH85" s="94">
        <f t="shared" si="106"/>
        <v>0</v>
      </c>
      <c r="BI85" s="77" t="e">
        <f t="shared" si="107"/>
        <v>#DIV/0!</v>
      </c>
      <c r="BJ85" s="95" t="str">
        <f t="shared" si="123"/>
        <v>식약/섬유/종이업</v>
      </c>
      <c r="BK85" s="96" t="e">
        <f t="shared" si="108"/>
        <v>#DIV/0!</v>
      </c>
      <c r="BL85" s="97" t="e">
        <f t="shared" si="124"/>
        <v>#DIV/0!</v>
      </c>
      <c r="BM85" s="98" t="e">
        <f t="shared" si="125"/>
        <v>#DIV/0!</v>
      </c>
      <c r="BN85" s="99" t="e">
        <f t="shared" si="126"/>
        <v>#DIV/0!</v>
      </c>
      <c r="BP85" s="101">
        <f t="shared" si="127"/>
        <v>0</v>
      </c>
      <c r="BQ85" s="78">
        <f t="shared" si="128"/>
        <v>25</v>
      </c>
      <c r="BR85" s="79">
        <f t="shared" si="147"/>
        <v>0.5</v>
      </c>
      <c r="BS85" s="102"/>
      <c r="BT85" s="102"/>
      <c r="BU85" s="103">
        <f t="shared" si="129"/>
        <v>0</v>
      </c>
      <c r="BV85" s="77">
        <f t="shared" si="109"/>
        <v>0</v>
      </c>
      <c r="BW85" s="96">
        <f t="shared" si="110"/>
        <v>0</v>
      </c>
      <c r="BX85" s="96">
        <f t="shared" si="130"/>
        <v>0</v>
      </c>
      <c r="BY85" s="96">
        <f t="shared" si="111"/>
        <v>0</v>
      </c>
      <c r="BZ85" s="96" t="e">
        <f t="shared" si="131"/>
        <v>#NUM!</v>
      </c>
      <c r="CA85" s="96" t="e">
        <f t="shared" si="112"/>
        <v>#NUM!</v>
      </c>
      <c r="CB85" s="104" t="e">
        <f t="shared" si="132"/>
        <v>#NUM!</v>
      </c>
      <c r="CC85" s="105">
        <f t="shared" si="148"/>
        <v>72.116935744607034</v>
      </c>
      <c r="CD85" s="106">
        <f t="shared" si="149"/>
        <v>73.197134769620462</v>
      </c>
      <c r="CE85" s="107">
        <f t="shared" si="150"/>
        <v>1.0979570215443069</v>
      </c>
      <c r="CF85" s="108" t="s">
        <v>2189</v>
      </c>
      <c r="CG85" s="108" t="s">
        <v>2189</v>
      </c>
      <c r="CH85" s="108" t="s">
        <v>2189</v>
      </c>
      <c r="CI85" s="108" t="s">
        <v>2189</v>
      </c>
      <c r="CJ85" s="109"/>
      <c r="CM85" s="111">
        <f t="shared" si="133"/>
        <v>25</v>
      </c>
      <c r="CN85" s="107">
        <f t="shared" si="151"/>
        <v>0.375</v>
      </c>
      <c r="CP85" s="88">
        <f t="shared" si="134"/>
        <v>0</v>
      </c>
      <c r="CQ85" s="78">
        <f t="shared" si="135"/>
        <v>100</v>
      </c>
      <c r="CR85" s="79">
        <f t="shared" si="152"/>
        <v>3</v>
      </c>
      <c r="CS85" s="92"/>
      <c r="CT85" s="77">
        <f t="shared" si="113"/>
        <v>0</v>
      </c>
      <c r="CU85" s="78">
        <f t="shared" si="136"/>
        <v>100</v>
      </c>
      <c r="CV85" s="79">
        <f t="shared" si="153"/>
        <v>2</v>
      </c>
      <c r="CW85" s="112" t="e">
        <f t="shared" si="137"/>
        <v>#DIV/0!</v>
      </c>
    </row>
    <row r="86" spans="1:101" x14ac:dyDescent="0.35">
      <c r="A86" s="7" t="s">
        <v>586</v>
      </c>
      <c r="B86" s="8" t="s">
        <v>587</v>
      </c>
      <c r="C86" s="21" t="s">
        <v>588</v>
      </c>
      <c r="D86" s="10" t="s">
        <v>141</v>
      </c>
      <c r="E86" s="11" t="s">
        <v>356</v>
      </c>
      <c r="F86" s="11" t="s">
        <v>589</v>
      </c>
      <c r="G86" s="12">
        <v>32714</v>
      </c>
      <c r="H86" s="11" t="s">
        <v>24</v>
      </c>
      <c r="I86" s="11" t="s">
        <v>590</v>
      </c>
      <c r="J86" s="11" t="s">
        <v>591</v>
      </c>
      <c r="K86" s="11" t="s">
        <v>102</v>
      </c>
      <c r="L86" s="23">
        <v>250352084</v>
      </c>
      <c r="M86" s="14">
        <v>48446955</v>
      </c>
      <c r="N86" s="14">
        <v>201905129</v>
      </c>
      <c r="O86" s="14">
        <v>318979683</v>
      </c>
      <c r="P86" s="14">
        <v>34727495</v>
      </c>
      <c r="Q86" s="14">
        <v>41272114</v>
      </c>
      <c r="R86" s="14">
        <v>31646295</v>
      </c>
      <c r="AB86" s="74">
        <f t="shared" si="138"/>
        <v>0</v>
      </c>
      <c r="AC86" s="75" t="e">
        <f t="shared" si="114"/>
        <v>#DIV/0!</v>
      </c>
      <c r="AD86" s="75" t="e">
        <f t="shared" si="139"/>
        <v>#DIV/0!</v>
      </c>
      <c r="AE86" s="76" t="e">
        <f t="shared" si="142"/>
        <v>#DIV/0!</v>
      </c>
      <c r="AF86" s="77" t="e">
        <f t="shared" si="115"/>
        <v>#DIV/0!</v>
      </c>
      <c r="AG86" s="77" t="e">
        <f t="shared" si="116"/>
        <v>#DIV/0!</v>
      </c>
      <c r="AH86" s="77" t="e">
        <f t="shared" si="140"/>
        <v>#DIV/0!</v>
      </c>
      <c r="AI86" s="78" t="e">
        <f t="shared" si="141"/>
        <v>#DIV/0!</v>
      </c>
      <c r="AJ86" s="79" t="e">
        <f t="shared" si="143"/>
        <v>#DIV/0!</v>
      </c>
      <c r="AN86" s="81">
        <f t="shared" si="101"/>
        <v>0</v>
      </c>
      <c r="AO86" s="82" t="e">
        <f t="shared" si="102"/>
        <v>#DIV/0!</v>
      </c>
      <c r="AP86" s="83" t="e">
        <f t="shared" si="117"/>
        <v>#DIV/0!</v>
      </c>
      <c r="AQ86" s="84" t="e">
        <f t="shared" si="144"/>
        <v>#DIV/0!</v>
      </c>
      <c r="AS86" s="86">
        <f t="shared" si="103"/>
        <v>0.25</v>
      </c>
      <c r="AT86" s="87">
        <f t="shared" si="118"/>
        <v>0</v>
      </c>
      <c r="AU86" s="87">
        <f t="shared" si="119"/>
        <v>0</v>
      </c>
      <c r="AV86" s="88" t="e">
        <f t="shared" si="104"/>
        <v>#DIV/0!</v>
      </c>
      <c r="AW86" s="78" t="e">
        <f t="shared" si="120"/>
        <v>#DIV/0!</v>
      </c>
      <c r="AX86" s="89" t="e">
        <f t="shared" si="145"/>
        <v>#DIV/0!</v>
      </c>
      <c r="BA86" s="91">
        <f t="shared" si="105"/>
        <v>0</v>
      </c>
      <c r="BB86" s="77" t="e">
        <f t="shared" si="121"/>
        <v>#DIV/0!</v>
      </c>
      <c r="BC86" s="78" t="e">
        <f t="shared" si="122"/>
        <v>#DIV/0!</v>
      </c>
      <c r="BD86" s="79" t="e">
        <f t="shared" si="146"/>
        <v>#DIV/0!</v>
      </c>
      <c r="BE86" s="92"/>
      <c r="BF86" s="92"/>
      <c r="BG86" s="114">
        <v>89569</v>
      </c>
      <c r="BH86" s="94">
        <f t="shared" si="106"/>
        <v>0</v>
      </c>
      <c r="BI86" s="77" t="e">
        <f t="shared" si="107"/>
        <v>#DIV/0!</v>
      </c>
      <c r="BJ86" s="95" t="str">
        <f t="shared" si="123"/>
        <v>전기전자/기계업</v>
      </c>
      <c r="BK86" s="96" t="e">
        <f t="shared" si="108"/>
        <v>#DIV/0!</v>
      </c>
      <c r="BL86" s="97" t="e">
        <f t="shared" si="124"/>
        <v>#DIV/0!</v>
      </c>
      <c r="BM86" s="98" t="e">
        <f t="shared" si="125"/>
        <v>#DIV/0!</v>
      </c>
      <c r="BN86" s="99" t="e">
        <f t="shared" si="126"/>
        <v>#DIV/0!</v>
      </c>
      <c r="BP86" s="101">
        <f t="shared" si="127"/>
        <v>0</v>
      </c>
      <c r="BQ86" s="78">
        <f t="shared" si="128"/>
        <v>25</v>
      </c>
      <c r="BR86" s="79">
        <f t="shared" si="147"/>
        <v>0.5</v>
      </c>
      <c r="BS86" s="102"/>
      <c r="BT86" s="102"/>
      <c r="BU86" s="103">
        <f t="shared" si="129"/>
        <v>0</v>
      </c>
      <c r="BV86" s="77">
        <f t="shared" si="109"/>
        <v>0</v>
      </c>
      <c r="BW86" s="96">
        <f t="shared" si="110"/>
        <v>0</v>
      </c>
      <c r="BX86" s="96">
        <f t="shared" si="130"/>
        <v>0</v>
      </c>
      <c r="BY86" s="96">
        <f t="shared" si="111"/>
        <v>0</v>
      </c>
      <c r="BZ86" s="96" t="e">
        <f t="shared" si="131"/>
        <v>#NUM!</v>
      </c>
      <c r="CA86" s="96" t="e">
        <f t="shared" si="112"/>
        <v>#NUM!</v>
      </c>
      <c r="CB86" s="104" t="e">
        <f t="shared" si="132"/>
        <v>#NUM!</v>
      </c>
      <c r="CC86" s="105">
        <f t="shared" si="148"/>
        <v>23.994910500762959</v>
      </c>
      <c r="CD86" s="106">
        <f t="shared" si="149"/>
        <v>91.333576444436076</v>
      </c>
      <c r="CE86" s="107">
        <f t="shared" si="150"/>
        <v>1.3700036466665411</v>
      </c>
      <c r="CF86" s="108" t="s">
        <v>2189</v>
      </c>
      <c r="CG86" s="108" t="s">
        <v>2189</v>
      </c>
      <c r="CH86" s="108" t="s">
        <v>2189</v>
      </c>
      <c r="CI86" s="108" t="s">
        <v>2189</v>
      </c>
      <c r="CJ86" s="109"/>
      <c r="CM86" s="111">
        <f t="shared" si="133"/>
        <v>25</v>
      </c>
      <c r="CN86" s="107">
        <f t="shared" si="151"/>
        <v>0.375</v>
      </c>
      <c r="CP86" s="88">
        <f t="shared" si="134"/>
        <v>0</v>
      </c>
      <c r="CQ86" s="78">
        <f t="shared" si="135"/>
        <v>100</v>
      </c>
      <c r="CR86" s="79">
        <f t="shared" si="152"/>
        <v>3</v>
      </c>
      <c r="CS86" s="92"/>
      <c r="CT86" s="77">
        <f t="shared" si="113"/>
        <v>0</v>
      </c>
      <c r="CU86" s="78">
        <f t="shared" si="136"/>
        <v>100</v>
      </c>
      <c r="CV86" s="79">
        <f t="shared" si="153"/>
        <v>2</v>
      </c>
      <c r="CW86" s="112" t="e">
        <f t="shared" si="137"/>
        <v>#DIV/0!</v>
      </c>
    </row>
    <row r="87" spans="1:101" x14ac:dyDescent="0.35">
      <c r="A87" s="7" t="s">
        <v>592</v>
      </c>
      <c r="B87" s="8" t="s">
        <v>593</v>
      </c>
      <c r="C87" s="21" t="s">
        <v>594</v>
      </c>
      <c r="D87" s="22" t="s">
        <v>141</v>
      </c>
      <c r="E87" s="11" t="s">
        <v>369</v>
      </c>
      <c r="F87" s="11" t="s">
        <v>595</v>
      </c>
      <c r="G87" s="12">
        <v>25199</v>
      </c>
      <c r="H87" s="11" t="s">
        <v>24</v>
      </c>
      <c r="I87" s="11" t="s">
        <v>596</v>
      </c>
      <c r="J87" s="11" t="s">
        <v>597</v>
      </c>
      <c r="K87" s="11" t="s">
        <v>50</v>
      </c>
      <c r="L87" s="23">
        <v>1552592143</v>
      </c>
      <c r="M87" s="14">
        <v>682188473</v>
      </c>
      <c r="N87" s="14">
        <v>870403670</v>
      </c>
      <c r="O87" s="14">
        <v>2199525188</v>
      </c>
      <c r="P87" s="14">
        <v>28784541</v>
      </c>
      <c r="Q87" s="14">
        <v>14593912</v>
      </c>
      <c r="R87" s="14">
        <v>8438935</v>
      </c>
      <c r="AB87" s="74">
        <f t="shared" si="138"/>
        <v>0</v>
      </c>
      <c r="AC87" s="75" t="e">
        <f t="shared" si="114"/>
        <v>#DIV/0!</v>
      </c>
      <c r="AD87" s="75" t="e">
        <f t="shared" si="139"/>
        <v>#DIV/0!</v>
      </c>
      <c r="AE87" s="76" t="e">
        <f t="shared" si="142"/>
        <v>#DIV/0!</v>
      </c>
      <c r="AF87" s="77" t="e">
        <f t="shared" si="115"/>
        <v>#DIV/0!</v>
      </c>
      <c r="AG87" s="77" t="e">
        <f t="shared" si="116"/>
        <v>#DIV/0!</v>
      </c>
      <c r="AH87" s="77" t="e">
        <f t="shared" si="140"/>
        <v>#DIV/0!</v>
      </c>
      <c r="AI87" s="78" t="e">
        <f t="shared" si="141"/>
        <v>#DIV/0!</v>
      </c>
      <c r="AJ87" s="79" t="e">
        <f t="shared" si="143"/>
        <v>#DIV/0!</v>
      </c>
      <c r="AN87" s="81">
        <f t="shared" si="101"/>
        <v>0</v>
      </c>
      <c r="AO87" s="82" t="e">
        <f t="shared" si="102"/>
        <v>#DIV/0!</v>
      </c>
      <c r="AP87" s="83" t="e">
        <f t="shared" si="117"/>
        <v>#DIV/0!</v>
      </c>
      <c r="AQ87" s="84" t="e">
        <f t="shared" si="144"/>
        <v>#DIV/0!</v>
      </c>
      <c r="AS87" s="86">
        <f t="shared" si="103"/>
        <v>0.25</v>
      </c>
      <c r="AT87" s="87">
        <f t="shared" si="118"/>
        <v>0</v>
      </c>
      <c r="AU87" s="87">
        <f t="shared" si="119"/>
        <v>0</v>
      </c>
      <c r="AV87" s="88" t="e">
        <f t="shared" si="104"/>
        <v>#DIV/0!</v>
      </c>
      <c r="AW87" s="78" t="e">
        <f t="shared" si="120"/>
        <v>#DIV/0!</v>
      </c>
      <c r="AX87" s="89" t="e">
        <f t="shared" si="145"/>
        <v>#DIV/0!</v>
      </c>
      <c r="BA87" s="91">
        <f t="shared" si="105"/>
        <v>0</v>
      </c>
      <c r="BB87" s="77" t="e">
        <f t="shared" si="121"/>
        <v>#DIV/0!</v>
      </c>
      <c r="BC87" s="78" t="e">
        <f t="shared" si="122"/>
        <v>#DIV/0!</v>
      </c>
      <c r="BD87" s="79" t="e">
        <f t="shared" si="146"/>
        <v>#DIV/0!</v>
      </c>
      <c r="BE87" s="92"/>
      <c r="BF87" s="92"/>
      <c r="BG87" s="93">
        <v>0</v>
      </c>
      <c r="BH87" s="94">
        <f t="shared" si="106"/>
        <v>0</v>
      </c>
      <c r="BI87" s="77" t="e">
        <f t="shared" si="107"/>
        <v>#DIV/0!</v>
      </c>
      <c r="BJ87" s="95" t="str">
        <f t="shared" si="123"/>
        <v>전기전자/기계업</v>
      </c>
      <c r="BK87" s="96" t="e">
        <f t="shared" si="108"/>
        <v>#DIV/0!</v>
      </c>
      <c r="BL87" s="97" t="e">
        <f t="shared" si="124"/>
        <v>#DIV/0!</v>
      </c>
      <c r="BM87" s="98" t="e">
        <f t="shared" si="125"/>
        <v>#DIV/0!</v>
      </c>
      <c r="BN87" s="99" t="e">
        <f t="shared" si="126"/>
        <v>#DIV/0!</v>
      </c>
      <c r="BP87" s="101">
        <f t="shared" si="127"/>
        <v>0</v>
      </c>
      <c r="BQ87" s="78">
        <f t="shared" si="128"/>
        <v>25</v>
      </c>
      <c r="BR87" s="79">
        <f t="shared" si="147"/>
        <v>0.5</v>
      </c>
      <c r="BS87" s="102"/>
      <c r="BT87" s="102"/>
      <c r="BU87" s="103">
        <f t="shared" si="129"/>
        <v>0</v>
      </c>
      <c r="BV87" s="77">
        <f t="shared" si="109"/>
        <v>0</v>
      </c>
      <c r="BW87" s="96">
        <f t="shared" si="110"/>
        <v>0</v>
      </c>
      <c r="BX87" s="96">
        <f t="shared" si="130"/>
        <v>0</v>
      </c>
      <c r="BY87" s="96">
        <f t="shared" si="111"/>
        <v>0</v>
      </c>
      <c r="BZ87" s="96" t="e">
        <f t="shared" si="131"/>
        <v>#NUM!</v>
      </c>
      <c r="CA87" s="96" t="e">
        <f t="shared" si="112"/>
        <v>#NUM!</v>
      </c>
      <c r="CB87" s="104" t="e">
        <f t="shared" si="132"/>
        <v>#NUM!</v>
      </c>
      <c r="CC87" s="105">
        <f t="shared" si="148"/>
        <v>78.376102550210973</v>
      </c>
      <c r="CD87" s="106">
        <f t="shared" si="149"/>
        <v>70.838152305196871</v>
      </c>
      <c r="CE87" s="107">
        <f t="shared" si="150"/>
        <v>1.0625722845779531</v>
      </c>
      <c r="CF87" s="108" t="s">
        <v>2189</v>
      </c>
      <c r="CG87" s="108" t="s">
        <v>2189</v>
      </c>
      <c r="CH87" s="108" t="s">
        <v>2189</v>
      </c>
      <c r="CI87" s="108" t="s">
        <v>2189</v>
      </c>
      <c r="CJ87" s="109"/>
      <c r="CM87" s="111">
        <f t="shared" si="133"/>
        <v>25</v>
      </c>
      <c r="CN87" s="107">
        <f t="shared" si="151"/>
        <v>0.375</v>
      </c>
      <c r="CP87" s="88">
        <f t="shared" si="134"/>
        <v>0</v>
      </c>
      <c r="CQ87" s="78">
        <f t="shared" si="135"/>
        <v>100</v>
      </c>
      <c r="CR87" s="79">
        <f t="shared" si="152"/>
        <v>3</v>
      </c>
      <c r="CS87" s="92"/>
      <c r="CT87" s="77">
        <f t="shared" si="113"/>
        <v>0</v>
      </c>
      <c r="CU87" s="78">
        <f t="shared" si="136"/>
        <v>100</v>
      </c>
      <c r="CV87" s="79">
        <f t="shared" si="153"/>
        <v>2</v>
      </c>
      <c r="CW87" s="112" t="e">
        <f t="shared" si="137"/>
        <v>#DIV/0!</v>
      </c>
    </row>
    <row r="88" spans="1:101" x14ac:dyDescent="0.35">
      <c r="A88" s="7" t="s">
        <v>598</v>
      </c>
      <c r="B88" s="8" t="s">
        <v>599</v>
      </c>
      <c r="C88" s="21" t="s">
        <v>600</v>
      </c>
      <c r="D88" s="22" t="s">
        <v>75</v>
      </c>
      <c r="E88" s="11" t="s">
        <v>114</v>
      </c>
      <c r="F88" s="11" t="s">
        <v>601</v>
      </c>
      <c r="G88" s="12">
        <v>38656</v>
      </c>
      <c r="H88" s="11" t="s">
        <v>24</v>
      </c>
      <c r="I88" s="11" t="s">
        <v>602</v>
      </c>
      <c r="J88" s="11" t="s">
        <v>603</v>
      </c>
      <c r="K88" s="11" t="s">
        <v>110</v>
      </c>
      <c r="L88" s="23">
        <v>970387263</v>
      </c>
      <c r="M88" s="14">
        <v>262154054</v>
      </c>
      <c r="N88" s="14">
        <v>708233209</v>
      </c>
      <c r="O88" s="14">
        <v>1283527751</v>
      </c>
      <c r="P88" s="14">
        <v>140978130</v>
      </c>
      <c r="Q88" s="14">
        <v>164027486</v>
      </c>
      <c r="R88" s="14">
        <v>128769206</v>
      </c>
      <c r="AB88" s="74">
        <f t="shared" si="138"/>
        <v>0</v>
      </c>
      <c r="AC88" s="75" t="e">
        <f t="shared" si="114"/>
        <v>#DIV/0!</v>
      </c>
      <c r="AD88" s="75" t="e">
        <f t="shared" si="139"/>
        <v>#DIV/0!</v>
      </c>
      <c r="AE88" s="76" t="e">
        <f t="shared" si="142"/>
        <v>#DIV/0!</v>
      </c>
      <c r="AF88" s="77" t="e">
        <f t="shared" si="115"/>
        <v>#DIV/0!</v>
      </c>
      <c r="AG88" s="77" t="e">
        <f t="shared" si="116"/>
        <v>#DIV/0!</v>
      </c>
      <c r="AH88" s="77" t="e">
        <f t="shared" si="140"/>
        <v>#DIV/0!</v>
      </c>
      <c r="AI88" s="78" t="e">
        <f t="shared" si="141"/>
        <v>#DIV/0!</v>
      </c>
      <c r="AJ88" s="79" t="e">
        <f t="shared" si="143"/>
        <v>#DIV/0!</v>
      </c>
      <c r="AN88" s="81">
        <f t="shared" si="101"/>
        <v>0</v>
      </c>
      <c r="AO88" s="82" t="e">
        <f t="shared" si="102"/>
        <v>#DIV/0!</v>
      </c>
      <c r="AP88" s="83" t="e">
        <f t="shared" si="117"/>
        <v>#DIV/0!</v>
      </c>
      <c r="AQ88" s="84" t="e">
        <f t="shared" si="144"/>
        <v>#DIV/0!</v>
      </c>
      <c r="AS88" s="86">
        <f t="shared" si="103"/>
        <v>0.25</v>
      </c>
      <c r="AT88" s="87">
        <f t="shared" si="118"/>
        <v>0</v>
      </c>
      <c r="AU88" s="87">
        <f t="shared" si="119"/>
        <v>0</v>
      </c>
      <c r="AV88" s="88" t="e">
        <f t="shared" si="104"/>
        <v>#DIV/0!</v>
      </c>
      <c r="AW88" s="78" t="e">
        <f t="shared" si="120"/>
        <v>#DIV/0!</v>
      </c>
      <c r="AX88" s="89" t="e">
        <f t="shared" si="145"/>
        <v>#DIV/0!</v>
      </c>
      <c r="BA88" s="91">
        <f t="shared" si="105"/>
        <v>0</v>
      </c>
      <c r="BB88" s="77" t="e">
        <f t="shared" si="121"/>
        <v>#DIV/0!</v>
      </c>
      <c r="BC88" s="78" t="e">
        <f t="shared" si="122"/>
        <v>#DIV/0!</v>
      </c>
      <c r="BD88" s="79" t="e">
        <f t="shared" si="146"/>
        <v>#DIV/0!</v>
      </c>
      <c r="BE88" s="92"/>
      <c r="BF88" s="92"/>
      <c r="BG88" s="114">
        <v>797448</v>
      </c>
      <c r="BH88" s="94">
        <f t="shared" si="106"/>
        <v>0</v>
      </c>
      <c r="BI88" s="77" t="e">
        <f t="shared" si="107"/>
        <v>#DIV/0!</v>
      </c>
      <c r="BJ88" s="95" t="str">
        <f t="shared" si="123"/>
        <v>금속/비금속/화학업</v>
      </c>
      <c r="BK88" s="96" t="e">
        <f t="shared" si="108"/>
        <v>#DIV/0!</v>
      </c>
      <c r="BL88" s="97" t="e">
        <f t="shared" si="124"/>
        <v>#DIV/0!</v>
      </c>
      <c r="BM88" s="98" t="e">
        <f t="shared" si="125"/>
        <v>#DIV/0!</v>
      </c>
      <c r="BN88" s="99" t="e">
        <f t="shared" si="126"/>
        <v>#DIV/0!</v>
      </c>
      <c r="BP88" s="101">
        <f t="shared" si="127"/>
        <v>0</v>
      </c>
      <c r="BQ88" s="78">
        <f t="shared" si="128"/>
        <v>25</v>
      </c>
      <c r="BR88" s="79">
        <f t="shared" si="147"/>
        <v>0.5</v>
      </c>
      <c r="BS88" s="102"/>
      <c r="BT88" s="102"/>
      <c r="BU88" s="103">
        <f t="shared" si="129"/>
        <v>0</v>
      </c>
      <c r="BV88" s="77">
        <f t="shared" si="109"/>
        <v>0</v>
      </c>
      <c r="BW88" s="96">
        <f t="shared" si="110"/>
        <v>0</v>
      </c>
      <c r="BX88" s="96">
        <f t="shared" si="130"/>
        <v>0</v>
      </c>
      <c r="BY88" s="96">
        <f t="shared" si="111"/>
        <v>0</v>
      </c>
      <c r="BZ88" s="96" t="e">
        <f t="shared" si="131"/>
        <v>#NUM!</v>
      </c>
      <c r="CA88" s="96" t="e">
        <f t="shared" si="112"/>
        <v>#NUM!</v>
      </c>
      <c r="CB88" s="104" t="e">
        <f t="shared" si="132"/>
        <v>#NUM!</v>
      </c>
      <c r="CC88" s="105">
        <f t="shared" si="148"/>
        <v>37.015216268967698</v>
      </c>
      <c r="CD88" s="106">
        <f t="shared" si="149"/>
        <v>86.426426029283533</v>
      </c>
      <c r="CE88" s="107">
        <f t="shared" si="150"/>
        <v>1.296396390439253</v>
      </c>
      <c r="CF88" s="108" t="s">
        <v>2189</v>
      </c>
      <c r="CG88" s="108" t="s">
        <v>2189</v>
      </c>
      <c r="CH88" s="108" t="s">
        <v>2189</v>
      </c>
      <c r="CI88" s="108" t="s">
        <v>2189</v>
      </c>
      <c r="CJ88" s="109"/>
      <c r="CM88" s="111">
        <f t="shared" si="133"/>
        <v>25</v>
      </c>
      <c r="CN88" s="107">
        <f t="shared" si="151"/>
        <v>0.375</v>
      </c>
      <c r="CP88" s="88">
        <f t="shared" si="134"/>
        <v>0</v>
      </c>
      <c r="CQ88" s="78">
        <f t="shared" si="135"/>
        <v>100</v>
      </c>
      <c r="CR88" s="79">
        <f t="shared" si="152"/>
        <v>3</v>
      </c>
      <c r="CS88" s="92"/>
      <c r="CT88" s="77">
        <f t="shared" si="113"/>
        <v>0</v>
      </c>
      <c r="CU88" s="78">
        <f t="shared" si="136"/>
        <v>100</v>
      </c>
      <c r="CV88" s="79">
        <f t="shared" si="153"/>
        <v>2</v>
      </c>
      <c r="CW88" s="112" t="e">
        <f t="shared" si="137"/>
        <v>#DIV/0!</v>
      </c>
    </row>
    <row r="89" spans="1:101" x14ac:dyDescent="0.35">
      <c r="A89" s="7" t="s">
        <v>604</v>
      </c>
      <c r="B89" s="8" t="s">
        <v>605</v>
      </c>
      <c r="C89" s="21" t="s">
        <v>606</v>
      </c>
      <c r="D89" s="10" t="s">
        <v>31</v>
      </c>
      <c r="E89" s="11" t="s">
        <v>404</v>
      </c>
      <c r="F89" s="11" t="s">
        <v>607</v>
      </c>
      <c r="G89" s="12">
        <v>25897</v>
      </c>
      <c r="H89" s="11" t="s">
        <v>24</v>
      </c>
      <c r="I89" s="11" t="s">
        <v>608</v>
      </c>
      <c r="J89" s="11" t="s">
        <v>609</v>
      </c>
      <c r="K89" s="11" t="s">
        <v>27</v>
      </c>
      <c r="L89" s="23">
        <v>891133540</v>
      </c>
      <c r="M89" s="14">
        <v>131474747</v>
      </c>
      <c r="N89" s="14">
        <v>759658793</v>
      </c>
      <c r="O89" s="14">
        <v>462786649</v>
      </c>
      <c r="P89" s="14">
        <v>21452774</v>
      </c>
      <c r="Q89" s="14">
        <v>31309680</v>
      </c>
      <c r="R89" s="14">
        <v>23472409</v>
      </c>
      <c r="AB89" s="74">
        <f t="shared" si="138"/>
        <v>0</v>
      </c>
      <c r="AC89" s="75" t="e">
        <f t="shared" si="114"/>
        <v>#DIV/0!</v>
      </c>
      <c r="AD89" s="75" t="e">
        <f t="shared" si="139"/>
        <v>#DIV/0!</v>
      </c>
      <c r="AE89" s="76" t="e">
        <f t="shared" si="142"/>
        <v>#DIV/0!</v>
      </c>
      <c r="AF89" s="77" t="e">
        <f t="shared" si="115"/>
        <v>#DIV/0!</v>
      </c>
      <c r="AG89" s="77" t="e">
        <f t="shared" si="116"/>
        <v>#DIV/0!</v>
      </c>
      <c r="AH89" s="77" t="e">
        <f t="shared" si="140"/>
        <v>#DIV/0!</v>
      </c>
      <c r="AI89" s="78" t="e">
        <f t="shared" si="141"/>
        <v>#DIV/0!</v>
      </c>
      <c r="AJ89" s="79" t="e">
        <f t="shared" si="143"/>
        <v>#DIV/0!</v>
      </c>
      <c r="AN89" s="81">
        <f t="shared" si="101"/>
        <v>0</v>
      </c>
      <c r="AO89" s="82" t="e">
        <f t="shared" si="102"/>
        <v>#DIV/0!</v>
      </c>
      <c r="AP89" s="83" t="e">
        <f t="shared" si="117"/>
        <v>#DIV/0!</v>
      </c>
      <c r="AQ89" s="84" t="e">
        <f t="shared" si="144"/>
        <v>#DIV/0!</v>
      </c>
      <c r="AS89" s="86">
        <f t="shared" si="103"/>
        <v>0.25</v>
      </c>
      <c r="AT89" s="87">
        <f t="shared" si="118"/>
        <v>0</v>
      </c>
      <c r="AU89" s="87">
        <f t="shared" si="119"/>
        <v>0</v>
      </c>
      <c r="AV89" s="88" t="e">
        <f t="shared" si="104"/>
        <v>#DIV/0!</v>
      </c>
      <c r="AW89" s="78" t="e">
        <f t="shared" si="120"/>
        <v>#DIV/0!</v>
      </c>
      <c r="AX89" s="89" t="e">
        <f t="shared" si="145"/>
        <v>#DIV/0!</v>
      </c>
      <c r="BA89" s="91">
        <f t="shared" si="105"/>
        <v>0</v>
      </c>
      <c r="BB89" s="77" t="e">
        <f t="shared" si="121"/>
        <v>#DIV/0!</v>
      </c>
      <c r="BC89" s="78" t="e">
        <f t="shared" si="122"/>
        <v>#DIV/0!</v>
      </c>
      <c r="BD89" s="79" t="e">
        <f t="shared" si="146"/>
        <v>#DIV/0!</v>
      </c>
      <c r="BE89" s="92"/>
      <c r="BF89" s="92"/>
      <c r="BG89" s="114">
        <v>842909</v>
      </c>
      <c r="BH89" s="94">
        <f t="shared" si="106"/>
        <v>0</v>
      </c>
      <c r="BI89" s="77" t="e">
        <f t="shared" si="107"/>
        <v>#DIV/0!</v>
      </c>
      <c r="BJ89" s="95" t="str">
        <f t="shared" si="123"/>
        <v>식약/섬유/종이업</v>
      </c>
      <c r="BK89" s="96" t="e">
        <f t="shared" si="108"/>
        <v>#DIV/0!</v>
      </c>
      <c r="BL89" s="97" t="e">
        <f t="shared" si="124"/>
        <v>#DIV/0!</v>
      </c>
      <c r="BM89" s="98" t="e">
        <f t="shared" si="125"/>
        <v>#DIV/0!</v>
      </c>
      <c r="BN89" s="99" t="e">
        <f t="shared" si="126"/>
        <v>#DIV/0!</v>
      </c>
      <c r="BP89" s="101">
        <f t="shared" si="127"/>
        <v>0</v>
      </c>
      <c r="BQ89" s="78">
        <f t="shared" si="128"/>
        <v>25</v>
      </c>
      <c r="BR89" s="79">
        <f t="shared" si="147"/>
        <v>0.5</v>
      </c>
      <c r="BS89" s="102"/>
      <c r="BT89" s="102"/>
      <c r="BU89" s="103">
        <f t="shared" si="129"/>
        <v>0</v>
      </c>
      <c r="BV89" s="77">
        <f t="shared" si="109"/>
        <v>0</v>
      </c>
      <c r="BW89" s="96">
        <f t="shared" si="110"/>
        <v>0</v>
      </c>
      <c r="BX89" s="96">
        <f t="shared" si="130"/>
        <v>0</v>
      </c>
      <c r="BY89" s="96">
        <f t="shared" si="111"/>
        <v>0</v>
      </c>
      <c r="BZ89" s="96" t="e">
        <f t="shared" si="131"/>
        <v>#NUM!</v>
      </c>
      <c r="CA89" s="96" t="e">
        <f t="shared" si="112"/>
        <v>#NUM!</v>
      </c>
      <c r="CB89" s="104" t="e">
        <f t="shared" si="132"/>
        <v>#NUM!</v>
      </c>
      <c r="CC89" s="105">
        <f t="shared" si="148"/>
        <v>17.307078942743178</v>
      </c>
      <c r="CD89" s="106">
        <f t="shared" si="149"/>
        <v>93.854115976353071</v>
      </c>
      <c r="CE89" s="107">
        <f t="shared" si="150"/>
        <v>1.407811739645296</v>
      </c>
      <c r="CF89" s="108" t="s">
        <v>2189</v>
      </c>
      <c r="CG89" s="108" t="s">
        <v>2189</v>
      </c>
      <c r="CH89" s="108" t="s">
        <v>2189</v>
      </c>
      <c r="CI89" s="108" t="s">
        <v>2189</v>
      </c>
      <c r="CJ89" s="109"/>
      <c r="CM89" s="111">
        <f t="shared" si="133"/>
        <v>25</v>
      </c>
      <c r="CN89" s="107">
        <f t="shared" si="151"/>
        <v>0.375</v>
      </c>
      <c r="CP89" s="88">
        <f t="shared" si="134"/>
        <v>0</v>
      </c>
      <c r="CQ89" s="78">
        <f t="shared" si="135"/>
        <v>100</v>
      </c>
      <c r="CR89" s="79">
        <f t="shared" si="152"/>
        <v>3</v>
      </c>
      <c r="CS89" s="92"/>
      <c r="CT89" s="77">
        <f t="shared" si="113"/>
        <v>0</v>
      </c>
      <c r="CU89" s="78">
        <f t="shared" si="136"/>
        <v>100</v>
      </c>
      <c r="CV89" s="79">
        <f t="shared" si="153"/>
        <v>2</v>
      </c>
      <c r="CW89" s="112" t="e">
        <f t="shared" si="137"/>
        <v>#DIV/0!</v>
      </c>
    </row>
    <row r="90" spans="1:101" x14ac:dyDescent="0.35">
      <c r="A90" s="7" t="s">
        <v>610</v>
      </c>
      <c r="B90" s="8" t="s">
        <v>611</v>
      </c>
      <c r="C90" s="21" t="s">
        <v>612</v>
      </c>
      <c r="D90" s="22" t="s">
        <v>31</v>
      </c>
      <c r="E90" s="11" t="s">
        <v>613</v>
      </c>
      <c r="F90" s="11" t="s">
        <v>614</v>
      </c>
      <c r="G90" s="12">
        <v>31404</v>
      </c>
      <c r="H90" s="11" t="s">
        <v>24</v>
      </c>
      <c r="I90" s="11" t="s">
        <v>615</v>
      </c>
      <c r="J90" s="11" t="s">
        <v>616</v>
      </c>
      <c r="K90" s="11" t="s">
        <v>27</v>
      </c>
      <c r="L90" s="23">
        <v>836764532</v>
      </c>
      <c r="M90" s="14">
        <v>122779865</v>
      </c>
      <c r="N90" s="14">
        <v>713984667</v>
      </c>
      <c r="O90" s="14">
        <v>150864212</v>
      </c>
      <c r="P90" s="14">
        <v>6382962</v>
      </c>
      <c r="Q90" s="14">
        <v>23763677</v>
      </c>
      <c r="R90" s="14">
        <v>33439084</v>
      </c>
      <c r="AB90" s="74">
        <f t="shared" si="138"/>
        <v>0</v>
      </c>
      <c r="AC90" s="75" t="e">
        <f t="shared" si="114"/>
        <v>#DIV/0!</v>
      </c>
      <c r="AD90" s="75" t="e">
        <f t="shared" si="139"/>
        <v>#DIV/0!</v>
      </c>
      <c r="AE90" s="76" t="e">
        <f t="shared" si="142"/>
        <v>#DIV/0!</v>
      </c>
      <c r="AF90" s="77" t="e">
        <f t="shared" si="115"/>
        <v>#DIV/0!</v>
      </c>
      <c r="AG90" s="77" t="e">
        <f t="shared" si="116"/>
        <v>#DIV/0!</v>
      </c>
      <c r="AH90" s="77" t="e">
        <f t="shared" si="140"/>
        <v>#DIV/0!</v>
      </c>
      <c r="AI90" s="78" t="e">
        <f t="shared" si="141"/>
        <v>#DIV/0!</v>
      </c>
      <c r="AJ90" s="79" t="e">
        <f t="shared" si="143"/>
        <v>#DIV/0!</v>
      </c>
      <c r="AN90" s="81">
        <f t="shared" si="101"/>
        <v>0</v>
      </c>
      <c r="AO90" s="82" t="e">
        <f t="shared" si="102"/>
        <v>#DIV/0!</v>
      </c>
      <c r="AP90" s="83" t="e">
        <f t="shared" si="117"/>
        <v>#DIV/0!</v>
      </c>
      <c r="AQ90" s="84" t="e">
        <f t="shared" si="144"/>
        <v>#DIV/0!</v>
      </c>
      <c r="AS90" s="86">
        <f t="shared" si="103"/>
        <v>0.25</v>
      </c>
      <c r="AT90" s="87">
        <f t="shared" si="118"/>
        <v>0</v>
      </c>
      <c r="AU90" s="87">
        <f t="shared" si="119"/>
        <v>0</v>
      </c>
      <c r="AV90" s="88" t="e">
        <f t="shared" si="104"/>
        <v>#DIV/0!</v>
      </c>
      <c r="AW90" s="78" t="e">
        <f t="shared" si="120"/>
        <v>#DIV/0!</v>
      </c>
      <c r="AX90" s="89" t="e">
        <f t="shared" si="145"/>
        <v>#DIV/0!</v>
      </c>
      <c r="BA90" s="91">
        <f t="shared" si="105"/>
        <v>0</v>
      </c>
      <c r="BB90" s="77" t="e">
        <f t="shared" si="121"/>
        <v>#DIV/0!</v>
      </c>
      <c r="BC90" s="78" t="e">
        <f t="shared" si="122"/>
        <v>#DIV/0!</v>
      </c>
      <c r="BD90" s="79" t="e">
        <f t="shared" si="146"/>
        <v>#DIV/0!</v>
      </c>
      <c r="BE90" s="92"/>
      <c r="BF90" s="92"/>
      <c r="BG90" s="114">
        <v>79374</v>
      </c>
      <c r="BH90" s="94">
        <f t="shared" si="106"/>
        <v>0</v>
      </c>
      <c r="BI90" s="77" t="e">
        <f t="shared" si="107"/>
        <v>#DIV/0!</v>
      </c>
      <c r="BJ90" s="95" t="str">
        <f t="shared" si="123"/>
        <v>식약/섬유/종이업</v>
      </c>
      <c r="BK90" s="96" t="e">
        <f t="shared" si="108"/>
        <v>#DIV/0!</v>
      </c>
      <c r="BL90" s="97" t="e">
        <f t="shared" si="124"/>
        <v>#DIV/0!</v>
      </c>
      <c r="BM90" s="98" t="e">
        <f t="shared" si="125"/>
        <v>#DIV/0!</v>
      </c>
      <c r="BN90" s="99" t="e">
        <f t="shared" si="126"/>
        <v>#DIV/0!</v>
      </c>
      <c r="BP90" s="101">
        <f t="shared" si="127"/>
        <v>0</v>
      </c>
      <c r="BQ90" s="78">
        <f t="shared" si="128"/>
        <v>25</v>
      </c>
      <c r="BR90" s="79">
        <f t="shared" si="147"/>
        <v>0.5</v>
      </c>
      <c r="BS90" s="102"/>
      <c r="BT90" s="102"/>
      <c r="BU90" s="103">
        <f t="shared" si="129"/>
        <v>0</v>
      </c>
      <c r="BV90" s="77">
        <f t="shared" si="109"/>
        <v>0</v>
      </c>
      <c r="BW90" s="96">
        <f t="shared" si="110"/>
        <v>0</v>
      </c>
      <c r="BX90" s="96">
        <f t="shared" si="130"/>
        <v>0</v>
      </c>
      <c r="BY90" s="96">
        <f t="shared" si="111"/>
        <v>0</v>
      </c>
      <c r="BZ90" s="96" t="e">
        <f t="shared" si="131"/>
        <v>#NUM!</v>
      </c>
      <c r="CA90" s="96" t="e">
        <f t="shared" si="112"/>
        <v>#NUM!</v>
      </c>
      <c r="CB90" s="104" t="e">
        <f t="shared" si="132"/>
        <v>#NUM!</v>
      </c>
      <c r="CC90" s="105">
        <f t="shared" si="148"/>
        <v>17.196428813505598</v>
      </c>
      <c r="CD90" s="106">
        <f t="shared" si="149"/>
        <v>93.895818286367231</v>
      </c>
      <c r="CE90" s="107">
        <f t="shared" si="150"/>
        <v>1.4084372742955085</v>
      </c>
      <c r="CF90" s="108" t="s">
        <v>2189</v>
      </c>
      <c r="CG90" s="108" t="s">
        <v>2189</v>
      </c>
      <c r="CH90" s="108" t="s">
        <v>2189</v>
      </c>
      <c r="CI90" s="108" t="s">
        <v>2189</v>
      </c>
      <c r="CJ90" s="109"/>
      <c r="CM90" s="111">
        <f t="shared" si="133"/>
        <v>25</v>
      </c>
      <c r="CN90" s="107">
        <f t="shared" si="151"/>
        <v>0.375</v>
      </c>
      <c r="CP90" s="88">
        <f t="shared" si="134"/>
        <v>0</v>
      </c>
      <c r="CQ90" s="78">
        <f t="shared" si="135"/>
        <v>100</v>
      </c>
      <c r="CR90" s="79">
        <f t="shared" si="152"/>
        <v>3</v>
      </c>
      <c r="CS90" s="92"/>
      <c r="CT90" s="77">
        <f t="shared" si="113"/>
        <v>0</v>
      </c>
      <c r="CU90" s="78">
        <f t="shared" si="136"/>
        <v>100</v>
      </c>
      <c r="CV90" s="79">
        <f t="shared" si="153"/>
        <v>2</v>
      </c>
      <c r="CW90" s="112" t="e">
        <f t="shared" si="137"/>
        <v>#DIV/0!</v>
      </c>
    </row>
    <row r="91" spans="1:101" x14ac:dyDescent="0.35">
      <c r="A91" s="7" t="s">
        <v>617</v>
      </c>
      <c r="B91" s="8" t="s">
        <v>618</v>
      </c>
      <c r="C91" s="21" t="s">
        <v>619</v>
      </c>
      <c r="D91" s="10" t="s">
        <v>31</v>
      </c>
      <c r="E91" s="11" t="s">
        <v>32</v>
      </c>
      <c r="F91" s="11" t="s">
        <v>620</v>
      </c>
      <c r="G91" s="12">
        <v>33136</v>
      </c>
      <c r="H91" s="11" t="s">
        <v>24</v>
      </c>
      <c r="I91" s="11" t="s">
        <v>621</v>
      </c>
      <c r="J91" s="11" t="s">
        <v>622</v>
      </c>
      <c r="K91" s="11" t="s">
        <v>27</v>
      </c>
      <c r="L91" s="23">
        <v>297649820</v>
      </c>
      <c r="M91" s="14">
        <v>54998742</v>
      </c>
      <c r="N91" s="14">
        <v>242651079</v>
      </c>
      <c r="O91" s="14">
        <v>319305280</v>
      </c>
      <c r="P91" s="14">
        <v>30195182</v>
      </c>
      <c r="Q91" s="14">
        <v>31995216</v>
      </c>
      <c r="R91" s="14">
        <v>25431135</v>
      </c>
      <c r="AB91" s="74">
        <f t="shared" si="138"/>
        <v>0</v>
      </c>
      <c r="AC91" s="75" t="e">
        <f t="shared" si="114"/>
        <v>#DIV/0!</v>
      </c>
      <c r="AD91" s="75" t="e">
        <f t="shared" si="139"/>
        <v>#DIV/0!</v>
      </c>
      <c r="AE91" s="76" t="e">
        <f t="shared" si="142"/>
        <v>#DIV/0!</v>
      </c>
      <c r="AF91" s="77" t="e">
        <f t="shared" si="115"/>
        <v>#DIV/0!</v>
      </c>
      <c r="AG91" s="77" t="e">
        <f t="shared" si="116"/>
        <v>#DIV/0!</v>
      </c>
      <c r="AH91" s="77" t="e">
        <f t="shared" si="140"/>
        <v>#DIV/0!</v>
      </c>
      <c r="AI91" s="78" t="e">
        <f t="shared" si="141"/>
        <v>#DIV/0!</v>
      </c>
      <c r="AJ91" s="79" t="e">
        <f t="shared" si="143"/>
        <v>#DIV/0!</v>
      </c>
      <c r="AN91" s="81">
        <f t="shared" si="101"/>
        <v>0</v>
      </c>
      <c r="AO91" s="82" t="e">
        <f t="shared" si="102"/>
        <v>#DIV/0!</v>
      </c>
      <c r="AP91" s="83" t="e">
        <f t="shared" si="117"/>
        <v>#DIV/0!</v>
      </c>
      <c r="AQ91" s="84" t="e">
        <f t="shared" si="144"/>
        <v>#DIV/0!</v>
      </c>
      <c r="AS91" s="86">
        <f t="shared" si="103"/>
        <v>0.25</v>
      </c>
      <c r="AT91" s="87">
        <f t="shared" si="118"/>
        <v>0</v>
      </c>
      <c r="AU91" s="87">
        <f t="shared" si="119"/>
        <v>0</v>
      </c>
      <c r="AV91" s="88" t="e">
        <f t="shared" si="104"/>
        <v>#DIV/0!</v>
      </c>
      <c r="AW91" s="78" t="e">
        <f t="shared" si="120"/>
        <v>#DIV/0!</v>
      </c>
      <c r="AX91" s="89" t="e">
        <f t="shared" si="145"/>
        <v>#DIV/0!</v>
      </c>
      <c r="BA91" s="91">
        <f t="shared" si="105"/>
        <v>0</v>
      </c>
      <c r="BB91" s="77" t="e">
        <f t="shared" si="121"/>
        <v>#DIV/0!</v>
      </c>
      <c r="BC91" s="78" t="e">
        <f t="shared" si="122"/>
        <v>#DIV/0!</v>
      </c>
      <c r="BD91" s="79" t="e">
        <f t="shared" si="146"/>
        <v>#DIV/0!</v>
      </c>
      <c r="BE91" s="92"/>
      <c r="BF91" s="92"/>
      <c r="BG91" s="93">
        <v>0</v>
      </c>
      <c r="BH91" s="94">
        <f t="shared" si="106"/>
        <v>0</v>
      </c>
      <c r="BI91" s="77" t="e">
        <f t="shared" si="107"/>
        <v>#DIV/0!</v>
      </c>
      <c r="BJ91" s="95" t="str">
        <f t="shared" si="123"/>
        <v>식약/섬유/종이업</v>
      </c>
      <c r="BK91" s="96" t="e">
        <f t="shared" si="108"/>
        <v>#DIV/0!</v>
      </c>
      <c r="BL91" s="97" t="e">
        <f t="shared" si="124"/>
        <v>#DIV/0!</v>
      </c>
      <c r="BM91" s="98" t="e">
        <f t="shared" si="125"/>
        <v>#DIV/0!</v>
      </c>
      <c r="BN91" s="99" t="e">
        <f t="shared" si="126"/>
        <v>#DIV/0!</v>
      </c>
      <c r="BP91" s="101">
        <f t="shared" si="127"/>
        <v>0</v>
      </c>
      <c r="BQ91" s="78">
        <f t="shared" si="128"/>
        <v>25</v>
      </c>
      <c r="BR91" s="79">
        <f t="shared" si="147"/>
        <v>0.5</v>
      </c>
      <c r="BS91" s="102"/>
      <c r="BT91" s="102"/>
      <c r="BU91" s="103">
        <f t="shared" si="129"/>
        <v>0</v>
      </c>
      <c r="BV91" s="77">
        <f t="shared" si="109"/>
        <v>0</v>
      </c>
      <c r="BW91" s="96">
        <f t="shared" si="110"/>
        <v>0</v>
      </c>
      <c r="BX91" s="96">
        <f t="shared" si="130"/>
        <v>0</v>
      </c>
      <c r="BY91" s="96">
        <f t="shared" si="111"/>
        <v>0</v>
      </c>
      <c r="BZ91" s="96" t="e">
        <f t="shared" si="131"/>
        <v>#NUM!</v>
      </c>
      <c r="CA91" s="96" t="e">
        <f t="shared" si="112"/>
        <v>#NUM!</v>
      </c>
      <c r="CB91" s="104" t="e">
        <f t="shared" si="132"/>
        <v>#NUM!</v>
      </c>
      <c r="CC91" s="105">
        <f t="shared" si="148"/>
        <v>22.665772691659864</v>
      </c>
      <c r="CD91" s="106">
        <f t="shared" si="149"/>
        <v>91.834507779525183</v>
      </c>
      <c r="CE91" s="107">
        <f t="shared" si="150"/>
        <v>1.3775176166928778</v>
      </c>
      <c r="CF91" s="108" t="s">
        <v>2189</v>
      </c>
      <c r="CG91" s="108" t="s">
        <v>2189</v>
      </c>
      <c r="CH91" s="108" t="s">
        <v>2189</v>
      </c>
      <c r="CI91" s="108" t="s">
        <v>2189</v>
      </c>
      <c r="CJ91" s="109"/>
      <c r="CM91" s="111">
        <f t="shared" si="133"/>
        <v>25</v>
      </c>
      <c r="CN91" s="107">
        <f t="shared" si="151"/>
        <v>0.375</v>
      </c>
      <c r="CP91" s="88">
        <f t="shared" si="134"/>
        <v>0</v>
      </c>
      <c r="CQ91" s="78">
        <f t="shared" si="135"/>
        <v>100</v>
      </c>
      <c r="CR91" s="79">
        <f t="shared" si="152"/>
        <v>3</v>
      </c>
      <c r="CS91" s="92"/>
      <c r="CT91" s="77">
        <f t="shared" si="113"/>
        <v>0</v>
      </c>
      <c r="CU91" s="78">
        <f t="shared" si="136"/>
        <v>100</v>
      </c>
      <c r="CV91" s="79">
        <f t="shared" si="153"/>
        <v>2</v>
      </c>
      <c r="CW91" s="112" t="e">
        <f t="shared" si="137"/>
        <v>#DIV/0!</v>
      </c>
    </row>
    <row r="92" spans="1:101" x14ac:dyDescent="0.35">
      <c r="A92" s="7" t="s">
        <v>623</v>
      </c>
      <c r="B92" s="8" t="s">
        <v>624</v>
      </c>
      <c r="C92" s="21" t="s">
        <v>625</v>
      </c>
      <c r="D92" s="10" t="s">
        <v>21</v>
      </c>
      <c r="E92" s="11" t="s">
        <v>60</v>
      </c>
      <c r="F92" s="11" t="s">
        <v>626</v>
      </c>
      <c r="G92" s="12">
        <v>32444</v>
      </c>
      <c r="H92" s="11" t="s">
        <v>24</v>
      </c>
      <c r="I92" s="11" t="s">
        <v>627</v>
      </c>
      <c r="J92" s="11" t="s">
        <v>628</v>
      </c>
      <c r="K92" s="11" t="s">
        <v>629</v>
      </c>
      <c r="L92" s="23">
        <v>823154130</v>
      </c>
      <c r="M92" s="14">
        <v>397729314</v>
      </c>
      <c r="N92" s="14">
        <v>425424816</v>
      </c>
      <c r="O92" s="14">
        <v>297680162</v>
      </c>
      <c r="P92" s="14">
        <v>45164807</v>
      </c>
      <c r="Q92" s="14">
        <v>31718775</v>
      </c>
      <c r="R92" s="14">
        <v>23212712</v>
      </c>
      <c r="AB92" s="74">
        <f t="shared" si="138"/>
        <v>0</v>
      </c>
      <c r="AC92" s="75" t="e">
        <f t="shared" si="114"/>
        <v>#DIV/0!</v>
      </c>
      <c r="AD92" s="75" t="e">
        <f t="shared" si="139"/>
        <v>#DIV/0!</v>
      </c>
      <c r="AE92" s="76" t="e">
        <f t="shared" si="142"/>
        <v>#DIV/0!</v>
      </c>
      <c r="AF92" s="77" t="e">
        <f t="shared" si="115"/>
        <v>#DIV/0!</v>
      </c>
      <c r="AG92" s="77" t="e">
        <f t="shared" si="116"/>
        <v>#DIV/0!</v>
      </c>
      <c r="AH92" s="77" t="e">
        <f t="shared" si="140"/>
        <v>#DIV/0!</v>
      </c>
      <c r="AI92" s="78" t="e">
        <f t="shared" si="141"/>
        <v>#DIV/0!</v>
      </c>
      <c r="AJ92" s="79" t="e">
        <f t="shared" si="143"/>
        <v>#DIV/0!</v>
      </c>
      <c r="AN92" s="81">
        <f t="shared" si="101"/>
        <v>0</v>
      </c>
      <c r="AO92" s="82" t="e">
        <f t="shared" si="102"/>
        <v>#DIV/0!</v>
      </c>
      <c r="AP92" s="83" t="e">
        <f t="shared" si="117"/>
        <v>#DIV/0!</v>
      </c>
      <c r="AQ92" s="84" t="e">
        <f t="shared" si="144"/>
        <v>#DIV/0!</v>
      </c>
      <c r="AS92" s="86">
        <f t="shared" si="103"/>
        <v>0.25</v>
      </c>
      <c r="AT92" s="87">
        <f t="shared" si="118"/>
        <v>0</v>
      </c>
      <c r="AU92" s="87">
        <f t="shared" si="119"/>
        <v>0</v>
      </c>
      <c r="AV92" s="88" t="e">
        <f t="shared" si="104"/>
        <v>#DIV/0!</v>
      </c>
      <c r="AW92" s="78" t="e">
        <f t="shared" si="120"/>
        <v>#DIV/0!</v>
      </c>
      <c r="AX92" s="89" t="e">
        <f t="shared" si="145"/>
        <v>#DIV/0!</v>
      </c>
      <c r="BA92" s="91">
        <f t="shared" si="105"/>
        <v>0</v>
      </c>
      <c r="BB92" s="77" t="e">
        <f t="shared" si="121"/>
        <v>#DIV/0!</v>
      </c>
      <c r="BC92" s="78" t="e">
        <f t="shared" si="122"/>
        <v>#DIV/0!</v>
      </c>
      <c r="BD92" s="79" t="e">
        <f t="shared" si="146"/>
        <v>#DIV/0!</v>
      </c>
      <c r="BE92" s="92"/>
      <c r="BF92" s="92"/>
      <c r="BG92" s="114">
        <v>1412666</v>
      </c>
      <c r="BH92" s="94">
        <f t="shared" si="106"/>
        <v>0</v>
      </c>
      <c r="BI92" s="77" t="e">
        <f t="shared" si="107"/>
        <v>#DIV/0!</v>
      </c>
      <c r="BJ92" s="95" t="str">
        <f t="shared" si="123"/>
        <v>비제조/서비스업</v>
      </c>
      <c r="BK92" s="96" t="e">
        <f t="shared" si="108"/>
        <v>#DIV/0!</v>
      </c>
      <c r="BL92" s="97" t="e">
        <f t="shared" si="124"/>
        <v>#DIV/0!</v>
      </c>
      <c r="BM92" s="98" t="e">
        <f t="shared" si="125"/>
        <v>#DIV/0!</v>
      </c>
      <c r="BN92" s="99" t="e">
        <f t="shared" si="126"/>
        <v>#DIV/0!</v>
      </c>
      <c r="BP92" s="101">
        <f t="shared" si="127"/>
        <v>0</v>
      </c>
      <c r="BQ92" s="78">
        <f t="shared" si="128"/>
        <v>25</v>
      </c>
      <c r="BR92" s="79">
        <f t="shared" si="147"/>
        <v>0.5</v>
      </c>
      <c r="BS92" s="102"/>
      <c r="BT92" s="102"/>
      <c r="BU92" s="103">
        <f t="shared" si="129"/>
        <v>0</v>
      </c>
      <c r="BV92" s="77">
        <f t="shared" si="109"/>
        <v>0</v>
      </c>
      <c r="BW92" s="96">
        <f t="shared" si="110"/>
        <v>0</v>
      </c>
      <c r="BX92" s="96">
        <f t="shared" si="130"/>
        <v>0</v>
      </c>
      <c r="BY92" s="96">
        <f t="shared" si="111"/>
        <v>0</v>
      </c>
      <c r="BZ92" s="96" t="e">
        <f t="shared" si="131"/>
        <v>#NUM!</v>
      </c>
      <c r="CA92" s="96" t="e">
        <f t="shared" si="112"/>
        <v>#NUM!</v>
      </c>
      <c r="CB92" s="104" t="e">
        <f t="shared" si="132"/>
        <v>#NUM!</v>
      </c>
      <c r="CC92" s="105">
        <f t="shared" si="148"/>
        <v>93.489918557078255</v>
      </c>
      <c r="CD92" s="106">
        <f t="shared" si="149"/>
        <v>65.141990493563469</v>
      </c>
      <c r="CE92" s="107">
        <f t="shared" si="150"/>
        <v>0.97712985740345204</v>
      </c>
      <c r="CF92" s="108" t="s">
        <v>2189</v>
      </c>
      <c r="CG92" s="108" t="s">
        <v>2189</v>
      </c>
      <c r="CH92" s="108" t="s">
        <v>2189</v>
      </c>
      <c r="CI92" s="108" t="s">
        <v>2189</v>
      </c>
      <c r="CJ92" s="109"/>
      <c r="CM92" s="111">
        <f t="shared" si="133"/>
        <v>25</v>
      </c>
      <c r="CN92" s="107">
        <f t="shared" si="151"/>
        <v>0.375</v>
      </c>
      <c r="CP92" s="88">
        <f t="shared" si="134"/>
        <v>0</v>
      </c>
      <c r="CQ92" s="78">
        <f t="shared" si="135"/>
        <v>100</v>
      </c>
      <c r="CR92" s="79">
        <f t="shared" si="152"/>
        <v>3</v>
      </c>
      <c r="CS92" s="92"/>
      <c r="CT92" s="77">
        <f t="shared" si="113"/>
        <v>0</v>
      </c>
      <c r="CU92" s="78">
        <f t="shared" si="136"/>
        <v>100</v>
      </c>
      <c r="CV92" s="79">
        <f t="shared" si="153"/>
        <v>2</v>
      </c>
      <c r="CW92" s="112" t="e">
        <f t="shared" si="137"/>
        <v>#DIV/0!</v>
      </c>
    </row>
    <row r="93" spans="1:101" x14ac:dyDescent="0.35">
      <c r="A93" s="7" t="s">
        <v>630</v>
      </c>
      <c r="B93" s="8" t="s">
        <v>631</v>
      </c>
      <c r="C93" s="21" t="s">
        <v>632</v>
      </c>
      <c r="D93" s="22" t="s">
        <v>75</v>
      </c>
      <c r="E93" s="11" t="s">
        <v>276</v>
      </c>
      <c r="F93" s="11" t="s">
        <v>633</v>
      </c>
      <c r="G93" s="12">
        <v>32045</v>
      </c>
      <c r="H93" s="11" t="s">
        <v>24</v>
      </c>
      <c r="I93" s="11" t="s">
        <v>634</v>
      </c>
      <c r="J93" s="11" t="s">
        <v>635</v>
      </c>
      <c r="K93" s="11" t="s">
        <v>50</v>
      </c>
      <c r="L93" s="23">
        <v>120573135</v>
      </c>
      <c r="M93" s="14">
        <v>37891105</v>
      </c>
      <c r="N93" s="14">
        <v>82682030</v>
      </c>
      <c r="O93" s="14">
        <v>116399706</v>
      </c>
      <c r="P93" s="14">
        <v>4903685</v>
      </c>
      <c r="Q93" s="14">
        <v>6345779</v>
      </c>
      <c r="R93" s="14">
        <v>5059159</v>
      </c>
      <c r="AB93" s="74">
        <f t="shared" si="138"/>
        <v>0</v>
      </c>
      <c r="AC93" s="75" t="e">
        <f t="shared" si="114"/>
        <v>#DIV/0!</v>
      </c>
      <c r="AD93" s="75" t="e">
        <f t="shared" si="139"/>
        <v>#DIV/0!</v>
      </c>
      <c r="AE93" s="76" t="e">
        <f t="shared" si="142"/>
        <v>#DIV/0!</v>
      </c>
      <c r="AF93" s="77" t="e">
        <f t="shared" si="115"/>
        <v>#DIV/0!</v>
      </c>
      <c r="AG93" s="77" t="e">
        <f t="shared" si="116"/>
        <v>#DIV/0!</v>
      </c>
      <c r="AH93" s="77" t="e">
        <f t="shared" si="140"/>
        <v>#DIV/0!</v>
      </c>
      <c r="AI93" s="78" t="e">
        <f t="shared" si="141"/>
        <v>#DIV/0!</v>
      </c>
      <c r="AJ93" s="79" t="e">
        <f t="shared" si="143"/>
        <v>#DIV/0!</v>
      </c>
      <c r="AN93" s="81">
        <f t="shared" si="101"/>
        <v>0</v>
      </c>
      <c r="AO93" s="82" t="e">
        <f t="shared" si="102"/>
        <v>#DIV/0!</v>
      </c>
      <c r="AP93" s="83" t="e">
        <f t="shared" si="117"/>
        <v>#DIV/0!</v>
      </c>
      <c r="AQ93" s="84" t="e">
        <f t="shared" si="144"/>
        <v>#DIV/0!</v>
      </c>
      <c r="AS93" s="86">
        <f t="shared" si="103"/>
        <v>0.25</v>
      </c>
      <c r="AT93" s="87">
        <f t="shared" si="118"/>
        <v>0</v>
      </c>
      <c r="AU93" s="87">
        <f t="shared" si="119"/>
        <v>0</v>
      </c>
      <c r="AV93" s="88" t="e">
        <f t="shared" si="104"/>
        <v>#DIV/0!</v>
      </c>
      <c r="AW93" s="78" t="e">
        <f t="shared" si="120"/>
        <v>#DIV/0!</v>
      </c>
      <c r="AX93" s="89" t="e">
        <f t="shared" si="145"/>
        <v>#DIV/0!</v>
      </c>
      <c r="BA93" s="91">
        <f t="shared" si="105"/>
        <v>0</v>
      </c>
      <c r="BB93" s="77" t="e">
        <f t="shared" si="121"/>
        <v>#DIV/0!</v>
      </c>
      <c r="BC93" s="78" t="e">
        <f t="shared" si="122"/>
        <v>#DIV/0!</v>
      </c>
      <c r="BD93" s="79" t="e">
        <f t="shared" si="146"/>
        <v>#DIV/0!</v>
      </c>
      <c r="BE93" s="92"/>
      <c r="BF93" s="92"/>
      <c r="BG93" s="114">
        <v>148756</v>
      </c>
      <c r="BH93" s="94">
        <f t="shared" si="106"/>
        <v>0</v>
      </c>
      <c r="BI93" s="77" t="e">
        <f t="shared" si="107"/>
        <v>#DIV/0!</v>
      </c>
      <c r="BJ93" s="95" t="str">
        <f t="shared" si="123"/>
        <v>금속/비금속/화학업</v>
      </c>
      <c r="BK93" s="96" t="e">
        <f t="shared" si="108"/>
        <v>#DIV/0!</v>
      </c>
      <c r="BL93" s="97" t="e">
        <f t="shared" si="124"/>
        <v>#DIV/0!</v>
      </c>
      <c r="BM93" s="98" t="e">
        <f t="shared" si="125"/>
        <v>#DIV/0!</v>
      </c>
      <c r="BN93" s="99" t="e">
        <f t="shared" si="126"/>
        <v>#DIV/0!</v>
      </c>
      <c r="BP93" s="101">
        <f t="shared" si="127"/>
        <v>0</v>
      </c>
      <c r="BQ93" s="78">
        <f t="shared" si="128"/>
        <v>25</v>
      </c>
      <c r="BR93" s="79">
        <f t="shared" si="147"/>
        <v>0.5</v>
      </c>
      <c r="BS93" s="102"/>
      <c r="BT93" s="102"/>
      <c r="BU93" s="103">
        <f t="shared" si="129"/>
        <v>0</v>
      </c>
      <c r="BV93" s="77">
        <f t="shared" si="109"/>
        <v>0</v>
      </c>
      <c r="BW93" s="96">
        <f t="shared" si="110"/>
        <v>0</v>
      </c>
      <c r="BX93" s="96">
        <f t="shared" si="130"/>
        <v>0</v>
      </c>
      <c r="BY93" s="96">
        <f t="shared" si="111"/>
        <v>0</v>
      </c>
      <c r="BZ93" s="96" t="e">
        <f t="shared" si="131"/>
        <v>#NUM!</v>
      </c>
      <c r="CA93" s="96" t="e">
        <f t="shared" si="112"/>
        <v>#NUM!</v>
      </c>
      <c r="CB93" s="104" t="e">
        <f t="shared" si="132"/>
        <v>#NUM!</v>
      </c>
      <c r="CC93" s="105">
        <f t="shared" si="148"/>
        <v>45.827497220375456</v>
      </c>
      <c r="CD93" s="106">
        <f t="shared" si="149"/>
        <v>83.105214615436381</v>
      </c>
      <c r="CE93" s="107">
        <f t="shared" si="150"/>
        <v>1.2465782192315458</v>
      </c>
      <c r="CF93" s="108" t="s">
        <v>2189</v>
      </c>
      <c r="CG93" s="108" t="s">
        <v>2189</v>
      </c>
      <c r="CH93" s="108" t="s">
        <v>2189</v>
      </c>
      <c r="CI93" s="108" t="s">
        <v>2189</v>
      </c>
      <c r="CJ93" s="109"/>
      <c r="CM93" s="111">
        <f t="shared" si="133"/>
        <v>25</v>
      </c>
      <c r="CN93" s="107">
        <f t="shared" si="151"/>
        <v>0.375</v>
      </c>
      <c r="CP93" s="88">
        <f t="shared" si="134"/>
        <v>0</v>
      </c>
      <c r="CQ93" s="78">
        <f t="shared" si="135"/>
        <v>100</v>
      </c>
      <c r="CR93" s="79">
        <f t="shared" si="152"/>
        <v>3</v>
      </c>
      <c r="CS93" s="92"/>
      <c r="CT93" s="77">
        <f t="shared" si="113"/>
        <v>0</v>
      </c>
      <c r="CU93" s="78">
        <f t="shared" si="136"/>
        <v>100</v>
      </c>
      <c r="CV93" s="79">
        <f t="shared" si="153"/>
        <v>2</v>
      </c>
      <c r="CW93" s="112" t="e">
        <f t="shared" si="137"/>
        <v>#DIV/0!</v>
      </c>
    </row>
    <row r="94" spans="1:101" x14ac:dyDescent="0.35">
      <c r="A94" s="7" t="s">
        <v>636</v>
      </c>
      <c r="B94" s="8" t="s">
        <v>637</v>
      </c>
      <c r="C94" s="21" t="s">
        <v>638</v>
      </c>
      <c r="D94" s="10" t="s">
        <v>141</v>
      </c>
      <c r="E94" s="11" t="s">
        <v>639</v>
      </c>
      <c r="F94" s="11" t="s">
        <v>640</v>
      </c>
      <c r="G94" s="12">
        <v>42809</v>
      </c>
      <c r="H94" s="11" t="s">
        <v>24</v>
      </c>
      <c r="I94" s="11" t="s">
        <v>641</v>
      </c>
      <c r="J94" s="11" t="s">
        <v>642</v>
      </c>
      <c r="K94" s="11" t="s">
        <v>27</v>
      </c>
      <c r="L94" s="23">
        <v>605644843</v>
      </c>
      <c r="M94" s="14">
        <v>281549415</v>
      </c>
      <c r="N94" s="14">
        <v>324095428</v>
      </c>
      <c r="O94" s="14">
        <v>285310921</v>
      </c>
      <c r="P94" s="14">
        <v>109357470</v>
      </c>
      <c r="Q94" s="14">
        <v>87471331</v>
      </c>
      <c r="R94" s="14">
        <v>61496044</v>
      </c>
      <c r="AB94" s="74">
        <f t="shared" si="138"/>
        <v>0</v>
      </c>
      <c r="AC94" s="75" t="e">
        <f t="shared" si="114"/>
        <v>#DIV/0!</v>
      </c>
      <c r="AD94" s="75" t="e">
        <f t="shared" si="139"/>
        <v>#DIV/0!</v>
      </c>
      <c r="AE94" s="76" t="e">
        <f t="shared" si="142"/>
        <v>#DIV/0!</v>
      </c>
      <c r="AF94" s="77" t="e">
        <f t="shared" si="115"/>
        <v>#DIV/0!</v>
      </c>
      <c r="AG94" s="77" t="e">
        <f t="shared" si="116"/>
        <v>#DIV/0!</v>
      </c>
      <c r="AH94" s="77" t="e">
        <f t="shared" si="140"/>
        <v>#DIV/0!</v>
      </c>
      <c r="AI94" s="78" t="e">
        <f t="shared" si="141"/>
        <v>#DIV/0!</v>
      </c>
      <c r="AJ94" s="79" t="e">
        <f t="shared" si="143"/>
        <v>#DIV/0!</v>
      </c>
      <c r="AN94" s="81">
        <f t="shared" si="101"/>
        <v>0</v>
      </c>
      <c r="AO94" s="82" t="e">
        <f t="shared" si="102"/>
        <v>#DIV/0!</v>
      </c>
      <c r="AP94" s="83" t="e">
        <f t="shared" si="117"/>
        <v>#DIV/0!</v>
      </c>
      <c r="AQ94" s="84" t="e">
        <f t="shared" si="144"/>
        <v>#DIV/0!</v>
      </c>
      <c r="AS94" s="86">
        <f t="shared" si="103"/>
        <v>0.25</v>
      </c>
      <c r="AT94" s="87">
        <f t="shared" si="118"/>
        <v>0</v>
      </c>
      <c r="AU94" s="87">
        <f t="shared" si="119"/>
        <v>0</v>
      </c>
      <c r="AV94" s="88" t="e">
        <f t="shared" si="104"/>
        <v>#DIV/0!</v>
      </c>
      <c r="AW94" s="78" t="e">
        <f t="shared" si="120"/>
        <v>#DIV/0!</v>
      </c>
      <c r="AX94" s="89" t="e">
        <f t="shared" si="145"/>
        <v>#DIV/0!</v>
      </c>
      <c r="BA94" s="91">
        <f t="shared" si="105"/>
        <v>0</v>
      </c>
      <c r="BB94" s="77" t="e">
        <f t="shared" si="121"/>
        <v>#DIV/0!</v>
      </c>
      <c r="BC94" s="78" t="e">
        <f t="shared" si="122"/>
        <v>#DIV/0!</v>
      </c>
      <c r="BD94" s="79" t="e">
        <f t="shared" si="146"/>
        <v>#DIV/0!</v>
      </c>
      <c r="BE94" s="92"/>
      <c r="BF94" s="92"/>
      <c r="BG94" s="114">
        <v>987934</v>
      </c>
      <c r="BH94" s="94">
        <f t="shared" si="106"/>
        <v>0</v>
      </c>
      <c r="BI94" s="77" t="e">
        <f t="shared" si="107"/>
        <v>#DIV/0!</v>
      </c>
      <c r="BJ94" s="95" t="str">
        <f t="shared" si="123"/>
        <v>전기전자/기계업</v>
      </c>
      <c r="BK94" s="96" t="e">
        <f t="shared" si="108"/>
        <v>#DIV/0!</v>
      </c>
      <c r="BL94" s="97" t="e">
        <f t="shared" si="124"/>
        <v>#DIV/0!</v>
      </c>
      <c r="BM94" s="98" t="e">
        <f t="shared" si="125"/>
        <v>#DIV/0!</v>
      </c>
      <c r="BN94" s="99" t="e">
        <f t="shared" si="126"/>
        <v>#DIV/0!</v>
      </c>
      <c r="BP94" s="101">
        <f t="shared" si="127"/>
        <v>0</v>
      </c>
      <c r="BQ94" s="78">
        <f t="shared" si="128"/>
        <v>25</v>
      </c>
      <c r="BR94" s="79">
        <f t="shared" si="147"/>
        <v>0.5</v>
      </c>
      <c r="BS94" s="102"/>
      <c r="BT94" s="102"/>
      <c r="BU94" s="103">
        <f t="shared" si="129"/>
        <v>0</v>
      </c>
      <c r="BV94" s="77">
        <f t="shared" si="109"/>
        <v>0</v>
      </c>
      <c r="BW94" s="96">
        <f t="shared" si="110"/>
        <v>0</v>
      </c>
      <c r="BX94" s="96">
        <f t="shared" si="130"/>
        <v>0</v>
      </c>
      <c r="BY94" s="96">
        <f t="shared" si="111"/>
        <v>0</v>
      </c>
      <c r="BZ94" s="96" t="e">
        <f t="shared" si="131"/>
        <v>#NUM!</v>
      </c>
      <c r="CA94" s="96" t="e">
        <f t="shared" si="112"/>
        <v>#NUM!</v>
      </c>
      <c r="CB94" s="104" t="e">
        <f t="shared" si="132"/>
        <v>#NUM!</v>
      </c>
      <c r="CC94" s="105">
        <f t="shared" si="148"/>
        <v>86.872380995143189</v>
      </c>
      <c r="CD94" s="106">
        <f t="shared" si="149"/>
        <v>67.636037313388243</v>
      </c>
      <c r="CE94" s="107">
        <f t="shared" si="150"/>
        <v>1.0145405597008237</v>
      </c>
      <c r="CF94" s="108" t="s">
        <v>2189</v>
      </c>
      <c r="CG94" s="108" t="s">
        <v>2189</v>
      </c>
      <c r="CH94" s="108" t="s">
        <v>2189</v>
      </c>
      <c r="CI94" s="108" t="s">
        <v>2189</v>
      </c>
      <c r="CJ94" s="109"/>
      <c r="CM94" s="111">
        <f t="shared" si="133"/>
        <v>25</v>
      </c>
      <c r="CN94" s="107">
        <f t="shared" si="151"/>
        <v>0.375</v>
      </c>
      <c r="CP94" s="88">
        <f t="shared" si="134"/>
        <v>0</v>
      </c>
      <c r="CQ94" s="78">
        <f t="shared" si="135"/>
        <v>100</v>
      </c>
      <c r="CR94" s="79">
        <f t="shared" si="152"/>
        <v>3</v>
      </c>
      <c r="CS94" s="92"/>
      <c r="CT94" s="77">
        <f t="shared" si="113"/>
        <v>0</v>
      </c>
      <c r="CU94" s="78">
        <f t="shared" si="136"/>
        <v>100</v>
      </c>
      <c r="CV94" s="79">
        <f t="shared" si="153"/>
        <v>2</v>
      </c>
      <c r="CW94" s="112" t="e">
        <f t="shared" si="137"/>
        <v>#DIV/0!</v>
      </c>
    </row>
    <row r="95" spans="1:101" x14ac:dyDescent="0.35">
      <c r="A95" s="7" t="s">
        <v>643</v>
      </c>
      <c r="B95" s="8" t="s">
        <v>644</v>
      </c>
      <c r="C95" s="21" t="s">
        <v>645</v>
      </c>
      <c r="D95" s="10" t="s">
        <v>21</v>
      </c>
      <c r="E95" s="11" t="s">
        <v>646</v>
      </c>
      <c r="F95" s="11" t="s">
        <v>647</v>
      </c>
      <c r="G95" s="12">
        <v>40402</v>
      </c>
      <c r="H95" s="11" t="s">
        <v>24</v>
      </c>
      <c r="I95" s="11" t="s">
        <v>648</v>
      </c>
      <c r="J95" s="11" t="s">
        <v>649</v>
      </c>
      <c r="K95" s="11" t="s">
        <v>27</v>
      </c>
      <c r="L95" s="23">
        <v>495800634</v>
      </c>
      <c r="M95" s="14">
        <v>219426512</v>
      </c>
      <c r="N95" s="14">
        <v>276374122</v>
      </c>
      <c r="O95" s="14">
        <v>550919165</v>
      </c>
      <c r="P95" s="14">
        <v>10121946</v>
      </c>
      <c r="Q95" s="14">
        <v>5248704</v>
      </c>
      <c r="R95" s="14">
        <v>3912437</v>
      </c>
      <c r="AB95" s="74">
        <f t="shared" si="138"/>
        <v>0</v>
      </c>
      <c r="AC95" s="75" t="e">
        <f t="shared" si="114"/>
        <v>#DIV/0!</v>
      </c>
      <c r="AD95" s="75" t="e">
        <f t="shared" si="139"/>
        <v>#DIV/0!</v>
      </c>
      <c r="AE95" s="76" t="e">
        <f t="shared" si="142"/>
        <v>#DIV/0!</v>
      </c>
      <c r="AF95" s="77" t="e">
        <f t="shared" si="115"/>
        <v>#DIV/0!</v>
      </c>
      <c r="AG95" s="77" t="e">
        <f t="shared" si="116"/>
        <v>#DIV/0!</v>
      </c>
      <c r="AH95" s="77" t="e">
        <f t="shared" si="140"/>
        <v>#DIV/0!</v>
      </c>
      <c r="AI95" s="78" t="e">
        <f t="shared" si="141"/>
        <v>#DIV/0!</v>
      </c>
      <c r="AJ95" s="79" t="e">
        <f t="shared" si="143"/>
        <v>#DIV/0!</v>
      </c>
      <c r="AN95" s="81">
        <f t="shared" si="101"/>
        <v>0</v>
      </c>
      <c r="AO95" s="82" t="e">
        <f t="shared" si="102"/>
        <v>#DIV/0!</v>
      </c>
      <c r="AP95" s="83" t="e">
        <f t="shared" si="117"/>
        <v>#DIV/0!</v>
      </c>
      <c r="AQ95" s="84" t="e">
        <f t="shared" si="144"/>
        <v>#DIV/0!</v>
      </c>
      <c r="AS95" s="86">
        <f t="shared" si="103"/>
        <v>0.25</v>
      </c>
      <c r="AT95" s="87">
        <f t="shared" si="118"/>
        <v>0</v>
      </c>
      <c r="AU95" s="87">
        <f t="shared" si="119"/>
        <v>0</v>
      </c>
      <c r="AV95" s="88" t="e">
        <f t="shared" si="104"/>
        <v>#DIV/0!</v>
      </c>
      <c r="AW95" s="78" t="e">
        <f t="shared" si="120"/>
        <v>#DIV/0!</v>
      </c>
      <c r="AX95" s="89" t="e">
        <f t="shared" si="145"/>
        <v>#DIV/0!</v>
      </c>
      <c r="BA95" s="91">
        <f t="shared" si="105"/>
        <v>0</v>
      </c>
      <c r="BB95" s="77" t="e">
        <f t="shared" si="121"/>
        <v>#DIV/0!</v>
      </c>
      <c r="BC95" s="78" t="e">
        <f t="shared" si="122"/>
        <v>#DIV/0!</v>
      </c>
      <c r="BD95" s="79" t="e">
        <f t="shared" si="146"/>
        <v>#DIV/0!</v>
      </c>
      <c r="BE95" s="92"/>
      <c r="BF95" s="92"/>
      <c r="BG95" s="114">
        <v>832821</v>
      </c>
      <c r="BH95" s="94">
        <f t="shared" si="106"/>
        <v>0</v>
      </c>
      <c r="BI95" s="77" t="e">
        <f t="shared" si="107"/>
        <v>#DIV/0!</v>
      </c>
      <c r="BJ95" s="95" t="str">
        <f t="shared" si="123"/>
        <v>비제조/서비스업</v>
      </c>
      <c r="BK95" s="96" t="e">
        <f t="shared" si="108"/>
        <v>#DIV/0!</v>
      </c>
      <c r="BL95" s="97" t="e">
        <f t="shared" si="124"/>
        <v>#DIV/0!</v>
      </c>
      <c r="BM95" s="98" t="e">
        <f t="shared" si="125"/>
        <v>#DIV/0!</v>
      </c>
      <c r="BN95" s="99" t="e">
        <f t="shared" si="126"/>
        <v>#DIV/0!</v>
      </c>
      <c r="BP95" s="101">
        <f t="shared" si="127"/>
        <v>0</v>
      </c>
      <c r="BQ95" s="78">
        <f t="shared" si="128"/>
        <v>25</v>
      </c>
      <c r="BR95" s="79">
        <f t="shared" si="147"/>
        <v>0.5</v>
      </c>
      <c r="BS95" s="102"/>
      <c r="BT95" s="102"/>
      <c r="BU95" s="103">
        <f t="shared" si="129"/>
        <v>0</v>
      </c>
      <c r="BV95" s="77">
        <f t="shared" si="109"/>
        <v>0</v>
      </c>
      <c r="BW95" s="96">
        <f t="shared" si="110"/>
        <v>0</v>
      </c>
      <c r="BX95" s="96">
        <f t="shared" si="130"/>
        <v>0</v>
      </c>
      <c r="BY95" s="96">
        <f t="shared" si="111"/>
        <v>0</v>
      </c>
      <c r="BZ95" s="96" t="e">
        <f t="shared" si="131"/>
        <v>#NUM!</v>
      </c>
      <c r="CA95" s="96" t="e">
        <f t="shared" si="112"/>
        <v>#NUM!</v>
      </c>
      <c r="CB95" s="104" t="e">
        <f t="shared" si="132"/>
        <v>#NUM!</v>
      </c>
      <c r="CC95" s="105">
        <f t="shared" si="148"/>
        <v>79.394738701331818</v>
      </c>
      <c r="CD95" s="106">
        <f t="shared" si="149"/>
        <v>70.454244208040777</v>
      </c>
      <c r="CE95" s="107">
        <f t="shared" si="150"/>
        <v>1.0568136631206115</v>
      </c>
      <c r="CF95" s="108" t="s">
        <v>2189</v>
      </c>
      <c r="CG95" s="108" t="s">
        <v>2189</v>
      </c>
      <c r="CH95" s="108" t="s">
        <v>2189</v>
      </c>
      <c r="CI95" s="108" t="s">
        <v>2189</v>
      </c>
      <c r="CJ95" s="109"/>
      <c r="CM95" s="111">
        <f t="shared" si="133"/>
        <v>25</v>
      </c>
      <c r="CN95" s="107">
        <f t="shared" si="151"/>
        <v>0.375</v>
      </c>
      <c r="CP95" s="88">
        <f t="shared" si="134"/>
        <v>0</v>
      </c>
      <c r="CQ95" s="78">
        <f t="shared" si="135"/>
        <v>100</v>
      </c>
      <c r="CR95" s="79">
        <f t="shared" si="152"/>
        <v>3</v>
      </c>
      <c r="CS95" s="92"/>
      <c r="CT95" s="77">
        <f t="shared" si="113"/>
        <v>0</v>
      </c>
      <c r="CU95" s="78">
        <f t="shared" si="136"/>
        <v>100</v>
      </c>
      <c r="CV95" s="79">
        <f t="shared" si="153"/>
        <v>2</v>
      </c>
      <c r="CW95" s="112" t="e">
        <f t="shared" si="137"/>
        <v>#DIV/0!</v>
      </c>
    </row>
    <row r="96" spans="1:101" x14ac:dyDescent="0.35">
      <c r="A96" s="7" t="s">
        <v>650</v>
      </c>
      <c r="B96" s="8" t="s">
        <v>651</v>
      </c>
      <c r="C96" s="21" t="s">
        <v>652</v>
      </c>
      <c r="D96" s="10" t="s">
        <v>75</v>
      </c>
      <c r="E96" s="11" t="s">
        <v>76</v>
      </c>
      <c r="F96" s="11" t="s">
        <v>653</v>
      </c>
      <c r="G96" s="12">
        <v>35423</v>
      </c>
      <c r="H96" s="11" t="s">
        <v>24</v>
      </c>
      <c r="I96" s="11" t="s">
        <v>654</v>
      </c>
      <c r="J96" s="11" t="s">
        <v>655</v>
      </c>
      <c r="K96" s="11" t="s">
        <v>153</v>
      </c>
      <c r="L96" s="23">
        <v>92085226</v>
      </c>
      <c r="M96" s="14">
        <v>42058880</v>
      </c>
      <c r="N96" s="14">
        <v>50026346</v>
      </c>
      <c r="O96" s="14">
        <v>193400697</v>
      </c>
      <c r="P96" s="14">
        <v>13461075</v>
      </c>
      <c r="Q96" s="14">
        <v>12948368</v>
      </c>
      <c r="R96" s="14">
        <v>10621743</v>
      </c>
      <c r="AB96" s="74">
        <f t="shared" si="138"/>
        <v>0</v>
      </c>
      <c r="AC96" s="75" t="e">
        <f t="shared" si="114"/>
        <v>#DIV/0!</v>
      </c>
      <c r="AD96" s="75" t="e">
        <f t="shared" si="139"/>
        <v>#DIV/0!</v>
      </c>
      <c r="AE96" s="76" t="e">
        <f t="shared" si="142"/>
        <v>#DIV/0!</v>
      </c>
      <c r="AF96" s="77" t="e">
        <f t="shared" si="115"/>
        <v>#DIV/0!</v>
      </c>
      <c r="AG96" s="77" t="e">
        <f t="shared" si="116"/>
        <v>#DIV/0!</v>
      </c>
      <c r="AH96" s="77" t="e">
        <f t="shared" si="140"/>
        <v>#DIV/0!</v>
      </c>
      <c r="AI96" s="78" t="e">
        <f t="shared" si="141"/>
        <v>#DIV/0!</v>
      </c>
      <c r="AJ96" s="79" t="e">
        <f t="shared" si="143"/>
        <v>#DIV/0!</v>
      </c>
      <c r="AN96" s="81">
        <f t="shared" si="101"/>
        <v>0</v>
      </c>
      <c r="AO96" s="82" t="e">
        <f t="shared" si="102"/>
        <v>#DIV/0!</v>
      </c>
      <c r="AP96" s="83" t="e">
        <f t="shared" si="117"/>
        <v>#DIV/0!</v>
      </c>
      <c r="AQ96" s="84" t="e">
        <f t="shared" si="144"/>
        <v>#DIV/0!</v>
      </c>
      <c r="AS96" s="86">
        <f t="shared" si="103"/>
        <v>0.25</v>
      </c>
      <c r="AT96" s="87">
        <f t="shared" si="118"/>
        <v>0</v>
      </c>
      <c r="AU96" s="87">
        <f t="shared" si="119"/>
        <v>0</v>
      </c>
      <c r="AV96" s="88" t="e">
        <f t="shared" si="104"/>
        <v>#DIV/0!</v>
      </c>
      <c r="AW96" s="78" t="e">
        <f t="shared" si="120"/>
        <v>#DIV/0!</v>
      </c>
      <c r="AX96" s="89" t="e">
        <f t="shared" si="145"/>
        <v>#DIV/0!</v>
      </c>
      <c r="BA96" s="91">
        <f t="shared" si="105"/>
        <v>0</v>
      </c>
      <c r="BB96" s="77" t="e">
        <f t="shared" si="121"/>
        <v>#DIV/0!</v>
      </c>
      <c r="BC96" s="78" t="e">
        <f t="shared" si="122"/>
        <v>#DIV/0!</v>
      </c>
      <c r="BD96" s="79" t="e">
        <f t="shared" si="146"/>
        <v>#DIV/0!</v>
      </c>
      <c r="BE96" s="92"/>
      <c r="BF96" s="92"/>
      <c r="BG96" s="114">
        <v>763058</v>
      </c>
      <c r="BH96" s="94">
        <f t="shared" si="106"/>
        <v>0</v>
      </c>
      <c r="BI96" s="77" t="e">
        <f t="shared" si="107"/>
        <v>#DIV/0!</v>
      </c>
      <c r="BJ96" s="95" t="str">
        <f t="shared" si="123"/>
        <v>금속/비금속/화학업</v>
      </c>
      <c r="BK96" s="96" t="e">
        <f t="shared" si="108"/>
        <v>#DIV/0!</v>
      </c>
      <c r="BL96" s="97" t="e">
        <f t="shared" si="124"/>
        <v>#DIV/0!</v>
      </c>
      <c r="BM96" s="98" t="e">
        <f t="shared" si="125"/>
        <v>#DIV/0!</v>
      </c>
      <c r="BN96" s="99" t="e">
        <f t="shared" si="126"/>
        <v>#DIV/0!</v>
      </c>
      <c r="BP96" s="101">
        <f t="shared" si="127"/>
        <v>0</v>
      </c>
      <c r="BQ96" s="78">
        <f t="shared" si="128"/>
        <v>25</v>
      </c>
      <c r="BR96" s="79">
        <f t="shared" si="147"/>
        <v>0.5</v>
      </c>
      <c r="BS96" s="102"/>
      <c r="BT96" s="102"/>
      <c r="BU96" s="103">
        <f t="shared" si="129"/>
        <v>0</v>
      </c>
      <c r="BV96" s="77">
        <f t="shared" si="109"/>
        <v>0</v>
      </c>
      <c r="BW96" s="96">
        <f t="shared" si="110"/>
        <v>0</v>
      </c>
      <c r="BX96" s="96">
        <f t="shared" si="130"/>
        <v>0</v>
      </c>
      <c r="BY96" s="96">
        <f t="shared" si="111"/>
        <v>0</v>
      </c>
      <c r="BZ96" s="96" t="e">
        <f t="shared" si="131"/>
        <v>#NUM!</v>
      </c>
      <c r="CA96" s="96" t="e">
        <f t="shared" si="112"/>
        <v>#NUM!</v>
      </c>
      <c r="CB96" s="104" t="e">
        <f t="shared" si="132"/>
        <v>#NUM!</v>
      </c>
      <c r="CC96" s="105">
        <f t="shared" si="148"/>
        <v>84.073460012450241</v>
      </c>
      <c r="CD96" s="106">
        <f t="shared" si="149"/>
        <v>68.690907030483572</v>
      </c>
      <c r="CE96" s="107">
        <f t="shared" si="150"/>
        <v>1.0303636054572536</v>
      </c>
      <c r="CF96" s="108" t="s">
        <v>2189</v>
      </c>
      <c r="CG96" s="108" t="s">
        <v>2189</v>
      </c>
      <c r="CH96" s="108" t="s">
        <v>2189</v>
      </c>
      <c r="CI96" s="108" t="s">
        <v>2189</v>
      </c>
      <c r="CJ96" s="109"/>
      <c r="CM96" s="111">
        <f t="shared" si="133"/>
        <v>25</v>
      </c>
      <c r="CN96" s="107">
        <f t="shared" si="151"/>
        <v>0.375</v>
      </c>
      <c r="CP96" s="88">
        <f t="shared" si="134"/>
        <v>0</v>
      </c>
      <c r="CQ96" s="78">
        <f t="shared" si="135"/>
        <v>100</v>
      </c>
      <c r="CR96" s="79">
        <f t="shared" si="152"/>
        <v>3</v>
      </c>
      <c r="CS96" s="92"/>
      <c r="CT96" s="77">
        <f t="shared" si="113"/>
        <v>0</v>
      </c>
      <c r="CU96" s="78">
        <f t="shared" si="136"/>
        <v>100</v>
      </c>
      <c r="CV96" s="79">
        <f t="shared" si="153"/>
        <v>2</v>
      </c>
      <c r="CW96" s="112" t="e">
        <f t="shared" si="137"/>
        <v>#DIV/0!</v>
      </c>
    </row>
    <row r="97" spans="1:101" x14ac:dyDescent="0.35">
      <c r="A97" s="7" t="s">
        <v>656</v>
      </c>
      <c r="B97" s="8" t="s">
        <v>657</v>
      </c>
      <c r="C97" s="21" t="s">
        <v>658</v>
      </c>
      <c r="D97" s="10" t="s">
        <v>75</v>
      </c>
      <c r="E97" s="11" t="s">
        <v>383</v>
      </c>
      <c r="F97" s="11" t="s">
        <v>659</v>
      </c>
      <c r="G97" s="12">
        <v>28305</v>
      </c>
      <c r="H97" s="11" t="s">
        <v>24</v>
      </c>
      <c r="I97" s="11" t="s">
        <v>660</v>
      </c>
      <c r="J97" s="11" t="s">
        <v>661</v>
      </c>
      <c r="K97" s="11" t="s">
        <v>27</v>
      </c>
      <c r="L97" s="23">
        <v>215451170</v>
      </c>
      <c r="M97" s="14">
        <v>65681714</v>
      </c>
      <c r="N97" s="14">
        <v>149769456</v>
      </c>
      <c r="O97" s="14">
        <v>146246080</v>
      </c>
      <c r="P97" s="14">
        <v>9308222</v>
      </c>
      <c r="Q97" s="14">
        <v>8741705</v>
      </c>
      <c r="R97" s="14">
        <v>6752046</v>
      </c>
      <c r="AB97" s="74">
        <f t="shared" si="138"/>
        <v>0</v>
      </c>
      <c r="AC97" s="75" t="e">
        <f t="shared" si="114"/>
        <v>#DIV/0!</v>
      </c>
      <c r="AD97" s="75" t="e">
        <f t="shared" si="139"/>
        <v>#DIV/0!</v>
      </c>
      <c r="AE97" s="76" t="e">
        <f t="shared" si="142"/>
        <v>#DIV/0!</v>
      </c>
      <c r="AF97" s="77" t="e">
        <f t="shared" si="115"/>
        <v>#DIV/0!</v>
      </c>
      <c r="AG97" s="77" t="e">
        <f t="shared" si="116"/>
        <v>#DIV/0!</v>
      </c>
      <c r="AH97" s="77" t="e">
        <f t="shared" si="140"/>
        <v>#DIV/0!</v>
      </c>
      <c r="AI97" s="78" t="e">
        <f t="shared" si="141"/>
        <v>#DIV/0!</v>
      </c>
      <c r="AJ97" s="79" t="e">
        <f t="shared" si="143"/>
        <v>#DIV/0!</v>
      </c>
      <c r="AN97" s="81">
        <f t="shared" si="101"/>
        <v>0</v>
      </c>
      <c r="AO97" s="82" t="e">
        <f t="shared" si="102"/>
        <v>#DIV/0!</v>
      </c>
      <c r="AP97" s="83" t="e">
        <f t="shared" si="117"/>
        <v>#DIV/0!</v>
      </c>
      <c r="AQ97" s="84" t="e">
        <f t="shared" si="144"/>
        <v>#DIV/0!</v>
      </c>
      <c r="AS97" s="86">
        <f t="shared" si="103"/>
        <v>0.25</v>
      </c>
      <c r="AT97" s="87">
        <f t="shared" si="118"/>
        <v>0</v>
      </c>
      <c r="AU97" s="87">
        <f t="shared" si="119"/>
        <v>0</v>
      </c>
      <c r="AV97" s="88" t="e">
        <f t="shared" si="104"/>
        <v>#DIV/0!</v>
      </c>
      <c r="AW97" s="78" t="e">
        <f t="shared" si="120"/>
        <v>#DIV/0!</v>
      </c>
      <c r="AX97" s="89" t="e">
        <f t="shared" si="145"/>
        <v>#DIV/0!</v>
      </c>
      <c r="BA97" s="91">
        <f t="shared" si="105"/>
        <v>0</v>
      </c>
      <c r="BB97" s="77" t="e">
        <f t="shared" si="121"/>
        <v>#DIV/0!</v>
      </c>
      <c r="BC97" s="78" t="e">
        <f t="shared" si="122"/>
        <v>#DIV/0!</v>
      </c>
      <c r="BD97" s="79" t="e">
        <f t="shared" si="146"/>
        <v>#DIV/0!</v>
      </c>
      <c r="BE97" s="92"/>
      <c r="BF97" s="92"/>
      <c r="BG97" s="114">
        <v>1296050</v>
      </c>
      <c r="BH97" s="94">
        <f t="shared" si="106"/>
        <v>0</v>
      </c>
      <c r="BI97" s="77" t="e">
        <f t="shared" si="107"/>
        <v>#DIV/0!</v>
      </c>
      <c r="BJ97" s="95" t="str">
        <f t="shared" si="123"/>
        <v>금속/비금속/화학업</v>
      </c>
      <c r="BK97" s="96" t="e">
        <f t="shared" si="108"/>
        <v>#DIV/0!</v>
      </c>
      <c r="BL97" s="97" t="e">
        <f t="shared" si="124"/>
        <v>#DIV/0!</v>
      </c>
      <c r="BM97" s="98" t="e">
        <f t="shared" si="125"/>
        <v>#DIV/0!</v>
      </c>
      <c r="BN97" s="99" t="e">
        <f t="shared" si="126"/>
        <v>#DIV/0!</v>
      </c>
      <c r="BP97" s="101">
        <f t="shared" si="127"/>
        <v>0</v>
      </c>
      <c r="BQ97" s="78">
        <f t="shared" si="128"/>
        <v>25</v>
      </c>
      <c r="BR97" s="79">
        <f t="shared" si="147"/>
        <v>0.5</v>
      </c>
      <c r="BS97" s="102"/>
      <c r="BT97" s="102"/>
      <c r="BU97" s="103">
        <f t="shared" si="129"/>
        <v>0</v>
      </c>
      <c r="BV97" s="77">
        <f t="shared" si="109"/>
        <v>0</v>
      </c>
      <c r="BW97" s="96">
        <f t="shared" si="110"/>
        <v>0</v>
      </c>
      <c r="BX97" s="96">
        <f t="shared" si="130"/>
        <v>0</v>
      </c>
      <c r="BY97" s="96">
        <f t="shared" si="111"/>
        <v>0</v>
      </c>
      <c r="BZ97" s="96" t="e">
        <f t="shared" si="131"/>
        <v>#NUM!</v>
      </c>
      <c r="CA97" s="96" t="e">
        <f t="shared" si="112"/>
        <v>#NUM!</v>
      </c>
      <c r="CB97" s="104" t="e">
        <f t="shared" si="132"/>
        <v>#NUM!</v>
      </c>
      <c r="CC97" s="105">
        <f t="shared" si="148"/>
        <v>43.855213041569705</v>
      </c>
      <c r="CD97" s="106">
        <f t="shared" si="149"/>
        <v>83.848537798403385</v>
      </c>
      <c r="CE97" s="107">
        <f t="shared" si="150"/>
        <v>1.2577280669760507</v>
      </c>
      <c r="CF97" s="108" t="s">
        <v>2189</v>
      </c>
      <c r="CG97" s="108" t="s">
        <v>2189</v>
      </c>
      <c r="CH97" s="108" t="s">
        <v>2189</v>
      </c>
      <c r="CI97" s="108" t="s">
        <v>2189</v>
      </c>
      <c r="CJ97" s="109"/>
      <c r="CM97" s="111">
        <f t="shared" si="133"/>
        <v>25</v>
      </c>
      <c r="CN97" s="107">
        <f t="shared" si="151"/>
        <v>0.375</v>
      </c>
      <c r="CP97" s="88">
        <f t="shared" si="134"/>
        <v>0</v>
      </c>
      <c r="CQ97" s="78">
        <f t="shared" si="135"/>
        <v>100</v>
      </c>
      <c r="CR97" s="79">
        <f t="shared" si="152"/>
        <v>3</v>
      </c>
      <c r="CS97" s="92"/>
      <c r="CT97" s="77">
        <f t="shared" si="113"/>
        <v>0</v>
      </c>
      <c r="CU97" s="78">
        <f t="shared" si="136"/>
        <v>100</v>
      </c>
      <c r="CV97" s="79">
        <f t="shared" si="153"/>
        <v>2</v>
      </c>
      <c r="CW97" s="112" t="e">
        <f t="shared" si="137"/>
        <v>#DIV/0!</v>
      </c>
    </row>
    <row r="98" spans="1:101" x14ac:dyDescent="0.35">
      <c r="A98" s="7" t="s">
        <v>662</v>
      </c>
      <c r="B98" s="8" t="s">
        <v>663</v>
      </c>
      <c r="C98" s="21" t="s">
        <v>664</v>
      </c>
      <c r="D98" s="10" t="s">
        <v>21</v>
      </c>
      <c r="E98" s="11" t="s">
        <v>91</v>
      </c>
      <c r="F98" s="11" t="s">
        <v>665</v>
      </c>
      <c r="G98" s="12">
        <v>28793</v>
      </c>
      <c r="H98" s="11" t="s">
        <v>24</v>
      </c>
      <c r="I98" s="11" t="s">
        <v>666</v>
      </c>
      <c r="J98" s="11" t="s">
        <v>667</v>
      </c>
      <c r="K98" s="11" t="s">
        <v>27</v>
      </c>
      <c r="L98" s="23">
        <v>1256174707</v>
      </c>
      <c r="M98" s="14">
        <v>687867321</v>
      </c>
      <c r="N98" s="14">
        <v>568307386</v>
      </c>
      <c r="O98" s="14">
        <v>1300137418</v>
      </c>
      <c r="P98" s="14">
        <v>26971265</v>
      </c>
      <c r="Q98" s="14">
        <v>57193340</v>
      </c>
      <c r="R98" s="14">
        <v>46104412</v>
      </c>
      <c r="AB98" s="74">
        <f t="shared" si="138"/>
        <v>0</v>
      </c>
      <c r="AC98" s="75" t="e">
        <f t="shared" si="114"/>
        <v>#DIV/0!</v>
      </c>
      <c r="AD98" s="75" t="e">
        <f t="shared" si="139"/>
        <v>#DIV/0!</v>
      </c>
      <c r="AE98" s="76" t="e">
        <f t="shared" si="142"/>
        <v>#DIV/0!</v>
      </c>
      <c r="AF98" s="77" t="e">
        <f t="shared" si="115"/>
        <v>#DIV/0!</v>
      </c>
      <c r="AG98" s="77" t="e">
        <f t="shared" si="116"/>
        <v>#DIV/0!</v>
      </c>
      <c r="AH98" s="77" t="e">
        <f t="shared" si="140"/>
        <v>#DIV/0!</v>
      </c>
      <c r="AI98" s="78" t="e">
        <f t="shared" si="141"/>
        <v>#DIV/0!</v>
      </c>
      <c r="AJ98" s="79" t="e">
        <f t="shared" si="143"/>
        <v>#DIV/0!</v>
      </c>
      <c r="AN98" s="81">
        <f t="shared" si="101"/>
        <v>0</v>
      </c>
      <c r="AO98" s="82" t="e">
        <f t="shared" si="102"/>
        <v>#DIV/0!</v>
      </c>
      <c r="AP98" s="83" t="e">
        <f t="shared" si="117"/>
        <v>#DIV/0!</v>
      </c>
      <c r="AQ98" s="84" t="e">
        <f t="shared" si="144"/>
        <v>#DIV/0!</v>
      </c>
      <c r="AS98" s="86">
        <f t="shared" si="103"/>
        <v>0.25</v>
      </c>
      <c r="AT98" s="87">
        <f t="shared" si="118"/>
        <v>0</v>
      </c>
      <c r="AU98" s="87">
        <f t="shared" si="119"/>
        <v>0</v>
      </c>
      <c r="AV98" s="88" t="e">
        <f t="shared" si="104"/>
        <v>#DIV/0!</v>
      </c>
      <c r="AW98" s="78" t="e">
        <f t="shared" si="120"/>
        <v>#DIV/0!</v>
      </c>
      <c r="AX98" s="89" t="e">
        <f t="shared" si="145"/>
        <v>#DIV/0!</v>
      </c>
      <c r="BA98" s="91">
        <f t="shared" si="105"/>
        <v>0</v>
      </c>
      <c r="BB98" s="77" t="e">
        <f t="shared" si="121"/>
        <v>#DIV/0!</v>
      </c>
      <c r="BC98" s="78" t="e">
        <f t="shared" si="122"/>
        <v>#DIV/0!</v>
      </c>
      <c r="BD98" s="79" t="e">
        <f t="shared" si="146"/>
        <v>#DIV/0!</v>
      </c>
      <c r="BE98" s="92"/>
      <c r="BF98" s="92"/>
      <c r="BG98" s="114">
        <v>2405000</v>
      </c>
      <c r="BH98" s="94">
        <f t="shared" si="106"/>
        <v>0</v>
      </c>
      <c r="BI98" s="77" t="e">
        <f t="shared" si="107"/>
        <v>#DIV/0!</v>
      </c>
      <c r="BJ98" s="95" t="str">
        <f t="shared" si="123"/>
        <v>비제조/서비스업</v>
      </c>
      <c r="BK98" s="96" t="e">
        <f t="shared" si="108"/>
        <v>#DIV/0!</v>
      </c>
      <c r="BL98" s="97" t="e">
        <f t="shared" si="124"/>
        <v>#DIV/0!</v>
      </c>
      <c r="BM98" s="98" t="e">
        <f t="shared" si="125"/>
        <v>#DIV/0!</v>
      </c>
      <c r="BN98" s="99" t="e">
        <f t="shared" si="126"/>
        <v>#DIV/0!</v>
      </c>
      <c r="BP98" s="101">
        <f t="shared" si="127"/>
        <v>0</v>
      </c>
      <c r="BQ98" s="78">
        <f t="shared" si="128"/>
        <v>25</v>
      </c>
      <c r="BR98" s="79">
        <f t="shared" si="147"/>
        <v>0.5</v>
      </c>
      <c r="BS98" s="102"/>
      <c r="BT98" s="102"/>
      <c r="BU98" s="103">
        <f t="shared" si="129"/>
        <v>0</v>
      </c>
      <c r="BV98" s="77">
        <f t="shared" si="109"/>
        <v>0</v>
      </c>
      <c r="BW98" s="96">
        <f t="shared" si="110"/>
        <v>0</v>
      </c>
      <c r="BX98" s="96">
        <f t="shared" si="130"/>
        <v>0</v>
      </c>
      <c r="BY98" s="96">
        <f t="shared" si="111"/>
        <v>0</v>
      </c>
      <c r="BZ98" s="96" t="e">
        <f t="shared" si="131"/>
        <v>#NUM!</v>
      </c>
      <c r="CA98" s="96" t="e">
        <f t="shared" si="112"/>
        <v>#NUM!</v>
      </c>
      <c r="CB98" s="104" t="e">
        <f t="shared" si="132"/>
        <v>#NUM!</v>
      </c>
      <c r="CC98" s="105">
        <f t="shared" si="148"/>
        <v>121.03789919774155</v>
      </c>
      <c r="CD98" s="106">
        <f t="shared" si="149"/>
        <v>54.75958572949439</v>
      </c>
      <c r="CE98" s="107">
        <f t="shared" si="150"/>
        <v>0.82139378594241585</v>
      </c>
      <c r="CF98" s="108" t="s">
        <v>2189</v>
      </c>
      <c r="CG98" s="108" t="s">
        <v>2189</v>
      </c>
      <c r="CH98" s="108" t="s">
        <v>2189</v>
      </c>
      <c r="CI98" s="108" t="s">
        <v>2189</v>
      </c>
      <c r="CJ98" s="109"/>
      <c r="CM98" s="111">
        <f t="shared" si="133"/>
        <v>25</v>
      </c>
      <c r="CN98" s="107">
        <f t="shared" si="151"/>
        <v>0.375</v>
      </c>
      <c r="CP98" s="88">
        <f t="shared" si="134"/>
        <v>0</v>
      </c>
      <c r="CQ98" s="78">
        <f t="shared" si="135"/>
        <v>100</v>
      </c>
      <c r="CR98" s="79">
        <f t="shared" si="152"/>
        <v>3</v>
      </c>
      <c r="CS98" s="92"/>
      <c r="CT98" s="77">
        <f t="shared" si="113"/>
        <v>0</v>
      </c>
      <c r="CU98" s="78">
        <f t="shared" si="136"/>
        <v>100</v>
      </c>
      <c r="CV98" s="79">
        <f t="shared" si="153"/>
        <v>2</v>
      </c>
      <c r="CW98" s="112" t="e">
        <f t="shared" si="137"/>
        <v>#DIV/0!</v>
      </c>
    </row>
    <row r="99" spans="1:101" x14ac:dyDescent="0.35">
      <c r="A99" s="7" t="s">
        <v>668</v>
      </c>
      <c r="B99" s="8" t="s">
        <v>669</v>
      </c>
      <c r="C99" s="21" t="s">
        <v>670</v>
      </c>
      <c r="D99" s="10" t="s">
        <v>21</v>
      </c>
      <c r="E99" s="11" t="s">
        <v>449</v>
      </c>
      <c r="F99" s="11" t="s">
        <v>671</v>
      </c>
      <c r="G99" s="12">
        <v>42566</v>
      </c>
      <c r="H99" s="11" t="s">
        <v>24</v>
      </c>
      <c r="I99" s="11" t="s">
        <v>672</v>
      </c>
      <c r="J99" s="11" t="s">
        <v>673</v>
      </c>
      <c r="K99" s="11" t="s">
        <v>27</v>
      </c>
      <c r="L99" s="23">
        <v>1605210800</v>
      </c>
      <c r="M99" s="14">
        <v>74995068</v>
      </c>
      <c r="N99" s="14">
        <v>1530215732</v>
      </c>
      <c r="O99" s="14">
        <v>516898546</v>
      </c>
      <c r="P99" s="14">
        <v>34700109</v>
      </c>
      <c r="Q99" s="14">
        <v>126366266</v>
      </c>
      <c r="R99" s="14">
        <v>167855852</v>
      </c>
      <c r="AB99" s="74">
        <f t="shared" si="138"/>
        <v>0</v>
      </c>
      <c r="AC99" s="75" t="e">
        <f t="shared" si="114"/>
        <v>#DIV/0!</v>
      </c>
      <c r="AD99" s="75" t="e">
        <f t="shared" si="139"/>
        <v>#DIV/0!</v>
      </c>
      <c r="AE99" s="76" t="e">
        <f t="shared" si="142"/>
        <v>#DIV/0!</v>
      </c>
      <c r="AF99" s="77" t="e">
        <f t="shared" si="115"/>
        <v>#DIV/0!</v>
      </c>
      <c r="AG99" s="77" t="e">
        <f t="shared" si="116"/>
        <v>#DIV/0!</v>
      </c>
      <c r="AH99" s="77" t="e">
        <f t="shared" si="140"/>
        <v>#DIV/0!</v>
      </c>
      <c r="AI99" s="78" t="e">
        <f t="shared" si="141"/>
        <v>#DIV/0!</v>
      </c>
      <c r="AJ99" s="79" t="e">
        <f t="shared" si="143"/>
        <v>#DIV/0!</v>
      </c>
      <c r="AN99" s="81">
        <f t="shared" si="101"/>
        <v>0</v>
      </c>
      <c r="AO99" s="82" t="e">
        <f t="shared" si="102"/>
        <v>#DIV/0!</v>
      </c>
      <c r="AP99" s="83" t="e">
        <f t="shared" si="117"/>
        <v>#DIV/0!</v>
      </c>
      <c r="AQ99" s="84" t="e">
        <f t="shared" si="144"/>
        <v>#DIV/0!</v>
      </c>
      <c r="AS99" s="86">
        <f t="shared" si="103"/>
        <v>0.25</v>
      </c>
      <c r="AT99" s="87">
        <f t="shared" si="118"/>
        <v>0</v>
      </c>
      <c r="AU99" s="87">
        <f t="shared" si="119"/>
        <v>0</v>
      </c>
      <c r="AV99" s="88" t="e">
        <f t="shared" si="104"/>
        <v>#DIV/0!</v>
      </c>
      <c r="AW99" s="78" t="e">
        <f t="shared" si="120"/>
        <v>#DIV/0!</v>
      </c>
      <c r="AX99" s="89" t="e">
        <f t="shared" si="145"/>
        <v>#DIV/0!</v>
      </c>
      <c r="BA99" s="91">
        <f t="shared" si="105"/>
        <v>0</v>
      </c>
      <c r="BB99" s="77" t="e">
        <f t="shared" si="121"/>
        <v>#DIV/0!</v>
      </c>
      <c r="BC99" s="78" t="e">
        <f t="shared" si="122"/>
        <v>#DIV/0!</v>
      </c>
      <c r="BD99" s="79" t="e">
        <f t="shared" si="146"/>
        <v>#DIV/0!</v>
      </c>
      <c r="BE99" s="92"/>
      <c r="BF99" s="92"/>
      <c r="BG99" s="114">
        <v>240697</v>
      </c>
      <c r="BH99" s="94">
        <f t="shared" si="106"/>
        <v>0</v>
      </c>
      <c r="BI99" s="77" t="e">
        <f t="shared" si="107"/>
        <v>#DIV/0!</v>
      </c>
      <c r="BJ99" s="95" t="str">
        <f t="shared" si="123"/>
        <v>비제조/서비스업</v>
      </c>
      <c r="BK99" s="96" t="e">
        <f t="shared" si="108"/>
        <v>#DIV/0!</v>
      </c>
      <c r="BL99" s="97" t="e">
        <f t="shared" si="124"/>
        <v>#DIV/0!</v>
      </c>
      <c r="BM99" s="98" t="e">
        <f t="shared" si="125"/>
        <v>#DIV/0!</v>
      </c>
      <c r="BN99" s="99" t="e">
        <f t="shared" si="126"/>
        <v>#DIV/0!</v>
      </c>
      <c r="BP99" s="101">
        <f t="shared" si="127"/>
        <v>0</v>
      </c>
      <c r="BQ99" s="78">
        <f t="shared" si="128"/>
        <v>25</v>
      </c>
      <c r="BR99" s="79">
        <f t="shared" si="147"/>
        <v>0.5</v>
      </c>
      <c r="BS99" s="102"/>
      <c r="BT99" s="102"/>
      <c r="BU99" s="103">
        <f t="shared" si="129"/>
        <v>0</v>
      </c>
      <c r="BV99" s="77">
        <f t="shared" si="109"/>
        <v>0</v>
      </c>
      <c r="BW99" s="96">
        <f t="shared" si="110"/>
        <v>0</v>
      </c>
      <c r="BX99" s="96">
        <f t="shared" si="130"/>
        <v>0</v>
      </c>
      <c r="BY99" s="96">
        <f t="shared" si="111"/>
        <v>0</v>
      </c>
      <c r="BZ99" s="96" t="e">
        <f t="shared" si="131"/>
        <v>#NUM!</v>
      </c>
      <c r="CA99" s="96" t="e">
        <f t="shared" si="112"/>
        <v>#NUM!</v>
      </c>
      <c r="CB99" s="104" t="e">
        <f t="shared" si="132"/>
        <v>#NUM!</v>
      </c>
      <c r="CC99" s="105">
        <f t="shared" si="148"/>
        <v>4.9009473913838963</v>
      </c>
      <c r="CD99" s="106">
        <f t="shared" si="149"/>
        <v>98.529793696714606</v>
      </c>
      <c r="CE99" s="107">
        <f t="shared" si="150"/>
        <v>1.4779469054507191</v>
      </c>
      <c r="CF99" s="108" t="s">
        <v>2189</v>
      </c>
      <c r="CG99" s="108" t="s">
        <v>2189</v>
      </c>
      <c r="CH99" s="108" t="s">
        <v>2189</v>
      </c>
      <c r="CI99" s="108" t="s">
        <v>2189</v>
      </c>
      <c r="CJ99" s="109"/>
      <c r="CM99" s="111">
        <f t="shared" si="133"/>
        <v>25</v>
      </c>
      <c r="CN99" s="107">
        <f t="shared" si="151"/>
        <v>0.375</v>
      </c>
      <c r="CP99" s="88">
        <f t="shared" si="134"/>
        <v>0</v>
      </c>
      <c r="CQ99" s="78">
        <f t="shared" si="135"/>
        <v>100</v>
      </c>
      <c r="CR99" s="79">
        <f t="shared" si="152"/>
        <v>3</v>
      </c>
      <c r="CS99" s="92"/>
      <c r="CT99" s="77">
        <f t="shared" si="113"/>
        <v>0</v>
      </c>
      <c r="CU99" s="78">
        <f t="shared" si="136"/>
        <v>100</v>
      </c>
      <c r="CV99" s="79">
        <f t="shared" si="153"/>
        <v>2</v>
      </c>
      <c r="CW99" s="112" t="e">
        <f t="shared" si="137"/>
        <v>#DIV/0!</v>
      </c>
    </row>
    <row r="100" spans="1:101" x14ac:dyDescent="0.35">
      <c r="A100" s="7" t="s">
        <v>674</v>
      </c>
      <c r="B100" s="8" t="s">
        <v>675</v>
      </c>
      <c r="C100" s="21" t="s">
        <v>676</v>
      </c>
      <c r="D100" s="10" t="s">
        <v>31</v>
      </c>
      <c r="E100" s="11" t="s">
        <v>183</v>
      </c>
      <c r="F100" s="11" t="s">
        <v>677</v>
      </c>
      <c r="G100" s="12">
        <v>41372</v>
      </c>
      <c r="H100" s="11" t="s">
        <v>24</v>
      </c>
      <c r="I100" s="11" t="s">
        <v>678</v>
      </c>
      <c r="J100" s="11" t="s">
        <v>679</v>
      </c>
      <c r="K100" s="11" t="s">
        <v>27</v>
      </c>
      <c r="L100" s="23">
        <v>1135143086</v>
      </c>
      <c r="M100" s="14">
        <v>463178728</v>
      </c>
      <c r="N100" s="14">
        <v>671964358</v>
      </c>
      <c r="O100" s="14">
        <v>635839633</v>
      </c>
      <c r="P100" s="14">
        <v>30527351</v>
      </c>
      <c r="Q100" s="14">
        <v>13547054</v>
      </c>
      <c r="R100" s="14">
        <v>9019750</v>
      </c>
      <c r="AB100" s="74">
        <f t="shared" si="138"/>
        <v>0</v>
      </c>
      <c r="AC100" s="75" t="e">
        <f t="shared" si="114"/>
        <v>#DIV/0!</v>
      </c>
      <c r="AD100" s="75" t="e">
        <f t="shared" si="139"/>
        <v>#DIV/0!</v>
      </c>
      <c r="AE100" s="76" t="e">
        <f t="shared" si="142"/>
        <v>#DIV/0!</v>
      </c>
      <c r="AF100" s="77" t="e">
        <f t="shared" si="115"/>
        <v>#DIV/0!</v>
      </c>
      <c r="AG100" s="77" t="e">
        <f t="shared" si="116"/>
        <v>#DIV/0!</v>
      </c>
      <c r="AH100" s="77" t="e">
        <f t="shared" si="140"/>
        <v>#DIV/0!</v>
      </c>
      <c r="AI100" s="78" t="e">
        <f t="shared" si="141"/>
        <v>#DIV/0!</v>
      </c>
      <c r="AJ100" s="79" t="e">
        <f t="shared" si="143"/>
        <v>#DIV/0!</v>
      </c>
      <c r="AN100" s="81">
        <f t="shared" si="101"/>
        <v>0</v>
      </c>
      <c r="AO100" s="82" t="e">
        <f t="shared" si="102"/>
        <v>#DIV/0!</v>
      </c>
      <c r="AP100" s="83" t="e">
        <f t="shared" si="117"/>
        <v>#DIV/0!</v>
      </c>
      <c r="AQ100" s="84" t="e">
        <f t="shared" si="144"/>
        <v>#DIV/0!</v>
      </c>
      <c r="AS100" s="86">
        <f t="shared" si="103"/>
        <v>0.25</v>
      </c>
      <c r="AT100" s="87">
        <f t="shared" si="118"/>
        <v>0</v>
      </c>
      <c r="AU100" s="87">
        <f t="shared" si="119"/>
        <v>0</v>
      </c>
      <c r="AV100" s="88" t="e">
        <f t="shared" si="104"/>
        <v>#DIV/0!</v>
      </c>
      <c r="AW100" s="78" t="e">
        <f t="shared" si="120"/>
        <v>#DIV/0!</v>
      </c>
      <c r="AX100" s="89" t="e">
        <f t="shared" si="145"/>
        <v>#DIV/0!</v>
      </c>
      <c r="BA100" s="91">
        <f t="shared" si="105"/>
        <v>0</v>
      </c>
      <c r="BB100" s="77" t="e">
        <f t="shared" si="121"/>
        <v>#DIV/0!</v>
      </c>
      <c r="BC100" s="78" t="e">
        <f t="shared" si="122"/>
        <v>#DIV/0!</v>
      </c>
      <c r="BD100" s="79" t="e">
        <f t="shared" si="146"/>
        <v>#DIV/0!</v>
      </c>
      <c r="BE100" s="92"/>
      <c r="BF100" s="92"/>
      <c r="BG100" s="114">
        <v>96633</v>
      </c>
      <c r="BH100" s="94">
        <f t="shared" si="106"/>
        <v>0</v>
      </c>
      <c r="BI100" s="77" t="e">
        <f t="shared" si="107"/>
        <v>#DIV/0!</v>
      </c>
      <c r="BJ100" s="95" t="str">
        <f t="shared" si="123"/>
        <v>식약/섬유/종이업</v>
      </c>
      <c r="BK100" s="96" t="e">
        <f t="shared" si="108"/>
        <v>#DIV/0!</v>
      </c>
      <c r="BL100" s="97" t="e">
        <f t="shared" si="124"/>
        <v>#DIV/0!</v>
      </c>
      <c r="BM100" s="98" t="e">
        <f t="shared" si="125"/>
        <v>#DIV/0!</v>
      </c>
      <c r="BN100" s="99" t="e">
        <f t="shared" si="126"/>
        <v>#DIV/0!</v>
      </c>
      <c r="BP100" s="101">
        <f t="shared" si="127"/>
        <v>0</v>
      </c>
      <c r="BQ100" s="78">
        <f t="shared" si="128"/>
        <v>25</v>
      </c>
      <c r="BR100" s="79">
        <f t="shared" si="147"/>
        <v>0.5</v>
      </c>
      <c r="BS100" s="102"/>
      <c r="BT100" s="102"/>
      <c r="BU100" s="103">
        <f t="shared" si="129"/>
        <v>0</v>
      </c>
      <c r="BV100" s="77">
        <f t="shared" si="109"/>
        <v>0</v>
      </c>
      <c r="BW100" s="96">
        <f t="shared" si="110"/>
        <v>0</v>
      </c>
      <c r="BX100" s="96">
        <f t="shared" si="130"/>
        <v>0</v>
      </c>
      <c r="BY100" s="96">
        <f t="shared" si="111"/>
        <v>0</v>
      </c>
      <c r="BZ100" s="96" t="e">
        <f t="shared" si="131"/>
        <v>#NUM!</v>
      </c>
      <c r="CA100" s="96" t="e">
        <f t="shared" si="112"/>
        <v>#NUM!</v>
      </c>
      <c r="CB100" s="104" t="e">
        <f t="shared" si="132"/>
        <v>#NUM!</v>
      </c>
      <c r="CC100" s="105">
        <f t="shared" si="148"/>
        <v>68.929061859557734</v>
      </c>
      <c r="CD100" s="106">
        <f t="shared" si="149"/>
        <v>74.398594776548592</v>
      </c>
      <c r="CE100" s="107">
        <f t="shared" si="150"/>
        <v>1.1159789216482288</v>
      </c>
      <c r="CF100" s="108" t="s">
        <v>2189</v>
      </c>
      <c r="CG100" s="108" t="s">
        <v>2189</v>
      </c>
      <c r="CH100" s="108" t="s">
        <v>2189</v>
      </c>
      <c r="CI100" s="108" t="s">
        <v>2189</v>
      </c>
      <c r="CJ100" s="109"/>
      <c r="CM100" s="111">
        <f t="shared" si="133"/>
        <v>25</v>
      </c>
      <c r="CN100" s="107">
        <f t="shared" si="151"/>
        <v>0.375</v>
      </c>
      <c r="CP100" s="88">
        <f t="shared" si="134"/>
        <v>0</v>
      </c>
      <c r="CQ100" s="78">
        <f t="shared" si="135"/>
        <v>100</v>
      </c>
      <c r="CR100" s="79">
        <f t="shared" si="152"/>
        <v>3</v>
      </c>
      <c r="CS100" s="92"/>
      <c r="CT100" s="77">
        <f t="shared" si="113"/>
        <v>0</v>
      </c>
      <c r="CU100" s="78">
        <f t="shared" si="136"/>
        <v>100</v>
      </c>
      <c r="CV100" s="79">
        <f t="shared" si="153"/>
        <v>2</v>
      </c>
      <c r="CW100" s="112" t="e">
        <f t="shared" si="137"/>
        <v>#DIV/0!</v>
      </c>
    </row>
    <row r="101" spans="1:101" x14ac:dyDescent="0.35">
      <c r="A101" s="7" t="s">
        <v>680</v>
      </c>
      <c r="B101" s="8" t="s">
        <v>681</v>
      </c>
      <c r="C101" s="21" t="s">
        <v>682</v>
      </c>
      <c r="D101" s="10" t="s">
        <v>75</v>
      </c>
      <c r="E101" s="11" t="s">
        <v>508</v>
      </c>
      <c r="F101" s="11" t="s">
        <v>683</v>
      </c>
      <c r="G101" s="12">
        <v>43068</v>
      </c>
      <c r="H101" s="11" t="s">
        <v>24</v>
      </c>
      <c r="I101" s="11" t="s">
        <v>684</v>
      </c>
      <c r="J101" s="11" t="s">
        <v>685</v>
      </c>
      <c r="K101" s="11" t="s">
        <v>102</v>
      </c>
      <c r="L101" s="23">
        <v>455083382</v>
      </c>
      <c r="M101" s="14">
        <v>77689901</v>
      </c>
      <c r="N101" s="14">
        <v>377393482</v>
      </c>
      <c r="O101" s="14">
        <v>201504926</v>
      </c>
      <c r="P101" s="14">
        <v>20813521</v>
      </c>
      <c r="Q101" s="14">
        <v>29530469</v>
      </c>
      <c r="R101" s="14">
        <v>23064473</v>
      </c>
      <c r="AB101" s="74">
        <f t="shared" si="138"/>
        <v>0</v>
      </c>
      <c r="AC101" s="75" t="e">
        <f t="shared" si="114"/>
        <v>#DIV/0!</v>
      </c>
      <c r="AD101" s="75" t="e">
        <f t="shared" si="139"/>
        <v>#DIV/0!</v>
      </c>
      <c r="AE101" s="76" t="e">
        <f t="shared" si="142"/>
        <v>#DIV/0!</v>
      </c>
      <c r="AF101" s="77" t="e">
        <f t="shared" si="115"/>
        <v>#DIV/0!</v>
      </c>
      <c r="AG101" s="77" t="e">
        <f t="shared" si="116"/>
        <v>#DIV/0!</v>
      </c>
      <c r="AH101" s="77" t="e">
        <f t="shared" si="140"/>
        <v>#DIV/0!</v>
      </c>
      <c r="AI101" s="78" t="e">
        <f t="shared" si="141"/>
        <v>#DIV/0!</v>
      </c>
      <c r="AJ101" s="79" t="e">
        <f t="shared" si="143"/>
        <v>#DIV/0!</v>
      </c>
      <c r="AN101" s="81">
        <f t="shared" si="101"/>
        <v>0</v>
      </c>
      <c r="AO101" s="82" t="e">
        <f t="shared" si="102"/>
        <v>#DIV/0!</v>
      </c>
      <c r="AP101" s="83" t="e">
        <f t="shared" si="117"/>
        <v>#DIV/0!</v>
      </c>
      <c r="AQ101" s="84" t="e">
        <f t="shared" si="144"/>
        <v>#DIV/0!</v>
      </c>
      <c r="AS101" s="86">
        <f t="shared" si="103"/>
        <v>0.25</v>
      </c>
      <c r="AT101" s="87">
        <f t="shared" si="118"/>
        <v>0</v>
      </c>
      <c r="AU101" s="87">
        <f t="shared" si="119"/>
        <v>0</v>
      </c>
      <c r="AV101" s="88" t="e">
        <f t="shared" si="104"/>
        <v>#DIV/0!</v>
      </c>
      <c r="AW101" s="78" t="e">
        <f t="shared" si="120"/>
        <v>#DIV/0!</v>
      </c>
      <c r="AX101" s="89" t="e">
        <f t="shared" si="145"/>
        <v>#DIV/0!</v>
      </c>
      <c r="BA101" s="91">
        <f t="shared" si="105"/>
        <v>0</v>
      </c>
      <c r="BB101" s="77" t="e">
        <f t="shared" si="121"/>
        <v>#DIV/0!</v>
      </c>
      <c r="BC101" s="78" t="e">
        <f t="shared" si="122"/>
        <v>#DIV/0!</v>
      </c>
      <c r="BD101" s="79" t="e">
        <f t="shared" si="146"/>
        <v>#DIV/0!</v>
      </c>
      <c r="BE101" s="92"/>
      <c r="BF101" s="92"/>
      <c r="BG101" s="114">
        <v>15096</v>
      </c>
      <c r="BH101" s="94">
        <f t="shared" si="106"/>
        <v>0</v>
      </c>
      <c r="BI101" s="77" t="e">
        <f t="shared" si="107"/>
        <v>#DIV/0!</v>
      </c>
      <c r="BJ101" s="95" t="str">
        <f t="shared" si="123"/>
        <v>금속/비금속/화학업</v>
      </c>
      <c r="BK101" s="96" t="e">
        <f t="shared" si="108"/>
        <v>#DIV/0!</v>
      </c>
      <c r="BL101" s="97" t="e">
        <f t="shared" si="124"/>
        <v>#DIV/0!</v>
      </c>
      <c r="BM101" s="98" t="e">
        <f t="shared" si="125"/>
        <v>#DIV/0!</v>
      </c>
      <c r="BN101" s="99" t="e">
        <f t="shared" si="126"/>
        <v>#DIV/0!</v>
      </c>
      <c r="BP101" s="101">
        <f t="shared" si="127"/>
        <v>0</v>
      </c>
      <c r="BQ101" s="78">
        <f t="shared" si="128"/>
        <v>25</v>
      </c>
      <c r="BR101" s="79">
        <f t="shared" si="147"/>
        <v>0.5</v>
      </c>
      <c r="BS101" s="102"/>
      <c r="BT101" s="102"/>
      <c r="BU101" s="103">
        <f t="shared" si="129"/>
        <v>0</v>
      </c>
      <c r="BV101" s="77">
        <f t="shared" si="109"/>
        <v>0</v>
      </c>
      <c r="BW101" s="96">
        <f t="shared" si="110"/>
        <v>0</v>
      </c>
      <c r="BX101" s="96">
        <f t="shared" si="130"/>
        <v>0</v>
      </c>
      <c r="BY101" s="96">
        <f t="shared" si="111"/>
        <v>0</v>
      </c>
      <c r="BZ101" s="96" t="e">
        <f t="shared" si="131"/>
        <v>#NUM!</v>
      </c>
      <c r="CA101" s="96" t="e">
        <f t="shared" si="112"/>
        <v>#NUM!</v>
      </c>
      <c r="CB101" s="104" t="e">
        <f t="shared" si="132"/>
        <v>#NUM!</v>
      </c>
      <c r="CC101" s="105">
        <f t="shared" si="148"/>
        <v>20.585914888694344</v>
      </c>
      <c r="CD101" s="106">
        <f t="shared" si="149"/>
        <v>92.618373785667956</v>
      </c>
      <c r="CE101" s="107">
        <f t="shared" si="150"/>
        <v>1.3892756067850194</v>
      </c>
      <c r="CF101" s="108" t="s">
        <v>2189</v>
      </c>
      <c r="CG101" s="108" t="s">
        <v>2189</v>
      </c>
      <c r="CH101" s="108" t="s">
        <v>2189</v>
      </c>
      <c r="CI101" s="108" t="s">
        <v>2189</v>
      </c>
      <c r="CJ101" s="109"/>
      <c r="CM101" s="111">
        <f t="shared" si="133"/>
        <v>25</v>
      </c>
      <c r="CN101" s="107">
        <f t="shared" si="151"/>
        <v>0.375</v>
      </c>
      <c r="CP101" s="88">
        <f t="shared" si="134"/>
        <v>0</v>
      </c>
      <c r="CQ101" s="78">
        <f t="shared" si="135"/>
        <v>100</v>
      </c>
      <c r="CR101" s="79">
        <f t="shared" si="152"/>
        <v>3</v>
      </c>
      <c r="CS101" s="92"/>
      <c r="CT101" s="77">
        <f t="shared" si="113"/>
        <v>0</v>
      </c>
      <c r="CU101" s="78">
        <f t="shared" si="136"/>
        <v>100</v>
      </c>
      <c r="CV101" s="79">
        <f t="shared" si="153"/>
        <v>2</v>
      </c>
      <c r="CW101" s="112" t="e">
        <f t="shared" si="137"/>
        <v>#DIV/0!</v>
      </c>
    </row>
    <row r="102" spans="1:101" x14ac:dyDescent="0.35">
      <c r="A102" s="7" t="s">
        <v>686</v>
      </c>
      <c r="B102" s="28" t="s">
        <v>687</v>
      </c>
      <c r="C102" s="21" t="s">
        <v>688</v>
      </c>
      <c r="D102" s="25" t="s">
        <v>67</v>
      </c>
      <c r="E102" s="11" t="s">
        <v>68</v>
      </c>
      <c r="F102" s="11" t="s">
        <v>689</v>
      </c>
      <c r="G102" s="12">
        <v>40094</v>
      </c>
      <c r="H102" s="11" t="s">
        <v>24</v>
      </c>
      <c r="I102" s="11" t="s">
        <v>690</v>
      </c>
      <c r="J102" s="11" t="s">
        <v>691</v>
      </c>
      <c r="K102" s="11" t="s">
        <v>27</v>
      </c>
      <c r="L102" s="23">
        <v>37434509044</v>
      </c>
      <c r="M102" s="14">
        <v>35502248501</v>
      </c>
      <c r="N102" s="14">
        <v>1932260544</v>
      </c>
      <c r="O102" s="14">
        <v>10262246106</v>
      </c>
      <c r="P102" s="14">
        <v>152919076</v>
      </c>
      <c r="Q102" s="14">
        <v>119769829</v>
      </c>
      <c r="R102" s="14">
        <v>97027738</v>
      </c>
      <c r="AB102" s="74">
        <f t="shared" si="138"/>
        <v>0</v>
      </c>
      <c r="AC102" s="75" t="e">
        <f t="shared" si="114"/>
        <v>#DIV/0!</v>
      </c>
      <c r="AD102" s="75" t="e">
        <f t="shared" si="139"/>
        <v>#DIV/0!</v>
      </c>
      <c r="AE102" s="119" t="e">
        <f>AD102*0.04</f>
        <v>#DIV/0!</v>
      </c>
      <c r="AF102" s="77" t="e">
        <f t="shared" si="115"/>
        <v>#DIV/0!</v>
      </c>
      <c r="AG102" s="77" t="e">
        <f t="shared" si="116"/>
        <v>#DIV/0!</v>
      </c>
      <c r="AH102" s="77" t="e">
        <f t="shared" si="140"/>
        <v>#DIV/0!</v>
      </c>
      <c r="AI102" s="78" t="e">
        <f t="shared" si="141"/>
        <v>#DIV/0!</v>
      </c>
      <c r="AJ102" s="120" t="e">
        <f>AI102*0.05</f>
        <v>#DIV/0!</v>
      </c>
      <c r="AN102" s="81">
        <f t="shared" si="101"/>
        <v>0</v>
      </c>
      <c r="AO102" s="82" t="e">
        <f t="shared" si="102"/>
        <v>#DIV/0!</v>
      </c>
      <c r="AP102" s="83" t="e">
        <f t="shared" si="117"/>
        <v>#DIV/0!</v>
      </c>
      <c r="AQ102" s="121" t="e">
        <f>AP102*0.03</f>
        <v>#DIV/0!</v>
      </c>
      <c r="AS102" s="86">
        <f t="shared" si="103"/>
        <v>0.5</v>
      </c>
      <c r="AT102" s="87">
        <f t="shared" si="118"/>
        <v>0</v>
      </c>
      <c r="AU102" s="87">
        <f t="shared" si="119"/>
        <v>0</v>
      </c>
      <c r="AV102" s="88" t="e">
        <f t="shared" si="104"/>
        <v>#DIV/0!</v>
      </c>
      <c r="AW102" s="78" t="e">
        <f t="shared" si="120"/>
        <v>#DIV/0!</v>
      </c>
      <c r="AX102" s="122" t="e">
        <f>AW102*0.02</f>
        <v>#DIV/0!</v>
      </c>
      <c r="BA102" s="91">
        <f t="shared" si="105"/>
        <v>0</v>
      </c>
      <c r="BB102" s="77" t="e">
        <f t="shared" si="121"/>
        <v>#DIV/0!</v>
      </c>
      <c r="BC102" s="78" t="e">
        <f t="shared" si="122"/>
        <v>#DIV/0!</v>
      </c>
      <c r="BD102" s="120" t="e">
        <f>BC102*0.02</f>
        <v>#DIV/0!</v>
      </c>
      <c r="BE102" s="92"/>
      <c r="BF102" s="92"/>
      <c r="BG102" s="93">
        <v>0</v>
      </c>
      <c r="BH102" s="94">
        <f t="shared" si="106"/>
        <v>0</v>
      </c>
      <c r="BI102" s="77" t="e">
        <f t="shared" si="107"/>
        <v>#DIV/0!</v>
      </c>
      <c r="BJ102" s="95" t="str">
        <f t="shared" si="123"/>
        <v>금융업</v>
      </c>
      <c r="BK102" s="96" t="e">
        <f t="shared" si="108"/>
        <v>#DIV/0!</v>
      </c>
      <c r="BL102" s="97" t="e">
        <f t="shared" si="124"/>
        <v>#DIV/0!</v>
      </c>
      <c r="BM102" s="98" t="e">
        <f t="shared" si="125"/>
        <v>#DIV/0!</v>
      </c>
      <c r="BN102" s="99" t="e">
        <f t="shared" si="126"/>
        <v>#DIV/0!</v>
      </c>
      <c r="BP102" s="101">
        <f t="shared" si="127"/>
        <v>0</v>
      </c>
      <c r="BQ102" s="78">
        <f t="shared" si="128"/>
        <v>25</v>
      </c>
      <c r="BR102" s="120">
        <f>BQ102*0.01</f>
        <v>0.25</v>
      </c>
      <c r="BS102" s="102"/>
      <c r="BT102" s="102"/>
      <c r="BU102" s="103">
        <f t="shared" si="129"/>
        <v>0</v>
      </c>
      <c r="BV102" s="77">
        <f t="shared" si="109"/>
        <v>0</v>
      </c>
      <c r="BW102" s="96">
        <f t="shared" si="110"/>
        <v>0</v>
      </c>
      <c r="BX102" s="96">
        <f t="shared" si="130"/>
        <v>0</v>
      </c>
      <c r="BY102" s="96">
        <f t="shared" si="111"/>
        <v>0</v>
      </c>
      <c r="BZ102" s="96" t="e">
        <f t="shared" si="131"/>
        <v>#NUM!</v>
      </c>
      <c r="CA102" s="96" t="e">
        <f t="shared" si="112"/>
        <v>#NUM!</v>
      </c>
      <c r="CB102" s="104" t="e">
        <f t="shared" si="132"/>
        <v>#NUM!</v>
      </c>
      <c r="CC102" s="123" t="s">
        <v>2200</v>
      </c>
      <c r="CD102" s="124" t="s">
        <v>2200</v>
      </c>
      <c r="CE102" s="125"/>
      <c r="CF102" s="126" t="s">
        <v>2201</v>
      </c>
      <c r="CG102" s="126" t="s">
        <v>2201</v>
      </c>
      <c r="CH102" s="127">
        <v>0.12</v>
      </c>
      <c r="CI102" s="128">
        <f>IF((100-(75*(CH102-10)/40))&gt;100, 100, IF((100-(75*(CH102-10)/40))&lt;25, 25, (100-(75*(CH102-10)/40))))</f>
        <v>100</v>
      </c>
      <c r="CJ102" s="129">
        <f>CI102*0.04</f>
        <v>4</v>
      </c>
      <c r="CM102" s="111">
        <f t="shared" si="133"/>
        <v>25</v>
      </c>
      <c r="CN102" s="130">
        <f>CM102*0.03</f>
        <v>0.75</v>
      </c>
      <c r="CP102" s="88">
        <f t="shared" si="134"/>
        <v>0</v>
      </c>
      <c r="CQ102" s="78">
        <f t="shared" si="135"/>
        <v>100</v>
      </c>
      <c r="CR102" s="120">
        <f>CQ102*0.04</f>
        <v>4</v>
      </c>
      <c r="CS102" s="92"/>
      <c r="CT102" s="77">
        <f t="shared" si="113"/>
        <v>0</v>
      </c>
      <c r="CU102" s="78">
        <f t="shared" si="136"/>
        <v>100</v>
      </c>
      <c r="CV102" s="131">
        <f>CU102*0.03</f>
        <v>3</v>
      </c>
      <c r="CW102" s="112" t="e">
        <f t="shared" si="137"/>
        <v>#DIV/0!</v>
      </c>
    </row>
    <row r="103" spans="1:101" x14ac:dyDescent="0.35">
      <c r="A103" s="7" t="s">
        <v>692</v>
      </c>
      <c r="B103" s="8" t="s">
        <v>693</v>
      </c>
      <c r="C103" s="21" t="s">
        <v>694</v>
      </c>
      <c r="D103" s="22" t="s">
        <v>31</v>
      </c>
      <c r="E103" s="11" t="s">
        <v>46</v>
      </c>
      <c r="F103" s="11" t="s">
        <v>695</v>
      </c>
      <c r="G103" s="12">
        <v>36853</v>
      </c>
      <c r="H103" s="11" t="s">
        <v>24</v>
      </c>
      <c r="I103" s="11" t="s">
        <v>696</v>
      </c>
      <c r="J103" s="11" t="s">
        <v>697</v>
      </c>
      <c r="K103" s="11" t="s">
        <v>27</v>
      </c>
      <c r="L103" s="23">
        <v>1442896840</v>
      </c>
      <c r="M103" s="14">
        <v>718936776</v>
      </c>
      <c r="N103" s="14">
        <v>723960064</v>
      </c>
      <c r="O103" s="14">
        <v>1876232243</v>
      </c>
      <c r="P103" s="14">
        <v>86186465</v>
      </c>
      <c r="Q103" s="14">
        <v>91831146</v>
      </c>
      <c r="R103" s="14">
        <v>73560010</v>
      </c>
      <c r="AB103" s="74">
        <f t="shared" si="138"/>
        <v>0</v>
      </c>
      <c r="AC103" s="75" t="e">
        <f t="shared" si="114"/>
        <v>#DIV/0!</v>
      </c>
      <c r="AD103" s="75" t="e">
        <f t="shared" si="139"/>
        <v>#DIV/0!</v>
      </c>
      <c r="AE103" s="76" t="e">
        <f t="shared" ref="AE103:AE120" si="154">AD103*0.03</f>
        <v>#DIV/0!</v>
      </c>
      <c r="AF103" s="77" t="e">
        <f t="shared" si="115"/>
        <v>#DIV/0!</v>
      </c>
      <c r="AG103" s="77" t="e">
        <f t="shared" si="116"/>
        <v>#DIV/0!</v>
      </c>
      <c r="AH103" s="77" t="e">
        <f t="shared" si="140"/>
        <v>#DIV/0!</v>
      </c>
      <c r="AI103" s="78" t="e">
        <f t="shared" si="141"/>
        <v>#DIV/0!</v>
      </c>
      <c r="AJ103" s="79" t="e">
        <f t="shared" ref="AJ103:AJ120" si="155">AI103*0.04</f>
        <v>#DIV/0!</v>
      </c>
      <c r="AN103" s="81">
        <f t="shared" si="101"/>
        <v>0</v>
      </c>
      <c r="AO103" s="82" t="e">
        <f t="shared" si="102"/>
        <v>#DIV/0!</v>
      </c>
      <c r="AP103" s="83" t="e">
        <f t="shared" si="117"/>
        <v>#DIV/0!</v>
      </c>
      <c r="AQ103" s="84" t="e">
        <f t="shared" ref="AQ103:AQ120" si="156">AP103*0.02</f>
        <v>#DIV/0!</v>
      </c>
      <c r="AS103" s="86">
        <f t="shared" si="103"/>
        <v>0.25</v>
      </c>
      <c r="AT103" s="87">
        <f t="shared" si="118"/>
        <v>0</v>
      </c>
      <c r="AU103" s="87">
        <f t="shared" si="119"/>
        <v>0</v>
      </c>
      <c r="AV103" s="88" t="e">
        <f t="shared" si="104"/>
        <v>#DIV/0!</v>
      </c>
      <c r="AW103" s="78" t="e">
        <f t="shared" si="120"/>
        <v>#DIV/0!</v>
      </c>
      <c r="AX103" s="89" t="e">
        <f t="shared" ref="AX103:AX120" si="157">AW103*0.01</f>
        <v>#DIV/0!</v>
      </c>
      <c r="BA103" s="91">
        <f t="shared" si="105"/>
        <v>0</v>
      </c>
      <c r="BB103" s="77" t="e">
        <f t="shared" si="121"/>
        <v>#DIV/0!</v>
      </c>
      <c r="BC103" s="78" t="e">
        <f t="shared" si="122"/>
        <v>#DIV/0!</v>
      </c>
      <c r="BD103" s="79" t="e">
        <f t="shared" ref="BD103:BD120" si="158">BC103*0.01</f>
        <v>#DIV/0!</v>
      </c>
      <c r="BE103" s="92"/>
      <c r="BF103" s="92"/>
      <c r="BG103" s="114">
        <v>6368091</v>
      </c>
      <c r="BH103" s="94">
        <f t="shared" si="106"/>
        <v>0</v>
      </c>
      <c r="BI103" s="77" t="e">
        <f t="shared" si="107"/>
        <v>#DIV/0!</v>
      </c>
      <c r="BJ103" s="95" t="str">
        <f t="shared" si="123"/>
        <v>식약/섬유/종이업</v>
      </c>
      <c r="BK103" s="96" t="e">
        <f t="shared" si="108"/>
        <v>#DIV/0!</v>
      </c>
      <c r="BL103" s="97" t="e">
        <f t="shared" si="124"/>
        <v>#DIV/0!</v>
      </c>
      <c r="BM103" s="98" t="e">
        <f t="shared" si="125"/>
        <v>#DIV/0!</v>
      </c>
      <c r="BN103" s="99" t="e">
        <f t="shared" si="126"/>
        <v>#DIV/0!</v>
      </c>
      <c r="BP103" s="101">
        <f t="shared" si="127"/>
        <v>0</v>
      </c>
      <c r="BQ103" s="78">
        <f t="shared" si="128"/>
        <v>25</v>
      </c>
      <c r="BR103" s="79">
        <f t="shared" ref="BR103:BR120" si="159">BQ103*0.02</f>
        <v>0.5</v>
      </c>
      <c r="BS103" s="102"/>
      <c r="BT103" s="102"/>
      <c r="BU103" s="103">
        <f t="shared" si="129"/>
        <v>0</v>
      </c>
      <c r="BV103" s="77">
        <f t="shared" si="109"/>
        <v>0</v>
      </c>
      <c r="BW103" s="96">
        <f t="shared" si="110"/>
        <v>0</v>
      </c>
      <c r="BX103" s="96">
        <f t="shared" si="130"/>
        <v>0</v>
      </c>
      <c r="BY103" s="96">
        <f t="shared" si="111"/>
        <v>0</v>
      </c>
      <c r="BZ103" s="96" t="e">
        <f t="shared" si="131"/>
        <v>#NUM!</v>
      </c>
      <c r="CA103" s="96" t="e">
        <f t="shared" si="112"/>
        <v>#NUM!</v>
      </c>
      <c r="CB103" s="104" t="e">
        <f t="shared" si="132"/>
        <v>#NUM!</v>
      </c>
      <c r="CC103" s="105">
        <f t="shared" ref="CC103:CC120" si="160">(M103/N103)*100</f>
        <v>99.306137416994318</v>
      </c>
      <c r="CD103" s="106">
        <f t="shared" ref="CD103:CD120" si="161">IF((100-(75*(CC103-1)/(200-1)))&gt;100, 100, IF((100-(75*(CC103-1)/(200-1)))&lt;25, 25, (100-(75*(CC103-1)/(200-1)))))</f>
        <v>62.949948209675512</v>
      </c>
      <c r="CE103" s="107">
        <f t="shared" ref="CE103:CE120" si="162">CD103*0.015</f>
        <v>0.9442492231451326</v>
      </c>
      <c r="CF103" s="108" t="s">
        <v>2189</v>
      </c>
      <c r="CG103" s="108" t="s">
        <v>2189</v>
      </c>
      <c r="CH103" s="108" t="s">
        <v>2189</v>
      </c>
      <c r="CI103" s="108" t="s">
        <v>2189</v>
      </c>
      <c r="CJ103" s="109"/>
      <c r="CM103" s="111">
        <f t="shared" si="133"/>
        <v>25</v>
      </c>
      <c r="CN103" s="107">
        <f t="shared" ref="CN103:CN120" si="163">CM103*0.015</f>
        <v>0.375</v>
      </c>
      <c r="CP103" s="88">
        <f t="shared" si="134"/>
        <v>0</v>
      </c>
      <c r="CQ103" s="78">
        <f t="shared" si="135"/>
        <v>100</v>
      </c>
      <c r="CR103" s="79">
        <f t="shared" ref="CR103:CR120" si="164">CQ103*0.03</f>
        <v>3</v>
      </c>
      <c r="CS103" s="92"/>
      <c r="CT103" s="77">
        <f t="shared" si="113"/>
        <v>0</v>
      </c>
      <c r="CU103" s="78">
        <f t="shared" si="136"/>
        <v>100</v>
      </c>
      <c r="CV103" s="79">
        <f t="shared" ref="CV103:CV120" si="165">CU103*0.02</f>
        <v>2</v>
      </c>
      <c r="CW103" s="112" t="e">
        <f t="shared" si="137"/>
        <v>#DIV/0!</v>
      </c>
    </row>
    <row r="104" spans="1:101" x14ac:dyDescent="0.35">
      <c r="A104" s="7" t="s">
        <v>698</v>
      </c>
      <c r="B104" s="8" t="s">
        <v>699</v>
      </c>
      <c r="C104" s="21" t="s">
        <v>700</v>
      </c>
      <c r="D104" s="22" t="s">
        <v>75</v>
      </c>
      <c r="E104" s="11" t="s">
        <v>276</v>
      </c>
      <c r="F104" s="11" t="s">
        <v>701</v>
      </c>
      <c r="G104" s="12">
        <v>34422</v>
      </c>
      <c r="H104" s="11" t="s">
        <v>24</v>
      </c>
      <c r="I104" s="11" t="s">
        <v>702</v>
      </c>
      <c r="J104" s="11" t="s">
        <v>703</v>
      </c>
      <c r="K104" s="11" t="s">
        <v>153</v>
      </c>
      <c r="L104" s="23">
        <v>1380267325</v>
      </c>
      <c r="M104" s="14">
        <v>678125020</v>
      </c>
      <c r="N104" s="14">
        <v>702142305</v>
      </c>
      <c r="O104" s="14">
        <v>1300951533</v>
      </c>
      <c r="P104" s="14">
        <v>82521356</v>
      </c>
      <c r="Q104" s="14">
        <v>74612978</v>
      </c>
      <c r="R104" s="14">
        <v>59394229</v>
      </c>
      <c r="AB104" s="74">
        <f t="shared" si="138"/>
        <v>0</v>
      </c>
      <c r="AC104" s="75" t="e">
        <f t="shared" si="114"/>
        <v>#DIV/0!</v>
      </c>
      <c r="AD104" s="75" t="e">
        <f t="shared" si="139"/>
        <v>#DIV/0!</v>
      </c>
      <c r="AE104" s="76" t="e">
        <f t="shared" si="154"/>
        <v>#DIV/0!</v>
      </c>
      <c r="AF104" s="77" t="e">
        <f t="shared" si="115"/>
        <v>#DIV/0!</v>
      </c>
      <c r="AG104" s="77" t="e">
        <f t="shared" si="116"/>
        <v>#DIV/0!</v>
      </c>
      <c r="AH104" s="77" t="e">
        <f t="shared" si="140"/>
        <v>#DIV/0!</v>
      </c>
      <c r="AI104" s="78" t="e">
        <f t="shared" si="141"/>
        <v>#DIV/0!</v>
      </c>
      <c r="AJ104" s="79" t="e">
        <f t="shared" si="155"/>
        <v>#DIV/0!</v>
      </c>
      <c r="AN104" s="81">
        <f t="shared" si="101"/>
        <v>0</v>
      </c>
      <c r="AO104" s="82" t="e">
        <f t="shared" si="102"/>
        <v>#DIV/0!</v>
      </c>
      <c r="AP104" s="83" t="e">
        <f t="shared" si="117"/>
        <v>#DIV/0!</v>
      </c>
      <c r="AQ104" s="84" t="e">
        <f t="shared" si="156"/>
        <v>#DIV/0!</v>
      </c>
      <c r="AS104" s="86">
        <f t="shared" si="103"/>
        <v>0.25</v>
      </c>
      <c r="AT104" s="87">
        <f t="shared" si="118"/>
        <v>0</v>
      </c>
      <c r="AU104" s="87">
        <f t="shared" si="119"/>
        <v>0</v>
      </c>
      <c r="AV104" s="88" t="e">
        <f t="shared" si="104"/>
        <v>#DIV/0!</v>
      </c>
      <c r="AW104" s="78" t="e">
        <f t="shared" si="120"/>
        <v>#DIV/0!</v>
      </c>
      <c r="AX104" s="89" t="e">
        <f t="shared" si="157"/>
        <v>#DIV/0!</v>
      </c>
      <c r="BA104" s="91">
        <f t="shared" si="105"/>
        <v>0</v>
      </c>
      <c r="BB104" s="77" t="e">
        <f t="shared" si="121"/>
        <v>#DIV/0!</v>
      </c>
      <c r="BC104" s="78" t="e">
        <f t="shared" si="122"/>
        <v>#DIV/0!</v>
      </c>
      <c r="BD104" s="79" t="e">
        <f t="shared" si="158"/>
        <v>#DIV/0!</v>
      </c>
      <c r="BE104" s="92"/>
      <c r="BF104" s="92"/>
      <c r="BG104" s="114">
        <v>690204</v>
      </c>
      <c r="BH104" s="94">
        <f t="shared" si="106"/>
        <v>0</v>
      </c>
      <c r="BI104" s="77" t="e">
        <f t="shared" si="107"/>
        <v>#DIV/0!</v>
      </c>
      <c r="BJ104" s="95" t="str">
        <f t="shared" si="123"/>
        <v>금속/비금속/화학업</v>
      </c>
      <c r="BK104" s="96" t="e">
        <f t="shared" si="108"/>
        <v>#DIV/0!</v>
      </c>
      <c r="BL104" s="97" t="e">
        <f t="shared" si="124"/>
        <v>#DIV/0!</v>
      </c>
      <c r="BM104" s="98" t="e">
        <f t="shared" si="125"/>
        <v>#DIV/0!</v>
      </c>
      <c r="BN104" s="99" t="e">
        <f t="shared" si="126"/>
        <v>#DIV/0!</v>
      </c>
      <c r="BP104" s="101">
        <f t="shared" si="127"/>
        <v>0</v>
      </c>
      <c r="BQ104" s="78">
        <f t="shared" si="128"/>
        <v>25</v>
      </c>
      <c r="BR104" s="79">
        <f t="shared" si="159"/>
        <v>0.5</v>
      </c>
      <c r="BS104" s="102"/>
      <c r="BT104" s="102"/>
      <c r="BU104" s="103">
        <f t="shared" si="129"/>
        <v>0</v>
      </c>
      <c r="BV104" s="77">
        <f t="shared" si="109"/>
        <v>0</v>
      </c>
      <c r="BW104" s="96">
        <f t="shared" si="110"/>
        <v>0</v>
      </c>
      <c r="BX104" s="96">
        <f t="shared" si="130"/>
        <v>0</v>
      </c>
      <c r="BY104" s="96">
        <f t="shared" si="111"/>
        <v>0</v>
      </c>
      <c r="BZ104" s="96" t="e">
        <f t="shared" si="131"/>
        <v>#NUM!</v>
      </c>
      <c r="CA104" s="96" t="e">
        <f t="shared" si="112"/>
        <v>#NUM!</v>
      </c>
      <c r="CB104" s="104" t="e">
        <f t="shared" si="132"/>
        <v>#NUM!</v>
      </c>
      <c r="CC104" s="105">
        <f t="shared" si="160"/>
        <v>96.579427727261063</v>
      </c>
      <c r="CD104" s="106">
        <f t="shared" si="161"/>
        <v>63.977602615353874</v>
      </c>
      <c r="CE104" s="107">
        <f t="shared" si="162"/>
        <v>0.95966403923030807</v>
      </c>
      <c r="CF104" s="108" t="s">
        <v>2189</v>
      </c>
      <c r="CG104" s="108" t="s">
        <v>2189</v>
      </c>
      <c r="CH104" s="108" t="s">
        <v>2189</v>
      </c>
      <c r="CI104" s="108" t="s">
        <v>2189</v>
      </c>
      <c r="CJ104" s="109"/>
      <c r="CM104" s="111">
        <f t="shared" si="133"/>
        <v>25</v>
      </c>
      <c r="CN104" s="107">
        <f t="shared" si="163"/>
        <v>0.375</v>
      </c>
      <c r="CP104" s="88">
        <f t="shared" si="134"/>
        <v>0</v>
      </c>
      <c r="CQ104" s="78">
        <f t="shared" si="135"/>
        <v>100</v>
      </c>
      <c r="CR104" s="79">
        <f t="shared" si="164"/>
        <v>3</v>
      </c>
      <c r="CS104" s="92"/>
      <c r="CT104" s="77">
        <f t="shared" si="113"/>
        <v>0</v>
      </c>
      <c r="CU104" s="78">
        <f t="shared" si="136"/>
        <v>100</v>
      </c>
      <c r="CV104" s="79">
        <f t="shared" si="165"/>
        <v>2</v>
      </c>
      <c r="CW104" s="112" t="e">
        <f t="shared" si="137"/>
        <v>#DIV/0!</v>
      </c>
    </row>
    <row r="105" spans="1:101" x14ac:dyDescent="0.35">
      <c r="A105" s="7" t="s">
        <v>704</v>
      </c>
      <c r="B105" s="8" t="s">
        <v>705</v>
      </c>
      <c r="C105" s="21" t="s">
        <v>706</v>
      </c>
      <c r="D105" s="10" t="s">
        <v>75</v>
      </c>
      <c r="E105" s="11" t="s">
        <v>508</v>
      </c>
      <c r="F105" s="11" t="s">
        <v>707</v>
      </c>
      <c r="G105" s="12">
        <v>41201</v>
      </c>
      <c r="H105" s="11" t="s">
        <v>24</v>
      </c>
      <c r="I105" s="11" t="s">
        <v>708</v>
      </c>
      <c r="J105" s="11" t="s">
        <v>709</v>
      </c>
      <c r="K105" s="11" t="s">
        <v>110</v>
      </c>
      <c r="L105" s="23">
        <v>372451008</v>
      </c>
      <c r="M105" s="14">
        <v>160285008</v>
      </c>
      <c r="N105" s="14">
        <v>212166000</v>
      </c>
      <c r="O105" s="14">
        <v>382323241</v>
      </c>
      <c r="P105" s="14">
        <v>10643381</v>
      </c>
      <c r="Q105" s="14">
        <v>10453576</v>
      </c>
      <c r="R105" s="14">
        <v>9587170</v>
      </c>
      <c r="AB105" s="74">
        <f t="shared" si="138"/>
        <v>0</v>
      </c>
      <c r="AC105" s="75" t="e">
        <f t="shared" si="114"/>
        <v>#DIV/0!</v>
      </c>
      <c r="AD105" s="75" t="e">
        <f t="shared" si="139"/>
        <v>#DIV/0!</v>
      </c>
      <c r="AE105" s="76" t="e">
        <f t="shared" si="154"/>
        <v>#DIV/0!</v>
      </c>
      <c r="AF105" s="77" t="e">
        <f t="shared" si="115"/>
        <v>#DIV/0!</v>
      </c>
      <c r="AG105" s="77" t="e">
        <f t="shared" si="116"/>
        <v>#DIV/0!</v>
      </c>
      <c r="AH105" s="77" t="e">
        <f t="shared" si="140"/>
        <v>#DIV/0!</v>
      </c>
      <c r="AI105" s="78" t="e">
        <f t="shared" si="141"/>
        <v>#DIV/0!</v>
      </c>
      <c r="AJ105" s="79" t="e">
        <f t="shared" si="155"/>
        <v>#DIV/0!</v>
      </c>
      <c r="AN105" s="81">
        <f t="shared" si="101"/>
        <v>0</v>
      </c>
      <c r="AO105" s="82" t="e">
        <f t="shared" si="102"/>
        <v>#DIV/0!</v>
      </c>
      <c r="AP105" s="83" t="e">
        <f t="shared" si="117"/>
        <v>#DIV/0!</v>
      </c>
      <c r="AQ105" s="84" t="e">
        <f t="shared" si="156"/>
        <v>#DIV/0!</v>
      </c>
      <c r="AS105" s="86">
        <f t="shared" si="103"/>
        <v>0.25</v>
      </c>
      <c r="AT105" s="87">
        <f t="shared" si="118"/>
        <v>0</v>
      </c>
      <c r="AU105" s="87">
        <f t="shared" si="119"/>
        <v>0</v>
      </c>
      <c r="AV105" s="88" t="e">
        <f t="shared" si="104"/>
        <v>#DIV/0!</v>
      </c>
      <c r="AW105" s="78" t="e">
        <f t="shared" si="120"/>
        <v>#DIV/0!</v>
      </c>
      <c r="AX105" s="89" t="e">
        <f t="shared" si="157"/>
        <v>#DIV/0!</v>
      </c>
      <c r="BA105" s="91">
        <f t="shared" si="105"/>
        <v>0</v>
      </c>
      <c r="BB105" s="77" t="e">
        <f t="shared" si="121"/>
        <v>#DIV/0!</v>
      </c>
      <c r="BC105" s="78" t="e">
        <f t="shared" si="122"/>
        <v>#DIV/0!</v>
      </c>
      <c r="BD105" s="79" t="e">
        <f t="shared" si="158"/>
        <v>#DIV/0!</v>
      </c>
      <c r="BE105" s="92"/>
      <c r="BF105" s="92"/>
      <c r="BG105" s="114">
        <v>209069</v>
      </c>
      <c r="BH105" s="94">
        <f t="shared" si="106"/>
        <v>0</v>
      </c>
      <c r="BI105" s="77" t="e">
        <f t="shared" si="107"/>
        <v>#DIV/0!</v>
      </c>
      <c r="BJ105" s="95" t="str">
        <f t="shared" si="123"/>
        <v>금속/비금속/화학업</v>
      </c>
      <c r="BK105" s="96" t="e">
        <f t="shared" si="108"/>
        <v>#DIV/0!</v>
      </c>
      <c r="BL105" s="97" t="e">
        <f t="shared" si="124"/>
        <v>#DIV/0!</v>
      </c>
      <c r="BM105" s="98" t="e">
        <f t="shared" si="125"/>
        <v>#DIV/0!</v>
      </c>
      <c r="BN105" s="99" t="e">
        <f t="shared" si="126"/>
        <v>#DIV/0!</v>
      </c>
      <c r="BP105" s="101">
        <f t="shared" si="127"/>
        <v>0</v>
      </c>
      <c r="BQ105" s="78">
        <f t="shared" si="128"/>
        <v>25</v>
      </c>
      <c r="BR105" s="79">
        <f t="shared" si="159"/>
        <v>0.5</v>
      </c>
      <c r="BS105" s="102"/>
      <c r="BT105" s="102"/>
      <c r="BU105" s="103">
        <f t="shared" si="129"/>
        <v>0</v>
      </c>
      <c r="BV105" s="77">
        <f t="shared" si="109"/>
        <v>0</v>
      </c>
      <c r="BW105" s="96">
        <f t="shared" si="110"/>
        <v>0</v>
      </c>
      <c r="BX105" s="96">
        <f t="shared" si="130"/>
        <v>0</v>
      </c>
      <c r="BY105" s="96">
        <f t="shared" si="111"/>
        <v>0</v>
      </c>
      <c r="BZ105" s="96" t="e">
        <f t="shared" si="131"/>
        <v>#NUM!</v>
      </c>
      <c r="CA105" s="96" t="e">
        <f t="shared" si="112"/>
        <v>#NUM!</v>
      </c>
      <c r="CB105" s="104" t="e">
        <f t="shared" si="132"/>
        <v>#NUM!</v>
      </c>
      <c r="CC105" s="105">
        <f t="shared" si="160"/>
        <v>75.546981137411279</v>
      </c>
      <c r="CD105" s="106">
        <f t="shared" si="161"/>
        <v>71.904404093940471</v>
      </c>
      <c r="CE105" s="107">
        <f t="shared" si="162"/>
        <v>1.078566061409107</v>
      </c>
      <c r="CF105" s="108" t="s">
        <v>2189</v>
      </c>
      <c r="CG105" s="108" t="s">
        <v>2189</v>
      </c>
      <c r="CH105" s="108" t="s">
        <v>2189</v>
      </c>
      <c r="CI105" s="108" t="s">
        <v>2189</v>
      </c>
      <c r="CJ105" s="109"/>
      <c r="CM105" s="111">
        <f t="shared" si="133"/>
        <v>25</v>
      </c>
      <c r="CN105" s="107">
        <f t="shared" si="163"/>
        <v>0.375</v>
      </c>
      <c r="CP105" s="88">
        <f t="shared" si="134"/>
        <v>0</v>
      </c>
      <c r="CQ105" s="78">
        <f t="shared" si="135"/>
        <v>100</v>
      </c>
      <c r="CR105" s="79">
        <f t="shared" si="164"/>
        <v>3</v>
      </c>
      <c r="CS105" s="92"/>
      <c r="CT105" s="77">
        <f t="shared" si="113"/>
        <v>0</v>
      </c>
      <c r="CU105" s="78">
        <f t="shared" si="136"/>
        <v>100</v>
      </c>
      <c r="CV105" s="79">
        <f t="shared" si="165"/>
        <v>2</v>
      </c>
      <c r="CW105" s="112" t="e">
        <f t="shared" si="137"/>
        <v>#DIV/0!</v>
      </c>
    </row>
    <row r="106" spans="1:101" x14ac:dyDescent="0.35">
      <c r="A106" s="7" t="s">
        <v>710</v>
      </c>
      <c r="B106" s="8" t="s">
        <v>711</v>
      </c>
      <c r="C106" s="21" t="s">
        <v>712</v>
      </c>
      <c r="D106" s="10" t="s">
        <v>75</v>
      </c>
      <c r="E106" s="11" t="s">
        <v>114</v>
      </c>
      <c r="F106" s="11" t="s">
        <v>713</v>
      </c>
      <c r="G106" s="12">
        <v>38533</v>
      </c>
      <c r="H106" s="11" t="s">
        <v>24</v>
      </c>
      <c r="I106" s="11" t="s">
        <v>714</v>
      </c>
      <c r="J106" s="11" t="s">
        <v>715</v>
      </c>
      <c r="K106" s="11" t="s">
        <v>453</v>
      </c>
      <c r="L106" s="23">
        <v>457877289</v>
      </c>
      <c r="M106" s="14">
        <v>52176470</v>
      </c>
      <c r="N106" s="14">
        <v>405700820</v>
      </c>
      <c r="O106" s="14">
        <v>441052792</v>
      </c>
      <c r="P106" s="14">
        <v>20091259</v>
      </c>
      <c r="Q106" s="14">
        <v>24421805</v>
      </c>
      <c r="R106" s="14">
        <v>18622026</v>
      </c>
      <c r="AB106" s="74">
        <f t="shared" si="138"/>
        <v>0</v>
      </c>
      <c r="AC106" s="75" t="e">
        <f t="shared" si="114"/>
        <v>#DIV/0!</v>
      </c>
      <c r="AD106" s="75" t="e">
        <f t="shared" si="139"/>
        <v>#DIV/0!</v>
      </c>
      <c r="AE106" s="76" t="e">
        <f t="shared" si="154"/>
        <v>#DIV/0!</v>
      </c>
      <c r="AF106" s="77" t="e">
        <f t="shared" si="115"/>
        <v>#DIV/0!</v>
      </c>
      <c r="AG106" s="77" t="e">
        <f t="shared" si="116"/>
        <v>#DIV/0!</v>
      </c>
      <c r="AH106" s="77" t="e">
        <f t="shared" si="140"/>
        <v>#DIV/0!</v>
      </c>
      <c r="AI106" s="78" t="e">
        <f t="shared" si="141"/>
        <v>#DIV/0!</v>
      </c>
      <c r="AJ106" s="79" t="e">
        <f t="shared" si="155"/>
        <v>#DIV/0!</v>
      </c>
      <c r="AN106" s="81">
        <f t="shared" si="101"/>
        <v>0</v>
      </c>
      <c r="AO106" s="82" t="e">
        <f t="shared" si="102"/>
        <v>#DIV/0!</v>
      </c>
      <c r="AP106" s="83" t="e">
        <f t="shared" si="117"/>
        <v>#DIV/0!</v>
      </c>
      <c r="AQ106" s="84" t="e">
        <f t="shared" si="156"/>
        <v>#DIV/0!</v>
      </c>
      <c r="AS106" s="86">
        <f t="shared" si="103"/>
        <v>0.25</v>
      </c>
      <c r="AT106" s="87">
        <f t="shared" si="118"/>
        <v>0</v>
      </c>
      <c r="AU106" s="87">
        <f t="shared" si="119"/>
        <v>0</v>
      </c>
      <c r="AV106" s="88" t="e">
        <f t="shared" si="104"/>
        <v>#DIV/0!</v>
      </c>
      <c r="AW106" s="78" t="e">
        <f t="shared" si="120"/>
        <v>#DIV/0!</v>
      </c>
      <c r="AX106" s="89" t="e">
        <f t="shared" si="157"/>
        <v>#DIV/0!</v>
      </c>
      <c r="BA106" s="91">
        <f t="shared" si="105"/>
        <v>0</v>
      </c>
      <c r="BB106" s="77" t="e">
        <f t="shared" si="121"/>
        <v>#DIV/0!</v>
      </c>
      <c r="BC106" s="78" t="e">
        <f t="shared" si="122"/>
        <v>#DIV/0!</v>
      </c>
      <c r="BD106" s="79" t="e">
        <f t="shared" si="158"/>
        <v>#DIV/0!</v>
      </c>
      <c r="BE106" s="92"/>
      <c r="BF106" s="92"/>
      <c r="BG106" s="114">
        <v>95585.385999999999</v>
      </c>
      <c r="BH106" s="94">
        <f t="shared" si="106"/>
        <v>0</v>
      </c>
      <c r="BI106" s="77" t="e">
        <f t="shared" si="107"/>
        <v>#DIV/0!</v>
      </c>
      <c r="BJ106" s="95" t="str">
        <f t="shared" si="123"/>
        <v>금속/비금속/화학업</v>
      </c>
      <c r="BK106" s="96" t="e">
        <f t="shared" si="108"/>
        <v>#DIV/0!</v>
      </c>
      <c r="BL106" s="97" t="e">
        <f t="shared" si="124"/>
        <v>#DIV/0!</v>
      </c>
      <c r="BM106" s="98" t="e">
        <f t="shared" si="125"/>
        <v>#DIV/0!</v>
      </c>
      <c r="BN106" s="99" t="e">
        <f t="shared" si="126"/>
        <v>#DIV/0!</v>
      </c>
      <c r="BP106" s="101">
        <f t="shared" si="127"/>
        <v>0</v>
      </c>
      <c r="BQ106" s="78">
        <f t="shared" si="128"/>
        <v>25</v>
      </c>
      <c r="BR106" s="79">
        <f t="shared" si="159"/>
        <v>0.5</v>
      </c>
      <c r="BS106" s="102"/>
      <c r="BT106" s="102"/>
      <c r="BU106" s="103">
        <f t="shared" si="129"/>
        <v>0</v>
      </c>
      <c r="BV106" s="77">
        <f t="shared" si="109"/>
        <v>0</v>
      </c>
      <c r="BW106" s="96">
        <f t="shared" si="110"/>
        <v>0</v>
      </c>
      <c r="BX106" s="96">
        <f t="shared" si="130"/>
        <v>0</v>
      </c>
      <c r="BY106" s="96">
        <f t="shared" si="111"/>
        <v>0</v>
      </c>
      <c r="BZ106" s="96" t="e">
        <f t="shared" si="131"/>
        <v>#NUM!</v>
      </c>
      <c r="CA106" s="96" t="e">
        <f t="shared" si="112"/>
        <v>#NUM!</v>
      </c>
      <c r="CB106" s="104" t="e">
        <f t="shared" si="132"/>
        <v>#NUM!</v>
      </c>
      <c r="CC106" s="105">
        <f t="shared" si="160"/>
        <v>12.860824387784081</v>
      </c>
      <c r="CD106" s="106">
        <f t="shared" si="161"/>
        <v>95.529840054855242</v>
      </c>
      <c r="CE106" s="107">
        <f t="shared" si="162"/>
        <v>1.4329476008228286</v>
      </c>
      <c r="CF106" s="108" t="s">
        <v>2189</v>
      </c>
      <c r="CG106" s="108" t="s">
        <v>2189</v>
      </c>
      <c r="CH106" s="108" t="s">
        <v>2189</v>
      </c>
      <c r="CI106" s="108" t="s">
        <v>2189</v>
      </c>
      <c r="CJ106" s="109"/>
      <c r="CM106" s="111">
        <f t="shared" si="133"/>
        <v>25</v>
      </c>
      <c r="CN106" s="107">
        <f t="shared" si="163"/>
        <v>0.375</v>
      </c>
      <c r="CP106" s="88">
        <f t="shared" si="134"/>
        <v>0</v>
      </c>
      <c r="CQ106" s="78">
        <f t="shared" si="135"/>
        <v>100</v>
      </c>
      <c r="CR106" s="79">
        <f t="shared" si="164"/>
        <v>3</v>
      </c>
      <c r="CS106" s="92"/>
      <c r="CT106" s="77">
        <f t="shared" si="113"/>
        <v>0</v>
      </c>
      <c r="CU106" s="78">
        <f t="shared" si="136"/>
        <v>100</v>
      </c>
      <c r="CV106" s="79">
        <f t="shared" si="165"/>
        <v>2</v>
      </c>
      <c r="CW106" s="112" t="e">
        <f t="shared" si="137"/>
        <v>#DIV/0!</v>
      </c>
    </row>
    <row r="107" spans="1:101" x14ac:dyDescent="0.35">
      <c r="A107" s="7" t="s">
        <v>716</v>
      </c>
      <c r="B107" s="8" t="s">
        <v>717</v>
      </c>
      <c r="C107" s="21" t="s">
        <v>718</v>
      </c>
      <c r="D107" s="10" t="s">
        <v>75</v>
      </c>
      <c r="E107" s="11" t="s">
        <v>114</v>
      </c>
      <c r="F107" s="11" t="s">
        <v>719</v>
      </c>
      <c r="G107" s="12">
        <v>42271</v>
      </c>
      <c r="H107" s="11" t="s">
        <v>24</v>
      </c>
      <c r="I107" s="11" t="s">
        <v>720</v>
      </c>
      <c r="J107" s="11" t="s">
        <v>721</v>
      </c>
      <c r="K107" s="11" t="s">
        <v>50</v>
      </c>
      <c r="L107" s="23">
        <v>179708719</v>
      </c>
      <c r="M107" s="14">
        <v>22028248</v>
      </c>
      <c r="N107" s="14">
        <v>157680471</v>
      </c>
      <c r="O107" s="14">
        <v>196757615</v>
      </c>
      <c r="P107" s="14">
        <v>2456930</v>
      </c>
      <c r="Q107" s="14">
        <v>3926033</v>
      </c>
      <c r="R107" s="14">
        <v>3345149</v>
      </c>
      <c r="AB107" s="74">
        <f t="shared" si="138"/>
        <v>0</v>
      </c>
      <c r="AC107" s="75" t="e">
        <f t="shared" si="114"/>
        <v>#DIV/0!</v>
      </c>
      <c r="AD107" s="75" t="e">
        <f t="shared" si="139"/>
        <v>#DIV/0!</v>
      </c>
      <c r="AE107" s="76" t="e">
        <f t="shared" si="154"/>
        <v>#DIV/0!</v>
      </c>
      <c r="AF107" s="77" t="e">
        <f t="shared" si="115"/>
        <v>#DIV/0!</v>
      </c>
      <c r="AG107" s="77" t="e">
        <f t="shared" si="116"/>
        <v>#DIV/0!</v>
      </c>
      <c r="AH107" s="77" t="e">
        <f t="shared" si="140"/>
        <v>#DIV/0!</v>
      </c>
      <c r="AI107" s="78" t="e">
        <f t="shared" si="141"/>
        <v>#DIV/0!</v>
      </c>
      <c r="AJ107" s="79" t="e">
        <f t="shared" si="155"/>
        <v>#DIV/0!</v>
      </c>
      <c r="AN107" s="81">
        <f t="shared" si="101"/>
        <v>0</v>
      </c>
      <c r="AO107" s="82" t="e">
        <f t="shared" si="102"/>
        <v>#DIV/0!</v>
      </c>
      <c r="AP107" s="83" t="e">
        <f t="shared" si="117"/>
        <v>#DIV/0!</v>
      </c>
      <c r="AQ107" s="84" t="e">
        <f t="shared" si="156"/>
        <v>#DIV/0!</v>
      </c>
      <c r="AS107" s="86">
        <f t="shared" si="103"/>
        <v>0.25</v>
      </c>
      <c r="AT107" s="87">
        <f t="shared" si="118"/>
        <v>0</v>
      </c>
      <c r="AU107" s="87">
        <f t="shared" si="119"/>
        <v>0</v>
      </c>
      <c r="AV107" s="88" t="e">
        <f t="shared" si="104"/>
        <v>#DIV/0!</v>
      </c>
      <c r="AW107" s="78" t="e">
        <f t="shared" si="120"/>
        <v>#DIV/0!</v>
      </c>
      <c r="AX107" s="89" t="e">
        <f t="shared" si="157"/>
        <v>#DIV/0!</v>
      </c>
      <c r="BA107" s="91">
        <f t="shared" si="105"/>
        <v>0</v>
      </c>
      <c r="BB107" s="77" t="e">
        <f t="shared" si="121"/>
        <v>#DIV/0!</v>
      </c>
      <c r="BC107" s="78" t="e">
        <f t="shared" si="122"/>
        <v>#DIV/0!</v>
      </c>
      <c r="BD107" s="79" t="e">
        <f t="shared" si="158"/>
        <v>#DIV/0!</v>
      </c>
      <c r="BE107" s="92"/>
      <c r="BF107" s="92"/>
      <c r="BG107" s="114">
        <v>20748</v>
      </c>
      <c r="BH107" s="94">
        <f t="shared" si="106"/>
        <v>0</v>
      </c>
      <c r="BI107" s="77" t="e">
        <f t="shared" si="107"/>
        <v>#DIV/0!</v>
      </c>
      <c r="BJ107" s="95" t="str">
        <f t="shared" si="123"/>
        <v>금속/비금속/화학업</v>
      </c>
      <c r="BK107" s="96" t="e">
        <f t="shared" si="108"/>
        <v>#DIV/0!</v>
      </c>
      <c r="BL107" s="97" t="e">
        <f t="shared" si="124"/>
        <v>#DIV/0!</v>
      </c>
      <c r="BM107" s="98" t="e">
        <f t="shared" si="125"/>
        <v>#DIV/0!</v>
      </c>
      <c r="BN107" s="99" t="e">
        <f t="shared" si="126"/>
        <v>#DIV/0!</v>
      </c>
      <c r="BP107" s="101">
        <f t="shared" si="127"/>
        <v>0</v>
      </c>
      <c r="BQ107" s="78">
        <f t="shared" si="128"/>
        <v>25</v>
      </c>
      <c r="BR107" s="79">
        <f t="shared" si="159"/>
        <v>0.5</v>
      </c>
      <c r="BS107" s="102"/>
      <c r="BT107" s="102"/>
      <c r="BU107" s="103">
        <f t="shared" si="129"/>
        <v>0</v>
      </c>
      <c r="BV107" s="77">
        <f t="shared" si="109"/>
        <v>0</v>
      </c>
      <c r="BW107" s="96">
        <f t="shared" si="110"/>
        <v>0</v>
      </c>
      <c r="BX107" s="96">
        <f t="shared" si="130"/>
        <v>0</v>
      </c>
      <c r="BY107" s="96">
        <f t="shared" si="111"/>
        <v>0</v>
      </c>
      <c r="BZ107" s="96" t="e">
        <f t="shared" si="131"/>
        <v>#NUM!</v>
      </c>
      <c r="CA107" s="96" t="e">
        <f t="shared" si="112"/>
        <v>#NUM!</v>
      </c>
      <c r="CB107" s="104" t="e">
        <f t="shared" si="132"/>
        <v>#NUM!</v>
      </c>
      <c r="CC107" s="105">
        <f t="shared" si="160"/>
        <v>13.970181507131596</v>
      </c>
      <c r="CD107" s="106">
        <f t="shared" si="161"/>
        <v>95.111740638015732</v>
      </c>
      <c r="CE107" s="107">
        <f t="shared" si="162"/>
        <v>1.4266761095702358</v>
      </c>
      <c r="CF107" s="108" t="s">
        <v>2189</v>
      </c>
      <c r="CG107" s="108" t="s">
        <v>2189</v>
      </c>
      <c r="CH107" s="108" t="s">
        <v>2189</v>
      </c>
      <c r="CI107" s="108" t="s">
        <v>2189</v>
      </c>
      <c r="CJ107" s="109"/>
      <c r="CM107" s="111">
        <f t="shared" si="133"/>
        <v>25</v>
      </c>
      <c r="CN107" s="107">
        <f t="shared" si="163"/>
        <v>0.375</v>
      </c>
      <c r="CP107" s="88">
        <f t="shared" si="134"/>
        <v>0</v>
      </c>
      <c r="CQ107" s="78">
        <f t="shared" si="135"/>
        <v>100</v>
      </c>
      <c r="CR107" s="79">
        <f t="shared" si="164"/>
        <v>3</v>
      </c>
      <c r="CS107" s="92"/>
      <c r="CT107" s="77">
        <f t="shared" si="113"/>
        <v>0</v>
      </c>
      <c r="CU107" s="78">
        <f t="shared" si="136"/>
        <v>100</v>
      </c>
      <c r="CV107" s="79">
        <f t="shared" si="165"/>
        <v>2</v>
      </c>
      <c r="CW107" s="112" t="e">
        <f t="shared" si="137"/>
        <v>#DIV/0!</v>
      </c>
    </row>
    <row r="108" spans="1:101" x14ac:dyDescent="0.35">
      <c r="A108" s="7" t="s">
        <v>722</v>
      </c>
      <c r="B108" s="8" t="s">
        <v>723</v>
      </c>
      <c r="C108" s="21" t="s">
        <v>724</v>
      </c>
      <c r="D108" s="10" t="s">
        <v>31</v>
      </c>
      <c r="E108" s="11" t="s">
        <v>183</v>
      </c>
      <c r="F108" s="11" t="s">
        <v>725</v>
      </c>
      <c r="G108" s="12">
        <v>27843</v>
      </c>
      <c r="H108" s="11" t="s">
        <v>24</v>
      </c>
      <c r="I108" s="11" t="s">
        <v>726</v>
      </c>
      <c r="J108" s="11" t="s">
        <v>727</v>
      </c>
      <c r="K108" s="11" t="s">
        <v>27</v>
      </c>
      <c r="L108" s="23">
        <v>429874042</v>
      </c>
      <c r="M108" s="14">
        <v>70083130</v>
      </c>
      <c r="N108" s="14">
        <v>359790911</v>
      </c>
      <c r="O108" s="14">
        <v>315927932</v>
      </c>
      <c r="P108" s="14">
        <v>26579957</v>
      </c>
      <c r="Q108" s="14">
        <v>20948525</v>
      </c>
      <c r="R108" s="14">
        <v>18208234</v>
      </c>
      <c r="AB108" s="74">
        <f t="shared" si="138"/>
        <v>0</v>
      </c>
      <c r="AC108" s="75" t="e">
        <f t="shared" si="114"/>
        <v>#DIV/0!</v>
      </c>
      <c r="AD108" s="75" t="e">
        <f t="shared" si="139"/>
        <v>#DIV/0!</v>
      </c>
      <c r="AE108" s="76" t="e">
        <f t="shared" si="154"/>
        <v>#DIV/0!</v>
      </c>
      <c r="AF108" s="77" t="e">
        <f t="shared" si="115"/>
        <v>#DIV/0!</v>
      </c>
      <c r="AG108" s="77" t="e">
        <f t="shared" si="116"/>
        <v>#DIV/0!</v>
      </c>
      <c r="AH108" s="77" t="e">
        <f t="shared" si="140"/>
        <v>#DIV/0!</v>
      </c>
      <c r="AI108" s="78" t="e">
        <f t="shared" si="141"/>
        <v>#DIV/0!</v>
      </c>
      <c r="AJ108" s="79" t="e">
        <f t="shared" si="155"/>
        <v>#DIV/0!</v>
      </c>
      <c r="AN108" s="81">
        <f t="shared" si="101"/>
        <v>0</v>
      </c>
      <c r="AO108" s="82" t="e">
        <f t="shared" si="102"/>
        <v>#DIV/0!</v>
      </c>
      <c r="AP108" s="83" t="e">
        <f t="shared" si="117"/>
        <v>#DIV/0!</v>
      </c>
      <c r="AQ108" s="84" t="e">
        <f t="shared" si="156"/>
        <v>#DIV/0!</v>
      </c>
      <c r="AS108" s="86">
        <f t="shared" si="103"/>
        <v>0.25</v>
      </c>
      <c r="AT108" s="87">
        <f t="shared" si="118"/>
        <v>0</v>
      </c>
      <c r="AU108" s="87">
        <f t="shared" si="119"/>
        <v>0</v>
      </c>
      <c r="AV108" s="88" t="e">
        <f t="shared" si="104"/>
        <v>#DIV/0!</v>
      </c>
      <c r="AW108" s="78" t="e">
        <f t="shared" si="120"/>
        <v>#DIV/0!</v>
      </c>
      <c r="AX108" s="89" t="e">
        <f t="shared" si="157"/>
        <v>#DIV/0!</v>
      </c>
      <c r="BA108" s="91">
        <f t="shared" si="105"/>
        <v>0</v>
      </c>
      <c r="BB108" s="77" t="e">
        <f t="shared" si="121"/>
        <v>#DIV/0!</v>
      </c>
      <c r="BC108" s="78" t="e">
        <f t="shared" si="122"/>
        <v>#DIV/0!</v>
      </c>
      <c r="BD108" s="79" t="e">
        <f t="shared" si="158"/>
        <v>#DIV/0!</v>
      </c>
      <c r="BE108" s="92"/>
      <c r="BF108" s="92"/>
      <c r="BG108" s="93">
        <v>0</v>
      </c>
      <c r="BH108" s="94">
        <f t="shared" si="106"/>
        <v>0</v>
      </c>
      <c r="BI108" s="77" t="e">
        <f t="shared" si="107"/>
        <v>#DIV/0!</v>
      </c>
      <c r="BJ108" s="95" t="str">
        <f t="shared" si="123"/>
        <v>식약/섬유/종이업</v>
      </c>
      <c r="BK108" s="96" t="e">
        <f t="shared" si="108"/>
        <v>#DIV/0!</v>
      </c>
      <c r="BL108" s="97" t="e">
        <f t="shared" si="124"/>
        <v>#DIV/0!</v>
      </c>
      <c r="BM108" s="98" t="e">
        <f t="shared" si="125"/>
        <v>#DIV/0!</v>
      </c>
      <c r="BN108" s="99" t="e">
        <f t="shared" si="126"/>
        <v>#DIV/0!</v>
      </c>
      <c r="BP108" s="101">
        <f t="shared" si="127"/>
        <v>0</v>
      </c>
      <c r="BQ108" s="78">
        <f t="shared" si="128"/>
        <v>25</v>
      </c>
      <c r="BR108" s="79">
        <f t="shared" si="159"/>
        <v>0.5</v>
      </c>
      <c r="BS108" s="102"/>
      <c r="BT108" s="102"/>
      <c r="BU108" s="103">
        <f t="shared" si="129"/>
        <v>0</v>
      </c>
      <c r="BV108" s="77">
        <f t="shared" si="109"/>
        <v>0</v>
      </c>
      <c r="BW108" s="96">
        <f t="shared" si="110"/>
        <v>0</v>
      </c>
      <c r="BX108" s="96">
        <f t="shared" si="130"/>
        <v>0</v>
      </c>
      <c r="BY108" s="96">
        <f t="shared" si="111"/>
        <v>0</v>
      </c>
      <c r="BZ108" s="96" t="e">
        <f t="shared" si="131"/>
        <v>#NUM!</v>
      </c>
      <c r="CA108" s="96" t="e">
        <f t="shared" si="112"/>
        <v>#NUM!</v>
      </c>
      <c r="CB108" s="104" t="e">
        <f t="shared" si="132"/>
        <v>#NUM!</v>
      </c>
      <c r="CC108" s="105">
        <f t="shared" si="160"/>
        <v>19.478849480997589</v>
      </c>
      <c r="CD108" s="106">
        <f t="shared" si="161"/>
        <v>93.035609492086337</v>
      </c>
      <c r="CE108" s="107">
        <f t="shared" si="162"/>
        <v>1.395534142381295</v>
      </c>
      <c r="CF108" s="108" t="s">
        <v>2189</v>
      </c>
      <c r="CG108" s="108" t="s">
        <v>2189</v>
      </c>
      <c r="CH108" s="108" t="s">
        <v>2189</v>
      </c>
      <c r="CI108" s="108" t="s">
        <v>2189</v>
      </c>
      <c r="CJ108" s="109"/>
      <c r="CM108" s="111">
        <f t="shared" si="133"/>
        <v>25</v>
      </c>
      <c r="CN108" s="107">
        <f t="shared" si="163"/>
        <v>0.375</v>
      </c>
      <c r="CP108" s="88">
        <f t="shared" si="134"/>
        <v>0</v>
      </c>
      <c r="CQ108" s="78">
        <f t="shared" si="135"/>
        <v>100</v>
      </c>
      <c r="CR108" s="79">
        <f t="shared" si="164"/>
        <v>3</v>
      </c>
      <c r="CS108" s="92"/>
      <c r="CT108" s="77">
        <f t="shared" si="113"/>
        <v>0</v>
      </c>
      <c r="CU108" s="78">
        <f t="shared" si="136"/>
        <v>100</v>
      </c>
      <c r="CV108" s="79">
        <f t="shared" si="165"/>
        <v>2</v>
      </c>
      <c r="CW108" s="112" t="e">
        <f t="shared" si="137"/>
        <v>#DIV/0!</v>
      </c>
    </row>
    <row r="109" spans="1:101" x14ac:dyDescent="0.35">
      <c r="A109" s="7" t="s">
        <v>728</v>
      </c>
      <c r="B109" s="8" t="s">
        <v>729</v>
      </c>
      <c r="C109" s="21" t="s">
        <v>730</v>
      </c>
      <c r="D109" s="10" t="s">
        <v>141</v>
      </c>
      <c r="E109" s="11" t="s">
        <v>429</v>
      </c>
      <c r="F109" s="11" t="s">
        <v>731</v>
      </c>
      <c r="G109" s="12">
        <v>43756</v>
      </c>
      <c r="H109" s="11" t="s">
        <v>24</v>
      </c>
      <c r="I109" s="11" t="s">
        <v>732</v>
      </c>
      <c r="J109" s="11" t="s">
        <v>733</v>
      </c>
      <c r="K109" s="11" t="s">
        <v>734</v>
      </c>
      <c r="L109" s="23">
        <v>1026929716</v>
      </c>
      <c r="M109" s="14">
        <v>503865290</v>
      </c>
      <c r="N109" s="14">
        <v>523064426</v>
      </c>
      <c r="O109" s="14">
        <v>312148721</v>
      </c>
      <c r="P109" s="14">
        <v>7221936</v>
      </c>
      <c r="Q109" s="14">
        <v>4276527</v>
      </c>
      <c r="R109" s="14">
        <v>3863590</v>
      </c>
      <c r="AB109" s="74">
        <f t="shared" si="138"/>
        <v>0</v>
      </c>
      <c r="AC109" s="75" t="e">
        <f t="shared" si="114"/>
        <v>#DIV/0!</v>
      </c>
      <c r="AD109" s="75" t="e">
        <f t="shared" si="139"/>
        <v>#DIV/0!</v>
      </c>
      <c r="AE109" s="76" t="e">
        <f t="shared" si="154"/>
        <v>#DIV/0!</v>
      </c>
      <c r="AF109" s="77" t="e">
        <f t="shared" si="115"/>
        <v>#DIV/0!</v>
      </c>
      <c r="AG109" s="77" t="e">
        <f t="shared" si="116"/>
        <v>#DIV/0!</v>
      </c>
      <c r="AH109" s="77" t="e">
        <f t="shared" si="140"/>
        <v>#DIV/0!</v>
      </c>
      <c r="AI109" s="78" t="e">
        <f t="shared" si="141"/>
        <v>#DIV/0!</v>
      </c>
      <c r="AJ109" s="79" t="e">
        <f t="shared" si="155"/>
        <v>#DIV/0!</v>
      </c>
      <c r="AN109" s="81">
        <f t="shared" si="101"/>
        <v>0</v>
      </c>
      <c r="AO109" s="82" t="e">
        <f t="shared" si="102"/>
        <v>#DIV/0!</v>
      </c>
      <c r="AP109" s="83" t="e">
        <f t="shared" si="117"/>
        <v>#DIV/0!</v>
      </c>
      <c r="AQ109" s="84" t="e">
        <f t="shared" si="156"/>
        <v>#DIV/0!</v>
      </c>
      <c r="AS109" s="86">
        <f t="shared" si="103"/>
        <v>0.25</v>
      </c>
      <c r="AT109" s="87">
        <f t="shared" si="118"/>
        <v>0</v>
      </c>
      <c r="AU109" s="87">
        <f t="shared" si="119"/>
        <v>0</v>
      </c>
      <c r="AV109" s="88" t="e">
        <f t="shared" si="104"/>
        <v>#DIV/0!</v>
      </c>
      <c r="AW109" s="78" t="e">
        <f t="shared" si="120"/>
        <v>#DIV/0!</v>
      </c>
      <c r="AX109" s="89" t="e">
        <f t="shared" si="157"/>
        <v>#DIV/0!</v>
      </c>
      <c r="BA109" s="91">
        <f t="shared" si="105"/>
        <v>0</v>
      </c>
      <c r="BB109" s="77" t="e">
        <f t="shared" si="121"/>
        <v>#DIV/0!</v>
      </c>
      <c r="BC109" s="78" t="e">
        <f t="shared" si="122"/>
        <v>#DIV/0!</v>
      </c>
      <c r="BD109" s="79" t="e">
        <f t="shared" si="158"/>
        <v>#DIV/0!</v>
      </c>
      <c r="BE109" s="92"/>
      <c r="BF109" s="92"/>
      <c r="BG109" s="93">
        <v>0</v>
      </c>
      <c r="BH109" s="94">
        <f t="shared" si="106"/>
        <v>0</v>
      </c>
      <c r="BI109" s="77" t="e">
        <f t="shared" si="107"/>
        <v>#DIV/0!</v>
      </c>
      <c r="BJ109" s="95" t="str">
        <f t="shared" si="123"/>
        <v>전기전자/기계업</v>
      </c>
      <c r="BK109" s="96" t="e">
        <f t="shared" si="108"/>
        <v>#DIV/0!</v>
      </c>
      <c r="BL109" s="97" t="e">
        <f t="shared" si="124"/>
        <v>#DIV/0!</v>
      </c>
      <c r="BM109" s="98" t="e">
        <f t="shared" si="125"/>
        <v>#DIV/0!</v>
      </c>
      <c r="BN109" s="99" t="e">
        <f t="shared" si="126"/>
        <v>#DIV/0!</v>
      </c>
      <c r="BP109" s="101">
        <f t="shared" si="127"/>
        <v>0</v>
      </c>
      <c r="BQ109" s="78">
        <f t="shared" si="128"/>
        <v>25</v>
      </c>
      <c r="BR109" s="79">
        <f t="shared" si="159"/>
        <v>0.5</v>
      </c>
      <c r="BS109" s="102"/>
      <c r="BT109" s="102"/>
      <c r="BU109" s="103">
        <f t="shared" si="129"/>
        <v>0</v>
      </c>
      <c r="BV109" s="77">
        <f t="shared" si="109"/>
        <v>0</v>
      </c>
      <c r="BW109" s="96">
        <f t="shared" si="110"/>
        <v>0</v>
      </c>
      <c r="BX109" s="96">
        <f t="shared" si="130"/>
        <v>0</v>
      </c>
      <c r="BY109" s="96">
        <f t="shared" si="111"/>
        <v>0</v>
      </c>
      <c r="BZ109" s="96" t="e">
        <f t="shared" si="131"/>
        <v>#NUM!</v>
      </c>
      <c r="CA109" s="96" t="e">
        <f t="shared" si="112"/>
        <v>#NUM!</v>
      </c>
      <c r="CB109" s="104" t="e">
        <f t="shared" si="132"/>
        <v>#NUM!</v>
      </c>
      <c r="CC109" s="105">
        <f t="shared" si="160"/>
        <v>96.329489247276783</v>
      </c>
      <c r="CD109" s="106">
        <f t="shared" si="161"/>
        <v>64.071800534945936</v>
      </c>
      <c r="CE109" s="107">
        <f t="shared" si="162"/>
        <v>0.96107700802418905</v>
      </c>
      <c r="CF109" s="108" t="s">
        <v>2189</v>
      </c>
      <c r="CG109" s="108" t="s">
        <v>2189</v>
      </c>
      <c r="CH109" s="108" t="s">
        <v>2189</v>
      </c>
      <c r="CI109" s="108" t="s">
        <v>2189</v>
      </c>
      <c r="CJ109" s="109"/>
      <c r="CM109" s="111">
        <f t="shared" si="133"/>
        <v>25</v>
      </c>
      <c r="CN109" s="107">
        <f t="shared" si="163"/>
        <v>0.375</v>
      </c>
      <c r="CP109" s="88">
        <f t="shared" si="134"/>
        <v>0</v>
      </c>
      <c r="CQ109" s="78">
        <f t="shared" si="135"/>
        <v>100</v>
      </c>
      <c r="CR109" s="79">
        <f t="shared" si="164"/>
        <v>3</v>
      </c>
      <c r="CS109" s="92"/>
      <c r="CT109" s="77">
        <f t="shared" si="113"/>
        <v>0</v>
      </c>
      <c r="CU109" s="78">
        <f t="shared" si="136"/>
        <v>100</v>
      </c>
      <c r="CV109" s="79">
        <f t="shared" si="165"/>
        <v>2</v>
      </c>
      <c r="CW109" s="112" t="e">
        <f t="shared" si="137"/>
        <v>#DIV/0!</v>
      </c>
    </row>
    <row r="110" spans="1:101" x14ac:dyDescent="0.35">
      <c r="A110" s="7" t="s">
        <v>735</v>
      </c>
      <c r="B110" s="8" t="s">
        <v>736</v>
      </c>
      <c r="C110" s="21" t="s">
        <v>737</v>
      </c>
      <c r="D110" s="10" t="s">
        <v>141</v>
      </c>
      <c r="E110" s="11" t="s">
        <v>356</v>
      </c>
      <c r="F110" s="11" t="s">
        <v>738</v>
      </c>
      <c r="G110" s="12">
        <v>42580</v>
      </c>
      <c r="H110" s="11" t="s">
        <v>24</v>
      </c>
      <c r="I110" s="11" t="s">
        <v>739</v>
      </c>
      <c r="J110" s="11" t="s">
        <v>740</v>
      </c>
      <c r="K110" s="11" t="s">
        <v>27</v>
      </c>
      <c r="L110" s="23">
        <v>287289681</v>
      </c>
      <c r="M110" s="14">
        <v>116203289</v>
      </c>
      <c r="N110" s="14">
        <v>171086392</v>
      </c>
      <c r="O110" s="14">
        <v>227240330</v>
      </c>
      <c r="P110" s="14">
        <v>10840684</v>
      </c>
      <c r="Q110" s="14">
        <v>18488363</v>
      </c>
      <c r="R110" s="14">
        <v>14109027</v>
      </c>
      <c r="AB110" s="74">
        <f t="shared" si="138"/>
        <v>0</v>
      </c>
      <c r="AC110" s="75" t="e">
        <f t="shared" si="114"/>
        <v>#DIV/0!</v>
      </c>
      <c r="AD110" s="75" t="e">
        <f t="shared" si="139"/>
        <v>#DIV/0!</v>
      </c>
      <c r="AE110" s="76" t="e">
        <f t="shared" si="154"/>
        <v>#DIV/0!</v>
      </c>
      <c r="AF110" s="77" t="e">
        <f t="shared" si="115"/>
        <v>#DIV/0!</v>
      </c>
      <c r="AG110" s="77" t="e">
        <f t="shared" si="116"/>
        <v>#DIV/0!</v>
      </c>
      <c r="AH110" s="77" t="e">
        <f t="shared" si="140"/>
        <v>#DIV/0!</v>
      </c>
      <c r="AI110" s="78" t="e">
        <f t="shared" si="141"/>
        <v>#DIV/0!</v>
      </c>
      <c r="AJ110" s="79" t="e">
        <f t="shared" si="155"/>
        <v>#DIV/0!</v>
      </c>
      <c r="AN110" s="81">
        <f t="shared" si="101"/>
        <v>0</v>
      </c>
      <c r="AO110" s="82" t="e">
        <f t="shared" si="102"/>
        <v>#DIV/0!</v>
      </c>
      <c r="AP110" s="83" t="e">
        <f t="shared" si="117"/>
        <v>#DIV/0!</v>
      </c>
      <c r="AQ110" s="84" t="e">
        <f t="shared" si="156"/>
        <v>#DIV/0!</v>
      </c>
      <c r="AS110" s="86">
        <f t="shared" si="103"/>
        <v>0.25</v>
      </c>
      <c r="AT110" s="87">
        <f t="shared" si="118"/>
        <v>0</v>
      </c>
      <c r="AU110" s="87">
        <f t="shared" si="119"/>
        <v>0</v>
      </c>
      <c r="AV110" s="88" t="e">
        <f t="shared" si="104"/>
        <v>#DIV/0!</v>
      </c>
      <c r="AW110" s="78" t="e">
        <f t="shared" si="120"/>
        <v>#DIV/0!</v>
      </c>
      <c r="AX110" s="89" t="e">
        <f t="shared" si="157"/>
        <v>#DIV/0!</v>
      </c>
      <c r="BA110" s="91">
        <f t="shared" si="105"/>
        <v>0</v>
      </c>
      <c r="BB110" s="77" t="e">
        <f t="shared" si="121"/>
        <v>#DIV/0!</v>
      </c>
      <c r="BC110" s="78" t="e">
        <f t="shared" si="122"/>
        <v>#DIV/0!</v>
      </c>
      <c r="BD110" s="79" t="e">
        <f t="shared" si="158"/>
        <v>#DIV/0!</v>
      </c>
      <c r="BE110" s="92"/>
      <c r="BF110" s="92"/>
      <c r="BG110" s="114">
        <v>571543</v>
      </c>
      <c r="BH110" s="94">
        <f t="shared" si="106"/>
        <v>0</v>
      </c>
      <c r="BI110" s="77" t="e">
        <f t="shared" si="107"/>
        <v>#DIV/0!</v>
      </c>
      <c r="BJ110" s="95" t="str">
        <f t="shared" si="123"/>
        <v>전기전자/기계업</v>
      </c>
      <c r="BK110" s="96" t="e">
        <f t="shared" si="108"/>
        <v>#DIV/0!</v>
      </c>
      <c r="BL110" s="97" t="e">
        <f t="shared" si="124"/>
        <v>#DIV/0!</v>
      </c>
      <c r="BM110" s="98" t="e">
        <f t="shared" si="125"/>
        <v>#DIV/0!</v>
      </c>
      <c r="BN110" s="99" t="e">
        <f t="shared" si="126"/>
        <v>#DIV/0!</v>
      </c>
      <c r="BP110" s="101">
        <f t="shared" si="127"/>
        <v>0</v>
      </c>
      <c r="BQ110" s="78">
        <f t="shared" si="128"/>
        <v>25</v>
      </c>
      <c r="BR110" s="79">
        <f t="shared" si="159"/>
        <v>0.5</v>
      </c>
      <c r="BS110" s="102"/>
      <c r="BT110" s="102"/>
      <c r="BU110" s="103">
        <f t="shared" si="129"/>
        <v>0</v>
      </c>
      <c r="BV110" s="77">
        <f t="shared" si="109"/>
        <v>0</v>
      </c>
      <c r="BW110" s="96">
        <f t="shared" si="110"/>
        <v>0</v>
      </c>
      <c r="BX110" s="96">
        <f t="shared" si="130"/>
        <v>0</v>
      </c>
      <c r="BY110" s="96">
        <f t="shared" si="111"/>
        <v>0</v>
      </c>
      <c r="BZ110" s="96" t="e">
        <f t="shared" si="131"/>
        <v>#NUM!</v>
      </c>
      <c r="CA110" s="96" t="e">
        <f t="shared" si="112"/>
        <v>#NUM!</v>
      </c>
      <c r="CB110" s="104" t="e">
        <f t="shared" si="132"/>
        <v>#NUM!</v>
      </c>
      <c r="CC110" s="105">
        <f t="shared" si="160"/>
        <v>67.920825053111173</v>
      </c>
      <c r="CD110" s="106">
        <f t="shared" si="161"/>
        <v>74.778583522696792</v>
      </c>
      <c r="CE110" s="107">
        <f t="shared" si="162"/>
        <v>1.1216787528404519</v>
      </c>
      <c r="CF110" s="108" t="s">
        <v>2189</v>
      </c>
      <c r="CG110" s="108" t="s">
        <v>2189</v>
      </c>
      <c r="CH110" s="108" t="s">
        <v>2189</v>
      </c>
      <c r="CI110" s="108" t="s">
        <v>2189</v>
      </c>
      <c r="CJ110" s="109"/>
      <c r="CM110" s="111">
        <f t="shared" si="133"/>
        <v>25</v>
      </c>
      <c r="CN110" s="107">
        <f t="shared" si="163"/>
        <v>0.375</v>
      </c>
      <c r="CP110" s="88">
        <f t="shared" si="134"/>
        <v>0</v>
      </c>
      <c r="CQ110" s="78">
        <f t="shared" si="135"/>
        <v>100</v>
      </c>
      <c r="CR110" s="79">
        <f t="shared" si="164"/>
        <v>3</v>
      </c>
      <c r="CS110" s="92"/>
      <c r="CT110" s="77">
        <f t="shared" si="113"/>
        <v>0</v>
      </c>
      <c r="CU110" s="78">
        <f t="shared" si="136"/>
        <v>100</v>
      </c>
      <c r="CV110" s="79">
        <f t="shared" si="165"/>
        <v>2</v>
      </c>
      <c r="CW110" s="112" t="e">
        <f t="shared" si="137"/>
        <v>#DIV/0!</v>
      </c>
    </row>
    <row r="111" spans="1:101" x14ac:dyDescent="0.35">
      <c r="A111" s="7" t="s">
        <v>741</v>
      </c>
      <c r="B111" s="8" t="s">
        <v>742</v>
      </c>
      <c r="C111" s="21" t="s">
        <v>743</v>
      </c>
      <c r="D111" s="10" t="s">
        <v>75</v>
      </c>
      <c r="E111" s="11" t="s">
        <v>114</v>
      </c>
      <c r="F111" s="11" t="s">
        <v>744</v>
      </c>
      <c r="G111" s="12">
        <v>36390</v>
      </c>
      <c r="H111" s="11" t="s">
        <v>24</v>
      </c>
      <c r="I111" s="11" t="s">
        <v>745</v>
      </c>
      <c r="J111" s="11" t="s">
        <v>746</v>
      </c>
      <c r="K111" s="11" t="s">
        <v>102</v>
      </c>
      <c r="L111" s="23">
        <v>306956323</v>
      </c>
      <c r="M111" s="14">
        <v>41595074</v>
      </c>
      <c r="N111" s="14">
        <v>265361249</v>
      </c>
      <c r="O111" s="14">
        <v>240604203</v>
      </c>
      <c r="P111" s="14">
        <v>24501432</v>
      </c>
      <c r="Q111" s="14">
        <v>44413864</v>
      </c>
      <c r="R111" s="14">
        <v>37642494</v>
      </c>
      <c r="AB111" s="74">
        <f t="shared" si="138"/>
        <v>0</v>
      </c>
      <c r="AC111" s="75" t="e">
        <f t="shared" si="114"/>
        <v>#DIV/0!</v>
      </c>
      <c r="AD111" s="75" t="e">
        <f t="shared" si="139"/>
        <v>#DIV/0!</v>
      </c>
      <c r="AE111" s="76" t="e">
        <f t="shared" si="154"/>
        <v>#DIV/0!</v>
      </c>
      <c r="AF111" s="77" t="e">
        <f t="shared" si="115"/>
        <v>#DIV/0!</v>
      </c>
      <c r="AG111" s="77" t="e">
        <f t="shared" si="116"/>
        <v>#DIV/0!</v>
      </c>
      <c r="AH111" s="77" t="e">
        <f t="shared" si="140"/>
        <v>#DIV/0!</v>
      </c>
      <c r="AI111" s="78" t="e">
        <f t="shared" si="141"/>
        <v>#DIV/0!</v>
      </c>
      <c r="AJ111" s="79" t="e">
        <f t="shared" si="155"/>
        <v>#DIV/0!</v>
      </c>
      <c r="AN111" s="81">
        <f t="shared" si="101"/>
        <v>0</v>
      </c>
      <c r="AO111" s="82" t="e">
        <f t="shared" si="102"/>
        <v>#DIV/0!</v>
      </c>
      <c r="AP111" s="83" t="e">
        <f t="shared" si="117"/>
        <v>#DIV/0!</v>
      </c>
      <c r="AQ111" s="84" t="e">
        <f t="shared" si="156"/>
        <v>#DIV/0!</v>
      </c>
      <c r="AS111" s="86">
        <f t="shared" si="103"/>
        <v>0.25</v>
      </c>
      <c r="AT111" s="87">
        <f t="shared" si="118"/>
        <v>0</v>
      </c>
      <c r="AU111" s="87">
        <f t="shared" si="119"/>
        <v>0</v>
      </c>
      <c r="AV111" s="88" t="e">
        <f t="shared" si="104"/>
        <v>#DIV/0!</v>
      </c>
      <c r="AW111" s="78" t="e">
        <f t="shared" si="120"/>
        <v>#DIV/0!</v>
      </c>
      <c r="AX111" s="89" t="e">
        <f t="shared" si="157"/>
        <v>#DIV/0!</v>
      </c>
      <c r="BA111" s="91">
        <f t="shared" si="105"/>
        <v>0</v>
      </c>
      <c r="BB111" s="77" t="e">
        <f t="shared" si="121"/>
        <v>#DIV/0!</v>
      </c>
      <c r="BC111" s="78" t="e">
        <f t="shared" si="122"/>
        <v>#DIV/0!</v>
      </c>
      <c r="BD111" s="79" t="e">
        <f t="shared" si="158"/>
        <v>#DIV/0!</v>
      </c>
      <c r="BE111" s="92"/>
      <c r="BF111" s="92"/>
      <c r="BG111" s="114">
        <v>105000</v>
      </c>
      <c r="BH111" s="94">
        <f t="shared" si="106"/>
        <v>0</v>
      </c>
      <c r="BI111" s="77" t="e">
        <f t="shared" si="107"/>
        <v>#DIV/0!</v>
      </c>
      <c r="BJ111" s="95" t="str">
        <f t="shared" si="123"/>
        <v>금속/비금속/화학업</v>
      </c>
      <c r="BK111" s="96" t="e">
        <f t="shared" si="108"/>
        <v>#DIV/0!</v>
      </c>
      <c r="BL111" s="97" t="e">
        <f t="shared" si="124"/>
        <v>#DIV/0!</v>
      </c>
      <c r="BM111" s="98" t="e">
        <f t="shared" si="125"/>
        <v>#DIV/0!</v>
      </c>
      <c r="BN111" s="99" t="e">
        <f t="shared" si="126"/>
        <v>#DIV/0!</v>
      </c>
      <c r="BP111" s="101">
        <f t="shared" si="127"/>
        <v>0</v>
      </c>
      <c r="BQ111" s="78">
        <f t="shared" si="128"/>
        <v>25</v>
      </c>
      <c r="BR111" s="79">
        <f t="shared" si="159"/>
        <v>0.5</v>
      </c>
      <c r="BS111" s="102"/>
      <c r="BT111" s="102"/>
      <c r="BU111" s="103">
        <f t="shared" si="129"/>
        <v>0</v>
      </c>
      <c r="BV111" s="77">
        <f t="shared" si="109"/>
        <v>0</v>
      </c>
      <c r="BW111" s="96">
        <f t="shared" si="110"/>
        <v>0</v>
      </c>
      <c r="BX111" s="96">
        <f t="shared" si="130"/>
        <v>0</v>
      </c>
      <c r="BY111" s="96">
        <f t="shared" si="111"/>
        <v>0</v>
      </c>
      <c r="BZ111" s="96" t="e">
        <f t="shared" si="131"/>
        <v>#NUM!</v>
      </c>
      <c r="CA111" s="96" t="e">
        <f t="shared" si="112"/>
        <v>#NUM!</v>
      </c>
      <c r="CB111" s="104" t="e">
        <f t="shared" si="132"/>
        <v>#NUM!</v>
      </c>
      <c r="CC111" s="105">
        <f t="shared" si="160"/>
        <v>15.674886275501365</v>
      </c>
      <c r="CD111" s="106">
        <f t="shared" si="161"/>
        <v>94.469263966519591</v>
      </c>
      <c r="CE111" s="107">
        <f t="shared" si="162"/>
        <v>1.4170389594977939</v>
      </c>
      <c r="CF111" s="108" t="s">
        <v>2189</v>
      </c>
      <c r="CG111" s="108" t="s">
        <v>2189</v>
      </c>
      <c r="CH111" s="108" t="s">
        <v>2189</v>
      </c>
      <c r="CI111" s="108" t="s">
        <v>2189</v>
      </c>
      <c r="CJ111" s="109"/>
      <c r="CM111" s="111">
        <f t="shared" si="133"/>
        <v>25</v>
      </c>
      <c r="CN111" s="107">
        <f t="shared" si="163"/>
        <v>0.375</v>
      </c>
      <c r="CP111" s="88">
        <f t="shared" si="134"/>
        <v>0</v>
      </c>
      <c r="CQ111" s="78">
        <f t="shared" si="135"/>
        <v>100</v>
      </c>
      <c r="CR111" s="79">
        <f t="shared" si="164"/>
        <v>3</v>
      </c>
      <c r="CS111" s="92"/>
      <c r="CT111" s="77">
        <f t="shared" si="113"/>
        <v>0</v>
      </c>
      <c r="CU111" s="78">
        <f t="shared" si="136"/>
        <v>100</v>
      </c>
      <c r="CV111" s="79">
        <f t="shared" si="165"/>
        <v>2</v>
      </c>
      <c r="CW111" s="112" t="e">
        <f t="shared" si="137"/>
        <v>#DIV/0!</v>
      </c>
    </row>
    <row r="112" spans="1:101" x14ac:dyDescent="0.35">
      <c r="A112" s="7" t="s">
        <v>747</v>
      </c>
      <c r="B112" s="8" t="s">
        <v>748</v>
      </c>
      <c r="C112" s="21" t="s">
        <v>749</v>
      </c>
      <c r="D112" s="10" t="s">
        <v>141</v>
      </c>
      <c r="E112" s="11" t="s">
        <v>750</v>
      </c>
      <c r="F112" s="11" t="s">
        <v>751</v>
      </c>
      <c r="G112" s="12">
        <v>35277</v>
      </c>
      <c r="H112" s="11" t="s">
        <v>24</v>
      </c>
      <c r="I112" s="11" t="s">
        <v>752</v>
      </c>
      <c r="J112" s="11" t="s">
        <v>753</v>
      </c>
      <c r="K112" s="11" t="s">
        <v>27</v>
      </c>
      <c r="L112" s="23">
        <v>217873583</v>
      </c>
      <c r="M112" s="14">
        <v>87027381</v>
      </c>
      <c r="N112" s="14">
        <v>130846203</v>
      </c>
      <c r="O112" s="14">
        <v>151824315</v>
      </c>
      <c r="P112" s="14">
        <v>7759514</v>
      </c>
      <c r="Q112" s="14">
        <v>12802990</v>
      </c>
      <c r="R112" s="14">
        <v>10828940</v>
      </c>
      <c r="AB112" s="74">
        <f t="shared" si="138"/>
        <v>0</v>
      </c>
      <c r="AC112" s="75" t="e">
        <f t="shared" si="114"/>
        <v>#DIV/0!</v>
      </c>
      <c r="AD112" s="75" t="e">
        <f t="shared" si="139"/>
        <v>#DIV/0!</v>
      </c>
      <c r="AE112" s="76" t="e">
        <f t="shared" si="154"/>
        <v>#DIV/0!</v>
      </c>
      <c r="AF112" s="77" t="e">
        <f t="shared" si="115"/>
        <v>#DIV/0!</v>
      </c>
      <c r="AG112" s="77" t="e">
        <f t="shared" si="116"/>
        <v>#DIV/0!</v>
      </c>
      <c r="AH112" s="77" t="e">
        <f t="shared" si="140"/>
        <v>#DIV/0!</v>
      </c>
      <c r="AI112" s="78" t="e">
        <f t="shared" si="141"/>
        <v>#DIV/0!</v>
      </c>
      <c r="AJ112" s="79" t="e">
        <f t="shared" si="155"/>
        <v>#DIV/0!</v>
      </c>
      <c r="AN112" s="81">
        <f t="shared" si="101"/>
        <v>0</v>
      </c>
      <c r="AO112" s="82" t="e">
        <f t="shared" si="102"/>
        <v>#DIV/0!</v>
      </c>
      <c r="AP112" s="83" t="e">
        <f t="shared" si="117"/>
        <v>#DIV/0!</v>
      </c>
      <c r="AQ112" s="84" t="e">
        <f t="shared" si="156"/>
        <v>#DIV/0!</v>
      </c>
      <c r="AS112" s="86">
        <f t="shared" si="103"/>
        <v>0.25</v>
      </c>
      <c r="AT112" s="87">
        <f t="shared" si="118"/>
        <v>0</v>
      </c>
      <c r="AU112" s="87">
        <f t="shared" si="119"/>
        <v>0</v>
      </c>
      <c r="AV112" s="88" t="e">
        <f t="shared" si="104"/>
        <v>#DIV/0!</v>
      </c>
      <c r="AW112" s="78" t="e">
        <f t="shared" si="120"/>
        <v>#DIV/0!</v>
      </c>
      <c r="AX112" s="89" t="e">
        <f t="shared" si="157"/>
        <v>#DIV/0!</v>
      </c>
      <c r="BA112" s="91">
        <f t="shared" si="105"/>
        <v>0</v>
      </c>
      <c r="BB112" s="77" t="e">
        <f t="shared" si="121"/>
        <v>#DIV/0!</v>
      </c>
      <c r="BC112" s="78" t="e">
        <f t="shared" si="122"/>
        <v>#DIV/0!</v>
      </c>
      <c r="BD112" s="79" t="e">
        <f t="shared" si="158"/>
        <v>#DIV/0!</v>
      </c>
      <c r="BE112" s="92"/>
      <c r="BF112" s="92"/>
      <c r="BG112" s="114">
        <v>952018</v>
      </c>
      <c r="BH112" s="94">
        <f t="shared" si="106"/>
        <v>0</v>
      </c>
      <c r="BI112" s="77" t="e">
        <f t="shared" si="107"/>
        <v>#DIV/0!</v>
      </c>
      <c r="BJ112" s="95" t="str">
        <f t="shared" si="123"/>
        <v>전기전자/기계업</v>
      </c>
      <c r="BK112" s="96" t="e">
        <f t="shared" si="108"/>
        <v>#DIV/0!</v>
      </c>
      <c r="BL112" s="97" t="e">
        <f t="shared" si="124"/>
        <v>#DIV/0!</v>
      </c>
      <c r="BM112" s="98" t="e">
        <f t="shared" si="125"/>
        <v>#DIV/0!</v>
      </c>
      <c r="BN112" s="99" t="e">
        <f t="shared" si="126"/>
        <v>#DIV/0!</v>
      </c>
      <c r="BP112" s="101">
        <f t="shared" si="127"/>
        <v>0</v>
      </c>
      <c r="BQ112" s="78">
        <f t="shared" si="128"/>
        <v>25</v>
      </c>
      <c r="BR112" s="79">
        <f t="shared" si="159"/>
        <v>0.5</v>
      </c>
      <c r="BS112" s="102"/>
      <c r="BT112" s="102"/>
      <c r="BU112" s="103">
        <f t="shared" si="129"/>
        <v>0</v>
      </c>
      <c r="BV112" s="77">
        <f t="shared" si="109"/>
        <v>0</v>
      </c>
      <c r="BW112" s="96">
        <f t="shared" si="110"/>
        <v>0</v>
      </c>
      <c r="BX112" s="96">
        <f t="shared" si="130"/>
        <v>0</v>
      </c>
      <c r="BY112" s="96">
        <f t="shared" si="111"/>
        <v>0</v>
      </c>
      <c r="BZ112" s="96" t="e">
        <f t="shared" si="131"/>
        <v>#NUM!</v>
      </c>
      <c r="CA112" s="96" t="e">
        <f t="shared" si="112"/>
        <v>#NUM!</v>
      </c>
      <c r="CB112" s="104" t="e">
        <f t="shared" si="132"/>
        <v>#NUM!</v>
      </c>
      <c r="CC112" s="105">
        <f t="shared" si="160"/>
        <v>66.511200940236677</v>
      </c>
      <c r="CD112" s="106">
        <f t="shared" si="161"/>
        <v>75.309848891870601</v>
      </c>
      <c r="CE112" s="107">
        <f t="shared" si="162"/>
        <v>1.129647733378059</v>
      </c>
      <c r="CF112" s="108" t="s">
        <v>2189</v>
      </c>
      <c r="CG112" s="108" t="s">
        <v>2189</v>
      </c>
      <c r="CH112" s="108" t="s">
        <v>2189</v>
      </c>
      <c r="CI112" s="108" t="s">
        <v>2189</v>
      </c>
      <c r="CJ112" s="109"/>
      <c r="CM112" s="111">
        <f t="shared" si="133"/>
        <v>25</v>
      </c>
      <c r="CN112" s="107">
        <f t="shared" si="163"/>
        <v>0.375</v>
      </c>
      <c r="CP112" s="88">
        <f t="shared" si="134"/>
        <v>0</v>
      </c>
      <c r="CQ112" s="78">
        <f t="shared" si="135"/>
        <v>100</v>
      </c>
      <c r="CR112" s="79">
        <f t="shared" si="164"/>
        <v>3</v>
      </c>
      <c r="CS112" s="92"/>
      <c r="CT112" s="77">
        <f t="shared" si="113"/>
        <v>0</v>
      </c>
      <c r="CU112" s="78">
        <f t="shared" si="136"/>
        <v>100</v>
      </c>
      <c r="CV112" s="79">
        <f t="shared" si="165"/>
        <v>2</v>
      </c>
      <c r="CW112" s="112" t="e">
        <f t="shared" si="137"/>
        <v>#DIV/0!</v>
      </c>
    </row>
    <row r="113" spans="1:101" x14ac:dyDescent="0.35">
      <c r="A113" s="7" t="s">
        <v>754</v>
      </c>
      <c r="B113" s="8" t="s">
        <v>755</v>
      </c>
      <c r="C113" s="21" t="s">
        <v>756</v>
      </c>
      <c r="D113" s="10" t="s">
        <v>141</v>
      </c>
      <c r="E113" s="11" t="s">
        <v>481</v>
      </c>
      <c r="F113" s="11" t="s">
        <v>757</v>
      </c>
      <c r="G113" s="12">
        <v>42019</v>
      </c>
      <c r="H113" s="11" t="s">
        <v>24</v>
      </c>
      <c r="I113" s="11" t="s">
        <v>758</v>
      </c>
      <c r="J113" s="11" t="s">
        <v>759</v>
      </c>
      <c r="K113" s="11" t="s">
        <v>102</v>
      </c>
      <c r="L113" s="23">
        <v>254037930</v>
      </c>
      <c r="M113" s="14">
        <v>46334209</v>
      </c>
      <c r="N113" s="14">
        <v>207703722</v>
      </c>
      <c r="O113" s="14">
        <v>296998154</v>
      </c>
      <c r="P113" s="14">
        <v>11495556</v>
      </c>
      <c r="Q113" s="14">
        <v>30484094</v>
      </c>
      <c r="R113" s="14">
        <v>29253768</v>
      </c>
      <c r="AB113" s="74">
        <f t="shared" si="138"/>
        <v>0</v>
      </c>
      <c r="AC113" s="75" t="e">
        <f t="shared" si="114"/>
        <v>#DIV/0!</v>
      </c>
      <c r="AD113" s="75" t="e">
        <f t="shared" si="139"/>
        <v>#DIV/0!</v>
      </c>
      <c r="AE113" s="76" t="e">
        <f t="shared" si="154"/>
        <v>#DIV/0!</v>
      </c>
      <c r="AF113" s="77" t="e">
        <f t="shared" si="115"/>
        <v>#DIV/0!</v>
      </c>
      <c r="AG113" s="77" t="e">
        <f t="shared" si="116"/>
        <v>#DIV/0!</v>
      </c>
      <c r="AH113" s="77" t="e">
        <f t="shared" si="140"/>
        <v>#DIV/0!</v>
      </c>
      <c r="AI113" s="78" t="e">
        <f t="shared" si="141"/>
        <v>#DIV/0!</v>
      </c>
      <c r="AJ113" s="79" t="e">
        <f t="shared" si="155"/>
        <v>#DIV/0!</v>
      </c>
      <c r="AN113" s="81">
        <f t="shared" si="101"/>
        <v>0</v>
      </c>
      <c r="AO113" s="82" t="e">
        <f t="shared" si="102"/>
        <v>#DIV/0!</v>
      </c>
      <c r="AP113" s="83" t="e">
        <f t="shared" si="117"/>
        <v>#DIV/0!</v>
      </c>
      <c r="AQ113" s="84" t="e">
        <f t="shared" si="156"/>
        <v>#DIV/0!</v>
      </c>
      <c r="AS113" s="86">
        <f t="shared" si="103"/>
        <v>0.25</v>
      </c>
      <c r="AT113" s="87">
        <f t="shared" si="118"/>
        <v>0</v>
      </c>
      <c r="AU113" s="87">
        <f t="shared" si="119"/>
        <v>0</v>
      </c>
      <c r="AV113" s="88" t="e">
        <f t="shared" si="104"/>
        <v>#DIV/0!</v>
      </c>
      <c r="AW113" s="78" t="e">
        <f t="shared" si="120"/>
        <v>#DIV/0!</v>
      </c>
      <c r="AX113" s="89" t="e">
        <f t="shared" si="157"/>
        <v>#DIV/0!</v>
      </c>
      <c r="BA113" s="91">
        <f t="shared" si="105"/>
        <v>0</v>
      </c>
      <c r="BB113" s="77" t="e">
        <f t="shared" si="121"/>
        <v>#DIV/0!</v>
      </c>
      <c r="BC113" s="78" t="e">
        <f t="shared" si="122"/>
        <v>#DIV/0!</v>
      </c>
      <c r="BD113" s="79" t="e">
        <f t="shared" si="158"/>
        <v>#DIV/0!</v>
      </c>
      <c r="BE113" s="92"/>
      <c r="BF113" s="92"/>
      <c r="BG113" s="114">
        <v>35479</v>
      </c>
      <c r="BH113" s="94">
        <f t="shared" si="106"/>
        <v>0</v>
      </c>
      <c r="BI113" s="77" t="e">
        <f t="shared" si="107"/>
        <v>#DIV/0!</v>
      </c>
      <c r="BJ113" s="95" t="str">
        <f t="shared" si="123"/>
        <v>전기전자/기계업</v>
      </c>
      <c r="BK113" s="96" t="e">
        <f t="shared" si="108"/>
        <v>#DIV/0!</v>
      </c>
      <c r="BL113" s="97" t="e">
        <f t="shared" si="124"/>
        <v>#DIV/0!</v>
      </c>
      <c r="BM113" s="98" t="e">
        <f t="shared" si="125"/>
        <v>#DIV/0!</v>
      </c>
      <c r="BN113" s="99" t="e">
        <f t="shared" si="126"/>
        <v>#DIV/0!</v>
      </c>
      <c r="BP113" s="101">
        <f t="shared" si="127"/>
        <v>0</v>
      </c>
      <c r="BQ113" s="78">
        <f t="shared" si="128"/>
        <v>25</v>
      </c>
      <c r="BR113" s="79">
        <f t="shared" si="159"/>
        <v>0.5</v>
      </c>
      <c r="BS113" s="102"/>
      <c r="BT113" s="102"/>
      <c r="BU113" s="103">
        <f t="shared" si="129"/>
        <v>0</v>
      </c>
      <c r="BV113" s="77">
        <f t="shared" si="109"/>
        <v>0</v>
      </c>
      <c r="BW113" s="96">
        <f t="shared" si="110"/>
        <v>0</v>
      </c>
      <c r="BX113" s="96">
        <f t="shared" si="130"/>
        <v>0</v>
      </c>
      <c r="BY113" s="96">
        <f t="shared" si="111"/>
        <v>0</v>
      </c>
      <c r="BZ113" s="96" t="e">
        <f t="shared" si="131"/>
        <v>#NUM!</v>
      </c>
      <c r="CA113" s="96" t="e">
        <f t="shared" si="112"/>
        <v>#NUM!</v>
      </c>
      <c r="CB113" s="104" t="e">
        <f t="shared" si="132"/>
        <v>#NUM!</v>
      </c>
      <c r="CC113" s="105">
        <f t="shared" si="160"/>
        <v>22.307837603410881</v>
      </c>
      <c r="CD113" s="106">
        <f t="shared" si="161"/>
        <v>91.969407938412985</v>
      </c>
      <c r="CE113" s="107">
        <f t="shared" si="162"/>
        <v>1.3795411190761948</v>
      </c>
      <c r="CF113" s="108" t="s">
        <v>2189</v>
      </c>
      <c r="CG113" s="108" t="s">
        <v>2189</v>
      </c>
      <c r="CH113" s="108" t="s">
        <v>2189</v>
      </c>
      <c r="CI113" s="108" t="s">
        <v>2189</v>
      </c>
      <c r="CJ113" s="109"/>
      <c r="CM113" s="111">
        <f t="shared" si="133"/>
        <v>25</v>
      </c>
      <c r="CN113" s="107">
        <f t="shared" si="163"/>
        <v>0.375</v>
      </c>
      <c r="CP113" s="88">
        <f t="shared" si="134"/>
        <v>0</v>
      </c>
      <c r="CQ113" s="78">
        <f t="shared" si="135"/>
        <v>100</v>
      </c>
      <c r="CR113" s="79">
        <f t="shared" si="164"/>
        <v>3</v>
      </c>
      <c r="CS113" s="92"/>
      <c r="CT113" s="77">
        <f t="shared" si="113"/>
        <v>0</v>
      </c>
      <c r="CU113" s="78">
        <f t="shared" si="136"/>
        <v>100</v>
      </c>
      <c r="CV113" s="79">
        <f t="shared" si="165"/>
        <v>2</v>
      </c>
      <c r="CW113" s="112" t="e">
        <f t="shared" si="137"/>
        <v>#DIV/0!</v>
      </c>
    </row>
    <row r="114" spans="1:101" x14ac:dyDescent="0.35">
      <c r="A114" s="7" t="s">
        <v>760</v>
      </c>
      <c r="B114" s="8" t="s">
        <v>761</v>
      </c>
      <c r="C114" s="21" t="s">
        <v>762</v>
      </c>
      <c r="D114" s="22" t="s">
        <v>21</v>
      </c>
      <c r="E114" s="11" t="s">
        <v>310</v>
      </c>
      <c r="F114" s="11" t="s">
        <v>763</v>
      </c>
      <c r="G114" s="12">
        <v>44427</v>
      </c>
      <c r="H114" s="11" t="s">
        <v>24</v>
      </c>
      <c r="I114" s="11" t="s">
        <v>764</v>
      </c>
      <c r="J114" s="11" t="s">
        <v>765</v>
      </c>
      <c r="K114" s="11" t="s">
        <v>50</v>
      </c>
      <c r="L114" s="23">
        <v>6047349340</v>
      </c>
      <c r="M114" s="14">
        <v>4946497236</v>
      </c>
      <c r="N114" s="14">
        <v>1100852104</v>
      </c>
      <c r="O114" s="14">
        <v>2522065710</v>
      </c>
      <c r="P114" s="14">
        <v>286357383</v>
      </c>
      <c r="Q114" s="14">
        <v>120975036</v>
      </c>
      <c r="R114" s="14">
        <v>78010954</v>
      </c>
      <c r="AB114" s="74">
        <f t="shared" si="138"/>
        <v>0</v>
      </c>
      <c r="AC114" s="75" t="e">
        <f t="shared" si="114"/>
        <v>#DIV/0!</v>
      </c>
      <c r="AD114" s="75" t="e">
        <f t="shared" si="139"/>
        <v>#DIV/0!</v>
      </c>
      <c r="AE114" s="76" t="e">
        <f t="shared" si="154"/>
        <v>#DIV/0!</v>
      </c>
      <c r="AF114" s="77" t="e">
        <f t="shared" si="115"/>
        <v>#DIV/0!</v>
      </c>
      <c r="AG114" s="77" t="e">
        <f t="shared" si="116"/>
        <v>#DIV/0!</v>
      </c>
      <c r="AH114" s="77" t="e">
        <f t="shared" si="140"/>
        <v>#DIV/0!</v>
      </c>
      <c r="AI114" s="78" t="e">
        <f t="shared" si="141"/>
        <v>#DIV/0!</v>
      </c>
      <c r="AJ114" s="79" t="e">
        <f t="shared" si="155"/>
        <v>#DIV/0!</v>
      </c>
      <c r="AN114" s="81">
        <f t="shared" si="101"/>
        <v>0</v>
      </c>
      <c r="AO114" s="82" t="e">
        <f t="shared" si="102"/>
        <v>#DIV/0!</v>
      </c>
      <c r="AP114" s="83" t="e">
        <f t="shared" si="117"/>
        <v>#DIV/0!</v>
      </c>
      <c r="AQ114" s="84" t="e">
        <f t="shared" si="156"/>
        <v>#DIV/0!</v>
      </c>
      <c r="AS114" s="86">
        <f t="shared" si="103"/>
        <v>0.5</v>
      </c>
      <c r="AT114" s="87">
        <f t="shared" si="118"/>
        <v>0</v>
      </c>
      <c r="AU114" s="87">
        <f t="shared" si="119"/>
        <v>0</v>
      </c>
      <c r="AV114" s="88" t="e">
        <f t="shared" si="104"/>
        <v>#DIV/0!</v>
      </c>
      <c r="AW114" s="78" t="e">
        <f t="shared" si="120"/>
        <v>#DIV/0!</v>
      </c>
      <c r="AX114" s="89" t="e">
        <f t="shared" si="157"/>
        <v>#DIV/0!</v>
      </c>
      <c r="BA114" s="91">
        <f t="shared" si="105"/>
        <v>0</v>
      </c>
      <c r="BB114" s="77" t="e">
        <f t="shared" si="121"/>
        <v>#DIV/0!</v>
      </c>
      <c r="BC114" s="78" t="e">
        <f t="shared" si="122"/>
        <v>#DIV/0!</v>
      </c>
      <c r="BD114" s="79" t="e">
        <f t="shared" si="158"/>
        <v>#DIV/0!</v>
      </c>
      <c r="BE114" s="92"/>
      <c r="BF114" s="92"/>
      <c r="BG114" s="114">
        <v>446850</v>
      </c>
      <c r="BH114" s="94">
        <f t="shared" si="106"/>
        <v>0</v>
      </c>
      <c r="BI114" s="77" t="e">
        <f t="shared" si="107"/>
        <v>#DIV/0!</v>
      </c>
      <c r="BJ114" s="95" t="str">
        <f t="shared" si="123"/>
        <v>비제조/서비스업</v>
      </c>
      <c r="BK114" s="96" t="e">
        <f t="shared" si="108"/>
        <v>#DIV/0!</v>
      </c>
      <c r="BL114" s="97" t="e">
        <f t="shared" si="124"/>
        <v>#DIV/0!</v>
      </c>
      <c r="BM114" s="98" t="e">
        <f t="shared" si="125"/>
        <v>#DIV/0!</v>
      </c>
      <c r="BN114" s="99" t="e">
        <f t="shared" si="126"/>
        <v>#DIV/0!</v>
      </c>
      <c r="BP114" s="101">
        <f t="shared" si="127"/>
        <v>0</v>
      </c>
      <c r="BQ114" s="78">
        <f t="shared" si="128"/>
        <v>25</v>
      </c>
      <c r="BR114" s="79">
        <f t="shared" si="159"/>
        <v>0.5</v>
      </c>
      <c r="BS114" s="102"/>
      <c r="BT114" s="102"/>
      <c r="BU114" s="103">
        <f t="shared" si="129"/>
        <v>0</v>
      </c>
      <c r="BV114" s="77">
        <f t="shared" si="109"/>
        <v>0</v>
      </c>
      <c r="BW114" s="96">
        <f t="shared" si="110"/>
        <v>0</v>
      </c>
      <c r="BX114" s="96">
        <f t="shared" si="130"/>
        <v>0</v>
      </c>
      <c r="BY114" s="96">
        <f t="shared" si="111"/>
        <v>0</v>
      </c>
      <c r="BZ114" s="96" t="e">
        <f t="shared" si="131"/>
        <v>#NUM!</v>
      </c>
      <c r="CA114" s="96" t="e">
        <f t="shared" si="112"/>
        <v>#NUM!</v>
      </c>
      <c r="CB114" s="104" t="e">
        <f t="shared" si="132"/>
        <v>#NUM!</v>
      </c>
      <c r="CC114" s="105">
        <f t="shared" si="160"/>
        <v>449.33349521036121</v>
      </c>
      <c r="CD114" s="106">
        <f t="shared" si="161"/>
        <v>25</v>
      </c>
      <c r="CE114" s="107">
        <f t="shared" si="162"/>
        <v>0.375</v>
      </c>
      <c r="CF114" s="108" t="s">
        <v>2189</v>
      </c>
      <c r="CG114" s="108" t="s">
        <v>2189</v>
      </c>
      <c r="CH114" s="108" t="s">
        <v>2189</v>
      </c>
      <c r="CI114" s="108" t="s">
        <v>2189</v>
      </c>
      <c r="CJ114" s="109"/>
      <c r="CM114" s="111">
        <f t="shared" si="133"/>
        <v>25</v>
      </c>
      <c r="CN114" s="107">
        <f t="shared" si="163"/>
        <v>0.375</v>
      </c>
      <c r="CP114" s="88">
        <f t="shared" si="134"/>
        <v>0</v>
      </c>
      <c r="CQ114" s="78">
        <f t="shared" si="135"/>
        <v>100</v>
      </c>
      <c r="CR114" s="79">
        <f t="shared" si="164"/>
        <v>3</v>
      </c>
      <c r="CS114" s="92"/>
      <c r="CT114" s="77">
        <f t="shared" si="113"/>
        <v>0</v>
      </c>
      <c r="CU114" s="78">
        <f t="shared" si="136"/>
        <v>100</v>
      </c>
      <c r="CV114" s="79">
        <f t="shared" si="165"/>
        <v>2</v>
      </c>
      <c r="CW114" s="112" t="e">
        <f t="shared" si="137"/>
        <v>#DIV/0!</v>
      </c>
    </row>
    <row r="115" spans="1:101" x14ac:dyDescent="0.35">
      <c r="A115" s="7" t="s">
        <v>766</v>
      </c>
      <c r="B115" s="8" t="s">
        <v>767</v>
      </c>
      <c r="C115" s="21" t="s">
        <v>768</v>
      </c>
      <c r="D115" s="10" t="s">
        <v>141</v>
      </c>
      <c r="E115" s="11" t="s">
        <v>241</v>
      </c>
      <c r="F115" s="11" t="s">
        <v>769</v>
      </c>
      <c r="G115" s="12">
        <v>40606</v>
      </c>
      <c r="H115" s="11" t="s">
        <v>24</v>
      </c>
      <c r="I115" s="11" t="s">
        <v>770</v>
      </c>
      <c r="J115" s="11" t="s">
        <v>771</v>
      </c>
      <c r="K115" s="11" t="s">
        <v>734</v>
      </c>
      <c r="L115" s="23">
        <v>835420294</v>
      </c>
      <c r="M115" s="14">
        <v>225524201</v>
      </c>
      <c r="N115" s="14">
        <v>609896093</v>
      </c>
      <c r="O115" s="14">
        <v>312422244</v>
      </c>
      <c r="P115" s="14">
        <v>22539859</v>
      </c>
      <c r="Q115" s="14">
        <v>7001542</v>
      </c>
      <c r="R115" s="14">
        <v>4884512</v>
      </c>
      <c r="AB115" s="74">
        <f t="shared" si="138"/>
        <v>0</v>
      </c>
      <c r="AC115" s="75" t="e">
        <f t="shared" si="114"/>
        <v>#DIV/0!</v>
      </c>
      <c r="AD115" s="75" t="e">
        <f t="shared" si="139"/>
        <v>#DIV/0!</v>
      </c>
      <c r="AE115" s="76" t="e">
        <f t="shared" si="154"/>
        <v>#DIV/0!</v>
      </c>
      <c r="AF115" s="77" t="e">
        <f t="shared" si="115"/>
        <v>#DIV/0!</v>
      </c>
      <c r="AG115" s="77" t="e">
        <f t="shared" si="116"/>
        <v>#DIV/0!</v>
      </c>
      <c r="AH115" s="77" t="e">
        <f t="shared" si="140"/>
        <v>#DIV/0!</v>
      </c>
      <c r="AI115" s="78" t="e">
        <f t="shared" si="141"/>
        <v>#DIV/0!</v>
      </c>
      <c r="AJ115" s="79" t="e">
        <f t="shared" si="155"/>
        <v>#DIV/0!</v>
      </c>
      <c r="AN115" s="81">
        <f t="shared" si="101"/>
        <v>0</v>
      </c>
      <c r="AO115" s="82" t="e">
        <f t="shared" si="102"/>
        <v>#DIV/0!</v>
      </c>
      <c r="AP115" s="83" t="e">
        <f t="shared" si="117"/>
        <v>#DIV/0!</v>
      </c>
      <c r="AQ115" s="84" t="e">
        <f t="shared" si="156"/>
        <v>#DIV/0!</v>
      </c>
      <c r="AS115" s="86">
        <f t="shared" si="103"/>
        <v>0.25</v>
      </c>
      <c r="AT115" s="87">
        <f t="shared" si="118"/>
        <v>0</v>
      </c>
      <c r="AU115" s="87">
        <f t="shared" si="119"/>
        <v>0</v>
      </c>
      <c r="AV115" s="88" t="e">
        <f t="shared" si="104"/>
        <v>#DIV/0!</v>
      </c>
      <c r="AW115" s="78" t="e">
        <f t="shared" si="120"/>
        <v>#DIV/0!</v>
      </c>
      <c r="AX115" s="89" t="e">
        <f t="shared" si="157"/>
        <v>#DIV/0!</v>
      </c>
      <c r="BA115" s="91">
        <f t="shared" si="105"/>
        <v>0</v>
      </c>
      <c r="BB115" s="77" t="e">
        <f t="shared" si="121"/>
        <v>#DIV/0!</v>
      </c>
      <c r="BC115" s="78" t="e">
        <f t="shared" si="122"/>
        <v>#DIV/0!</v>
      </c>
      <c r="BD115" s="79" t="e">
        <f t="shared" si="158"/>
        <v>#DIV/0!</v>
      </c>
      <c r="BE115" s="92"/>
      <c r="BF115" s="92"/>
      <c r="BG115" s="93">
        <v>0</v>
      </c>
      <c r="BH115" s="94">
        <f t="shared" si="106"/>
        <v>0</v>
      </c>
      <c r="BI115" s="77" t="e">
        <f t="shared" si="107"/>
        <v>#DIV/0!</v>
      </c>
      <c r="BJ115" s="95" t="str">
        <f t="shared" si="123"/>
        <v>전기전자/기계업</v>
      </c>
      <c r="BK115" s="96" t="e">
        <f t="shared" si="108"/>
        <v>#DIV/0!</v>
      </c>
      <c r="BL115" s="97" t="e">
        <f t="shared" si="124"/>
        <v>#DIV/0!</v>
      </c>
      <c r="BM115" s="98" t="e">
        <f t="shared" si="125"/>
        <v>#DIV/0!</v>
      </c>
      <c r="BN115" s="99" t="e">
        <f t="shared" si="126"/>
        <v>#DIV/0!</v>
      </c>
      <c r="BP115" s="101">
        <f t="shared" si="127"/>
        <v>0</v>
      </c>
      <c r="BQ115" s="78">
        <f t="shared" si="128"/>
        <v>25</v>
      </c>
      <c r="BR115" s="79">
        <f t="shared" si="159"/>
        <v>0.5</v>
      </c>
      <c r="BS115" s="102"/>
      <c r="BT115" s="102"/>
      <c r="BU115" s="103">
        <f t="shared" si="129"/>
        <v>0</v>
      </c>
      <c r="BV115" s="77">
        <f t="shared" si="109"/>
        <v>0</v>
      </c>
      <c r="BW115" s="96">
        <f t="shared" si="110"/>
        <v>0</v>
      </c>
      <c r="BX115" s="96">
        <f t="shared" si="130"/>
        <v>0</v>
      </c>
      <c r="BY115" s="96">
        <f t="shared" si="111"/>
        <v>0</v>
      </c>
      <c r="BZ115" s="96" t="e">
        <f t="shared" si="131"/>
        <v>#NUM!</v>
      </c>
      <c r="CA115" s="96" t="e">
        <f t="shared" si="112"/>
        <v>#NUM!</v>
      </c>
      <c r="CB115" s="104" t="e">
        <f t="shared" si="132"/>
        <v>#NUM!</v>
      </c>
      <c r="CC115" s="105">
        <f t="shared" si="160"/>
        <v>36.977479211364617</v>
      </c>
      <c r="CD115" s="106">
        <f t="shared" si="161"/>
        <v>86.440648538430423</v>
      </c>
      <c r="CE115" s="107">
        <f t="shared" si="162"/>
        <v>1.2966097280764564</v>
      </c>
      <c r="CF115" s="108" t="s">
        <v>2189</v>
      </c>
      <c r="CG115" s="108" t="s">
        <v>2189</v>
      </c>
      <c r="CH115" s="108" t="s">
        <v>2189</v>
      </c>
      <c r="CI115" s="108" t="s">
        <v>2189</v>
      </c>
      <c r="CJ115" s="109"/>
      <c r="CM115" s="111">
        <f t="shared" si="133"/>
        <v>25</v>
      </c>
      <c r="CN115" s="107">
        <f t="shared" si="163"/>
        <v>0.375</v>
      </c>
      <c r="CP115" s="88">
        <f t="shared" si="134"/>
        <v>0</v>
      </c>
      <c r="CQ115" s="78">
        <f t="shared" si="135"/>
        <v>100</v>
      </c>
      <c r="CR115" s="79">
        <f t="shared" si="164"/>
        <v>3</v>
      </c>
      <c r="CS115" s="92"/>
      <c r="CT115" s="77">
        <f t="shared" si="113"/>
        <v>0</v>
      </c>
      <c r="CU115" s="78">
        <f t="shared" si="136"/>
        <v>100</v>
      </c>
      <c r="CV115" s="79">
        <f t="shared" si="165"/>
        <v>2</v>
      </c>
      <c r="CW115" s="112" t="e">
        <f t="shared" si="137"/>
        <v>#DIV/0!</v>
      </c>
    </row>
    <row r="116" spans="1:101" x14ac:dyDescent="0.35">
      <c r="A116" s="7" t="s">
        <v>772</v>
      </c>
      <c r="B116" s="8" t="s">
        <v>773</v>
      </c>
      <c r="C116" s="21" t="s">
        <v>774</v>
      </c>
      <c r="D116" s="10" t="s">
        <v>31</v>
      </c>
      <c r="E116" s="11" t="s">
        <v>46</v>
      </c>
      <c r="F116" s="11" t="s">
        <v>775</v>
      </c>
      <c r="G116" s="12">
        <v>43038</v>
      </c>
      <c r="H116" s="11" t="s">
        <v>24</v>
      </c>
      <c r="I116" s="11" t="s">
        <v>776</v>
      </c>
      <c r="J116" s="11" t="s">
        <v>777</v>
      </c>
      <c r="K116" s="11" t="s">
        <v>27</v>
      </c>
      <c r="L116" s="23">
        <v>3758489001</v>
      </c>
      <c r="M116" s="14">
        <v>1736640152</v>
      </c>
      <c r="N116" s="14">
        <v>2021848848</v>
      </c>
      <c r="O116" s="14">
        <v>2443855289</v>
      </c>
      <c r="P116" s="14">
        <v>80897560</v>
      </c>
      <c r="Q116" s="14">
        <v>19509459</v>
      </c>
      <c r="R116" s="14">
        <v>18708119</v>
      </c>
      <c r="AB116" s="74">
        <f t="shared" si="138"/>
        <v>0</v>
      </c>
      <c r="AC116" s="75" t="e">
        <f t="shared" si="114"/>
        <v>#DIV/0!</v>
      </c>
      <c r="AD116" s="75" t="e">
        <f t="shared" si="139"/>
        <v>#DIV/0!</v>
      </c>
      <c r="AE116" s="76" t="e">
        <f t="shared" si="154"/>
        <v>#DIV/0!</v>
      </c>
      <c r="AF116" s="77" t="e">
        <f t="shared" si="115"/>
        <v>#DIV/0!</v>
      </c>
      <c r="AG116" s="77" t="e">
        <f t="shared" si="116"/>
        <v>#DIV/0!</v>
      </c>
      <c r="AH116" s="77" t="e">
        <f t="shared" si="140"/>
        <v>#DIV/0!</v>
      </c>
      <c r="AI116" s="78" t="e">
        <f t="shared" si="141"/>
        <v>#DIV/0!</v>
      </c>
      <c r="AJ116" s="79" t="e">
        <f t="shared" si="155"/>
        <v>#DIV/0!</v>
      </c>
      <c r="AN116" s="81">
        <f t="shared" si="101"/>
        <v>0</v>
      </c>
      <c r="AO116" s="82" t="e">
        <f t="shared" si="102"/>
        <v>#DIV/0!</v>
      </c>
      <c r="AP116" s="83" t="e">
        <f t="shared" si="117"/>
        <v>#DIV/0!</v>
      </c>
      <c r="AQ116" s="84" t="e">
        <f t="shared" si="156"/>
        <v>#DIV/0!</v>
      </c>
      <c r="AS116" s="86">
        <f t="shared" si="103"/>
        <v>0.5</v>
      </c>
      <c r="AT116" s="87">
        <f t="shared" si="118"/>
        <v>0</v>
      </c>
      <c r="AU116" s="87">
        <f t="shared" si="119"/>
        <v>0</v>
      </c>
      <c r="AV116" s="88" t="e">
        <f t="shared" si="104"/>
        <v>#DIV/0!</v>
      </c>
      <c r="AW116" s="78" t="e">
        <f t="shared" si="120"/>
        <v>#DIV/0!</v>
      </c>
      <c r="AX116" s="89" t="e">
        <f t="shared" si="157"/>
        <v>#DIV/0!</v>
      </c>
      <c r="BA116" s="91">
        <f t="shared" si="105"/>
        <v>0</v>
      </c>
      <c r="BB116" s="77" t="e">
        <f t="shared" si="121"/>
        <v>#DIV/0!</v>
      </c>
      <c r="BC116" s="78" t="e">
        <f t="shared" si="122"/>
        <v>#DIV/0!</v>
      </c>
      <c r="BD116" s="79" t="e">
        <f t="shared" si="158"/>
        <v>#DIV/0!</v>
      </c>
      <c r="BE116" s="92"/>
      <c r="BF116" s="92"/>
      <c r="BG116" s="114">
        <v>1732000</v>
      </c>
      <c r="BH116" s="94">
        <f t="shared" si="106"/>
        <v>0</v>
      </c>
      <c r="BI116" s="77" t="e">
        <f t="shared" si="107"/>
        <v>#DIV/0!</v>
      </c>
      <c r="BJ116" s="95" t="str">
        <f t="shared" si="123"/>
        <v>식약/섬유/종이업</v>
      </c>
      <c r="BK116" s="96" t="e">
        <f t="shared" si="108"/>
        <v>#DIV/0!</v>
      </c>
      <c r="BL116" s="97" t="e">
        <f t="shared" si="124"/>
        <v>#DIV/0!</v>
      </c>
      <c r="BM116" s="98" t="e">
        <f t="shared" si="125"/>
        <v>#DIV/0!</v>
      </c>
      <c r="BN116" s="99" t="e">
        <f t="shared" si="126"/>
        <v>#DIV/0!</v>
      </c>
      <c r="BP116" s="101">
        <f t="shared" si="127"/>
        <v>0</v>
      </c>
      <c r="BQ116" s="78">
        <f t="shared" si="128"/>
        <v>25</v>
      </c>
      <c r="BR116" s="79">
        <f t="shared" si="159"/>
        <v>0.5</v>
      </c>
      <c r="BS116" s="102"/>
      <c r="BT116" s="102"/>
      <c r="BU116" s="103">
        <f t="shared" si="129"/>
        <v>0</v>
      </c>
      <c r="BV116" s="77">
        <f t="shared" si="109"/>
        <v>0</v>
      </c>
      <c r="BW116" s="96">
        <f t="shared" si="110"/>
        <v>0</v>
      </c>
      <c r="BX116" s="96">
        <f t="shared" si="130"/>
        <v>0</v>
      </c>
      <c r="BY116" s="96">
        <f t="shared" si="111"/>
        <v>0</v>
      </c>
      <c r="BZ116" s="96" t="e">
        <f t="shared" si="131"/>
        <v>#NUM!</v>
      </c>
      <c r="CA116" s="96" t="e">
        <f t="shared" si="112"/>
        <v>#NUM!</v>
      </c>
      <c r="CB116" s="104" t="e">
        <f t="shared" si="132"/>
        <v>#NUM!</v>
      </c>
      <c r="CC116" s="105">
        <f t="shared" si="160"/>
        <v>85.893668743727972</v>
      </c>
      <c r="CD116" s="106">
        <f t="shared" si="161"/>
        <v>68.004898714675392</v>
      </c>
      <c r="CE116" s="107">
        <f t="shared" si="162"/>
        <v>1.0200734807201308</v>
      </c>
      <c r="CF116" s="108" t="s">
        <v>2189</v>
      </c>
      <c r="CG116" s="108" t="s">
        <v>2189</v>
      </c>
      <c r="CH116" s="108" t="s">
        <v>2189</v>
      </c>
      <c r="CI116" s="108" t="s">
        <v>2189</v>
      </c>
      <c r="CJ116" s="109"/>
      <c r="CM116" s="111">
        <f t="shared" si="133"/>
        <v>25</v>
      </c>
      <c r="CN116" s="107">
        <f t="shared" si="163"/>
        <v>0.375</v>
      </c>
      <c r="CP116" s="88">
        <f t="shared" si="134"/>
        <v>0</v>
      </c>
      <c r="CQ116" s="78">
        <f t="shared" si="135"/>
        <v>100</v>
      </c>
      <c r="CR116" s="79">
        <f t="shared" si="164"/>
        <v>3</v>
      </c>
      <c r="CS116" s="92"/>
      <c r="CT116" s="77">
        <f t="shared" si="113"/>
        <v>0</v>
      </c>
      <c r="CU116" s="78">
        <f t="shared" si="136"/>
        <v>100</v>
      </c>
      <c r="CV116" s="79">
        <f t="shared" si="165"/>
        <v>2</v>
      </c>
      <c r="CW116" s="112" t="e">
        <f t="shared" si="137"/>
        <v>#DIV/0!</v>
      </c>
    </row>
    <row r="117" spans="1:101" x14ac:dyDescent="0.35">
      <c r="A117" s="7" t="s">
        <v>778</v>
      </c>
      <c r="B117" s="8" t="s">
        <v>779</v>
      </c>
      <c r="C117" s="21" t="s">
        <v>780</v>
      </c>
      <c r="D117" s="10" t="s">
        <v>75</v>
      </c>
      <c r="E117" s="11" t="s">
        <v>76</v>
      </c>
      <c r="F117" s="11" t="s">
        <v>781</v>
      </c>
      <c r="G117" s="12">
        <v>27865</v>
      </c>
      <c r="H117" s="11" t="s">
        <v>24</v>
      </c>
      <c r="I117" s="11" t="s">
        <v>782</v>
      </c>
      <c r="J117" s="11" t="s">
        <v>783</v>
      </c>
      <c r="K117" s="11" t="s">
        <v>394</v>
      </c>
      <c r="L117" s="23">
        <v>2511638063</v>
      </c>
      <c r="M117" s="14">
        <v>407361084</v>
      </c>
      <c r="N117" s="14">
        <v>2104276979</v>
      </c>
      <c r="O117" s="14">
        <v>2461065167</v>
      </c>
      <c r="P117" s="14">
        <v>406388582</v>
      </c>
      <c r="Q117" s="14">
        <v>513833216</v>
      </c>
      <c r="R117" s="14">
        <v>386538587</v>
      </c>
      <c r="AB117" s="74">
        <f t="shared" si="138"/>
        <v>0</v>
      </c>
      <c r="AC117" s="75" t="e">
        <f t="shared" si="114"/>
        <v>#DIV/0!</v>
      </c>
      <c r="AD117" s="75" t="e">
        <f t="shared" si="139"/>
        <v>#DIV/0!</v>
      </c>
      <c r="AE117" s="76" t="e">
        <f t="shared" si="154"/>
        <v>#DIV/0!</v>
      </c>
      <c r="AF117" s="77" t="e">
        <f t="shared" si="115"/>
        <v>#DIV/0!</v>
      </c>
      <c r="AG117" s="77" t="e">
        <f t="shared" si="116"/>
        <v>#DIV/0!</v>
      </c>
      <c r="AH117" s="77" t="e">
        <f t="shared" si="140"/>
        <v>#DIV/0!</v>
      </c>
      <c r="AI117" s="78" t="e">
        <f t="shared" si="141"/>
        <v>#DIV/0!</v>
      </c>
      <c r="AJ117" s="79" t="e">
        <f t="shared" si="155"/>
        <v>#DIV/0!</v>
      </c>
      <c r="AN117" s="81">
        <f t="shared" si="101"/>
        <v>0</v>
      </c>
      <c r="AO117" s="82" t="e">
        <f t="shared" si="102"/>
        <v>#DIV/0!</v>
      </c>
      <c r="AP117" s="83" t="e">
        <f t="shared" si="117"/>
        <v>#DIV/0!</v>
      </c>
      <c r="AQ117" s="84" t="e">
        <f t="shared" si="156"/>
        <v>#DIV/0!</v>
      </c>
      <c r="AS117" s="86">
        <f t="shared" si="103"/>
        <v>0.5</v>
      </c>
      <c r="AT117" s="87">
        <f t="shared" si="118"/>
        <v>0</v>
      </c>
      <c r="AU117" s="87">
        <f t="shared" si="119"/>
        <v>0</v>
      </c>
      <c r="AV117" s="88" t="e">
        <f t="shared" si="104"/>
        <v>#DIV/0!</v>
      </c>
      <c r="AW117" s="78" t="e">
        <f t="shared" si="120"/>
        <v>#DIV/0!</v>
      </c>
      <c r="AX117" s="89" t="e">
        <f t="shared" si="157"/>
        <v>#DIV/0!</v>
      </c>
      <c r="BA117" s="91">
        <f t="shared" si="105"/>
        <v>0</v>
      </c>
      <c r="BB117" s="77" t="e">
        <f t="shared" si="121"/>
        <v>#DIV/0!</v>
      </c>
      <c r="BC117" s="78" t="e">
        <f t="shared" si="122"/>
        <v>#DIV/0!</v>
      </c>
      <c r="BD117" s="79" t="e">
        <f t="shared" si="158"/>
        <v>#DIV/0!</v>
      </c>
      <c r="BE117" s="92"/>
      <c r="BF117" s="92"/>
      <c r="BG117" s="93">
        <v>0</v>
      </c>
      <c r="BH117" s="94">
        <f t="shared" si="106"/>
        <v>0</v>
      </c>
      <c r="BI117" s="77" t="e">
        <f t="shared" si="107"/>
        <v>#DIV/0!</v>
      </c>
      <c r="BJ117" s="95" t="str">
        <f t="shared" si="123"/>
        <v>금속/비금속/화학업</v>
      </c>
      <c r="BK117" s="96" t="e">
        <f t="shared" si="108"/>
        <v>#DIV/0!</v>
      </c>
      <c r="BL117" s="97" t="e">
        <f t="shared" si="124"/>
        <v>#DIV/0!</v>
      </c>
      <c r="BM117" s="98" t="e">
        <f t="shared" si="125"/>
        <v>#DIV/0!</v>
      </c>
      <c r="BN117" s="99" t="e">
        <f t="shared" si="126"/>
        <v>#DIV/0!</v>
      </c>
      <c r="BP117" s="101">
        <f t="shared" si="127"/>
        <v>0</v>
      </c>
      <c r="BQ117" s="78">
        <f t="shared" si="128"/>
        <v>25</v>
      </c>
      <c r="BR117" s="79">
        <f t="shared" si="159"/>
        <v>0.5</v>
      </c>
      <c r="BS117" s="102"/>
      <c r="BT117" s="102"/>
      <c r="BU117" s="103">
        <f t="shared" si="129"/>
        <v>0</v>
      </c>
      <c r="BV117" s="77">
        <f t="shared" si="109"/>
        <v>0</v>
      </c>
      <c r="BW117" s="96">
        <f t="shared" si="110"/>
        <v>0</v>
      </c>
      <c r="BX117" s="96">
        <f t="shared" si="130"/>
        <v>0</v>
      </c>
      <c r="BY117" s="96">
        <f t="shared" si="111"/>
        <v>0</v>
      </c>
      <c r="BZ117" s="96" t="e">
        <f t="shared" si="131"/>
        <v>#NUM!</v>
      </c>
      <c r="CA117" s="96" t="e">
        <f t="shared" si="112"/>
        <v>#NUM!</v>
      </c>
      <c r="CB117" s="104" t="e">
        <f t="shared" si="132"/>
        <v>#NUM!</v>
      </c>
      <c r="CC117" s="105">
        <f t="shared" si="160"/>
        <v>19.358719791421528</v>
      </c>
      <c r="CD117" s="106">
        <f t="shared" si="161"/>
        <v>93.080884500720529</v>
      </c>
      <c r="CE117" s="107">
        <f t="shared" si="162"/>
        <v>1.3962132675108079</v>
      </c>
      <c r="CF117" s="108" t="s">
        <v>2189</v>
      </c>
      <c r="CG117" s="108" t="s">
        <v>2189</v>
      </c>
      <c r="CH117" s="108" t="s">
        <v>2189</v>
      </c>
      <c r="CI117" s="108" t="s">
        <v>2189</v>
      </c>
      <c r="CJ117" s="109"/>
      <c r="CM117" s="111">
        <f t="shared" si="133"/>
        <v>25</v>
      </c>
      <c r="CN117" s="107">
        <f t="shared" si="163"/>
        <v>0.375</v>
      </c>
      <c r="CP117" s="88">
        <f t="shared" si="134"/>
        <v>0</v>
      </c>
      <c r="CQ117" s="78">
        <f t="shared" si="135"/>
        <v>100</v>
      </c>
      <c r="CR117" s="79">
        <f t="shared" si="164"/>
        <v>3</v>
      </c>
      <c r="CS117" s="92"/>
      <c r="CT117" s="77">
        <f t="shared" si="113"/>
        <v>0</v>
      </c>
      <c r="CU117" s="78">
        <f t="shared" si="136"/>
        <v>100</v>
      </c>
      <c r="CV117" s="79">
        <f t="shared" si="165"/>
        <v>2</v>
      </c>
      <c r="CW117" s="112" t="e">
        <f t="shared" si="137"/>
        <v>#DIV/0!</v>
      </c>
    </row>
    <row r="118" spans="1:101" x14ac:dyDescent="0.35">
      <c r="A118" s="7" t="s">
        <v>784</v>
      </c>
      <c r="B118" s="8" t="s">
        <v>785</v>
      </c>
      <c r="C118" s="21" t="s">
        <v>786</v>
      </c>
      <c r="D118" s="10" t="s">
        <v>75</v>
      </c>
      <c r="E118" s="11" t="s">
        <v>114</v>
      </c>
      <c r="F118" s="11" t="s">
        <v>787</v>
      </c>
      <c r="G118" s="12">
        <v>28294</v>
      </c>
      <c r="H118" s="11" t="s">
        <v>788</v>
      </c>
      <c r="I118" s="11" t="s">
        <v>789</v>
      </c>
      <c r="J118" s="11" t="s">
        <v>790</v>
      </c>
      <c r="K118" s="11" t="s">
        <v>110</v>
      </c>
      <c r="L118" s="23">
        <v>257003015</v>
      </c>
      <c r="M118" s="14">
        <v>25657000</v>
      </c>
      <c r="N118" s="14">
        <v>231346015</v>
      </c>
      <c r="O118" s="14">
        <v>253705017</v>
      </c>
      <c r="P118" s="14">
        <v>209474</v>
      </c>
      <c r="Q118" s="14">
        <v>8220332</v>
      </c>
      <c r="R118" s="14">
        <v>6363937</v>
      </c>
      <c r="AB118" s="74">
        <f t="shared" si="138"/>
        <v>0</v>
      </c>
      <c r="AC118" s="75" t="e">
        <f t="shared" si="114"/>
        <v>#DIV/0!</v>
      </c>
      <c r="AD118" s="75" t="e">
        <f t="shared" si="139"/>
        <v>#DIV/0!</v>
      </c>
      <c r="AE118" s="76" t="e">
        <f t="shared" si="154"/>
        <v>#DIV/0!</v>
      </c>
      <c r="AF118" s="77" t="e">
        <f t="shared" si="115"/>
        <v>#DIV/0!</v>
      </c>
      <c r="AG118" s="77" t="e">
        <f t="shared" si="116"/>
        <v>#DIV/0!</v>
      </c>
      <c r="AH118" s="77" t="e">
        <f t="shared" si="140"/>
        <v>#DIV/0!</v>
      </c>
      <c r="AI118" s="78" t="e">
        <f t="shared" si="141"/>
        <v>#DIV/0!</v>
      </c>
      <c r="AJ118" s="79" t="e">
        <f t="shared" si="155"/>
        <v>#DIV/0!</v>
      </c>
      <c r="AN118" s="81">
        <f t="shared" si="101"/>
        <v>0</v>
      </c>
      <c r="AO118" s="82" t="e">
        <f t="shared" si="102"/>
        <v>#DIV/0!</v>
      </c>
      <c r="AP118" s="83" t="e">
        <f t="shared" si="117"/>
        <v>#DIV/0!</v>
      </c>
      <c r="AQ118" s="84" t="e">
        <f t="shared" si="156"/>
        <v>#DIV/0!</v>
      </c>
      <c r="AS118" s="86">
        <f t="shared" si="103"/>
        <v>0.25</v>
      </c>
      <c r="AT118" s="87">
        <f t="shared" si="118"/>
        <v>0</v>
      </c>
      <c r="AU118" s="87">
        <f t="shared" si="119"/>
        <v>0</v>
      </c>
      <c r="AV118" s="88" t="e">
        <f t="shared" si="104"/>
        <v>#DIV/0!</v>
      </c>
      <c r="AW118" s="78" t="e">
        <f t="shared" si="120"/>
        <v>#DIV/0!</v>
      </c>
      <c r="AX118" s="89" t="e">
        <f t="shared" si="157"/>
        <v>#DIV/0!</v>
      </c>
      <c r="BA118" s="91">
        <f t="shared" si="105"/>
        <v>0</v>
      </c>
      <c r="BB118" s="77" t="e">
        <f t="shared" si="121"/>
        <v>#DIV/0!</v>
      </c>
      <c r="BC118" s="78" t="e">
        <f t="shared" si="122"/>
        <v>#DIV/0!</v>
      </c>
      <c r="BD118" s="79" t="e">
        <f t="shared" si="158"/>
        <v>#DIV/0!</v>
      </c>
      <c r="BE118" s="92"/>
      <c r="BF118" s="92"/>
      <c r="BG118" s="114">
        <v>219208</v>
      </c>
      <c r="BH118" s="94">
        <f t="shared" si="106"/>
        <v>0</v>
      </c>
      <c r="BI118" s="77" t="e">
        <f t="shared" si="107"/>
        <v>#DIV/0!</v>
      </c>
      <c r="BJ118" s="95" t="str">
        <f t="shared" si="123"/>
        <v>금속/비금속/화학업</v>
      </c>
      <c r="BK118" s="96" t="e">
        <f t="shared" si="108"/>
        <v>#DIV/0!</v>
      </c>
      <c r="BL118" s="97" t="e">
        <f t="shared" si="124"/>
        <v>#DIV/0!</v>
      </c>
      <c r="BM118" s="98" t="e">
        <f t="shared" si="125"/>
        <v>#DIV/0!</v>
      </c>
      <c r="BN118" s="99" t="e">
        <f t="shared" si="126"/>
        <v>#DIV/0!</v>
      </c>
      <c r="BP118" s="101">
        <f t="shared" si="127"/>
        <v>0</v>
      </c>
      <c r="BQ118" s="78">
        <f t="shared" si="128"/>
        <v>25</v>
      </c>
      <c r="BR118" s="79">
        <f t="shared" si="159"/>
        <v>0.5</v>
      </c>
      <c r="BS118" s="102"/>
      <c r="BT118" s="102"/>
      <c r="BU118" s="103">
        <f t="shared" si="129"/>
        <v>0</v>
      </c>
      <c r="BV118" s="77">
        <f t="shared" si="109"/>
        <v>0</v>
      </c>
      <c r="BW118" s="96">
        <f t="shared" si="110"/>
        <v>0</v>
      </c>
      <c r="BX118" s="96">
        <f t="shared" si="130"/>
        <v>0</v>
      </c>
      <c r="BY118" s="96">
        <f t="shared" si="111"/>
        <v>0</v>
      </c>
      <c r="BZ118" s="96" t="e">
        <f t="shared" si="131"/>
        <v>#NUM!</v>
      </c>
      <c r="CA118" s="96" t="e">
        <f t="shared" si="112"/>
        <v>#NUM!</v>
      </c>
      <c r="CB118" s="104" t="e">
        <f t="shared" si="132"/>
        <v>#NUM!</v>
      </c>
      <c r="CC118" s="105">
        <f t="shared" si="160"/>
        <v>11.090314220454585</v>
      </c>
      <c r="CD118" s="106">
        <f t="shared" si="161"/>
        <v>96.197117756110075</v>
      </c>
      <c r="CE118" s="107">
        <f t="shared" si="162"/>
        <v>1.4429567663416512</v>
      </c>
      <c r="CF118" s="108" t="s">
        <v>2189</v>
      </c>
      <c r="CG118" s="108" t="s">
        <v>2189</v>
      </c>
      <c r="CH118" s="108" t="s">
        <v>2189</v>
      </c>
      <c r="CI118" s="108" t="s">
        <v>2189</v>
      </c>
      <c r="CJ118" s="109"/>
      <c r="CM118" s="111">
        <f t="shared" si="133"/>
        <v>25</v>
      </c>
      <c r="CN118" s="107">
        <f t="shared" si="163"/>
        <v>0.375</v>
      </c>
      <c r="CP118" s="88">
        <f t="shared" si="134"/>
        <v>0</v>
      </c>
      <c r="CQ118" s="78">
        <f t="shared" si="135"/>
        <v>100</v>
      </c>
      <c r="CR118" s="79">
        <f t="shared" si="164"/>
        <v>3</v>
      </c>
      <c r="CS118" s="92"/>
      <c r="CT118" s="77">
        <f t="shared" si="113"/>
        <v>0</v>
      </c>
      <c r="CU118" s="78">
        <f t="shared" si="136"/>
        <v>100</v>
      </c>
      <c r="CV118" s="79">
        <f t="shared" si="165"/>
        <v>2</v>
      </c>
      <c r="CW118" s="112" t="e">
        <f t="shared" si="137"/>
        <v>#DIV/0!</v>
      </c>
    </row>
    <row r="119" spans="1:101" x14ac:dyDescent="0.35">
      <c r="A119" s="7" t="s">
        <v>791</v>
      </c>
      <c r="B119" s="8" t="s">
        <v>792</v>
      </c>
      <c r="C119" s="21" t="s">
        <v>793</v>
      </c>
      <c r="D119" s="10" t="s">
        <v>141</v>
      </c>
      <c r="E119" s="11" t="s">
        <v>356</v>
      </c>
      <c r="F119" s="11" t="s">
        <v>794</v>
      </c>
      <c r="G119" s="12">
        <v>34348</v>
      </c>
      <c r="H119" s="11" t="s">
        <v>24</v>
      </c>
      <c r="I119" s="11" t="s">
        <v>795</v>
      </c>
      <c r="J119" s="11" t="s">
        <v>796</v>
      </c>
      <c r="K119" s="11" t="s">
        <v>27</v>
      </c>
      <c r="L119" s="23">
        <v>463199227</v>
      </c>
      <c r="M119" s="14">
        <v>33561119</v>
      </c>
      <c r="N119" s="14">
        <v>429638109</v>
      </c>
      <c r="O119" s="14">
        <v>223860213</v>
      </c>
      <c r="P119" s="14">
        <v>14271412</v>
      </c>
      <c r="Q119" s="14">
        <v>23103260</v>
      </c>
      <c r="R119" s="14">
        <v>17789582</v>
      </c>
      <c r="AB119" s="74">
        <f t="shared" si="138"/>
        <v>0</v>
      </c>
      <c r="AC119" s="75" t="e">
        <f t="shared" si="114"/>
        <v>#DIV/0!</v>
      </c>
      <c r="AD119" s="75" t="e">
        <f t="shared" si="139"/>
        <v>#DIV/0!</v>
      </c>
      <c r="AE119" s="76" t="e">
        <f t="shared" si="154"/>
        <v>#DIV/0!</v>
      </c>
      <c r="AF119" s="77" t="e">
        <f t="shared" si="115"/>
        <v>#DIV/0!</v>
      </c>
      <c r="AG119" s="77" t="e">
        <f t="shared" si="116"/>
        <v>#DIV/0!</v>
      </c>
      <c r="AH119" s="77" t="e">
        <f t="shared" si="140"/>
        <v>#DIV/0!</v>
      </c>
      <c r="AI119" s="78" t="e">
        <f t="shared" si="141"/>
        <v>#DIV/0!</v>
      </c>
      <c r="AJ119" s="79" t="e">
        <f t="shared" si="155"/>
        <v>#DIV/0!</v>
      </c>
      <c r="AN119" s="81">
        <f t="shared" si="101"/>
        <v>0</v>
      </c>
      <c r="AO119" s="82" t="e">
        <f t="shared" si="102"/>
        <v>#DIV/0!</v>
      </c>
      <c r="AP119" s="83" t="e">
        <f t="shared" si="117"/>
        <v>#DIV/0!</v>
      </c>
      <c r="AQ119" s="84" t="e">
        <f t="shared" si="156"/>
        <v>#DIV/0!</v>
      </c>
      <c r="AS119" s="86">
        <f t="shared" si="103"/>
        <v>0.25</v>
      </c>
      <c r="AT119" s="87">
        <f t="shared" si="118"/>
        <v>0</v>
      </c>
      <c r="AU119" s="87">
        <f t="shared" si="119"/>
        <v>0</v>
      </c>
      <c r="AV119" s="88" t="e">
        <f t="shared" si="104"/>
        <v>#DIV/0!</v>
      </c>
      <c r="AW119" s="78" t="e">
        <f t="shared" si="120"/>
        <v>#DIV/0!</v>
      </c>
      <c r="AX119" s="89" t="e">
        <f t="shared" si="157"/>
        <v>#DIV/0!</v>
      </c>
      <c r="BA119" s="91">
        <f t="shared" si="105"/>
        <v>0</v>
      </c>
      <c r="BB119" s="77" t="e">
        <f t="shared" si="121"/>
        <v>#DIV/0!</v>
      </c>
      <c r="BC119" s="78" t="e">
        <f t="shared" si="122"/>
        <v>#DIV/0!</v>
      </c>
      <c r="BD119" s="79" t="e">
        <f t="shared" si="158"/>
        <v>#DIV/0!</v>
      </c>
      <c r="BE119" s="92"/>
      <c r="BF119" s="92"/>
      <c r="BG119" s="114">
        <v>25243</v>
      </c>
      <c r="BH119" s="94">
        <f t="shared" si="106"/>
        <v>0</v>
      </c>
      <c r="BI119" s="77" t="e">
        <f t="shared" si="107"/>
        <v>#DIV/0!</v>
      </c>
      <c r="BJ119" s="95" t="str">
        <f t="shared" si="123"/>
        <v>전기전자/기계업</v>
      </c>
      <c r="BK119" s="96" t="e">
        <f t="shared" si="108"/>
        <v>#DIV/0!</v>
      </c>
      <c r="BL119" s="97" t="e">
        <f t="shared" si="124"/>
        <v>#DIV/0!</v>
      </c>
      <c r="BM119" s="98" t="e">
        <f t="shared" si="125"/>
        <v>#DIV/0!</v>
      </c>
      <c r="BN119" s="99" t="e">
        <f t="shared" si="126"/>
        <v>#DIV/0!</v>
      </c>
      <c r="BP119" s="101">
        <f t="shared" si="127"/>
        <v>0</v>
      </c>
      <c r="BQ119" s="78">
        <f t="shared" si="128"/>
        <v>25</v>
      </c>
      <c r="BR119" s="79">
        <f t="shared" si="159"/>
        <v>0.5</v>
      </c>
      <c r="BS119" s="102"/>
      <c r="BT119" s="102"/>
      <c r="BU119" s="103">
        <f t="shared" si="129"/>
        <v>0</v>
      </c>
      <c r="BV119" s="77">
        <f t="shared" si="109"/>
        <v>0</v>
      </c>
      <c r="BW119" s="96">
        <f t="shared" si="110"/>
        <v>0</v>
      </c>
      <c r="BX119" s="96">
        <f t="shared" si="130"/>
        <v>0</v>
      </c>
      <c r="BY119" s="96">
        <f t="shared" si="111"/>
        <v>0</v>
      </c>
      <c r="BZ119" s="96" t="e">
        <f t="shared" si="131"/>
        <v>#NUM!</v>
      </c>
      <c r="CA119" s="96" t="e">
        <f t="shared" si="112"/>
        <v>#NUM!</v>
      </c>
      <c r="CB119" s="104" t="e">
        <f t="shared" si="132"/>
        <v>#NUM!</v>
      </c>
      <c r="CC119" s="105">
        <f t="shared" si="160"/>
        <v>7.8114855961252729</v>
      </c>
      <c r="CD119" s="106">
        <f t="shared" si="161"/>
        <v>97.43285718738997</v>
      </c>
      <c r="CE119" s="107">
        <f t="shared" si="162"/>
        <v>1.4614928578108495</v>
      </c>
      <c r="CF119" s="108" t="s">
        <v>2189</v>
      </c>
      <c r="CG119" s="108" t="s">
        <v>2189</v>
      </c>
      <c r="CH119" s="108" t="s">
        <v>2189</v>
      </c>
      <c r="CI119" s="108" t="s">
        <v>2189</v>
      </c>
      <c r="CJ119" s="109"/>
      <c r="CM119" s="111">
        <f t="shared" si="133"/>
        <v>25</v>
      </c>
      <c r="CN119" s="107">
        <f t="shared" si="163"/>
        <v>0.375</v>
      </c>
      <c r="CP119" s="88">
        <f t="shared" si="134"/>
        <v>0</v>
      </c>
      <c r="CQ119" s="78">
        <f t="shared" si="135"/>
        <v>100</v>
      </c>
      <c r="CR119" s="79">
        <f t="shared" si="164"/>
        <v>3</v>
      </c>
      <c r="CS119" s="92"/>
      <c r="CT119" s="77">
        <f t="shared" si="113"/>
        <v>0</v>
      </c>
      <c r="CU119" s="78">
        <f t="shared" si="136"/>
        <v>100</v>
      </c>
      <c r="CV119" s="79">
        <f t="shared" si="165"/>
        <v>2</v>
      </c>
      <c r="CW119" s="112" t="e">
        <f t="shared" si="137"/>
        <v>#DIV/0!</v>
      </c>
    </row>
    <row r="120" spans="1:101" x14ac:dyDescent="0.35">
      <c r="A120" s="7" t="s">
        <v>797</v>
      </c>
      <c r="B120" s="8" t="s">
        <v>798</v>
      </c>
      <c r="C120" s="21" t="s">
        <v>799</v>
      </c>
      <c r="D120" s="10" t="s">
        <v>75</v>
      </c>
      <c r="E120" s="11" t="s">
        <v>114</v>
      </c>
      <c r="F120" s="11" t="s">
        <v>800</v>
      </c>
      <c r="G120" s="12">
        <v>34643</v>
      </c>
      <c r="H120" s="11" t="s">
        <v>24</v>
      </c>
      <c r="I120" s="11" t="s">
        <v>271</v>
      </c>
      <c r="J120" s="11" t="s">
        <v>801</v>
      </c>
      <c r="K120" s="11" t="s">
        <v>27</v>
      </c>
      <c r="L120" s="23">
        <v>206906858</v>
      </c>
      <c r="M120" s="14">
        <v>39013430</v>
      </c>
      <c r="N120" s="14">
        <v>167893428</v>
      </c>
      <c r="O120" s="14">
        <v>192206731</v>
      </c>
      <c r="P120" s="14">
        <v>3006102</v>
      </c>
      <c r="Q120" s="14">
        <v>24358747</v>
      </c>
      <c r="R120" s="14">
        <v>26217228</v>
      </c>
      <c r="AB120" s="74">
        <f t="shared" si="138"/>
        <v>0</v>
      </c>
      <c r="AC120" s="75" t="e">
        <f t="shared" si="114"/>
        <v>#DIV/0!</v>
      </c>
      <c r="AD120" s="75" t="e">
        <f t="shared" si="139"/>
        <v>#DIV/0!</v>
      </c>
      <c r="AE120" s="76" t="e">
        <f t="shared" si="154"/>
        <v>#DIV/0!</v>
      </c>
      <c r="AF120" s="77" t="e">
        <f t="shared" si="115"/>
        <v>#DIV/0!</v>
      </c>
      <c r="AG120" s="77" t="e">
        <f t="shared" si="116"/>
        <v>#DIV/0!</v>
      </c>
      <c r="AH120" s="77" t="e">
        <f t="shared" si="140"/>
        <v>#DIV/0!</v>
      </c>
      <c r="AI120" s="78" t="e">
        <f t="shared" si="141"/>
        <v>#DIV/0!</v>
      </c>
      <c r="AJ120" s="79" t="e">
        <f t="shared" si="155"/>
        <v>#DIV/0!</v>
      </c>
      <c r="AN120" s="81">
        <f t="shared" si="101"/>
        <v>0</v>
      </c>
      <c r="AO120" s="82" t="e">
        <f t="shared" si="102"/>
        <v>#DIV/0!</v>
      </c>
      <c r="AP120" s="83" t="e">
        <f t="shared" si="117"/>
        <v>#DIV/0!</v>
      </c>
      <c r="AQ120" s="84" t="e">
        <f t="shared" si="156"/>
        <v>#DIV/0!</v>
      </c>
      <c r="AS120" s="86">
        <f t="shared" si="103"/>
        <v>0.25</v>
      </c>
      <c r="AT120" s="87">
        <f t="shared" si="118"/>
        <v>0</v>
      </c>
      <c r="AU120" s="87">
        <f t="shared" si="119"/>
        <v>0</v>
      </c>
      <c r="AV120" s="88" t="e">
        <f t="shared" si="104"/>
        <v>#DIV/0!</v>
      </c>
      <c r="AW120" s="78" t="e">
        <f t="shared" si="120"/>
        <v>#DIV/0!</v>
      </c>
      <c r="AX120" s="89" t="e">
        <f t="shared" si="157"/>
        <v>#DIV/0!</v>
      </c>
      <c r="BA120" s="91">
        <f t="shared" si="105"/>
        <v>0</v>
      </c>
      <c r="BB120" s="77" t="e">
        <f t="shared" si="121"/>
        <v>#DIV/0!</v>
      </c>
      <c r="BC120" s="78" t="e">
        <f t="shared" si="122"/>
        <v>#DIV/0!</v>
      </c>
      <c r="BD120" s="79" t="e">
        <f t="shared" si="158"/>
        <v>#DIV/0!</v>
      </c>
      <c r="BE120" s="92"/>
      <c r="BF120" s="92"/>
      <c r="BG120" s="114">
        <v>200380</v>
      </c>
      <c r="BH120" s="94">
        <f t="shared" si="106"/>
        <v>0</v>
      </c>
      <c r="BI120" s="77" t="e">
        <f t="shared" si="107"/>
        <v>#DIV/0!</v>
      </c>
      <c r="BJ120" s="95" t="str">
        <f t="shared" si="123"/>
        <v>금속/비금속/화학업</v>
      </c>
      <c r="BK120" s="96" t="e">
        <f t="shared" si="108"/>
        <v>#DIV/0!</v>
      </c>
      <c r="BL120" s="97" t="e">
        <f t="shared" si="124"/>
        <v>#DIV/0!</v>
      </c>
      <c r="BM120" s="98" t="e">
        <f t="shared" si="125"/>
        <v>#DIV/0!</v>
      </c>
      <c r="BN120" s="99" t="e">
        <f t="shared" si="126"/>
        <v>#DIV/0!</v>
      </c>
      <c r="BP120" s="101">
        <f t="shared" si="127"/>
        <v>0</v>
      </c>
      <c r="BQ120" s="78">
        <f t="shared" si="128"/>
        <v>25</v>
      </c>
      <c r="BR120" s="79">
        <f t="shared" si="159"/>
        <v>0.5</v>
      </c>
      <c r="BS120" s="102"/>
      <c r="BT120" s="102"/>
      <c r="BU120" s="103">
        <f t="shared" si="129"/>
        <v>0</v>
      </c>
      <c r="BV120" s="77">
        <f t="shared" si="109"/>
        <v>0</v>
      </c>
      <c r="BW120" s="96">
        <f t="shared" si="110"/>
        <v>0</v>
      </c>
      <c r="BX120" s="96">
        <f t="shared" si="130"/>
        <v>0</v>
      </c>
      <c r="BY120" s="96">
        <f t="shared" si="111"/>
        <v>0</v>
      </c>
      <c r="BZ120" s="96" t="e">
        <f t="shared" si="131"/>
        <v>#NUM!</v>
      </c>
      <c r="CA120" s="96" t="e">
        <f t="shared" si="112"/>
        <v>#NUM!</v>
      </c>
      <c r="CB120" s="104" t="e">
        <f t="shared" si="132"/>
        <v>#NUM!</v>
      </c>
      <c r="CC120" s="105">
        <f t="shared" si="160"/>
        <v>23.237020331730911</v>
      </c>
      <c r="CD120" s="106">
        <f t="shared" si="161"/>
        <v>91.619213442814981</v>
      </c>
      <c r="CE120" s="107">
        <f t="shared" si="162"/>
        <v>1.3742882016422246</v>
      </c>
      <c r="CF120" s="108" t="s">
        <v>2189</v>
      </c>
      <c r="CG120" s="108" t="s">
        <v>2189</v>
      </c>
      <c r="CH120" s="108" t="s">
        <v>2189</v>
      </c>
      <c r="CI120" s="108" t="s">
        <v>2189</v>
      </c>
      <c r="CJ120" s="109"/>
      <c r="CM120" s="111">
        <f t="shared" si="133"/>
        <v>25</v>
      </c>
      <c r="CN120" s="107">
        <f t="shared" si="163"/>
        <v>0.375</v>
      </c>
      <c r="CP120" s="88">
        <f t="shared" si="134"/>
        <v>0</v>
      </c>
      <c r="CQ120" s="78">
        <f t="shared" si="135"/>
        <v>100</v>
      </c>
      <c r="CR120" s="79">
        <f t="shared" si="164"/>
        <v>3</v>
      </c>
      <c r="CS120" s="92"/>
      <c r="CT120" s="77">
        <f t="shared" si="113"/>
        <v>0</v>
      </c>
      <c r="CU120" s="78">
        <f t="shared" si="136"/>
        <v>100</v>
      </c>
      <c r="CV120" s="79">
        <f t="shared" si="165"/>
        <v>2</v>
      </c>
      <c r="CW120" s="112" t="e">
        <f t="shared" si="137"/>
        <v>#DIV/0!</v>
      </c>
    </row>
    <row r="121" spans="1:101" x14ac:dyDescent="0.35">
      <c r="A121" s="7" t="s">
        <v>802</v>
      </c>
      <c r="B121" s="8" t="s">
        <v>803</v>
      </c>
      <c r="C121" s="21" t="s">
        <v>804</v>
      </c>
      <c r="D121" s="25" t="s">
        <v>67</v>
      </c>
      <c r="E121" s="11" t="s">
        <v>68</v>
      </c>
      <c r="F121" s="11" t="s">
        <v>805</v>
      </c>
      <c r="G121" s="12">
        <v>42193</v>
      </c>
      <c r="H121" s="11" t="s">
        <v>24</v>
      </c>
      <c r="I121" s="11" t="s">
        <v>806</v>
      </c>
      <c r="J121" s="11" t="s">
        <v>807</v>
      </c>
      <c r="K121" s="11" t="s">
        <v>27</v>
      </c>
      <c r="L121" s="23">
        <v>37208616897</v>
      </c>
      <c r="M121" s="14">
        <v>35852992352</v>
      </c>
      <c r="N121" s="14">
        <v>1355624545</v>
      </c>
      <c r="O121" s="14">
        <v>3209343241</v>
      </c>
      <c r="P121" s="14">
        <v>76354621</v>
      </c>
      <c r="Q121" s="14">
        <v>78489213</v>
      </c>
      <c r="R121" s="14">
        <v>56143790</v>
      </c>
      <c r="AB121" s="74">
        <f t="shared" si="138"/>
        <v>0</v>
      </c>
      <c r="AC121" s="75" t="e">
        <f t="shared" si="114"/>
        <v>#DIV/0!</v>
      </c>
      <c r="AD121" s="75" t="e">
        <f t="shared" si="139"/>
        <v>#DIV/0!</v>
      </c>
      <c r="AE121" s="119" t="e">
        <f>AD121*0.04</f>
        <v>#DIV/0!</v>
      </c>
      <c r="AF121" s="77" t="e">
        <f t="shared" si="115"/>
        <v>#DIV/0!</v>
      </c>
      <c r="AG121" s="77" t="e">
        <f t="shared" si="116"/>
        <v>#DIV/0!</v>
      </c>
      <c r="AH121" s="77" t="e">
        <f t="shared" si="140"/>
        <v>#DIV/0!</v>
      </c>
      <c r="AI121" s="78" t="e">
        <f t="shared" si="141"/>
        <v>#DIV/0!</v>
      </c>
      <c r="AJ121" s="120" t="e">
        <f>AI121*0.05</f>
        <v>#DIV/0!</v>
      </c>
      <c r="AN121" s="81">
        <f t="shared" si="101"/>
        <v>0</v>
      </c>
      <c r="AO121" s="82" t="e">
        <f t="shared" si="102"/>
        <v>#DIV/0!</v>
      </c>
      <c r="AP121" s="83" t="e">
        <f t="shared" si="117"/>
        <v>#DIV/0!</v>
      </c>
      <c r="AQ121" s="121" t="e">
        <f>AP121*0.03</f>
        <v>#DIV/0!</v>
      </c>
      <c r="AS121" s="86">
        <f t="shared" si="103"/>
        <v>0.5</v>
      </c>
      <c r="AT121" s="87">
        <f t="shared" si="118"/>
        <v>0</v>
      </c>
      <c r="AU121" s="87">
        <f t="shared" si="119"/>
        <v>0</v>
      </c>
      <c r="AV121" s="88" t="e">
        <f t="shared" si="104"/>
        <v>#DIV/0!</v>
      </c>
      <c r="AW121" s="78" t="e">
        <f t="shared" si="120"/>
        <v>#DIV/0!</v>
      </c>
      <c r="AX121" s="122" t="e">
        <f>AW121*0.02</f>
        <v>#DIV/0!</v>
      </c>
      <c r="BA121" s="91">
        <f t="shared" si="105"/>
        <v>0</v>
      </c>
      <c r="BB121" s="77" t="e">
        <f t="shared" si="121"/>
        <v>#DIV/0!</v>
      </c>
      <c r="BC121" s="78" t="e">
        <f t="shared" si="122"/>
        <v>#DIV/0!</v>
      </c>
      <c r="BD121" s="120" t="e">
        <f>BC121*0.02</f>
        <v>#DIV/0!</v>
      </c>
      <c r="BE121" s="92"/>
      <c r="BF121" s="92"/>
      <c r="BG121" s="93">
        <v>0</v>
      </c>
      <c r="BH121" s="94">
        <f t="shared" si="106"/>
        <v>0</v>
      </c>
      <c r="BI121" s="77" t="e">
        <f t="shared" si="107"/>
        <v>#DIV/0!</v>
      </c>
      <c r="BJ121" s="95" t="str">
        <f t="shared" si="123"/>
        <v>금융업</v>
      </c>
      <c r="BK121" s="96" t="e">
        <f t="shared" si="108"/>
        <v>#DIV/0!</v>
      </c>
      <c r="BL121" s="97" t="e">
        <f t="shared" si="124"/>
        <v>#DIV/0!</v>
      </c>
      <c r="BM121" s="98" t="e">
        <f t="shared" si="125"/>
        <v>#DIV/0!</v>
      </c>
      <c r="BN121" s="99" t="e">
        <f t="shared" si="126"/>
        <v>#DIV/0!</v>
      </c>
      <c r="BP121" s="101">
        <f t="shared" si="127"/>
        <v>0</v>
      </c>
      <c r="BQ121" s="78">
        <f t="shared" si="128"/>
        <v>25</v>
      </c>
      <c r="BR121" s="120">
        <f>BQ121*0.01</f>
        <v>0.25</v>
      </c>
      <c r="BS121" s="102"/>
      <c r="BT121" s="102"/>
      <c r="BU121" s="103">
        <f t="shared" si="129"/>
        <v>0</v>
      </c>
      <c r="BV121" s="77">
        <f t="shared" si="109"/>
        <v>0</v>
      </c>
      <c r="BW121" s="96">
        <f t="shared" si="110"/>
        <v>0</v>
      </c>
      <c r="BX121" s="96">
        <f t="shared" si="130"/>
        <v>0</v>
      </c>
      <c r="BY121" s="96">
        <f t="shared" si="111"/>
        <v>0</v>
      </c>
      <c r="BZ121" s="96" t="e">
        <f t="shared" si="131"/>
        <v>#NUM!</v>
      </c>
      <c r="CA121" s="96" t="e">
        <f t="shared" si="112"/>
        <v>#NUM!</v>
      </c>
      <c r="CB121" s="104" t="e">
        <f t="shared" si="132"/>
        <v>#NUM!</v>
      </c>
      <c r="CC121" s="123" t="s">
        <v>2200</v>
      </c>
      <c r="CD121" s="124" t="s">
        <v>2200</v>
      </c>
      <c r="CE121" s="125"/>
      <c r="CF121" s="126" t="s">
        <v>2201</v>
      </c>
      <c r="CG121" s="126" t="s">
        <v>2201</v>
      </c>
      <c r="CH121" s="127">
        <v>0.26</v>
      </c>
      <c r="CI121" s="128">
        <f>IF((100-(75*(CH121-10)/40))&gt;100, 100, IF((100-(75*(CH121-10)/40))&lt;25, 25, (100-(75*(CH121-10)/40))))</f>
        <v>100</v>
      </c>
      <c r="CJ121" s="129">
        <f>CI121*0.04</f>
        <v>4</v>
      </c>
      <c r="CM121" s="111">
        <f t="shared" si="133"/>
        <v>25</v>
      </c>
      <c r="CN121" s="130">
        <f>CM121*0.03</f>
        <v>0.75</v>
      </c>
      <c r="CP121" s="88">
        <f t="shared" si="134"/>
        <v>0</v>
      </c>
      <c r="CQ121" s="78">
        <f t="shared" si="135"/>
        <v>100</v>
      </c>
      <c r="CR121" s="120">
        <f>CQ121*0.04</f>
        <v>4</v>
      </c>
      <c r="CS121" s="92"/>
      <c r="CT121" s="77">
        <f t="shared" si="113"/>
        <v>0</v>
      </c>
      <c r="CU121" s="78">
        <f t="shared" si="136"/>
        <v>100</v>
      </c>
      <c r="CV121" s="131">
        <f>CU121*0.03</f>
        <v>3</v>
      </c>
      <c r="CW121" s="112" t="e">
        <f t="shared" si="137"/>
        <v>#DIV/0!</v>
      </c>
    </row>
    <row r="122" spans="1:101" x14ac:dyDescent="0.35">
      <c r="A122" s="7" t="s">
        <v>808</v>
      </c>
      <c r="B122" s="8" t="s">
        <v>809</v>
      </c>
      <c r="C122" s="21" t="s">
        <v>810</v>
      </c>
      <c r="D122" s="25" t="s">
        <v>262</v>
      </c>
      <c r="E122" s="11" t="s">
        <v>263</v>
      </c>
      <c r="F122" s="11" t="s">
        <v>811</v>
      </c>
      <c r="G122" s="12">
        <v>27667</v>
      </c>
      <c r="H122" s="11" t="s">
        <v>24</v>
      </c>
      <c r="I122" s="11" t="s">
        <v>812</v>
      </c>
      <c r="J122" s="11" t="s">
        <v>813</v>
      </c>
      <c r="K122" s="11" t="s">
        <v>27</v>
      </c>
      <c r="L122" s="23">
        <v>77528737937</v>
      </c>
      <c r="M122" s="14">
        <v>68433158478</v>
      </c>
      <c r="N122" s="14">
        <v>9095579460</v>
      </c>
      <c r="O122" s="14">
        <v>16761431115</v>
      </c>
      <c r="P122" s="14">
        <v>548389982</v>
      </c>
      <c r="Q122" s="14">
        <v>553208432</v>
      </c>
      <c r="R122" s="14">
        <v>397574440</v>
      </c>
      <c r="AB122" s="74">
        <f t="shared" si="138"/>
        <v>0</v>
      </c>
      <c r="AC122" s="75" t="e">
        <f t="shared" si="114"/>
        <v>#DIV/0!</v>
      </c>
      <c r="AD122" s="75" t="e">
        <f t="shared" si="139"/>
        <v>#DIV/0!</v>
      </c>
      <c r="AE122" s="119" t="e">
        <f>AD122*0.04</f>
        <v>#DIV/0!</v>
      </c>
      <c r="AF122" s="77" t="e">
        <f t="shared" si="115"/>
        <v>#DIV/0!</v>
      </c>
      <c r="AG122" s="77" t="e">
        <f t="shared" si="116"/>
        <v>#DIV/0!</v>
      </c>
      <c r="AH122" s="77" t="e">
        <f t="shared" si="140"/>
        <v>#DIV/0!</v>
      </c>
      <c r="AI122" s="78" t="e">
        <f t="shared" si="141"/>
        <v>#DIV/0!</v>
      </c>
      <c r="AJ122" s="120" t="e">
        <f>AI122*0.05</f>
        <v>#DIV/0!</v>
      </c>
      <c r="AM122" s="80"/>
      <c r="AN122" s="81">
        <f t="shared" si="101"/>
        <v>0</v>
      </c>
      <c r="AO122" s="82" t="e">
        <f t="shared" si="102"/>
        <v>#DIV/0!</v>
      </c>
      <c r="AP122" s="83" t="e">
        <f t="shared" si="117"/>
        <v>#DIV/0!</v>
      </c>
      <c r="AQ122" s="121" t="e">
        <f>AP122*0.03</f>
        <v>#DIV/0!</v>
      </c>
      <c r="AS122" s="86">
        <f t="shared" si="103"/>
        <v>0.5</v>
      </c>
      <c r="AT122" s="87">
        <f t="shared" si="118"/>
        <v>0</v>
      </c>
      <c r="AU122" s="87">
        <f t="shared" si="119"/>
        <v>0</v>
      </c>
      <c r="AV122" s="88" t="e">
        <f t="shared" si="104"/>
        <v>#DIV/0!</v>
      </c>
      <c r="AW122" s="78" t="e">
        <f t="shared" si="120"/>
        <v>#DIV/0!</v>
      </c>
      <c r="AX122" s="122" t="e">
        <f>AW122*0.02</f>
        <v>#DIV/0!</v>
      </c>
      <c r="BA122" s="91">
        <f t="shared" si="105"/>
        <v>0</v>
      </c>
      <c r="BB122" s="77" t="e">
        <f t="shared" si="121"/>
        <v>#DIV/0!</v>
      </c>
      <c r="BC122" s="78" t="e">
        <f t="shared" si="122"/>
        <v>#DIV/0!</v>
      </c>
      <c r="BD122" s="120" t="e">
        <f>BC122*0.02</f>
        <v>#DIV/0!</v>
      </c>
      <c r="BE122" s="92"/>
      <c r="BF122" s="92"/>
      <c r="BG122" s="114">
        <v>24592000</v>
      </c>
      <c r="BH122" s="94">
        <f t="shared" si="106"/>
        <v>0</v>
      </c>
      <c r="BI122" s="77" t="e">
        <f t="shared" si="107"/>
        <v>#DIV/0!</v>
      </c>
      <c r="BJ122" s="95" t="str">
        <f t="shared" si="123"/>
        <v>금융업</v>
      </c>
      <c r="BK122" s="96" t="e">
        <f t="shared" si="108"/>
        <v>#DIV/0!</v>
      </c>
      <c r="BL122" s="97" t="e">
        <f t="shared" si="124"/>
        <v>#DIV/0!</v>
      </c>
      <c r="BM122" s="98" t="e">
        <f t="shared" si="125"/>
        <v>#DIV/0!</v>
      </c>
      <c r="BN122" s="99" t="e">
        <f t="shared" si="126"/>
        <v>#DIV/0!</v>
      </c>
      <c r="BP122" s="101">
        <f t="shared" si="127"/>
        <v>0</v>
      </c>
      <c r="BQ122" s="78">
        <f t="shared" si="128"/>
        <v>25</v>
      </c>
      <c r="BR122" s="120">
        <f>BQ122*0.01</f>
        <v>0.25</v>
      </c>
      <c r="BS122" s="102"/>
      <c r="BT122" s="102"/>
      <c r="BU122" s="103">
        <f t="shared" si="129"/>
        <v>0</v>
      </c>
      <c r="BV122" s="77">
        <f t="shared" si="109"/>
        <v>0</v>
      </c>
      <c r="BW122" s="96">
        <f t="shared" si="110"/>
        <v>0</v>
      </c>
      <c r="BX122" s="96">
        <f t="shared" si="130"/>
        <v>0</v>
      </c>
      <c r="BY122" s="96">
        <f t="shared" si="111"/>
        <v>0</v>
      </c>
      <c r="BZ122" s="96" t="e">
        <f t="shared" si="131"/>
        <v>#NUM!</v>
      </c>
      <c r="CA122" s="96" t="e">
        <f t="shared" si="112"/>
        <v>#NUM!</v>
      </c>
      <c r="CB122" s="104" t="e">
        <f t="shared" si="132"/>
        <v>#NUM!</v>
      </c>
      <c r="CC122" s="123" t="s">
        <v>2200</v>
      </c>
      <c r="CD122" s="124" t="s">
        <v>2200</v>
      </c>
      <c r="CE122" s="125"/>
      <c r="CF122" s="126" t="s">
        <v>2201</v>
      </c>
      <c r="CG122" s="127">
        <v>0.94</v>
      </c>
      <c r="CH122" s="126" t="s">
        <v>2201</v>
      </c>
      <c r="CI122" s="128">
        <f>IF((100-(75*(CG122-1)/9))&gt;100,100,IF((100-(75*(CG122-1)/9))&lt;25,25,(100-(75*(CG122-1)/9))))</f>
        <v>100</v>
      </c>
      <c r="CJ122" s="129">
        <f>CI122*0.04</f>
        <v>4</v>
      </c>
      <c r="CM122" s="111">
        <f t="shared" si="133"/>
        <v>25</v>
      </c>
      <c r="CN122" s="130">
        <f>CM122*0.03</f>
        <v>0.75</v>
      </c>
      <c r="CP122" s="88">
        <f t="shared" si="134"/>
        <v>0</v>
      </c>
      <c r="CQ122" s="78">
        <f t="shared" si="135"/>
        <v>100</v>
      </c>
      <c r="CR122" s="120">
        <f>CQ122*0.04</f>
        <v>4</v>
      </c>
      <c r="CS122" s="92"/>
      <c r="CT122" s="77">
        <f t="shared" si="113"/>
        <v>0</v>
      </c>
      <c r="CU122" s="78">
        <f t="shared" si="136"/>
        <v>100</v>
      </c>
      <c r="CV122" s="131">
        <f>CU122*0.03</f>
        <v>3</v>
      </c>
      <c r="CW122" s="112" t="e">
        <f t="shared" si="137"/>
        <v>#DIV/0!</v>
      </c>
    </row>
    <row r="123" spans="1:101" x14ac:dyDescent="0.35">
      <c r="A123" s="7" t="s">
        <v>814</v>
      </c>
      <c r="B123" s="8" t="s">
        <v>815</v>
      </c>
      <c r="C123" s="21" t="s">
        <v>816</v>
      </c>
      <c r="D123" s="10" t="s">
        <v>75</v>
      </c>
      <c r="E123" s="11" t="s">
        <v>149</v>
      </c>
      <c r="F123" s="11" t="s">
        <v>817</v>
      </c>
      <c r="G123" s="12">
        <v>32776</v>
      </c>
      <c r="H123" s="11" t="s">
        <v>24</v>
      </c>
      <c r="I123" s="11" t="s">
        <v>818</v>
      </c>
      <c r="J123" s="11" t="s">
        <v>819</v>
      </c>
      <c r="K123" s="11" t="s">
        <v>50</v>
      </c>
      <c r="L123" s="23">
        <v>391399991</v>
      </c>
      <c r="M123" s="14">
        <v>70411675</v>
      </c>
      <c r="N123" s="14">
        <v>320988317</v>
      </c>
      <c r="O123" s="14">
        <v>425547908</v>
      </c>
      <c r="P123" s="14">
        <v>77084280</v>
      </c>
      <c r="Q123" s="14">
        <v>83250609</v>
      </c>
      <c r="R123" s="14">
        <v>65769136</v>
      </c>
      <c r="AB123" s="74">
        <f t="shared" si="138"/>
        <v>0</v>
      </c>
      <c r="AC123" s="75" t="e">
        <f t="shared" si="114"/>
        <v>#DIV/0!</v>
      </c>
      <c r="AD123" s="75" t="e">
        <f t="shared" si="139"/>
        <v>#DIV/0!</v>
      </c>
      <c r="AE123" s="76" t="e">
        <f t="shared" ref="AE123:AE129" si="166">AD123*0.03</f>
        <v>#DIV/0!</v>
      </c>
      <c r="AF123" s="77" t="e">
        <f t="shared" si="115"/>
        <v>#DIV/0!</v>
      </c>
      <c r="AG123" s="77" t="e">
        <f t="shared" si="116"/>
        <v>#DIV/0!</v>
      </c>
      <c r="AH123" s="77" t="e">
        <f t="shared" si="140"/>
        <v>#DIV/0!</v>
      </c>
      <c r="AI123" s="78" t="e">
        <f t="shared" si="141"/>
        <v>#DIV/0!</v>
      </c>
      <c r="AJ123" s="79" t="e">
        <f t="shared" ref="AJ123:AJ129" si="167">AI123*0.04</f>
        <v>#DIV/0!</v>
      </c>
      <c r="AN123" s="81">
        <f t="shared" si="101"/>
        <v>0</v>
      </c>
      <c r="AO123" s="82" t="e">
        <f t="shared" si="102"/>
        <v>#DIV/0!</v>
      </c>
      <c r="AP123" s="83" t="e">
        <f t="shared" si="117"/>
        <v>#DIV/0!</v>
      </c>
      <c r="AQ123" s="84" t="e">
        <f t="shared" ref="AQ123:AQ129" si="168">AP123*0.02</f>
        <v>#DIV/0!</v>
      </c>
      <c r="AS123" s="86">
        <f t="shared" si="103"/>
        <v>0.25</v>
      </c>
      <c r="AT123" s="87">
        <f t="shared" si="118"/>
        <v>0</v>
      </c>
      <c r="AU123" s="87">
        <f t="shared" si="119"/>
        <v>0</v>
      </c>
      <c r="AV123" s="88" t="e">
        <f t="shared" si="104"/>
        <v>#DIV/0!</v>
      </c>
      <c r="AW123" s="78" t="e">
        <f t="shared" si="120"/>
        <v>#DIV/0!</v>
      </c>
      <c r="AX123" s="89" t="e">
        <f t="shared" ref="AX123:AX129" si="169">AW123*0.01</f>
        <v>#DIV/0!</v>
      </c>
      <c r="BA123" s="91">
        <f t="shared" si="105"/>
        <v>0</v>
      </c>
      <c r="BB123" s="77" t="e">
        <f t="shared" si="121"/>
        <v>#DIV/0!</v>
      </c>
      <c r="BC123" s="78" t="e">
        <f t="shared" si="122"/>
        <v>#DIV/0!</v>
      </c>
      <c r="BD123" s="79" t="e">
        <f t="shared" ref="BD123:BD129" si="170">BC123*0.01</f>
        <v>#DIV/0!</v>
      </c>
      <c r="BE123" s="92"/>
      <c r="BF123" s="92"/>
      <c r="BG123" s="114">
        <v>242157.10200000001</v>
      </c>
      <c r="BH123" s="94">
        <f t="shared" si="106"/>
        <v>0</v>
      </c>
      <c r="BI123" s="77" t="e">
        <f t="shared" si="107"/>
        <v>#DIV/0!</v>
      </c>
      <c r="BJ123" s="95" t="str">
        <f t="shared" si="123"/>
        <v>금속/비금속/화학업</v>
      </c>
      <c r="BK123" s="96" t="e">
        <f t="shared" si="108"/>
        <v>#DIV/0!</v>
      </c>
      <c r="BL123" s="97" t="e">
        <f t="shared" si="124"/>
        <v>#DIV/0!</v>
      </c>
      <c r="BM123" s="98" t="e">
        <f t="shared" si="125"/>
        <v>#DIV/0!</v>
      </c>
      <c r="BN123" s="99" t="e">
        <f t="shared" si="126"/>
        <v>#DIV/0!</v>
      </c>
      <c r="BP123" s="101">
        <f t="shared" si="127"/>
        <v>0</v>
      </c>
      <c r="BQ123" s="78">
        <f t="shared" si="128"/>
        <v>25</v>
      </c>
      <c r="BR123" s="79">
        <f t="shared" ref="BR123:BR129" si="171">BQ123*0.02</f>
        <v>0.5</v>
      </c>
      <c r="BS123" s="102"/>
      <c r="BT123" s="102"/>
      <c r="BU123" s="103">
        <f t="shared" si="129"/>
        <v>0</v>
      </c>
      <c r="BV123" s="77">
        <f t="shared" si="109"/>
        <v>0</v>
      </c>
      <c r="BW123" s="96">
        <f t="shared" si="110"/>
        <v>0</v>
      </c>
      <c r="BX123" s="96">
        <f t="shared" si="130"/>
        <v>0</v>
      </c>
      <c r="BY123" s="96">
        <f t="shared" si="111"/>
        <v>0</v>
      </c>
      <c r="BZ123" s="96" t="e">
        <f t="shared" si="131"/>
        <v>#NUM!</v>
      </c>
      <c r="CA123" s="96" t="e">
        <f t="shared" si="112"/>
        <v>#NUM!</v>
      </c>
      <c r="CB123" s="104" t="e">
        <f t="shared" si="132"/>
        <v>#NUM!</v>
      </c>
      <c r="CC123" s="105">
        <f t="shared" ref="CC123:CC129" si="172">(M123/N123)*100</f>
        <v>21.935899617181395</v>
      </c>
      <c r="CD123" s="106">
        <f t="shared" ref="CD123:CD129" si="173">IF((100-(75*(CC123-1)/(200-1)))&gt;100, 100, IF((100-(75*(CC123-1)/(200-1)))&lt;25, 25, (100-(75*(CC123-1)/(200-1)))))</f>
        <v>92.109585571414044</v>
      </c>
      <c r="CE123" s="107">
        <f t="shared" ref="CE123:CE129" si="174">CD123*0.015</f>
        <v>1.3816437835712105</v>
      </c>
      <c r="CF123" s="108" t="s">
        <v>2189</v>
      </c>
      <c r="CG123" s="108" t="s">
        <v>2189</v>
      </c>
      <c r="CH123" s="108" t="s">
        <v>2189</v>
      </c>
      <c r="CI123" s="108" t="s">
        <v>2189</v>
      </c>
      <c r="CJ123" s="109"/>
      <c r="CM123" s="111">
        <f t="shared" si="133"/>
        <v>25</v>
      </c>
      <c r="CN123" s="107">
        <f t="shared" ref="CN123:CN129" si="175">CM123*0.015</f>
        <v>0.375</v>
      </c>
      <c r="CP123" s="88">
        <f t="shared" si="134"/>
        <v>0</v>
      </c>
      <c r="CQ123" s="78">
        <f t="shared" si="135"/>
        <v>100</v>
      </c>
      <c r="CR123" s="79">
        <f t="shared" ref="CR123:CR129" si="176">CQ123*0.03</f>
        <v>3</v>
      </c>
      <c r="CS123" s="92"/>
      <c r="CT123" s="77">
        <f t="shared" si="113"/>
        <v>0</v>
      </c>
      <c r="CU123" s="78">
        <f t="shared" si="136"/>
        <v>100</v>
      </c>
      <c r="CV123" s="79">
        <f t="shared" ref="CV123:CV129" si="177">CU123*0.02</f>
        <v>2</v>
      </c>
      <c r="CW123" s="112" t="e">
        <f t="shared" si="137"/>
        <v>#DIV/0!</v>
      </c>
    </row>
    <row r="124" spans="1:101" x14ac:dyDescent="0.35">
      <c r="A124" s="7" t="s">
        <v>820</v>
      </c>
      <c r="B124" s="8" t="s">
        <v>821</v>
      </c>
      <c r="C124" s="21" t="s">
        <v>822</v>
      </c>
      <c r="D124" s="10" t="s">
        <v>75</v>
      </c>
      <c r="E124" s="11" t="s">
        <v>76</v>
      </c>
      <c r="F124" s="11" t="s">
        <v>823</v>
      </c>
      <c r="G124" s="12">
        <v>42877</v>
      </c>
      <c r="H124" s="11" t="s">
        <v>24</v>
      </c>
      <c r="I124" s="11" t="s">
        <v>824</v>
      </c>
      <c r="J124" s="11" t="s">
        <v>825</v>
      </c>
      <c r="K124" s="11" t="s">
        <v>734</v>
      </c>
      <c r="L124" s="23">
        <v>448351412</v>
      </c>
      <c r="M124" s="14">
        <v>63280350</v>
      </c>
      <c r="N124" s="14">
        <v>385071063</v>
      </c>
      <c r="O124" s="14">
        <v>611355371</v>
      </c>
      <c r="P124" s="14">
        <v>85525773</v>
      </c>
      <c r="Q124" s="14">
        <v>90825472</v>
      </c>
      <c r="R124" s="14">
        <v>70423830</v>
      </c>
      <c r="AB124" s="74">
        <f t="shared" si="138"/>
        <v>0</v>
      </c>
      <c r="AC124" s="75" t="e">
        <f t="shared" si="114"/>
        <v>#DIV/0!</v>
      </c>
      <c r="AD124" s="75" t="e">
        <f t="shared" si="139"/>
        <v>#DIV/0!</v>
      </c>
      <c r="AE124" s="76" t="e">
        <f t="shared" si="166"/>
        <v>#DIV/0!</v>
      </c>
      <c r="AF124" s="77" t="e">
        <f t="shared" si="115"/>
        <v>#DIV/0!</v>
      </c>
      <c r="AG124" s="77" t="e">
        <f t="shared" si="116"/>
        <v>#DIV/0!</v>
      </c>
      <c r="AH124" s="77" t="e">
        <f t="shared" si="140"/>
        <v>#DIV/0!</v>
      </c>
      <c r="AI124" s="78" t="e">
        <f t="shared" si="141"/>
        <v>#DIV/0!</v>
      </c>
      <c r="AJ124" s="79" t="e">
        <f t="shared" si="167"/>
        <v>#DIV/0!</v>
      </c>
      <c r="AN124" s="81">
        <f t="shared" si="101"/>
        <v>0</v>
      </c>
      <c r="AO124" s="82" t="e">
        <f t="shared" si="102"/>
        <v>#DIV/0!</v>
      </c>
      <c r="AP124" s="83" t="e">
        <f t="shared" si="117"/>
        <v>#DIV/0!</v>
      </c>
      <c r="AQ124" s="84" t="e">
        <f t="shared" si="168"/>
        <v>#DIV/0!</v>
      </c>
      <c r="AS124" s="86">
        <f t="shared" si="103"/>
        <v>0.25</v>
      </c>
      <c r="AT124" s="87">
        <f t="shared" si="118"/>
        <v>0</v>
      </c>
      <c r="AU124" s="87">
        <f t="shared" si="119"/>
        <v>0</v>
      </c>
      <c r="AV124" s="88" t="e">
        <f t="shared" si="104"/>
        <v>#DIV/0!</v>
      </c>
      <c r="AW124" s="78" t="e">
        <f t="shared" si="120"/>
        <v>#DIV/0!</v>
      </c>
      <c r="AX124" s="89" t="e">
        <f t="shared" si="169"/>
        <v>#DIV/0!</v>
      </c>
      <c r="BA124" s="91">
        <f t="shared" si="105"/>
        <v>0</v>
      </c>
      <c r="BB124" s="77" t="e">
        <f t="shared" si="121"/>
        <v>#DIV/0!</v>
      </c>
      <c r="BC124" s="78" t="e">
        <f t="shared" si="122"/>
        <v>#DIV/0!</v>
      </c>
      <c r="BD124" s="79" t="e">
        <f t="shared" si="170"/>
        <v>#DIV/0!</v>
      </c>
      <c r="BE124" s="92"/>
      <c r="BF124" s="92"/>
      <c r="BG124" s="114">
        <v>126158.15</v>
      </c>
      <c r="BH124" s="94">
        <f t="shared" si="106"/>
        <v>0</v>
      </c>
      <c r="BI124" s="77" t="e">
        <f t="shared" si="107"/>
        <v>#DIV/0!</v>
      </c>
      <c r="BJ124" s="95" t="str">
        <f t="shared" si="123"/>
        <v>금속/비금속/화학업</v>
      </c>
      <c r="BK124" s="96" t="e">
        <f t="shared" si="108"/>
        <v>#DIV/0!</v>
      </c>
      <c r="BL124" s="97" t="e">
        <f t="shared" si="124"/>
        <v>#DIV/0!</v>
      </c>
      <c r="BM124" s="98" t="e">
        <f t="shared" si="125"/>
        <v>#DIV/0!</v>
      </c>
      <c r="BN124" s="99" t="e">
        <f t="shared" si="126"/>
        <v>#DIV/0!</v>
      </c>
      <c r="BP124" s="101">
        <f t="shared" si="127"/>
        <v>0</v>
      </c>
      <c r="BQ124" s="78">
        <f t="shared" si="128"/>
        <v>25</v>
      </c>
      <c r="BR124" s="79">
        <f t="shared" si="171"/>
        <v>0.5</v>
      </c>
      <c r="BS124" s="102"/>
      <c r="BT124" s="102"/>
      <c r="BU124" s="103">
        <f t="shared" si="129"/>
        <v>0</v>
      </c>
      <c r="BV124" s="77">
        <f t="shared" si="109"/>
        <v>0</v>
      </c>
      <c r="BW124" s="96">
        <f t="shared" si="110"/>
        <v>0</v>
      </c>
      <c r="BX124" s="96">
        <f t="shared" si="130"/>
        <v>0</v>
      </c>
      <c r="BY124" s="96">
        <f t="shared" si="111"/>
        <v>0</v>
      </c>
      <c r="BZ124" s="96" t="e">
        <f t="shared" si="131"/>
        <v>#NUM!</v>
      </c>
      <c r="CA124" s="96" t="e">
        <f t="shared" si="112"/>
        <v>#NUM!</v>
      </c>
      <c r="CB124" s="104" t="e">
        <f t="shared" si="132"/>
        <v>#NUM!</v>
      </c>
      <c r="CC124" s="105">
        <f t="shared" si="172"/>
        <v>16.433421277360434</v>
      </c>
      <c r="CD124" s="106">
        <f t="shared" si="173"/>
        <v>94.183383940693304</v>
      </c>
      <c r="CE124" s="107">
        <f t="shared" si="174"/>
        <v>1.4127507591103996</v>
      </c>
      <c r="CF124" s="108" t="s">
        <v>2189</v>
      </c>
      <c r="CG124" s="108" t="s">
        <v>2189</v>
      </c>
      <c r="CH124" s="108" t="s">
        <v>2189</v>
      </c>
      <c r="CI124" s="108" t="s">
        <v>2189</v>
      </c>
      <c r="CJ124" s="109"/>
      <c r="CM124" s="111">
        <f t="shared" si="133"/>
        <v>25</v>
      </c>
      <c r="CN124" s="107">
        <f t="shared" si="175"/>
        <v>0.375</v>
      </c>
      <c r="CP124" s="88">
        <f t="shared" si="134"/>
        <v>0</v>
      </c>
      <c r="CQ124" s="78">
        <f t="shared" si="135"/>
        <v>100</v>
      </c>
      <c r="CR124" s="79">
        <f t="shared" si="176"/>
        <v>3</v>
      </c>
      <c r="CS124" s="92"/>
      <c r="CT124" s="77">
        <f t="shared" si="113"/>
        <v>0</v>
      </c>
      <c r="CU124" s="78">
        <f t="shared" si="136"/>
        <v>100</v>
      </c>
      <c r="CV124" s="79">
        <f t="shared" si="177"/>
        <v>2</v>
      </c>
      <c r="CW124" s="112" t="e">
        <f t="shared" si="137"/>
        <v>#DIV/0!</v>
      </c>
    </row>
    <row r="125" spans="1:101" x14ac:dyDescent="0.35">
      <c r="A125" s="7" t="s">
        <v>826</v>
      </c>
      <c r="B125" s="8" t="s">
        <v>827</v>
      </c>
      <c r="C125" s="21" t="s">
        <v>828</v>
      </c>
      <c r="D125" s="10" t="s">
        <v>75</v>
      </c>
      <c r="E125" s="11" t="s">
        <v>149</v>
      </c>
      <c r="F125" s="11" t="s">
        <v>829</v>
      </c>
      <c r="G125" s="12">
        <v>40589</v>
      </c>
      <c r="H125" s="11" t="s">
        <v>24</v>
      </c>
      <c r="I125" s="11" t="s">
        <v>830</v>
      </c>
      <c r="J125" s="11" t="s">
        <v>831</v>
      </c>
      <c r="K125" s="11" t="s">
        <v>394</v>
      </c>
      <c r="L125" s="23">
        <v>147864036</v>
      </c>
      <c r="M125" s="14">
        <v>15155439</v>
      </c>
      <c r="N125" s="14">
        <v>132708596</v>
      </c>
      <c r="O125" s="14">
        <v>235165568</v>
      </c>
      <c r="P125" s="14">
        <v>18983200</v>
      </c>
      <c r="Q125" s="14">
        <v>20938723</v>
      </c>
      <c r="R125" s="14">
        <v>16260515</v>
      </c>
      <c r="AB125" s="74">
        <f t="shared" si="138"/>
        <v>0</v>
      </c>
      <c r="AC125" s="75" t="e">
        <f t="shared" si="114"/>
        <v>#DIV/0!</v>
      </c>
      <c r="AD125" s="75" t="e">
        <f t="shared" si="139"/>
        <v>#DIV/0!</v>
      </c>
      <c r="AE125" s="76" t="e">
        <f t="shared" si="166"/>
        <v>#DIV/0!</v>
      </c>
      <c r="AF125" s="77" t="e">
        <f t="shared" si="115"/>
        <v>#DIV/0!</v>
      </c>
      <c r="AG125" s="77" t="e">
        <f t="shared" si="116"/>
        <v>#DIV/0!</v>
      </c>
      <c r="AH125" s="77" t="e">
        <f t="shared" si="140"/>
        <v>#DIV/0!</v>
      </c>
      <c r="AI125" s="78" t="e">
        <f t="shared" si="141"/>
        <v>#DIV/0!</v>
      </c>
      <c r="AJ125" s="79" t="e">
        <f t="shared" si="167"/>
        <v>#DIV/0!</v>
      </c>
      <c r="AN125" s="81">
        <f t="shared" si="101"/>
        <v>0</v>
      </c>
      <c r="AO125" s="82" t="e">
        <f t="shared" si="102"/>
        <v>#DIV/0!</v>
      </c>
      <c r="AP125" s="83" t="e">
        <f t="shared" si="117"/>
        <v>#DIV/0!</v>
      </c>
      <c r="AQ125" s="84" t="e">
        <f t="shared" si="168"/>
        <v>#DIV/0!</v>
      </c>
      <c r="AS125" s="86">
        <f t="shared" si="103"/>
        <v>0.25</v>
      </c>
      <c r="AT125" s="87">
        <f t="shared" si="118"/>
        <v>0</v>
      </c>
      <c r="AU125" s="87">
        <f t="shared" si="119"/>
        <v>0</v>
      </c>
      <c r="AV125" s="88" t="e">
        <f t="shared" si="104"/>
        <v>#DIV/0!</v>
      </c>
      <c r="AW125" s="78" t="e">
        <f t="shared" si="120"/>
        <v>#DIV/0!</v>
      </c>
      <c r="AX125" s="89" t="e">
        <f t="shared" si="169"/>
        <v>#DIV/0!</v>
      </c>
      <c r="BA125" s="91">
        <f t="shared" si="105"/>
        <v>0</v>
      </c>
      <c r="BB125" s="77" t="e">
        <f t="shared" si="121"/>
        <v>#DIV/0!</v>
      </c>
      <c r="BC125" s="78" t="e">
        <f t="shared" si="122"/>
        <v>#DIV/0!</v>
      </c>
      <c r="BD125" s="79" t="e">
        <f t="shared" si="170"/>
        <v>#DIV/0!</v>
      </c>
      <c r="BE125" s="92"/>
      <c r="BF125" s="92"/>
      <c r="BG125" s="114">
        <v>136814</v>
      </c>
      <c r="BH125" s="94">
        <f t="shared" si="106"/>
        <v>0</v>
      </c>
      <c r="BI125" s="77" t="e">
        <f t="shared" si="107"/>
        <v>#DIV/0!</v>
      </c>
      <c r="BJ125" s="95" t="str">
        <f t="shared" si="123"/>
        <v>금속/비금속/화학업</v>
      </c>
      <c r="BK125" s="96" t="e">
        <f t="shared" si="108"/>
        <v>#DIV/0!</v>
      </c>
      <c r="BL125" s="97" t="e">
        <f t="shared" si="124"/>
        <v>#DIV/0!</v>
      </c>
      <c r="BM125" s="98" t="e">
        <f t="shared" si="125"/>
        <v>#DIV/0!</v>
      </c>
      <c r="BN125" s="99" t="e">
        <f t="shared" si="126"/>
        <v>#DIV/0!</v>
      </c>
      <c r="BP125" s="101">
        <f t="shared" si="127"/>
        <v>0</v>
      </c>
      <c r="BQ125" s="78">
        <f t="shared" si="128"/>
        <v>25</v>
      </c>
      <c r="BR125" s="79">
        <f t="shared" si="171"/>
        <v>0.5</v>
      </c>
      <c r="BS125" s="102"/>
      <c r="BT125" s="102"/>
      <c r="BU125" s="103">
        <f t="shared" si="129"/>
        <v>0</v>
      </c>
      <c r="BV125" s="77">
        <f t="shared" si="109"/>
        <v>0</v>
      </c>
      <c r="BW125" s="96">
        <f t="shared" si="110"/>
        <v>0</v>
      </c>
      <c r="BX125" s="96">
        <f t="shared" si="130"/>
        <v>0</v>
      </c>
      <c r="BY125" s="96">
        <f t="shared" si="111"/>
        <v>0</v>
      </c>
      <c r="BZ125" s="96" t="e">
        <f t="shared" si="131"/>
        <v>#NUM!</v>
      </c>
      <c r="CA125" s="96" t="e">
        <f t="shared" si="112"/>
        <v>#NUM!</v>
      </c>
      <c r="CB125" s="104" t="e">
        <f t="shared" si="132"/>
        <v>#NUM!</v>
      </c>
      <c r="CC125" s="105">
        <f t="shared" si="172"/>
        <v>11.420088416879944</v>
      </c>
      <c r="CD125" s="106">
        <f t="shared" si="173"/>
        <v>96.072830998663335</v>
      </c>
      <c r="CE125" s="107">
        <f t="shared" si="174"/>
        <v>1.4410924649799499</v>
      </c>
      <c r="CF125" s="108" t="s">
        <v>2189</v>
      </c>
      <c r="CG125" s="108" t="s">
        <v>2189</v>
      </c>
      <c r="CH125" s="108" t="s">
        <v>2189</v>
      </c>
      <c r="CI125" s="108" t="s">
        <v>2189</v>
      </c>
      <c r="CJ125" s="109"/>
      <c r="CM125" s="111">
        <f t="shared" si="133"/>
        <v>25</v>
      </c>
      <c r="CN125" s="107">
        <f t="shared" si="175"/>
        <v>0.375</v>
      </c>
      <c r="CP125" s="88">
        <f t="shared" si="134"/>
        <v>0</v>
      </c>
      <c r="CQ125" s="78">
        <f t="shared" si="135"/>
        <v>100</v>
      </c>
      <c r="CR125" s="79">
        <f t="shared" si="176"/>
        <v>3</v>
      </c>
      <c r="CS125" s="92"/>
      <c r="CT125" s="77">
        <f t="shared" si="113"/>
        <v>0</v>
      </c>
      <c r="CU125" s="78">
        <f t="shared" si="136"/>
        <v>100</v>
      </c>
      <c r="CV125" s="79">
        <f t="shared" si="177"/>
        <v>2</v>
      </c>
      <c r="CW125" s="112" t="e">
        <f t="shared" si="137"/>
        <v>#DIV/0!</v>
      </c>
    </row>
    <row r="126" spans="1:101" x14ac:dyDescent="0.35">
      <c r="A126" s="7" t="s">
        <v>832</v>
      </c>
      <c r="B126" s="8" t="s">
        <v>833</v>
      </c>
      <c r="C126" s="21" t="s">
        <v>834</v>
      </c>
      <c r="D126" s="10" t="s">
        <v>75</v>
      </c>
      <c r="E126" s="11" t="s">
        <v>324</v>
      </c>
      <c r="F126" s="11" t="s">
        <v>835</v>
      </c>
      <c r="G126" s="12">
        <v>32778</v>
      </c>
      <c r="H126" s="11" t="s">
        <v>24</v>
      </c>
      <c r="I126" s="11" t="s">
        <v>836</v>
      </c>
      <c r="J126" s="11" t="s">
        <v>837</v>
      </c>
      <c r="K126" s="11" t="s">
        <v>110</v>
      </c>
      <c r="L126" s="23">
        <v>342398880</v>
      </c>
      <c r="M126" s="14">
        <v>36181307</v>
      </c>
      <c r="N126" s="14">
        <v>306217573</v>
      </c>
      <c r="O126" s="14">
        <v>418789690</v>
      </c>
      <c r="P126" s="14">
        <v>44057917</v>
      </c>
      <c r="Q126" s="14">
        <v>28817308</v>
      </c>
      <c r="R126" s="14">
        <v>20885280</v>
      </c>
      <c r="AB126" s="74">
        <f t="shared" si="138"/>
        <v>0</v>
      </c>
      <c r="AC126" s="75" t="e">
        <f t="shared" si="114"/>
        <v>#DIV/0!</v>
      </c>
      <c r="AD126" s="75" t="e">
        <f t="shared" si="139"/>
        <v>#DIV/0!</v>
      </c>
      <c r="AE126" s="76" t="e">
        <f t="shared" si="166"/>
        <v>#DIV/0!</v>
      </c>
      <c r="AF126" s="77" t="e">
        <f t="shared" si="115"/>
        <v>#DIV/0!</v>
      </c>
      <c r="AG126" s="77" t="e">
        <f t="shared" si="116"/>
        <v>#DIV/0!</v>
      </c>
      <c r="AH126" s="77" t="e">
        <f t="shared" si="140"/>
        <v>#DIV/0!</v>
      </c>
      <c r="AI126" s="78" t="e">
        <f t="shared" si="141"/>
        <v>#DIV/0!</v>
      </c>
      <c r="AJ126" s="79" t="e">
        <f t="shared" si="167"/>
        <v>#DIV/0!</v>
      </c>
      <c r="AN126" s="81">
        <f t="shared" si="101"/>
        <v>0</v>
      </c>
      <c r="AO126" s="82" t="e">
        <f t="shared" si="102"/>
        <v>#DIV/0!</v>
      </c>
      <c r="AP126" s="83" t="e">
        <f t="shared" si="117"/>
        <v>#DIV/0!</v>
      </c>
      <c r="AQ126" s="84" t="e">
        <f t="shared" si="168"/>
        <v>#DIV/0!</v>
      </c>
      <c r="AS126" s="86">
        <f t="shared" si="103"/>
        <v>0.25</v>
      </c>
      <c r="AT126" s="87">
        <f t="shared" si="118"/>
        <v>0</v>
      </c>
      <c r="AU126" s="87">
        <f t="shared" si="119"/>
        <v>0</v>
      </c>
      <c r="AV126" s="88" t="e">
        <f t="shared" si="104"/>
        <v>#DIV/0!</v>
      </c>
      <c r="AW126" s="78" t="e">
        <f t="shared" si="120"/>
        <v>#DIV/0!</v>
      </c>
      <c r="AX126" s="89" t="e">
        <f t="shared" si="169"/>
        <v>#DIV/0!</v>
      </c>
      <c r="BA126" s="91">
        <f t="shared" si="105"/>
        <v>0</v>
      </c>
      <c r="BB126" s="77" t="e">
        <f t="shared" si="121"/>
        <v>#DIV/0!</v>
      </c>
      <c r="BC126" s="78" t="e">
        <f t="shared" si="122"/>
        <v>#DIV/0!</v>
      </c>
      <c r="BD126" s="79" t="e">
        <f t="shared" si="170"/>
        <v>#DIV/0!</v>
      </c>
      <c r="BE126" s="92"/>
      <c r="BF126" s="92"/>
      <c r="BG126" s="114">
        <v>110493</v>
      </c>
      <c r="BH126" s="94">
        <f t="shared" si="106"/>
        <v>0</v>
      </c>
      <c r="BI126" s="77" t="e">
        <f t="shared" si="107"/>
        <v>#DIV/0!</v>
      </c>
      <c r="BJ126" s="95" t="str">
        <f t="shared" si="123"/>
        <v>금속/비금속/화학업</v>
      </c>
      <c r="BK126" s="96" t="e">
        <f t="shared" si="108"/>
        <v>#DIV/0!</v>
      </c>
      <c r="BL126" s="97" t="e">
        <f t="shared" si="124"/>
        <v>#DIV/0!</v>
      </c>
      <c r="BM126" s="98" t="e">
        <f t="shared" si="125"/>
        <v>#DIV/0!</v>
      </c>
      <c r="BN126" s="99" t="e">
        <f t="shared" si="126"/>
        <v>#DIV/0!</v>
      </c>
      <c r="BP126" s="101">
        <f t="shared" si="127"/>
        <v>0</v>
      </c>
      <c r="BQ126" s="78">
        <f t="shared" si="128"/>
        <v>25</v>
      </c>
      <c r="BR126" s="79">
        <f t="shared" si="171"/>
        <v>0.5</v>
      </c>
      <c r="BS126" s="102"/>
      <c r="BT126" s="102"/>
      <c r="BU126" s="103">
        <f t="shared" si="129"/>
        <v>0</v>
      </c>
      <c r="BV126" s="77">
        <f t="shared" si="109"/>
        <v>0</v>
      </c>
      <c r="BW126" s="96">
        <f t="shared" si="110"/>
        <v>0</v>
      </c>
      <c r="BX126" s="96">
        <f t="shared" si="130"/>
        <v>0</v>
      </c>
      <c r="BY126" s="96">
        <f t="shared" si="111"/>
        <v>0</v>
      </c>
      <c r="BZ126" s="96" t="e">
        <f t="shared" si="131"/>
        <v>#NUM!</v>
      </c>
      <c r="CA126" s="96" t="e">
        <f t="shared" si="112"/>
        <v>#NUM!</v>
      </c>
      <c r="CB126" s="104" t="e">
        <f t="shared" si="132"/>
        <v>#NUM!</v>
      </c>
      <c r="CC126" s="105">
        <f t="shared" si="172"/>
        <v>11.81555540576373</v>
      </c>
      <c r="CD126" s="106">
        <f t="shared" si="173"/>
        <v>95.923785651094079</v>
      </c>
      <c r="CE126" s="107">
        <f t="shared" si="174"/>
        <v>1.4388567847664111</v>
      </c>
      <c r="CF126" s="108" t="s">
        <v>2189</v>
      </c>
      <c r="CG126" s="108" t="s">
        <v>2189</v>
      </c>
      <c r="CH126" s="108" t="s">
        <v>2189</v>
      </c>
      <c r="CI126" s="108" t="s">
        <v>2189</v>
      </c>
      <c r="CJ126" s="109"/>
      <c r="CM126" s="111">
        <f t="shared" si="133"/>
        <v>25</v>
      </c>
      <c r="CN126" s="107">
        <f t="shared" si="175"/>
        <v>0.375</v>
      </c>
      <c r="CP126" s="88">
        <f t="shared" si="134"/>
        <v>0</v>
      </c>
      <c r="CQ126" s="78">
        <f t="shared" si="135"/>
        <v>100</v>
      </c>
      <c r="CR126" s="79">
        <f t="shared" si="176"/>
        <v>3</v>
      </c>
      <c r="CS126" s="92"/>
      <c r="CT126" s="77">
        <f t="shared" si="113"/>
        <v>0</v>
      </c>
      <c r="CU126" s="78">
        <f t="shared" si="136"/>
        <v>100</v>
      </c>
      <c r="CV126" s="79">
        <f t="shared" si="177"/>
        <v>2</v>
      </c>
      <c r="CW126" s="112" t="e">
        <f t="shared" si="137"/>
        <v>#DIV/0!</v>
      </c>
    </row>
    <row r="127" spans="1:101" x14ac:dyDescent="0.35">
      <c r="A127" s="7" t="s">
        <v>838</v>
      </c>
      <c r="B127" s="8" t="s">
        <v>839</v>
      </c>
      <c r="C127" s="21" t="s">
        <v>840</v>
      </c>
      <c r="D127" s="10" t="s">
        <v>31</v>
      </c>
      <c r="E127" s="11" t="s">
        <v>841</v>
      </c>
      <c r="F127" s="11" t="s">
        <v>842</v>
      </c>
      <c r="G127" s="12">
        <v>32658</v>
      </c>
      <c r="H127" s="11" t="s">
        <v>843</v>
      </c>
      <c r="I127" s="11" t="s">
        <v>844</v>
      </c>
      <c r="J127" s="11" t="s">
        <v>845</v>
      </c>
      <c r="K127" s="11" t="s">
        <v>27</v>
      </c>
      <c r="L127" s="23">
        <v>241989773</v>
      </c>
      <c r="M127" s="14">
        <v>40624252</v>
      </c>
      <c r="N127" s="14">
        <v>201365521</v>
      </c>
      <c r="O127" s="14">
        <v>93315362</v>
      </c>
      <c r="P127" s="14">
        <v>2071431</v>
      </c>
      <c r="Q127" s="14">
        <v>7052481</v>
      </c>
      <c r="R127" s="14">
        <v>5569068</v>
      </c>
      <c r="AB127" s="74">
        <f t="shared" si="138"/>
        <v>0</v>
      </c>
      <c r="AC127" s="75" t="e">
        <f t="shared" si="114"/>
        <v>#DIV/0!</v>
      </c>
      <c r="AD127" s="75" t="e">
        <f t="shared" si="139"/>
        <v>#DIV/0!</v>
      </c>
      <c r="AE127" s="76" t="e">
        <f t="shared" si="166"/>
        <v>#DIV/0!</v>
      </c>
      <c r="AF127" s="77" t="e">
        <f t="shared" si="115"/>
        <v>#DIV/0!</v>
      </c>
      <c r="AG127" s="77" t="e">
        <f t="shared" si="116"/>
        <v>#DIV/0!</v>
      </c>
      <c r="AH127" s="77" t="e">
        <f t="shared" si="140"/>
        <v>#DIV/0!</v>
      </c>
      <c r="AI127" s="78" t="e">
        <f t="shared" si="141"/>
        <v>#DIV/0!</v>
      </c>
      <c r="AJ127" s="79" t="e">
        <f t="shared" si="167"/>
        <v>#DIV/0!</v>
      </c>
      <c r="AN127" s="81">
        <f t="shared" si="101"/>
        <v>0</v>
      </c>
      <c r="AO127" s="82" t="e">
        <f t="shared" si="102"/>
        <v>#DIV/0!</v>
      </c>
      <c r="AP127" s="83" t="e">
        <f t="shared" si="117"/>
        <v>#DIV/0!</v>
      </c>
      <c r="AQ127" s="84" t="e">
        <f t="shared" si="168"/>
        <v>#DIV/0!</v>
      </c>
      <c r="AS127" s="86">
        <f t="shared" si="103"/>
        <v>0.25</v>
      </c>
      <c r="AT127" s="87">
        <f t="shared" si="118"/>
        <v>0</v>
      </c>
      <c r="AU127" s="87">
        <f t="shared" si="119"/>
        <v>0</v>
      </c>
      <c r="AV127" s="88" t="e">
        <f t="shared" si="104"/>
        <v>#DIV/0!</v>
      </c>
      <c r="AW127" s="78" t="e">
        <f t="shared" si="120"/>
        <v>#DIV/0!</v>
      </c>
      <c r="AX127" s="89" t="e">
        <f t="shared" si="169"/>
        <v>#DIV/0!</v>
      </c>
      <c r="BA127" s="91">
        <f t="shared" si="105"/>
        <v>0</v>
      </c>
      <c r="BB127" s="77" t="e">
        <f t="shared" si="121"/>
        <v>#DIV/0!</v>
      </c>
      <c r="BC127" s="78" t="e">
        <f t="shared" si="122"/>
        <v>#DIV/0!</v>
      </c>
      <c r="BD127" s="79" t="e">
        <f t="shared" si="170"/>
        <v>#DIV/0!</v>
      </c>
      <c r="BE127" s="92"/>
      <c r="BF127" s="92"/>
      <c r="BG127" s="114">
        <v>131388</v>
      </c>
      <c r="BH127" s="94">
        <f t="shared" si="106"/>
        <v>0</v>
      </c>
      <c r="BI127" s="77" t="e">
        <f t="shared" si="107"/>
        <v>#DIV/0!</v>
      </c>
      <c r="BJ127" s="95" t="str">
        <f t="shared" si="123"/>
        <v>식약/섬유/종이업</v>
      </c>
      <c r="BK127" s="96" t="e">
        <f t="shared" si="108"/>
        <v>#DIV/0!</v>
      </c>
      <c r="BL127" s="97" t="e">
        <f t="shared" si="124"/>
        <v>#DIV/0!</v>
      </c>
      <c r="BM127" s="98" t="e">
        <f t="shared" si="125"/>
        <v>#DIV/0!</v>
      </c>
      <c r="BN127" s="99" t="e">
        <f t="shared" si="126"/>
        <v>#DIV/0!</v>
      </c>
      <c r="BP127" s="101">
        <f t="shared" si="127"/>
        <v>0</v>
      </c>
      <c r="BQ127" s="78">
        <f t="shared" si="128"/>
        <v>25</v>
      </c>
      <c r="BR127" s="79">
        <f t="shared" si="171"/>
        <v>0.5</v>
      </c>
      <c r="BS127" s="102"/>
      <c r="BT127" s="102"/>
      <c r="BU127" s="103">
        <f t="shared" si="129"/>
        <v>0</v>
      </c>
      <c r="BV127" s="77">
        <f t="shared" si="109"/>
        <v>0</v>
      </c>
      <c r="BW127" s="96">
        <f t="shared" si="110"/>
        <v>0</v>
      </c>
      <c r="BX127" s="96">
        <f t="shared" si="130"/>
        <v>0</v>
      </c>
      <c r="BY127" s="96">
        <f t="shared" si="111"/>
        <v>0</v>
      </c>
      <c r="BZ127" s="96" t="e">
        <f t="shared" si="131"/>
        <v>#NUM!</v>
      </c>
      <c r="CA127" s="96" t="e">
        <f t="shared" si="112"/>
        <v>#NUM!</v>
      </c>
      <c r="CB127" s="104" t="e">
        <f t="shared" si="132"/>
        <v>#NUM!</v>
      </c>
      <c r="CC127" s="105">
        <f t="shared" si="172"/>
        <v>20.174383279846602</v>
      </c>
      <c r="CD127" s="106">
        <f t="shared" si="173"/>
        <v>92.773473638248774</v>
      </c>
      <c r="CE127" s="107">
        <f t="shared" si="174"/>
        <v>1.3916021045737315</v>
      </c>
      <c r="CF127" s="108" t="s">
        <v>2189</v>
      </c>
      <c r="CG127" s="108" t="s">
        <v>2189</v>
      </c>
      <c r="CH127" s="108" t="s">
        <v>2189</v>
      </c>
      <c r="CI127" s="108" t="s">
        <v>2189</v>
      </c>
      <c r="CJ127" s="109"/>
      <c r="CM127" s="111">
        <f t="shared" si="133"/>
        <v>25</v>
      </c>
      <c r="CN127" s="107">
        <f t="shared" si="175"/>
        <v>0.375</v>
      </c>
      <c r="CP127" s="88">
        <f t="shared" si="134"/>
        <v>0</v>
      </c>
      <c r="CQ127" s="78">
        <f t="shared" si="135"/>
        <v>100</v>
      </c>
      <c r="CR127" s="79">
        <f t="shared" si="176"/>
        <v>3</v>
      </c>
      <c r="CS127" s="92"/>
      <c r="CT127" s="77">
        <f t="shared" si="113"/>
        <v>0</v>
      </c>
      <c r="CU127" s="78">
        <f t="shared" si="136"/>
        <v>100</v>
      </c>
      <c r="CV127" s="79">
        <f t="shared" si="177"/>
        <v>2</v>
      </c>
      <c r="CW127" s="112" t="e">
        <f t="shared" si="137"/>
        <v>#DIV/0!</v>
      </c>
    </row>
    <row r="128" spans="1:101" x14ac:dyDescent="0.35">
      <c r="A128" s="7" t="s">
        <v>846</v>
      </c>
      <c r="B128" s="8" t="s">
        <v>847</v>
      </c>
      <c r="C128" s="21" t="s">
        <v>848</v>
      </c>
      <c r="D128" s="10" t="s">
        <v>75</v>
      </c>
      <c r="E128" s="11" t="s">
        <v>76</v>
      </c>
      <c r="F128" s="11" t="s">
        <v>849</v>
      </c>
      <c r="G128" s="12">
        <v>27921</v>
      </c>
      <c r="H128" s="11" t="s">
        <v>24</v>
      </c>
      <c r="I128" s="11" t="s">
        <v>850</v>
      </c>
      <c r="J128" s="11" t="s">
        <v>851</v>
      </c>
      <c r="K128" s="11" t="s">
        <v>734</v>
      </c>
      <c r="L128" s="23">
        <v>404942084</v>
      </c>
      <c r="M128" s="14">
        <v>194159798</v>
      </c>
      <c r="N128" s="14">
        <v>210782285</v>
      </c>
      <c r="O128" s="14">
        <v>232326917</v>
      </c>
      <c r="P128" s="14">
        <v>28484556</v>
      </c>
      <c r="Q128" s="14">
        <v>25121503</v>
      </c>
      <c r="R128" s="14">
        <v>22437303</v>
      </c>
      <c r="AB128" s="74">
        <f t="shared" si="138"/>
        <v>0</v>
      </c>
      <c r="AC128" s="75" t="e">
        <f t="shared" si="114"/>
        <v>#DIV/0!</v>
      </c>
      <c r="AD128" s="75" t="e">
        <f t="shared" si="139"/>
        <v>#DIV/0!</v>
      </c>
      <c r="AE128" s="76" t="e">
        <f t="shared" si="166"/>
        <v>#DIV/0!</v>
      </c>
      <c r="AF128" s="77" t="e">
        <f t="shared" si="115"/>
        <v>#DIV/0!</v>
      </c>
      <c r="AG128" s="77" t="e">
        <f t="shared" si="116"/>
        <v>#DIV/0!</v>
      </c>
      <c r="AH128" s="77" t="e">
        <f t="shared" si="140"/>
        <v>#DIV/0!</v>
      </c>
      <c r="AI128" s="78" t="e">
        <f t="shared" si="141"/>
        <v>#DIV/0!</v>
      </c>
      <c r="AJ128" s="79" t="e">
        <f t="shared" si="167"/>
        <v>#DIV/0!</v>
      </c>
      <c r="AN128" s="81">
        <f t="shared" si="101"/>
        <v>0</v>
      </c>
      <c r="AO128" s="82" t="e">
        <f t="shared" si="102"/>
        <v>#DIV/0!</v>
      </c>
      <c r="AP128" s="83" t="e">
        <f t="shared" si="117"/>
        <v>#DIV/0!</v>
      </c>
      <c r="AQ128" s="84" t="e">
        <f t="shared" si="168"/>
        <v>#DIV/0!</v>
      </c>
      <c r="AS128" s="86">
        <f t="shared" si="103"/>
        <v>0.25</v>
      </c>
      <c r="AT128" s="87">
        <f t="shared" si="118"/>
        <v>0</v>
      </c>
      <c r="AU128" s="87">
        <f t="shared" si="119"/>
        <v>0</v>
      </c>
      <c r="AV128" s="88" t="e">
        <f t="shared" si="104"/>
        <v>#DIV/0!</v>
      </c>
      <c r="AW128" s="78" t="e">
        <f t="shared" si="120"/>
        <v>#DIV/0!</v>
      </c>
      <c r="AX128" s="89" t="e">
        <f t="shared" si="169"/>
        <v>#DIV/0!</v>
      </c>
      <c r="BA128" s="91">
        <f t="shared" si="105"/>
        <v>0</v>
      </c>
      <c r="BB128" s="77" t="e">
        <f t="shared" si="121"/>
        <v>#DIV/0!</v>
      </c>
      <c r="BC128" s="78" t="e">
        <f t="shared" si="122"/>
        <v>#DIV/0!</v>
      </c>
      <c r="BD128" s="79" t="e">
        <f t="shared" si="170"/>
        <v>#DIV/0!</v>
      </c>
      <c r="BE128" s="92"/>
      <c r="BF128" s="92"/>
      <c r="BG128" s="114">
        <v>784340</v>
      </c>
      <c r="BH128" s="94">
        <f t="shared" si="106"/>
        <v>0</v>
      </c>
      <c r="BI128" s="77" t="e">
        <f t="shared" si="107"/>
        <v>#DIV/0!</v>
      </c>
      <c r="BJ128" s="95" t="str">
        <f t="shared" si="123"/>
        <v>금속/비금속/화학업</v>
      </c>
      <c r="BK128" s="96" t="e">
        <f t="shared" si="108"/>
        <v>#DIV/0!</v>
      </c>
      <c r="BL128" s="97" t="e">
        <f t="shared" si="124"/>
        <v>#DIV/0!</v>
      </c>
      <c r="BM128" s="98" t="e">
        <f t="shared" si="125"/>
        <v>#DIV/0!</v>
      </c>
      <c r="BN128" s="99" t="e">
        <f t="shared" si="126"/>
        <v>#DIV/0!</v>
      </c>
      <c r="BP128" s="101">
        <f t="shared" si="127"/>
        <v>0</v>
      </c>
      <c r="BQ128" s="78">
        <f t="shared" si="128"/>
        <v>25</v>
      </c>
      <c r="BR128" s="79">
        <f t="shared" si="171"/>
        <v>0.5</v>
      </c>
      <c r="BS128" s="102"/>
      <c r="BT128" s="102"/>
      <c r="BU128" s="103">
        <f t="shared" si="129"/>
        <v>0</v>
      </c>
      <c r="BV128" s="77">
        <f t="shared" si="109"/>
        <v>0</v>
      </c>
      <c r="BW128" s="96">
        <f t="shared" si="110"/>
        <v>0</v>
      </c>
      <c r="BX128" s="96">
        <f t="shared" si="130"/>
        <v>0</v>
      </c>
      <c r="BY128" s="96">
        <f t="shared" si="111"/>
        <v>0</v>
      </c>
      <c r="BZ128" s="96" t="e">
        <f t="shared" si="131"/>
        <v>#NUM!</v>
      </c>
      <c r="CA128" s="96" t="e">
        <f t="shared" si="112"/>
        <v>#NUM!</v>
      </c>
      <c r="CB128" s="104" t="e">
        <f t="shared" si="132"/>
        <v>#NUM!</v>
      </c>
      <c r="CC128" s="105">
        <f t="shared" si="172"/>
        <v>92.113907010733854</v>
      </c>
      <c r="CD128" s="106">
        <f t="shared" si="173"/>
        <v>65.660587810024936</v>
      </c>
      <c r="CE128" s="107">
        <f t="shared" si="174"/>
        <v>0.98490881715037404</v>
      </c>
      <c r="CF128" s="108" t="s">
        <v>2189</v>
      </c>
      <c r="CG128" s="108" t="s">
        <v>2189</v>
      </c>
      <c r="CH128" s="108" t="s">
        <v>2189</v>
      </c>
      <c r="CI128" s="108" t="s">
        <v>2189</v>
      </c>
      <c r="CJ128" s="109"/>
      <c r="CM128" s="111">
        <f t="shared" si="133"/>
        <v>25</v>
      </c>
      <c r="CN128" s="107">
        <f t="shared" si="175"/>
        <v>0.375</v>
      </c>
      <c r="CP128" s="88">
        <f t="shared" si="134"/>
        <v>0</v>
      </c>
      <c r="CQ128" s="78">
        <f t="shared" si="135"/>
        <v>100</v>
      </c>
      <c r="CR128" s="79">
        <f t="shared" si="176"/>
        <v>3</v>
      </c>
      <c r="CS128" s="92"/>
      <c r="CT128" s="77">
        <f t="shared" si="113"/>
        <v>0</v>
      </c>
      <c r="CU128" s="78">
        <f t="shared" si="136"/>
        <v>100</v>
      </c>
      <c r="CV128" s="79">
        <f t="shared" si="177"/>
        <v>2</v>
      </c>
      <c r="CW128" s="112" t="e">
        <f t="shared" si="137"/>
        <v>#DIV/0!</v>
      </c>
    </row>
    <row r="129" spans="1:101" x14ac:dyDescent="0.35">
      <c r="A129" s="7" t="s">
        <v>852</v>
      </c>
      <c r="B129" s="8" t="s">
        <v>853</v>
      </c>
      <c r="C129" s="21" t="s">
        <v>854</v>
      </c>
      <c r="D129" s="10" t="s">
        <v>75</v>
      </c>
      <c r="E129" s="11" t="s">
        <v>149</v>
      </c>
      <c r="F129" s="11" t="s">
        <v>855</v>
      </c>
      <c r="G129" s="12">
        <v>32842</v>
      </c>
      <c r="H129" s="11" t="s">
        <v>24</v>
      </c>
      <c r="I129" s="11" t="s">
        <v>856</v>
      </c>
      <c r="J129" s="11" t="s">
        <v>857</v>
      </c>
      <c r="K129" s="11" t="s">
        <v>50</v>
      </c>
      <c r="L129" s="23">
        <v>60912252</v>
      </c>
      <c r="M129" s="14">
        <v>12528504</v>
      </c>
      <c r="N129" s="14">
        <v>48383747</v>
      </c>
      <c r="O129" s="14">
        <v>48434716</v>
      </c>
      <c r="P129" s="14">
        <v>3282892</v>
      </c>
      <c r="Q129" s="14">
        <v>3389050</v>
      </c>
      <c r="R129" s="14">
        <v>3069106</v>
      </c>
      <c r="AB129" s="74">
        <f t="shared" si="138"/>
        <v>0</v>
      </c>
      <c r="AC129" s="75" t="e">
        <f t="shared" si="114"/>
        <v>#DIV/0!</v>
      </c>
      <c r="AD129" s="75" t="e">
        <f t="shared" si="139"/>
        <v>#DIV/0!</v>
      </c>
      <c r="AE129" s="76" t="e">
        <f t="shared" si="166"/>
        <v>#DIV/0!</v>
      </c>
      <c r="AF129" s="77" t="e">
        <f t="shared" si="115"/>
        <v>#DIV/0!</v>
      </c>
      <c r="AG129" s="77" t="e">
        <f t="shared" si="116"/>
        <v>#DIV/0!</v>
      </c>
      <c r="AH129" s="77" t="e">
        <f t="shared" si="140"/>
        <v>#DIV/0!</v>
      </c>
      <c r="AI129" s="78" t="e">
        <f t="shared" si="141"/>
        <v>#DIV/0!</v>
      </c>
      <c r="AJ129" s="79" t="e">
        <f t="shared" si="167"/>
        <v>#DIV/0!</v>
      </c>
      <c r="AN129" s="81">
        <f t="shared" ref="AN129:AN192" si="178">SUM(AK129:AL129)</f>
        <v>0</v>
      </c>
      <c r="AO129" s="82" t="e">
        <f t="shared" si="102"/>
        <v>#DIV/0!</v>
      </c>
      <c r="AP129" s="83" t="e">
        <f t="shared" si="117"/>
        <v>#DIV/0!</v>
      </c>
      <c r="AQ129" s="84" t="e">
        <f t="shared" si="168"/>
        <v>#DIV/0!</v>
      </c>
      <c r="AS129" s="86">
        <f t="shared" si="103"/>
        <v>0.25</v>
      </c>
      <c r="AT129" s="87">
        <f t="shared" si="118"/>
        <v>0</v>
      </c>
      <c r="AU129" s="87">
        <f t="shared" si="119"/>
        <v>0</v>
      </c>
      <c r="AV129" s="88" t="e">
        <f t="shared" si="104"/>
        <v>#DIV/0!</v>
      </c>
      <c r="AW129" s="78" t="e">
        <f t="shared" si="120"/>
        <v>#DIV/0!</v>
      </c>
      <c r="AX129" s="89" t="e">
        <f t="shared" si="169"/>
        <v>#DIV/0!</v>
      </c>
      <c r="BA129" s="91">
        <f t="shared" si="105"/>
        <v>0</v>
      </c>
      <c r="BB129" s="77" t="e">
        <f t="shared" si="121"/>
        <v>#DIV/0!</v>
      </c>
      <c r="BC129" s="78" t="e">
        <f t="shared" si="122"/>
        <v>#DIV/0!</v>
      </c>
      <c r="BD129" s="79" t="e">
        <f t="shared" si="170"/>
        <v>#DIV/0!</v>
      </c>
      <c r="BE129" s="92"/>
      <c r="BF129" s="92"/>
      <c r="BG129" s="114">
        <v>113789</v>
      </c>
      <c r="BH129" s="94">
        <f t="shared" si="106"/>
        <v>0</v>
      </c>
      <c r="BI129" s="77" t="e">
        <f t="shared" si="107"/>
        <v>#DIV/0!</v>
      </c>
      <c r="BJ129" s="95" t="str">
        <f t="shared" si="123"/>
        <v>금속/비금속/화학업</v>
      </c>
      <c r="BK129" s="96" t="e">
        <f t="shared" si="108"/>
        <v>#DIV/0!</v>
      </c>
      <c r="BL129" s="97" t="e">
        <f t="shared" si="124"/>
        <v>#DIV/0!</v>
      </c>
      <c r="BM129" s="98" t="e">
        <f t="shared" si="125"/>
        <v>#DIV/0!</v>
      </c>
      <c r="BN129" s="99" t="e">
        <f t="shared" si="126"/>
        <v>#DIV/0!</v>
      </c>
      <c r="BP129" s="101">
        <f t="shared" si="127"/>
        <v>0</v>
      </c>
      <c r="BQ129" s="78">
        <f t="shared" si="128"/>
        <v>25</v>
      </c>
      <c r="BR129" s="79">
        <f t="shared" si="171"/>
        <v>0.5</v>
      </c>
      <c r="BS129" s="102"/>
      <c r="BT129" s="102"/>
      <c r="BU129" s="103">
        <f t="shared" si="129"/>
        <v>0</v>
      </c>
      <c r="BV129" s="77">
        <f t="shared" si="109"/>
        <v>0</v>
      </c>
      <c r="BW129" s="96">
        <f t="shared" si="110"/>
        <v>0</v>
      </c>
      <c r="BX129" s="96">
        <f t="shared" si="130"/>
        <v>0</v>
      </c>
      <c r="BY129" s="96">
        <f t="shared" si="111"/>
        <v>0</v>
      </c>
      <c r="BZ129" s="96" t="e">
        <f t="shared" si="131"/>
        <v>#NUM!</v>
      </c>
      <c r="CA129" s="96" t="e">
        <f t="shared" si="112"/>
        <v>#NUM!</v>
      </c>
      <c r="CB129" s="104" t="e">
        <f t="shared" si="132"/>
        <v>#NUM!</v>
      </c>
      <c r="CC129" s="105">
        <f t="shared" si="172"/>
        <v>25.894034209462941</v>
      </c>
      <c r="CD129" s="106">
        <f t="shared" si="173"/>
        <v>90.617826302966222</v>
      </c>
      <c r="CE129" s="107">
        <f t="shared" si="174"/>
        <v>1.3592673945444933</v>
      </c>
      <c r="CF129" s="108" t="s">
        <v>2189</v>
      </c>
      <c r="CG129" s="108" t="s">
        <v>2189</v>
      </c>
      <c r="CH129" s="108" t="s">
        <v>2189</v>
      </c>
      <c r="CI129" s="108" t="s">
        <v>2189</v>
      </c>
      <c r="CJ129" s="109"/>
      <c r="CM129" s="111">
        <f t="shared" si="133"/>
        <v>25</v>
      </c>
      <c r="CN129" s="107">
        <f t="shared" si="175"/>
        <v>0.375</v>
      </c>
      <c r="CP129" s="88">
        <f t="shared" si="134"/>
        <v>0</v>
      </c>
      <c r="CQ129" s="78">
        <f t="shared" si="135"/>
        <v>100</v>
      </c>
      <c r="CR129" s="79">
        <f t="shared" si="176"/>
        <v>3</v>
      </c>
      <c r="CS129" s="92"/>
      <c r="CT129" s="77">
        <f t="shared" si="113"/>
        <v>0</v>
      </c>
      <c r="CU129" s="78">
        <f t="shared" si="136"/>
        <v>100</v>
      </c>
      <c r="CV129" s="79">
        <f t="shared" si="177"/>
        <v>2</v>
      </c>
      <c r="CW129" s="112" t="e">
        <f t="shared" si="137"/>
        <v>#DIV/0!</v>
      </c>
    </row>
    <row r="130" spans="1:101" x14ac:dyDescent="0.35">
      <c r="A130" s="7" t="s">
        <v>858</v>
      </c>
      <c r="B130" s="8" t="s">
        <v>859</v>
      </c>
      <c r="C130" s="21" t="s">
        <v>860</v>
      </c>
      <c r="D130" s="25" t="s">
        <v>262</v>
      </c>
      <c r="E130" s="11" t="s">
        <v>263</v>
      </c>
      <c r="F130" s="11" t="s">
        <v>861</v>
      </c>
      <c r="G130" s="12">
        <v>32343</v>
      </c>
      <c r="H130" s="11" t="s">
        <v>24</v>
      </c>
      <c r="I130" s="11" t="s">
        <v>862</v>
      </c>
      <c r="J130" s="11" t="s">
        <v>863</v>
      </c>
      <c r="K130" s="11" t="s">
        <v>27</v>
      </c>
      <c r="L130" s="23">
        <v>1427244316</v>
      </c>
      <c r="M130" s="14">
        <v>761201192</v>
      </c>
      <c r="N130" s="14">
        <v>666043124</v>
      </c>
      <c r="O130" s="14">
        <v>962455644</v>
      </c>
      <c r="P130" s="14">
        <v>61833345</v>
      </c>
      <c r="Q130" s="14">
        <v>63808418</v>
      </c>
      <c r="R130" s="14">
        <v>45756353</v>
      </c>
      <c r="AB130" s="74">
        <f t="shared" si="138"/>
        <v>0</v>
      </c>
      <c r="AC130" s="75" t="e">
        <f t="shared" si="114"/>
        <v>#DIV/0!</v>
      </c>
      <c r="AD130" s="75" t="e">
        <f t="shared" si="139"/>
        <v>#DIV/0!</v>
      </c>
      <c r="AE130" s="119" t="e">
        <f>AD130*0.04</f>
        <v>#DIV/0!</v>
      </c>
      <c r="AF130" s="77" t="e">
        <f t="shared" si="115"/>
        <v>#DIV/0!</v>
      </c>
      <c r="AG130" s="77" t="e">
        <f t="shared" si="116"/>
        <v>#DIV/0!</v>
      </c>
      <c r="AH130" s="77" t="e">
        <f t="shared" si="140"/>
        <v>#DIV/0!</v>
      </c>
      <c r="AI130" s="78" t="e">
        <f t="shared" si="141"/>
        <v>#DIV/0!</v>
      </c>
      <c r="AJ130" s="120" t="e">
        <f>AI130*0.05</f>
        <v>#DIV/0!</v>
      </c>
      <c r="AN130" s="81">
        <f t="shared" si="178"/>
        <v>0</v>
      </c>
      <c r="AO130" s="82" t="e">
        <f t="shared" ref="AO130:AO193" si="179">(AM130/AN130)*100</f>
        <v>#DIV/0!</v>
      </c>
      <c r="AP130" s="83" t="e">
        <f t="shared" si="117"/>
        <v>#DIV/0!</v>
      </c>
      <c r="AQ130" s="121" t="e">
        <f>AP130*0.03</f>
        <v>#DIV/0!</v>
      </c>
      <c r="AS130" s="86">
        <f t="shared" ref="AS130:AS193" si="180">IF(L130&gt;=2000000000, 0.5, IF(L130&lt;2000000000, 0.25))</f>
        <v>0.25</v>
      </c>
      <c r="AT130" s="87">
        <f t="shared" si="118"/>
        <v>0</v>
      </c>
      <c r="AU130" s="87">
        <f t="shared" si="119"/>
        <v>0</v>
      </c>
      <c r="AV130" s="88" t="e">
        <f t="shared" ref="AV130:AV193" si="181">(AR130-AU130)/AK130*100</f>
        <v>#DIV/0!</v>
      </c>
      <c r="AW130" s="78" t="e">
        <f t="shared" si="120"/>
        <v>#DIV/0!</v>
      </c>
      <c r="AX130" s="122" t="e">
        <f>AW130*0.02</f>
        <v>#DIV/0!</v>
      </c>
      <c r="BA130" s="91">
        <f t="shared" ref="BA130:BA193" si="182">AR130*AY130</f>
        <v>0</v>
      </c>
      <c r="BB130" s="77" t="e">
        <f t="shared" si="121"/>
        <v>#DIV/0!</v>
      </c>
      <c r="BC130" s="78" t="e">
        <f t="shared" si="122"/>
        <v>#DIV/0!</v>
      </c>
      <c r="BD130" s="120" t="e">
        <f>BC130*0.02</f>
        <v>#DIV/0!</v>
      </c>
      <c r="BE130" s="92"/>
      <c r="BF130" s="92"/>
      <c r="BG130" s="114">
        <v>3741473</v>
      </c>
      <c r="BH130" s="94">
        <f t="shared" ref="BH130:BH193" si="183">SUM(BE130:BF130)</f>
        <v>0</v>
      </c>
      <c r="BI130" s="77" t="e">
        <f t="shared" ref="BI130:BI193" si="184">(BG130/BH130)*100</f>
        <v>#DIV/0!</v>
      </c>
      <c r="BJ130" s="95" t="str">
        <f t="shared" si="123"/>
        <v>금융업</v>
      </c>
      <c r="BK130" s="96" t="e">
        <f t="shared" ref="BK130:BK193" si="185">AVERAGEIF(BJ:BJ, BJ130, BI:BI)</f>
        <v>#DIV/0!</v>
      </c>
      <c r="BL130" s="97" t="e">
        <f t="shared" si="124"/>
        <v>#DIV/0!</v>
      </c>
      <c r="BM130" s="98" t="e">
        <f t="shared" si="125"/>
        <v>#DIV/0!</v>
      </c>
      <c r="BN130" s="99" t="e">
        <f t="shared" si="126"/>
        <v>#DIV/0!</v>
      </c>
      <c r="BP130" s="101">
        <f t="shared" si="127"/>
        <v>0</v>
      </c>
      <c r="BQ130" s="78">
        <f t="shared" si="128"/>
        <v>25</v>
      </c>
      <c r="BR130" s="120">
        <f>BQ130*0.01</f>
        <v>0.25</v>
      </c>
      <c r="BS130" s="102"/>
      <c r="BT130" s="102"/>
      <c r="BU130" s="103">
        <f t="shared" si="129"/>
        <v>0</v>
      </c>
      <c r="BV130" s="77">
        <f t="shared" ref="BV130:BV193" si="186">BU130/O130*100</f>
        <v>0</v>
      </c>
      <c r="BW130" s="96">
        <f t="shared" ref="BW130:BW193" si="187">AVERAGEIF(BJ:BJ, BJ130, BV:BV)</f>
        <v>0</v>
      </c>
      <c r="BX130" s="96">
        <f t="shared" si="130"/>
        <v>0</v>
      </c>
      <c r="BY130" s="96">
        <f t="shared" ref="BY130:BY193" si="188">SQRT(SUMIF(BJ:BJ, BJ130, BX:BX)/COUNTIF(BJ:BJ, BJ130))</f>
        <v>0</v>
      </c>
      <c r="BZ130" s="96" t="e">
        <f t="shared" si="131"/>
        <v>#NUM!</v>
      </c>
      <c r="CA130" s="96" t="e">
        <f t="shared" ref="CA130:CA193" si="189">IF(BZ130&lt;=5, 100, IF(BZ130&lt;=15, 85, IF(BZ130&lt;=35, 70, IF(BZ130&lt;=60, 55, IF(BZ130&lt;=90, 40, 25)))))</f>
        <v>#NUM!</v>
      </c>
      <c r="CB130" s="104" t="e">
        <f t="shared" si="132"/>
        <v>#NUM!</v>
      </c>
      <c r="CC130" s="123" t="s">
        <v>2200</v>
      </c>
      <c r="CD130" s="124" t="s">
        <v>2200</v>
      </c>
      <c r="CE130" s="125"/>
      <c r="CF130" s="126" t="s">
        <v>2201</v>
      </c>
      <c r="CG130" s="127">
        <v>0.2</v>
      </c>
      <c r="CH130" s="126" t="s">
        <v>2201</v>
      </c>
      <c r="CI130" s="128">
        <f>IF((100-(75*(CG130-1)/9))&gt;100,100,IF((100-(75*(CG130-1)/9))&lt;25,25,(100-(75*(CG130-1)/9))))</f>
        <v>100</v>
      </c>
      <c r="CJ130" s="129">
        <f>CI130*0.04</f>
        <v>4</v>
      </c>
      <c r="CM130" s="111">
        <f t="shared" si="133"/>
        <v>25</v>
      </c>
      <c r="CN130" s="130">
        <f>CM130*0.03</f>
        <v>0.75</v>
      </c>
      <c r="CP130" s="88">
        <f t="shared" si="134"/>
        <v>0</v>
      </c>
      <c r="CQ130" s="78">
        <f t="shared" si="135"/>
        <v>100</v>
      </c>
      <c r="CR130" s="120">
        <f>CQ130*0.04</f>
        <v>4</v>
      </c>
      <c r="CS130" s="92"/>
      <c r="CT130" s="77">
        <f t="shared" ref="CT130:CT193" si="190">(CS130/N130)*100</f>
        <v>0</v>
      </c>
      <c r="CU130" s="78">
        <f t="shared" si="136"/>
        <v>100</v>
      </c>
      <c r="CV130" s="131">
        <f>CU130*0.03</f>
        <v>3</v>
      </c>
      <c r="CW130" s="112" t="e">
        <f t="shared" si="137"/>
        <v>#DIV/0!</v>
      </c>
    </row>
    <row r="131" spans="1:101" x14ac:dyDescent="0.35">
      <c r="A131" s="7" t="s">
        <v>864</v>
      </c>
      <c r="B131" s="8" t="s">
        <v>865</v>
      </c>
      <c r="C131" s="21" t="s">
        <v>866</v>
      </c>
      <c r="D131" s="10" t="s">
        <v>75</v>
      </c>
      <c r="E131" s="11" t="s">
        <v>114</v>
      </c>
      <c r="F131" s="11" t="s">
        <v>867</v>
      </c>
      <c r="G131" s="12">
        <v>39735</v>
      </c>
      <c r="H131" s="11" t="s">
        <v>24</v>
      </c>
      <c r="I131" s="11" t="s">
        <v>868</v>
      </c>
      <c r="J131" s="11" t="s">
        <v>869</v>
      </c>
      <c r="K131" s="11" t="s">
        <v>439</v>
      </c>
      <c r="L131" s="23">
        <v>153622004</v>
      </c>
      <c r="M131" s="14">
        <v>27614064</v>
      </c>
      <c r="N131" s="14">
        <v>126007940</v>
      </c>
      <c r="O131" s="14">
        <v>209727336</v>
      </c>
      <c r="P131" s="14">
        <v>5922306</v>
      </c>
      <c r="Q131" s="14">
        <v>9227725</v>
      </c>
      <c r="R131" s="14">
        <v>7102656</v>
      </c>
      <c r="AB131" s="74">
        <f t="shared" si="138"/>
        <v>0</v>
      </c>
      <c r="AC131" s="75" t="e">
        <f t="shared" ref="AC131:AC194" si="191">(AB131/S131)*100</f>
        <v>#DIV/0!</v>
      </c>
      <c r="AD131" s="75" t="e">
        <f t="shared" si="139"/>
        <v>#DIV/0!</v>
      </c>
      <c r="AE131" s="76" t="e">
        <f>AD131*0.03</f>
        <v>#DIV/0!</v>
      </c>
      <c r="AF131" s="77" t="e">
        <f t="shared" ref="AF131:AF194" si="192">(U131+V131)/(S131-T131-AA131)*100</f>
        <v>#DIV/0!</v>
      </c>
      <c r="AG131" s="77" t="e">
        <f t="shared" ref="AG131:AG194" si="193">(U131+V131+Z131+W131+X131-AA131)/(S131-T131-AA131)*100</f>
        <v>#DIV/0!</v>
      </c>
      <c r="AH131" s="77" t="e">
        <f t="shared" si="140"/>
        <v>#DIV/0!</v>
      </c>
      <c r="AI131" s="78" t="e">
        <f t="shared" si="141"/>
        <v>#DIV/0!</v>
      </c>
      <c r="AJ131" s="79" t="e">
        <f>AI131*0.04</f>
        <v>#DIV/0!</v>
      </c>
      <c r="AN131" s="81">
        <f t="shared" si="178"/>
        <v>0</v>
      </c>
      <c r="AO131" s="82" t="e">
        <f t="shared" si="179"/>
        <v>#DIV/0!</v>
      </c>
      <c r="AP131" s="83" t="e">
        <f t="shared" ref="AP131:AP194" si="194">IF(AO131&lt;10, 100, IF(AO131&lt;20, 80, IF(AO131&lt;30, 60, IF(AO131&lt;50, 40, IF(AO131&gt;=50, 20)))))</f>
        <v>#DIV/0!</v>
      </c>
      <c r="AQ131" s="84" t="e">
        <f>AP131*0.02</f>
        <v>#DIV/0!</v>
      </c>
      <c r="AS131" s="86">
        <f t="shared" si="180"/>
        <v>0.25</v>
      </c>
      <c r="AT131" s="87">
        <f t="shared" ref="AT131:AT194" si="195">AK131*AS131</f>
        <v>0</v>
      </c>
      <c r="AU131" s="87">
        <f t="shared" ref="AU131:AU194" si="196">ROUNDDOWN(AT131,0)</f>
        <v>0</v>
      </c>
      <c r="AV131" s="88" t="e">
        <f t="shared" si="181"/>
        <v>#DIV/0!</v>
      </c>
      <c r="AW131" s="78" t="e">
        <f t="shared" ref="AW131:AW194" si="197">IF(AV131&lt;0, 20, IF(AV131=0, 40, IF(AV131&lt;20, 60, IF(AV131&lt;40, 80, IF(AV131&gt;=40, 100)))))</f>
        <v>#DIV/0!</v>
      </c>
      <c r="AX131" s="89" t="e">
        <f>AW131*0.01</f>
        <v>#DIV/0!</v>
      </c>
      <c r="AZ131" s="93"/>
      <c r="BA131" s="91">
        <f t="shared" si="182"/>
        <v>0</v>
      </c>
      <c r="BB131" s="77" t="e">
        <f t="shared" ref="BB131:BB194" si="198">(AZ131/BA131)*100</f>
        <v>#DIV/0!</v>
      </c>
      <c r="BC131" s="78" t="e">
        <f t="shared" ref="BC131:BC194" si="199">IF(BB131&lt;70, 25, IF(BB131&lt;80, 50, IF(BB131&lt;90, 75, IF(BB131&gt;=90, 100))))</f>
        <v>#DIV/0!</v>
      </c>
      <c r="BD131" s="79" t="e">
        <f>BC131*0.01</f>
        <v>#DIV/0!</v>
      </c>
      <c r="BE131" s="92"/>
      <c r="BF131" s="92"/>
      <c r="BG131" s="114">
        <v>71433</v>
      </c>
      <c r="BH131" s="94">
        <f t="shared" si="183"/>
        <v>0</v>
      </c>
      <c r="BI131" s="77" t="e">
        <f t="shared" si="184"/>
        <v>#DIV/0!</v>
      </c>
      <c r="BJ131" s="95" t="str">
        <f t="shared" ref="BJ131:BJ194" si="200">IF(D131="금융업(보험)", "금융업", IF(D131="금융업(증권)", "금융업", IF(D131="금융업(종금)", "금융업", D131)))</f>
        <v>금속/비금속/화학업</v>
      </c>
      <c r="BK131" s="96" t="e">
        <f t="shared" si="185"/>
        <v>#DIV/0!</v>
      </c>
      <c r="BL131" s="97" t="e">
        <f t="shared" ref="BL131:BL194" si="201">BI131-BK131</f>
        <v>#DIV/0!</v>
      </c>
      <c r="BM131" s="98" t="e">
        <f t="shared" ref="BM131:BM194" si="202">IF(BL131&lt;-2, 100, IF(BL131&lt;0, 80, IF(BL131&lt;2, 60, IF(BL131&lt;10, 40, 20))))</f>
        <v>#DIV/0!</v>
      </c>
      <c r="BN131" s="99" t="e">
        <f t="shared" ref="BN131:BN194" si="203">BM131*0.02</f>
        <v>#DIV/0!</v>
      </c>
      <c r="BP131" s="101">
        <f t="shared" ref="BP131:BP194" si="204">(BO131/O131)*100</f>
        <v>0</v>
      </c>
      <c r="BQ131" s="78">
        <f t="shared" ref="BQ131:BQ194" si="205">IF(BP131=0, 25, IF(BP131&lt;0.1, 40, IF(BP131&lt;0.5, 55, IF(BP131&lt;2, 70, IF(BP131&lt;4, 85, IF(BP131&gt;=4, 100))))))</f>
        <v>25</v>
      </c>
      <c r="BR131" s="79">
        <f>BQ131*0.02</f>
        <v>0.5</v>
      </c>
      <c r="BS131" s="102"/>
      <c r="BT131" s="102"/>
      <c r="BU131" s="103">
        <f t="shared" ref="BU131:BU194" si="206">BS131-BT131</f>
        <v>0</v>
      </c>
      <c r="BV131" s="77">
        <f t="shared" si="186"/>
        <v>0</v>
      </c>
      <c r="BW131" s="96">
        <f t="shared" si="187"/>
        <v>0</v>
      </c>
      <c r="BX131" s="96">
        <f t="shared" ref="BX131:BX194" si="207">(BV131-BW131)^2</f>
        <v>0</v>
      </c>
      <c r="BY131" s="96">
        <f t="shared" si="188"/>
        <v>0</v>
      </c>
      <c r="BZ131" s="96" t="e">
        <f t="shared" ref="BZ131:BZ194" si="208">(1-_xlfn.NORM.DIST(BV131, BW131, BY131, TRUE))*100</f>
        <v>#NUM!</v>
      </c>
      <c r="CA131" s="96" t="e">
        <f t="shared" si="189"/>
        <v>#NUM!</v>
      </c>
      <c r="CB131" s="104" t="e">
        <f t="shared" ref="CB131:CB194" si="209">CA131*0.02</f>
        <v>#NUM!</v>
      </c>
      <c r="CC131" s="105">
        <f>(M131/N131)*100</f>
        <v>21.914542845474656</v>
      </c>
      <c r="CD131" s="106">
        <f>IF((100-(75*(CC131-1)/(200-1)))&gt;100, 100, IF((100-(75*(CC131-1)/(200-1)))&lt;25, 25, (100-(75*(CC131-1)/(200-1)))))</f>
        <v>92.117634605976889</v>
      </c>
      <c r="CE131" s="107">
        <f>CD131*0.015</f>
        <v>1.3817645190896533</v>
      </c>
      <c r="CF131" s="108" t="s">
        <v>2189</v>
      </c>
      <c r="CG131" s="108" t="s">
        <v>2189</v>
      </c>
      <c r="CH131" s="108" t="s">
        <v>2189</v>
      </c>
      <c r="CI131" s="108" t="s">
        <v>2189</v>
      </c>
      <c r="CJ131" s="109"/>
      <c r="CM131" s="111">
        <f t="shared" ref="CM131:CM194" si="210">IF(CL131="A", 100, IF(CL131="B", 85, IF(CL131="C", 70, IF(CL131="D", 55, IF(CL131="E", 40, 25)))))</f>
        <v>25</v>
      </c>
      <c r="CN131" s="107">
        <f>CM131*0.015</f>
        <v>0.375</v>
      </c>
      <c r="CP131" s="88">
        <f t="shared" ref="CP131:CP194" si="211">(CO131/N131)*100</f>
        <v>0</v>
      </c>
      <c r="CQ131" s="78">
        <f t="shared" ref="CQ131:CQ194" si="212">IF(CP131&lt;3, 100, IF(CP131&lt;10, 80, IF(CP131&lt;35, 60, IF(CP131&lt;100, 40, IF(CP131&gt;=100, 20)))))</f>
        <v>100</v>
      </c>
      <c r="CR131" s="79">
        <f>CQ131*0.03</f>
        <v>3</v>
      </c>
      <c r="CS131" s="92"/>
      <c r="CT131" s="77">
        <f t="shared" si="190"/>
        <v>0</v>
      </c>
      <c r="CU131" s="78">
        <f t="shared" ref="CU131:CU194" si="213">IF(CT131&lt;3, 100, IF(CT131&lt;10, 80, IF(CT131&lt;35, 60, IF(CT131&lt;100, 40, 20))))</f>
        <v>100</v>
      </c>
      <c r="CV131" s="79">
        <f>CU131*0.02</f>
        <v>2</v>
      </c>
      <c r="CW131" s="112" t="e">
        <f t="shared" ref="CW131:CW194" si="214">AE131+AJ131+AQ131+AX131+BD131+BN131+BR131+CB131+CE131+CJ131+CN131+CR131+CV131</f>
        <v>#DIV/0!</v>
      </c>
    </row>
    <row r="132" spans="1:101" x14ac:dyDescent="0.35">
      <c r="A132" s="7" t="s">
        <v>870</v>
      </c>
      <c r="B132" s="8" t="s">
        <v>871</v>
      </c>
      <c r="C132" s="21" t="s">
        <v>872</v>
      </c>
      <c r="D132" s="22" t="s">
        <v>31</v>
      </c>
      <c r="E132" s="11" t="s">
        <v>873</v>
      </c>
      <c r="F132" s="11" t="s">
        <v>874</v>
      </c>
      <c r="G132" s="12">
        <v>41089</v>
      </c>
      <c r="H132" s="11" t="s">
        <v>24</v>
      </c>
      <c r="I132" s="11" t="s">
        <v>875</v>
      </c>
      <c r="J132" s="11" t="s">
        <v>876</v>
      </c>
      <c r="K132" s="11" t="s">
        <v>27</v>
      </c>
      <c r="L132" s="23">
        <v>350700455</v>
      </c>
      <c r="M132" s="14">
        <v>111544269</v>
      </c>
      <c r="N132" s="14">
        <v>239156186</v>
      </c>
      <c r="O132" s="14">
        <v>201116170</v>
      </c>
      <c r="P132" s="14">
        <v>13584493</v>
      </c>
      <c r="Q132" s="14">
        <v>10414124</v>
      </c>
      <c r="R132" s="14">
        <v>8295233</v>
      </c>
      <c r="AB132" s="74">
        <f t="shared" ref="AB132:AB195" si="215">SUM(U132,V132,Z132,W132,X132)</f>
        <v>0</v>
      </c>
      <c r="AC132" s="75" t="e">
        <f t="shared" si="191"/>
        <v>#DIV/0!</v>
      </c>
      <c r="AD132" s="75" t="e">
        <f t="shared" ref="AD132:AD195" si="216">100-(75*(AC132-0.1))/(87-0.1)</f>
        <v>#DIV/0!</v>
      </c>
      <c r="AE132" s="76" t="e">
        <f>AD132*0.03</f>
        <v>#DIV/0!</v>
      </c>
      <c r="AF132" s="77" t="e">
        <f t="shared" si="192"/>
        <v>#DIV/0!</v>
      </c>
      <c r="AG132" s="77" t="e">
        <f t="shared" si="193"/>
        <v>#DIV/0!</v>
      </c>
      <c r="AH132" s="77" t="e">
        <f t="shared" ref="AH132:AH195" si="217">AG132-AF132</f>
        <v>#DIV/0!</v>
      </c>
      <c r="AI132" s="78" t="e">
        <f t="shared" ref="AI132:AI195" si="218">IF(AH132&lt;10, 100, IF(AH132&lt;30, 80, IF(AH132&lt;50, 60, IF(AH132&lt;80, 40, IF(AH132&lt;=100, 20)))))</f>
        <v>#DIV/0!</v>
      </c>
      <c r="AJ132" s="79" t="e">
        <f>AI132*0.04</f>
        <v>#DIV/0!</v>
      </c>
      <c r="AM132" s="80"/>
      <c r="AN132" s="81">
        <f t="shared" si="178"/>
        <v>0</v>
      </c>
      <c r="AO132" s="82" t="e">
        <f t="shared" si="179"/>
        <v>#DIV/0!</v>
      </c>
      <c r="AP132" s="83" t="e">
        <f t="shared" si="194"/>
        <v>#DIV/0!</v>
      </c>
      <c r="AQ132" s="84" t="e">
        <f>AP132*0.02</f>
        <v>#DIV/0!</v>
      </c>
      <c r="AS132" s="86">
        <f t="shared" si="180"/>
        <v>0.25</v>
      </c>
      <c r="AT132" s="87">
        <f t="shared" si="195"/>
        <v>0</v>
      </c>
      <c r="AU132" s="87">
        <f t="shared" si="196"/>
        <v>0</v>
      </c>
      <c r="AV132" s="88" t="e">
        <f t="shared" si="181"/>
        <v>#DIV/0!</v>
      </c>
      <c r="AW132" s="78" t="e">
        <f t="shared" si="197"/>
        <v>#DIV/0!</v>
      </c>
      <c r="AX132" s="89" t="e">
        <f>AW132*0.01</f>
        <v>#DIV/0!</v>
      </c>
      <c r="BA132" s="91">
        <f t="shared" si="182"/>
        <v>0</v>
      </c>
      <c r="BB132" s="77" t="e">
        <f t="shared" si="198"/>
        <v>#DIV/0!</v>
      </c>
      <c r="BC132" s="78" t="e">
        <f t="shared" si="199"/>
        <v>#DIV/0!</v>
      </c>
      <c r="BD132" s="79" t="e">
        <f>BC132*0.01</f>
        <v>#DIV/0!</v>
      </c>
      <c r="BE132" s="92"/>
      <c r="BF132" s="92"/>
      <c r="BG132" s="114">
        <v>76196</v>
      </c>
      <c r="BH132" s="94">
        <f t="shared" si="183"/>
        <v>0</v>
      </c>
      <c r="BI132" s="77" t="e">
        <f t="shared" si="184"/>
        <v>#DIV/0!</v>
      </c>
      <c r="BJ132" s="95" t="str">
        <f t="shared" si="200"/>
        <v>식약/섬유/종이업</v>
      </c>
      <c r="BK132" s="96" t="e">
        <f t="shared" si="185"/>
        <v>#DIV/0!</v>
      </c>
      <c r="BL132" s="97" t="e">
        <f t="shared" si="201"/>
        <v>#DIV/0!</v>
      </c>
      <c r="BM132" s="98" t="e">
        <f t="shared" si="202"/>
        <v>#DIV/0!</v>
      </c>
      <c r="BN132" s="99" t="e">
        <f t="shared" si="203"/>
        <v>#DIV/0!</v>
      </c>
      <c r="BP132" s="101">
        <f t="shared" si="204"/>
        <v>0</v>
      </c>
      <c r="BQ132" s="78">
        <f t="shared" si="205"/>
        <v>25</v>
      </c>
      <c r="BR132" s="79">
        <f>BQ132*0.02</f>
        <v>0.5</v>
      </c>
      <c r="BS132" s="102"/>
      <c r="BT132" s="102"/>
      <c r="BU132" s="103">
        <f t="shared" si="206"/>
        <v>0</v>
      </c>
      <c r="BV132" s="77">
        <f t="shared" si="186"/>
        <v>0</v>
      </c>
      <c r="BW132" s="96">
        <f t="shared" si="187"/>
        <v>0</v>
      </c>
      <c r="BX132" s="96">
        <f t="shared" si="207"/>
        <v>0</v>
      </c>
      <c r="BY132" s="96">
        <f t="shared" si="188"/>
        <v>0</v>
      </c>
      <c r="BZ132" s="96" t="e">
        <f t="shared" si="208"/>
        <v>#NUM!</v>
      </c>
      <c r="CA132" s="96" t="e">
        <f t="shared" si="189"/>
        <v>#NUM!</v>
      </c>
      <c r="CB132" s="104" t="e">
        <f t="shared" si="209"/>
        <v>#NUM!</v>
      </c>
      <c r="CC132" s="105">
        <f>(M132/N132)*100</f>
        <v>46.640762618617778</v>
      </c>
      <c r="CD132" s="106">
        <f>IF((100-(75*(CC132-1)/(200-1)))&gt;100, 100, IF((100-(75*(CC132-1)/(200-1)))&lt;25, 25, (100-(75*(CC132-1)/(200-1)))))</f>
        <v>82.798707555797321</v>
      </c>
      <c r="CE132" s="107">
        <f>CD132*0.015</f>
        <v>1.2419806133369597</v>
      </c>
      <c r="CF132" s="108" t="s">
        <v>2189</v>
      </c>
      <c r="CG132" s="108" t="s">
        <v>2189</v>
      </c>
      <c r="CH132" s="108" t="s">
        <v>2189</v>
      </c>
      <c r="CI132" s="108" t="s">
        <v>2189</v>
      </c>
      <c r="CJ132" s="109"/>
      <c r="CM132" s="111">
        <f t="shared" si="210"/>
        <v>25</v>
      </c>
      <c r="CN132" s="107">
        <f>CM132*0.015</f>
        <v>0.375</v>
      </c>
      <c r="CP132" s="88">
        <f t="shared" si="211"/>
        <v>0</v>
      </c>
      <c r="CQ132" s="78">
        <f t="shared" si="212"/>
        <v>100</v>
      </c>
      <c r="CR132" s="79">
        <f>CQ132*0.03</f>
        <v>3</v>
      </c>
      <c r="CS132" s="92"/>
      <c r="CT132" s="77">
        <f t="shared" si="190"/>
        <v>0</v>
      </c>
      <c r="CU132" s="78">
        <f t="shared" si="213"/>
        <v>100</v>
      </c>
      <c r="CV132" s="79">
        <f>CU132*0.02</f>
        <v>2</v>
      </c>
      <c r="CW132" s="112" t="e">
        <f t="shared" si="214"/>
        <v>#DIV/0!</v>
      </c>
    </row>
    <row r="133" spans="1:101" x14ac:dyDescent="0.35">
      <c r="A133" s="7" t="s">
        <v>877</v>
      </c>
      <c r="B133" s="8" t="s">
        <v>878</v>
      </c>
      <c r="C133" s="21" t="s">
        <v>879</v>
      </c>
      <c r="D133" s="10" t="s">
        <v>31</v>
      </c>
      <c r="E133" s="11" t="s">
        <v>873</v>
      </c>
      <c r="F133" s="11" t="s">
        <v>880</v>
      </c>
      <c r="G133" s="12">
        <v>31770</v>
      </c>
      <c r="H133" s="11" t="s">
        <v>24</v>
      </c>
      <c r="I133" s="11" t="s">
        <v>881</v>
      </c>
      <c r="J133" s="11" t="s">
        <v>882</v>
      </c>
      <c r="K133" s="11" t="s">
        <v>27</v>
      </c>
      <c r="L133" s="23">
        <v>343207955</v>
      </c>
      <c r="M133" s="14">
        <v>137261542</v>
      </c>
      <c r="N133" s="14">
        <v>205946413</v>
      </c>
      <c r="O133" s="14">
        <v>369125207</v>
      </c>
      <c r="P133" s="14">
        <v>10201023</v>
      </c>
      <c r="Q133" s="14">
        <v>10693290</v>
      </c>
      <c r="R133" s="14">
        <v>8526794</v>
      </c>
      <c r="AB133" s="74">
        <f t="shared" si="215"/>
        <v>0</v>
      </c>
      <c r="AC133" s="75" t="e">
        <f t="shared" si="191"/>
        <v>#DIV/0!</v>
      </c>
      <c r="AD133" s="75" t="e">
        <f t="shared" si="216"/>
        <v>#DIV/0!</v>
      </c>
      <c r="AE133" s="76" t="e">
        <f>AD133*0.03</f>
        <v>#DIV/0!</v>
      </c>
      <c r="AF133" s="77" t="e">
        <f t="shared" si="192"/>
        <v>#DIV/0!</v>
      </c>
      <c r="AG133" s="77" t="e">
        <f t="shared" si="193"/>
        <v>#DIV/0!</v>
      </c>
      <c r="AH133" s="77" t="e">
        <f t="shared" si="217"/>
        <v>#DIV/0!</v>
      </c>
      <c r="AI133" s="78" t="e">
        <f t="shared" si="218"/>
        <v>#DIV/0!</v>
      </c>
      <c r="AJ133" s="79" t="e">
        <f>AI133*0.04</f>
        <v>#DIV/0!</v>
      </c>
      <c r="AM133" s="80"/>
      <c r="AN133" s="81">
        <f t="shared" si="178"/>
        <v>0</v>
      </c>
      <c r="AO133" s="82" t="e">
        <f t="shared" si="179"/>
        <v>#DIV/0!</v>
      </c>
      <c r="AP133" s="83" t="e">
        <f t="shared" si="194"/>
        <v>#DIV/0!</v>
      </c>
      <c r="AQ133" s="84" t="e">
        <f>AP133*0.02</f>
        <v>#DIV/0!</v>
      </c>
      <c r="AS133" s="86">
        <f t="shared" si="180"/>
        <v>0.25</v>
      </c>
      <c r="AT133" s="87">
        <f t="shared" si="195"/>
        <v>0</v>
      </c>
      <c r="AU133" s="87">
        <f t="shared" si="196"/>
        <v>0</v>
      </c>
      <c r="AV133" s="88" t="e">
        <f t="shared" si="181"/>
        <v>#DIV/0!</v>
      </c>
      <c r="AW133" s="78" t="e">
        <f t="shared" si="197"/>
        <v>#DIV/0!</v>
      </c>
      <c r="AX133" s="89" t="e">
        <f>AW133*0.01</f>
        <v>#DIV/0!</v>
      </c>
      <c r="BA133" s="91">
        <f t="shared" si="182"/>
        <v>0</v>
      </c>
      <c r="BB133" s="77" t="e">
        <f t="shared" si="198"/>
        <v>#DIV/0!</v>
      </c>
      <c r="BC133" s="78" t="e">
        <f t="shared" si="199"/>
        <v>#DIV/0!</v>
      </c>
      <c r="BD133" s="79" t="e">
        <f>BC133*0.01</f>
        <v>#DIV/0!</v>
      </c>
      <c r="BE133" s="92"/>
      <c r="BF133" s="92"/>
      <c r="BG133" s="114">
        <v>311753</v>
      </c>
      <c r="BH133" s="94">
        <f t="shared" si="183"/>
        <v>0</v>
      </c>
      <c r="BI133" s="77" t="e">
        <f t="shared" si="184"/>
        <v>#DIV/0!</v>
      </c>
      <c r="BJ133" s="95" t="str">
        <f t="shared" si="200"/>
        <v>식약/섬유/종이업</v>
      </c>
      <c r="BK133" s="96" t="e">
        <f t="shared" si="185"/>
        <v>#DIV/0!</v>
      </c>
      <c r="BL133" s="97" t="e">
        <f t="shared" si="201"/>
        <v>#DIV/0!</v>
      </c>
      <c r="BM133" s="98" t="e">
        <f t="shared" si="202"/>
        <v>#DIV/0!</v>
      </c>
      <c r="BN133" s="99" t="e">
        <f t="shared" si="203"/>
        <v>#DIV/0!</v>
      </c>
      <c r="BP133" s="101">
        <f t="shared" si="204"/>
        <v>0</v>
      </c>
      <c r="BQ133" s="78">
        <f t="shared" si="205"/>
        <v>25</v>
      </c>
      <c r="BR133" s="79">
        <f>BQ133*0.02</f>
        <v>0.5</v>
      </c>
      <c r="BS133" s="102"/>
      <c r="BT133" s="102"/>
      <c r="BU133" s="103">
        <f t="shared" si="206"/>
        <v>0</v>
      </c>
      <c r="BV133" s="77">
        <f t="shared" si="186"/>
        <v>0</v>
      </c>
      <c r="BW133" s="96">
        <f t="shared" si="187"/>
        <v>0</v>
      </c>
      <c r="BX133" s="96">
        <f t="shared" si="207"/>
        <v>0</v>
      </c>
      <c r="BY133" s="96">
        <f t="shared" si="188"/>
        <v>0</v>
      </c>
      <c r="BZ133" s="96" t="e">
        <f t="shared" si="208"/>
        <v>#NUM!</v>
      </c>
      <c r="CA133" s="96" t="e">
        <f t="shared" si="189"/>
        <v>#NUM!</v>
      </c>
      <c r="CB133" s="104" t="e">
        <f t="shared" si="209"/>
        <v>#NUM!</v>
      </c>
      <c r="CC133" s="105">
        <f>(M133/N133)*100</f>
        <v>66.64915402046843</v>
      </c>
      <c r="CD133" s="106">
        <f>IF((100-(75*(CC133-1)/(200-1)))&gt;100, 100, IF((100-(75*(CC133-1)/(200-1)))&lt;25, 25, (100-(75*(CC133-1)/(200-1)))))</f>
        <v>75.257856524949091</v>
      </c>
      <c r="CE133" s="107">
        <f>CD133*0.015</f>
        <v>1.1288678478742362</v>
      </c>
      <c r="CF133" s="108" t="s">
        <v>2189</v>
      </c>
      <c r="CG133" s="108" t="s">
        <v>2189</v>
      </c>
      <c r="CH133" s="108" t="s">
        <v>2189</v>
      </c>
      <c r="CI133" s="108" t="s">
        <v>2189</v>
      </c>
      <c r="CJ133" s="109"/>
      <c r="CM133" s="111">
        <f t="shared" si="210"/>
        <v>25</v>
      </c>
      <c r="CN133" s="107">
        <f>CM133*0.015</f>
        <v>0.375</v>
      </c>
      <c r="CP133" s="88">
        <f t="shared" si="211"/>
        <v>0</v>
      </c>
      <c r="CQ133" s="78">
        <f t="shared" si="212"/>
        <v>100</v>
      </c>
      <c r="CR133" s="79">
        <f>CQ133*0.03</f>
        <v>3</v>
      </c>
      <c r="CS133" s="92"/>
      <c r="CT133" s="77">
        <f t="shared" si="190"/>
        <v>0</v>
      </c>
      <c r="CU133" s="78">
        <f t="shared" si="213"/>
        <v>100</v>
      </c>
      <c r="CV133" s="79">
        <f>CU133*0.02</f>
        <v>2</v>
      </c>
      <c r="CW133" s="112" t="e">
        <f t="shared" si="214"/>
        <v>#DIV/0!</v>
      </c>
    </row>
    <row r="134" spans="1:101" x14ac:dyDescent="0.35">
      <c r="A134" s="7" t="s">
        <v>883</v>
      </c>
      <c r="B134" s="8" t="s">
        <v>884</v>
      </c>
      <c r="C134" s="21" t="s">
        <v>885</v>
      </c>
      <c r="D134" s="22" t="s">
        <v>75</v>
      </c>
      <c r="E134" s="30" t="s">
        <v>98</v>
      </c>
      <c r="F134" s="30" t="s">
        <v>886</v>
      </c>
      <c r="G134" s="31">
        <v>28913</v>
      </c>
      <c r="H134" s="30" t="s">
        <v>24</v>
      </c>
      <c r="I134" s="30" t="s">
        <v>887</v>
      </c>
      <c r="J134" s="30" t="s">
        <v>888</v>
      </c>
      <c r="K134" s="30" t="s">
        <v>50</v>
      </c>
      <c r="L134" s="32">
        <v>18848886743</v>
      </c>
      <c r="M134" s="33">
        <v>6192868704</v>
      </c>
      <c r="N134" s="33">
        <v>12656018039</v>
      </c>
      <c r="O134" s="33">
        <v>17458293610</v>
      </c>
      <c r="P134" s="33">
        <v>1010874359</v>
      </c>
      <c r="Q134" s="33">
        <v>1064689936</v>
      </c>
      <c r="R134" s="33">
        <v>865838207</v>
      </c>
      <c r="AB134" s="74">
        <f t="shared" si="215"/>
        <v>0</v>
      </c>
      <c r="AC134" s="75" t="e">
        <f t="shared" si="191"/>
        <v>#DIV/0!</v>
      </c>
      <c r="AD134" s="75" t="e">
        <f t="shared" si="216"/>
        <v>#DIV/0!</v>
      </c>
      <c r="AE134" s="76" t="e">
        <f>AD134*0.03</f>
        <v>#DIV/0!</v>
      </c>
      <c r="AF134" s="77" t="e">
        <f t="shared" si="192"/>
        <v>#DIV/0!</v>
      </c>
      <c r="AG134" s="77" t="e">
        <f t="shared" si="193"/>
        <v>#DIV/0!</v>
      </c>
      <c r="AH134" s="77" t="e">
        <f t="shared" si="217"/>
        <v>#DIV/0!</v>
      </c>
      <c r="AI134" s="78" t="e">
        <f t="shared" si="218"/>
        <v>#DIV/0!</v>
      </c>
      <c r="AJ134" s="79" t="e">
        <f>AI134*0.04</f>
        <v>#DIV/0!</v>
      </c>
      <c r="AN134" s="81">
        <f t="shared" si="178"/>
        <v>0</v>
      </c>
      <c r="AO134" s="82" t="e">
        <f t="shared" si="179"/>
        <v>#DIV/0!</v>
      </c>
      <c r="AP134" s="83" t="e">
        <f t="shared" si="194"/>
        <v>#DIV/0!</v>
      </c>
      <c r="AQ134" s="84" t="e">
        <f>AP134*0.02</f>
        <v>#DIV/0!</v>
      </c>
      <c r="AS134" s="86">
        <f t="shared" si="180"/>
        <v>0.5</v>
      </c>
      <c r="AT134" s="87">
        <f t="shared" si="195"/>
        <v>0</v>
      </c>
      <c r="AU134" s="87">
        <f t="shared" si="196"/>
        <v>0</v>
      </c>
      <c r="AV134" s="88" t="e">
        <f t="shared" si="181"/>
        <v>#DIV/0!</v>
      </c>
      <c r="AW134" s="78" t="e">
        <f t="shared" si="197"/>
        <v>#DIV/0!</v>
      </c>
      <c r="AX134" s="89" t="e">
        <f>AW134*0.01</f>
        <v>#DIV/0!</v>
      </c>
      <c r="BA134" s="91">
        <f t="shared" si="182"/>
        <v>0</v>
      </c>
      <c r="BB134" s="77" t="e">
        <f t="shared" si="198"/>
        <v>#DIV/0!</v>
      </c>
      <c r="BC134" s="78" t="e">
        <f t="shared" si="199"/>
        <v>#DIV/0!</v>
      </c>
      <c r="BD134" s="79" t="e">
        <f>BC134*0.01</f>
        <v>#DIV/0!</v>
      </c>
      <c r="BE134" s="92"/>
      <c r="BF134" s="92"/>
      <c r="BG134" s="93">
        <v>0</v>
      </c>
      <c r="BH134" s="94">
        <f t="shared" si="183"/>
        <v>0</v>
      </c>
      <c r="BI134" s="77" t="e">
        <f t="shared" si="184"/>
        <v>#DIV/0!</v>
      </c>
      <c r="BJ134" s="95" t="str">
        <f t="shared" si="200"/>
        <v>금속/비금속/화학업</v>
      </c>
      <c r="BK134" s="96" t="e">
        <f t="shared" si="185"/>
        <v>#DIV/0!</v>
      </c>
      <c r="BL134" s="97" t="e">
        <f t="shared" si="201"/>
        <v>#DIV/0!</v>
      </c>
      <c r="BM134" s="98" t="e">
        <f t="shared" si="202"/>
        <v>#DIV/0!</v>
      </c>
      <c r="BN134" s="99" t="e">
        <f t="shared" si="203"/>
        <v>#DIV/0!</v>
      </c>
      <c r="BP134" s="101">
        <f t="shared" si="204"/>
        <v>0</v>
      </c>
      <c r="BQ134" s="78">
        <f t="shared" si="205"/>
        <v>25</v>
      </c>
      <c r="BR134" s="79">
        <f>BQ134*0.02</f>
        <v>0.5</v>
      </c>
      <c r="BS134" s="102"/>
      <c r="BT134" s="102"/>
      <c r="BU134" s="103">
        <f t="shared" si="206"/>
        <v>0</v>
      </c>
      <c r="BV134" s="77">
        <f t="shared" si="186"/>
        <v>0</v>
      </c>
      <c r="BW134" s="96">
        <f t="shared" si="187"/>
        <v>0</v>
      </c>
      <c r="BX134" s="96">
        <f t="shared" si="207"/>
        <v>0</v>
      </c>
      <c r="BY134" s="96">
        <f t="shared" si="188"/>
        <v>0</v>
      </c>
      <c r="BZ134" s="96" t="e">
        <f t="shared" si="208"/>
        <v>#NUM!</v>
      </c>
      <c r="CA134" s="96" t="e">
        <f t="shared" si="189"/>
        <v>#NUM!</v>
      </c>
      <c r="CB134" s="104" t="e">
        <f t="shared" si="209"/>
        <v>#NUM!</v>
      </c>
      <c r="CC134" s="105">
        <f>(M134/N134)*100</f>
        <v>48.93220509734136</v>
      </c>
      <c r="CD134" s="106">
        <f>IF((100-(75*(CC134-1)/(200-1)))&gt;100, 100, IF((100-(75*(CC134-1)/(200-1)))&lt;25, 25, (100-(75*(CC134-1)/(200-1)))))</f>
        <v>81.93509858140402</v>
      </c>
      <c r="CE134" s="107">
        <f>CD134*0.015</f>
        <v>1.2290264787210603</v>
      </c>
      <c r="CF134" s="108" t="s">
        <v>2189</v>
      </c>
      <c r="CG134" s="108" t="s">
        <v>2189</v>
      </c>
      <c r="CH134" s="108" t="s">
        <v>2189</v>
      </c>
      <c r="CI134" s="108" t="s">
        <v>2189</v>
      </c>
      <c r="CJ134" s="109"/>
      <c r="CM134" s="111">
        <f t="shared" si="210"/>
        <v>25</v>
      </c>
      <c r="CN134" s="107">
        <f>CM134*0.015</f>
        <v>0.375</v>
      </c>
      <c r="CP134" s="88">
        <f t="shared" si="211"/>
        <v>0</v>
      </c>
      <c r="CQ134" s="78">
        <f t="shared" si="212"/>
        <v>100</v>
      </c>
      <c r="CR134" s="79">
        <f>CQ134*0.03</f>
        <v>3</v>
      </c>
      <c r="CS134" s="92"/>
      <c r="CT134" s="77">
        <f t="shared" si="190"/>
        <v>0</v>
      </c>
      <c r="CU134" s="78">
        <f t="shared" si="213"/>
        <v>100</v>
      </c>
      <c r="CV134" s="79">
        <f>CU134*0.02</f>
        <v>2</v>
      </c>
      <c r="CW134" s="112" t="e">
        <f t="shared" si="214"/>
        <v>#DIV/0!</v>
      </c>
    </row>
    <row r="135" spans="1:101" x14ac:dyDescent="0.35">
      <c r="A135" s="7" t="s">
        <v>889</v>
      </c>
      <c r="B135" s="28" t="s">
        <v>890</v>
      </c>
      <c r="C135" s="34" t="s">
        <v>891</v>
      </c>
      <c r="D135" s="35" t="s">
        <v>21</v>
      </c>
      <c r="E135" s="36" t="s">
        <v>303</v>
      </c>
      <c r="F135" s="36" t="s">
        <v>892</v>
      </c>
      <c r="G135" s="37">
        <v>41991</v>
      </c>
      <c r="H135" s="36" t="s">
        <v>24</v>
      </c>
      <c r="I135" s="36" t="s">
        <v>893</v>
      </c>
      <c r="J135" s="36" t="s">
        <v>894</v>
      </c>
      <c r="K135" s="36" t="s">
        <v>27</v>
      </c>
      <c r="L135" s="38">
        <v>39636329822</v>
      </c>
      <c r="M135" s="38">
        <v>15712704458</v>
      </c>
      <c r="N135" s="38">
        <v>23923625364</v>
      </c>
      <c r="O135" s="38">
        <v>26406560657</v>
      </c>
      <c r="P135" s="38">
        <v>939411977</v>
      </c>
      <c r="Q135" s="38">
        <v>1886089047</v>
      </c>
      <c r="R135" s="38">
        <v>1461807709</v>
      </c>
      <c r="AB135" s="74">
        <f t="shared" si="215"/>
        <v>0</v>
      </c>
      <c r="AC135" s="75" t="e">
        <f t="shared" si="191"/>
        <v>#DIV/0!</v>
      </c>
      <c r="AD135" s="75" t="e">
        <f t="shared" si="216"/>
        <v>#DIV/0!</v>
      </c>
      <c r="AE135" s="76" t="e">
        <f>AD135*0.03</f>
        <v>#DIV/0!</v>
      </c>
      <c r="AF135" s="77" t="e">
        <f t="shared" si="192"/>
        <v>#DIV/0!</v>
      </c>
      <c r="AG135" s="77" t="e">
        <f t="shared" si="193"/>
        <v>#DIV/0!</v>
      </c>
      <c r="AH135" s="77" t="e">
        <f t="shared" si="217"/>
        <v>#DIV/0!</v>
      </c>
      <c r="AI135" s="78" t="e">
        <f t="shared" si="218"/>
        <v>#DIV/0!</v>
      </c>
      <c r="AJ135" s="79" t="e">
        <f>AI135*0.04</f>
        <v>#DIV/0!</v>
      </c>
      <c r="AN135" s="81">
        <f t="shared" si="178"/>
        <v>0</v>
      </c>
      <c r="AO135" s="82" t="e">
        <f t="shared" si="179"/>
        <v>#DIV/0!</v>
      </c>
      <c r="AP135" s="83" t="e">
        <f t="shared" si="194"/>
        <v>#DIV/0!</v>
      </c>
      <c r="AQ135" s="84" t="e">
        <f>AP135*0.02</f>
        <v>#DIV/0!</v>
      </c>
      <c r="AS135" s="86">
        <f t="shared" si="180"/>
        <v>0.5</v>
      </c>
      <c r="AT135" s="87">
        <f t="shared" si="195"/>
        <v>0</v>
      </c>
      <c r="AU135" s="87">
        <f t="shared" si="196"/>
        <v>0</v>
      </c>
      <c r="AV135" s="88" t="e">
        <f t="shared" si="181"/>
        <v>#DIV/0!</v>
      </c>
      <c r="AW135" s="78" t="e">
        <f t="shared" si="197"/>
        <v>#DIV/0!</v>
      </c>
      <c r="AX135" s="89" t="e">
        <f>AW135*0.01</f>
        <v>#DIV/0!</v>
      </c>
      <c r="BA135" s="91">
        <f t="shared" si="182"/>
        <v>0</v>
      </c>
      <c r="BB135" s="77" t="e">
        <f t="shared" si="198"/>
        <v>#DIV/0!</v>
      </c>
      <c r="BC135" s="78" t="e">
        <f t="shared" si="199"/>
        <v>#DIV/0!</v>
      </c>
      <c r="BD135" s="79" t="e">
        <f>BC135*0.01</f>
        <v>#DIV/0!</v>
      </c>
      <c r="BE135" s="92"/>
      <c r="BF135" s="92"/>
      <c r="BG135" s="93">
        <v>0</v>
      </c>
      <c r="BH135" s="94">
        <f t="shared" si="183"/>
        <v>0</v>
      </c>
      <c r="BI135" s="77" t="e">
        <f t="shared" si="184"/>
        <v>#DIV/0!</v>
      </c>
      <c r="BJ135" s="95" t="str">
        <f t="shared" si="200"/>
        <v>비제조/서비스업</v>
      </c>
      <c r="BK135" s="96" t="e">
        <f t="shared" si="185"/>
        <v>#DIV/0!</v>
      </c>
      <c r="BL135" s="97" t="e">
        <f t="shared" si="201"/>
        <v>#DIV/0!</v>
      </c>
      <c r="BM135" s="98" t="e">
        <f t="shared" si="202"/>
        <v>#DIV/0!</v>
      </c>
      <c r="BN135" s="99" t="e">
        <f t="shared" si="203"/>
        <v>#DIV/0!</v>
      </c>
      <c r="BP135" s="101">
        <f t="shared" si="204"/>
        <v>0</v>
      </c>
      <c r="BQ135" s="78">
        <f t="shared" si="205"/>
        <v>25</v>
      </c>
      <c r="BR135" s="79">
        <f>BQ135*0.02</f>
        <v>0.5</v>
      </c>
      <c r="BS135" s="102"/>
      <c r="BT135" s="102"/>
      <c r="BU135" s="103">
        <f t="shared" si="206"/>
        <v>0</v>
      </c>
      <c r="BV135" s="77">
        <f t="shared" si="186"/>
        <v>0</v>
      </c>
      <c r="BW135" s="96">
        <f t="shared" si="187"/>
        <v>0</v>
      </c>
      <c r="BX135" s="96">
        <f t="shared" si="207"/>
        <v>0</v>
      </c>
      <c r="BY135" s="96">
        <f t="shared" si="188"/>
        <v>0</v>
      </c>
      <c r="BZ135" s="96" t="e">
        <f t="shared" si="208"/>
        <v>#NUM!</v>
      </c>
      <c r="CA135" s="96" t="e">
        <f t="shared" si="189"/>
        <v>#NUM!</v>
      </c>
      <c r="CB135" s="104" t="e">
        <f t="shared" si="209"/>
        <v>#NUM!</v>
      </c>
      <c r="CC135" s="105">
        <f>(M135/N135)*100</f>
        <v>65.678609403591054</v>
      </c>
      <c r="CD135" s="106">
        <f>IF((100-(75*(CC135-1)/(200-1)))&gt;100, 100, IF((100-(75*(CC135-1)/(200-1)))&lt;25, 25, (100-(75*(CC135-1)/(200-1)))))</f>
        <v>75.623639672013411</v>
      </c>
      <c r="CE135" s="107">
        <f>CD135*0.015</f>
        <v>1.1343545950802012</v>
      </c>
      <c r="CF135" s="108" t="s">
        <v>2189</v>
      </c>
      <c r="CG135" s="108" t="s">
        <v>2189</v>
      </c>
      <c r="CH135" s="108" t="s">
        <v>2189</v>
      </c>
      <c r="CI135" s="108" t="s">
        <v>2189</v>
      </c>
      <c r="CJ135" s="109"/>
      <c r="CM135" s="111">
        <f t="shared" si="210"/>
        <v>25</v>
      </c>
      <c r="CN135" s="107">
        <f>CM135*0.015</f>
        <v>0.375</v>
      </c>
      <c r="CP135" s="88">
        <f t="shared" si="211"/>
        <v>0</v>
      </c>
      <c r="CQ135" s="78">
        <f t="shared" si="212"/>
        <v>100</v>
      </c>
      <c r="CR135" s="79">
        <f>CQ135*0.03</f>
        <v>3</v>
      </c>
      <c r="CS135" s="92"/>
      <c r="CT135" s="77">
        <f t="shared" si="190"/>
        <v>0</v>
      </c>
      <c r="CU135" s="78">
        <f t="shared" si="213"/>
        <v>100</v>
      </c>
      <c r="CV135" s="79">
        <f>CU135*0.02</f>
        <v>2</v>
      </c>
      <c r="CW135" s="112" t="e">
        <f t="shared" si="214"/>
        <v>#DIV/0!</v>
      </c>
    </row>
    <row r="136" spans="1:101" x14ac:dyDescent="0.35">
      <c r="A136" s="7" t="s">
        <v>895</v>
      </c>
      <c r="B136" s="28" t="s">
        <v>896</v>
      </c>
      <c r="C136" s="21" t="s">
        <v>897</v>
      </c>
      <c r="D136" s="25" t="s">
        <v>67</v>
      </c>
      <c r="E136" s="39" t="s">
        <v>68</v>
      </c>
      <c r="F136" s="39" t="s">
        <v>898</v>
      </c>
      <c r="G136" s="40">
        <v>40310</v>
      </c>
      <c r="H136" s="39" t="s">
        <v>24</v>
      </c>
      <c r="I136" s="39" t="s">
        <v>899</v>
      </c>
      <c r="J136" s="39" t="s">
        <v>900</v>
      </c>
      <c r="K136" s="39" t="s">
        <v>27</v>
      </c>
      <c r="L136" s="41">
        <v>281498132000</v>
      </c>
      <c r="M136" s="42">
        <v>263811626000</v>
      </c>
      <c r="N136" s="42">
        <v>17686506000</v>
      </c>
      <c r="O136" s="42">
        <v>34485080000</v>
      </c>
      <c r="P136" s="42">
        <v>214616000</v>
      </c>
      <c r="Q136" s="42">
        <v>784965000</v>
      </c>
      <c r="R136" s="42">
        <v>616696000</v>
      </c>
      <c r="AB136" s="74">
        <f t="shared" si="215"/>
        <v>0</v>
      </c>
      <c r="AC136" s="75" t="e">
        <f t="shared" si="191"/>
        <v>#DIV/0!</v>
      </c>
      <c r="AD136" s="75" t="e">
        <f t="shared" si="216"/>
        <v>#DIV/0!</v>
      </c>
      <c r="AE136" s="119" t="e">
        <f>AD136*0.04</f>
        <v>#DIV/0!</v>
      </c>
      <c r="AF136" s="77" t="e">
        <f t="shared" si="192"/>
        <v>#DIV/0!</v>
      </c>
      <c r="AG136" s="77" t="e">
        <f t="shared" si="193"/>
        <v>#DIV/0!</v>
      </c>
      <c r="AH136" s="77" t="e">
        <f t="shared" si="217"/>
        <v>#DIV/0!</v>
      </c>
      <c r="AI136" s="78" t="e">
        <f t="shared" si="218"/>
        <v>#DIV/0!</v>
      </c>
      <c r="AJ136" s="120" t="e">
        <f>AI136*0.05</f>
        <v>#DIV/0!</v>
      </c>
      <c r="AN136" s="81">
        <f t="shared" si="178"/>
        <v>0</v>
      </c>
      <c r="AO136" s="82" t="e">
        <f t="shared" si="179"/>
        <v>#DIV/0!</v>
      </c>
      <c r="AP136" s="83" t="e">
        <f t="shared" si="194"/>
        <v>#DIV/0!</v>
      </c>
      <c r="AQ136" s="121" t="e">
        <f>AP136*0.03</f>
        <v>#DIV/0!</v>
      </c>
      <c r="AS136" s="86">
        <f t="shared" si="180"/>
        <v>0.5</v>
      </c>
      <c r="AT136" s="87">
        <f t="shared" si="195"/>
        <v>0</v>
      </c>
      <c r="AU136" s="87">
        <f t="shared" si="196"/>
        <v>0</v>
      </c>
      <c r="AV136" s="88" t="e">
        <f t="shared" si="181"/>
        <v>#DIV/0!</v>
      </c>
      <c r="AW136" s="78" t="e">
        <f t="shared" si="197"/>
        <v>#DIV/0!</v>
      </c>
      <c r="AX136" s="122" t="e">
        <f>AW136*0.02</f>
        <v>#DIV/0!</v>
      </c>
      <c r="BA136" s="91">
        <f t="shared" si="182"/>
        <v>0</v>
      </c>
      <c r="BB136" s="77" t="e">
        <f t="shared" si="198"/>
        <v>#DIV/0!</v>
      </c>
      <c r="BC136" s="78" t="e">
        <f t="shared" si="199"/>
        <v>#DIV/0!</v>
      </c>
      <c r="BD136" s="120" t="e">
        <f>BC136*0.02</f>
        <v>#DIV/0!</v>
      </c>
      <c r="BE136" s="92"/>
      <c r="BF136" s="92"/>
      <c r="BG136" s="93">
        <v>0</v>
      </c>
      <c r="BH136" s="94">
        <f t="shared" si="183"/>
        <v>0</v>
      </c>
      <c r="BI136" s="77" t="e">
        <f t="shared" si="184"/>
        <v>#DIV/0!</v>
      </c>
      <c r="BJ136" s="95" t="str">
        <f t="shared" si="200"/>
        <v>금융업</v>
      </c>
      <c r="BK136" s="96" t="e">
        <f t="shared" si="185"/>
        <v>#DIV/0!</v>
      </c>
      <c r="BL136" s="97" t="e">
        <f t="shared" si="201"/>
        <v>#DIV/0!</v>
      </c>
      <c r="BM136" s="98" t="e">
        <f t="shared" si="202"/>
        <v>#DIV/0!</v>
      </c>
      <c r="BN136" s="99" t="e">
        <f t="shared" si="203"/>
        <v>#DIV/0!</v>
      </c>
      <c r="BP136" s="101">
        <f t="shared" si="204"/>
        <v>0</v>
      </c>
      <c r="BQ136" s="78">
        <f t="shared" si="205"/>
        <v>25</v>
      </c>
      <c r="BR136" s="120">
        <f>BQ136*0.01</f>
        <v>0.25</v>
      </c>
      <c r="BS136" s="102"/>
      <c r="BT136" s="102"/>
      <c r="BU136" s="103">
        <f t="shared" si="206"/>
        <v>0</v>
      </c>
      <c r="BV136" s="77">
        <f t="shared" si="186"/>
        <v>0</v>
      </c>
      <c r="BW136" s="96">
        <f t="shared" si="187"/>
        <v>0</v>
      </c>
      <c r="BX136" s="96">
        <f t="shared" si="207"/>
        <v>0</v>
      </c>
      <c r="BY136" s="96">
        <f t="shared" si="188"/>
        <v>0</v>
      </c>
      <c r="BZ136" s="96" t="e">
        <f t="shared" si="208"/>
        <v>#NUM!</v>
      </c>
      <c r="CA136" s="96" t="e">
        <f t="shared" si="189"/>
        <v>#NUM!</v>
      </c>
      <c r="CB136" s="104" t="e">
        <f t="shared" si="209"/>
        <v>#NUM!</v>
      </c>
      <c r="CC136" s="123" t="s">
        <v>2200</v>
      </c>
      <c r="CD136" s="124" t="s">
        <v>2200</v>
      </c>
      <c r="CE136" s="125"/>
      <c r="CF136" s="126" t="s">
        <v>2201</v>
      </c>
      <c r="CG136" s="126" t="s">
        <v>2201</v>
      </c>
      <c r="CH136" s="127">
        <v>0.02</v>
      </c>
      <c r="CI136" s="128">
        <f>IF((100-(75*(CH136-10)/40))&gt;100, 100, IF((100-(75*(CH136-10)/40))&lt;25, 25, (100-(75*(CH136-10)/40))))</f>
        <v>100</v>
      </c>
      <c r="CJ136" s="129">
        <f>CI136*0.04</f>
        <v>4</v>
      </c>
      <c r="CM136" s="111">
        <f t="shared" si="210"/>
        <v>25</v>
      </c>
      <c r="CN136" s="130">
        <f>CM136*0.03</f>
        <v>0.75</v>
      </c>
      <c r="CP136" s="88">
        <f t="shared" si="211"/>
        <v>0</v>
      </c>
      <c r="CQ136" s="78">
        <f t="shared" si="212"/>
        <v>100</v>
      </c>
      <c r="CR136" s="120">
        <f>CQ136*0.04</f>
        <v>4</v>
      </c>
      <c r="CS136" s="92"/>
      <c r="CT136" s="77">
        <f t="shared" si="190"/>
        <v>0</v>
      </c>
      <c r="CU136" s="78">
        <f t="shared" si="213"/>
        <v>100</v>
      </c>
      <c r="CV136" s="131">
        <f>CU136*0.03</f>
        <v>3</v>
      </c>
      <c r="CW136" s="112" t="e">
        <f t="shared" si="214"/>
        <v>#DIV/0!</v>
      </c>
    </row>
    <row r="137" spans="1:101" x14ac:dyDescent="0.35">
      <c r="A137" s="7" t="s">
        <v>901</v>
      </c>
      <c r="B137" s="8" t="s">
        <v>902</v>
      </c>
      <c r="C137" s="21" t="s">
        <v>903</v>
      </c>
      <c r="D137" s="10" t="s">
        <v>21</v>
      </c>
      <c r="E137" s="11" t="s">
        <v>60</v>
      </c>
      <c r="F137" s="11" t="s">
        <v>904</v>
      </c>
      <c r="G137" s="12">
        <v>41957</v>
      </c>
      <c r="H137" s="11" t="s">
        <v>24</v>
      </c>
      <c r="I137" s="11" t="s">
        <v>905</v>
      </c>
      <c r="J137" s="11" t="s">
        <v>906</v>
      </c>
      <c r="K137" s="11" t="s">
        <v>27</v>
      </c>
      <c r="L137" s="23">
        <v>7628899434</v>
      </c>
      <c r="M137" s="14">
        <v>1614217740</v>
      </c>
      <c r="N137" s="14">
        <v>6014681694</v>
      </c>
      <c r="O137" s="14">
        <v>5174554118</v>
      </c>
      <c r="P137" s="14">
        <v>296153499</v>
      </c>
      <c r="Q137" s="14">
        <v>482313799</v>
      </c>
      <c r="R137" s="14">
        <v>530145587</v>
      </c>
      <c r="AB137" s="74">
        <f t="shared" si="215"/>
        <v>0</v>
      </c>
      <c r="AC137" s="75" t="e">
        <f t="shared" si="191"/>
        <v>#DIV/0!</v>
      </c>
      <c r="AD137" s="75" t="e">
        <f t="shared" si="216"/>
        <v>#DIV/0!</v>
      </c>
      <c r="AE137" s="76" t="e">
        <f>AD137*0.03</f>
        <v>#DIV/0!</v>
      </c>
      <c r="AF137" s="77" t="e">
        <f t="shared" si="192"/>
        <v>#DIV/0!</v>
      </c>
      <c r="AG137" s="77" t="e">
        <f t="shared" si="193"/>
        <v>#DIV/0!</v>
      </c>
      <c r="AH137" s="77" t="e">
        <f t="shared" si="217"/>
        <v>#DIV/0!</v>
      </c>
      <c r="AI137" s="78" t="e">
        <f t="shared" si="218"/>
        <v>#DIV/0!</v>
      </c>
      <c r="AJ137" s="79" t="e">
        <f>AI137*0.04</f>
        <v>#DIV/0!</v>
      </c>
      <c r="AN137" s="81">
        <f t="shared" si="178"/>
        <v>0</v>
      </c>
      <c r="AO137" s="82" t="e">
        <f t="shared" si="179"/>
        <v>#DIV/0!</v>
      </c>
      <c r="AP137" s="83" t="e">
        <f t="shared" si="194"/>
        <v>#DIV/0!</v>
      </c>
      <c r="AQ137" s="84" t="e">
        <f>AP137*0.02</f>
        <v>#DIV/0!</v>
      </c>
      <c r="AS137" s="86">
        <f t="shared" si="180"/>
        <v>0.5</v>
      </c>
      <c r="AT137" s="87">
        <f t="shared" si="195"/>
        <v>0</v>
      </c>
      <c r="AU137" s="87">
        <f t="shared" si="196"/>
        <v>0</v>
      </c>
      <c r="AV137" s="88" t="e">
        <f t="shared" si="181"/>
        <v>#DIV/0!</v>
      </c>
      <c r="AW137" s="78" t="e">
        <f t="shared" si="197"/>
        <v>#DIV/0!</v>
      </c>
      <c r="AX137" s="89" t="e">
        <f>AW137*0.01</f>
        <v>#DIV/0!</v>
      </c>
      <c r="BA137" s="91">
        <f t="shared" si="182"/>
        <v>0</v>
      </c>
      <c r="BB137" s="77" t="e">
        <f t="shared" si="198"/>
        <v>#DIV/0!</v>
      </c>
      <c r="BC137" s="78" t="e">
        <f t="shared" si="199"/>
        <v>#DIV/0!</v>
      </c>
      <c r="BD137" s="79" t="e">
        <f>BC137*0.01</f>
        <v>#DIV/0!</v>
      </c>
      <c r="BE137" s="92"/>
      <c r="BF137" s="92"/>
      <c r="BG137" s="114">
        <v>2510026</v>
      </c>
      <c r="BH137" s="94">
        <f t="shared" si="183"/>
        <v>0</v>
      </c>
      <c r="BI137" s="77" t="e">
        <f t="shared" si="184"/>
        <v>#DIV/0!</v>
      </c>
      <c r="BJ137" s="95" t="str">
        <f t="shared" si="200"/>
        <v>비제조/서비스업</v>
      </c>
      <c r="BK137" s="96" t="e">
        <f t="shared" si="185"/>
        <v>#DIV/0!</v>
      </c>
      <c r="BL137" s="97" t="e">
        <f t="shared" si="201"/>
        <v>#DIV/0!</v>
      </c>
      <c r="BM137" s="98" t="e">
        <f t="shared" si="202"/>
        <v>#DIV/0!</v>
      </c>
      <c r="BN137" s="99" t="e">
        <f t="shared" si="203"/>
        <v>#DIV/0!</v>
      </c>
      <c r="BP137" s="101">
        <f t="shared" si="204"/>
        <v>0</v>
      </c>
      <c r="BQ137" s="78">
        <f t="shared" si="205"/>
        <v>25</v>
      </c>
      <c r="BR137" s="79">
        <f>BQ137*0.02</f>
        <v>0.5</v>
      </c>
      <c r="BS137" s="102"/>
      <c r="BT137" s="102"/>
      <c r="BU137" s="103">
        <f t="shared" si="206"/>
        <v>0</v>
      </c>
      <c r="BV137" s="77">
        <f t="shared" si="186"/>
        <v>0</v>
      </c>
      <c r="BW137" s="96">
        <f t="shared" si="187"/>
        <v>0</v>
      </c>
      <c r="BX137" s="96">
        <f t="shared" si="207"/>
        <v>0</v>
      </c>
      <c r="BY137" s="96">
        <f t="shared" si="188"/>
        <v>0</v>
      </c>
      <c r="BZ137" s="96" t="e">
        <f t="shared" si="208"/>
        <v>#NUM!</v>
      </c>
      <c r="CA137" s="96" t="e">
        <f t="shared" si="189"/>
        <v>#NUM!</v>
      </c>
      <c r="CB137" s="104" t="e">
        <f t="shared" si="209"/>
        <v>#NUM!</v>
      </c>
      <c r="CC137" s="105">
        <f>(M137/N137)*100</f>
        <v>26.837957885789326</v>
      </c>
      <c r="CD137" s="106">
        <f>IF((100-(75*(CC137-1)/(200-1)))&gt;100, 100, IF((100-(75*(CC137-1)/(200-1)))&lt;25, 25, (100-(75*(CC137-1)/(200-1)))))</f>
        <v>90.262076173697494</v>
      </c>
      <c r="CE137" s="107">
        <f>CD137*0.015</f>
        <v>1.3539311426054623</v>
      </c>
      <c r="CF137" s="108" t="s">
        <v>2189</v>
      </c>
      <c r="CG137" s="108" t="s">
        <v>2189</v>
      </c>
      <c r="CH137" s="108" t="s">
        <v>2189</v>
      </c>
      <c r="CI137" s="108" t="s">
        <v>2189</v>
      </c>
      <c r="CJ137" s="109"/>
      <c r="CM137" s="111">
        <f t="shared" si="210"/>
        <v>25</v>
      </c>
      <c r="CN137" s="107">
        <f>CM137*0.015</f>
        <v>0.375</v>
      </c>
      <c r="CP137" s="88">
        <f t="shared" si="211"/>
        <v>0</v>
      </c>
      <c r="CQ137" s="78">
        <f t="shared" si="212"/>
        <v>100</v>
      </c>
      <c r="CR137" s="79">
        <f>CQ137*0.03</f>
        <v>3</v>
      </c>
      <c r="CS137" s="92"/>
      <c r="CT137" s="77">
        <f t="shared" si="190"/>
        <v>0</v>
      </c>
      <c r="CU137" s="78">
        <f t="shared" si="213"/>
        <v>100</v>
      </c>
      <c r="CV137" s="79">
        <f>CU137*0.02</f>
        <v>2</v>
      </c>
      <c r="CW137" s="112" t="e">
        <f t="shared" si="214"/>
        <v>#DIV/0!</v>
      </c>
    </row>
    <row r="138" spans="1:101" x14ac:dyDescent="0.35">
      <c r="A138" s="7" t="s">
        <v>907</v>
      </c>
      <c r="B138" s="8" t="s">
        <v>908</v>
      </c>
      <c r="C138" s="21" t="s">
        <v>909</v>
      </c>
      <c r="D138" s="22" t="s">
        <v>141</v>
      </c>
      <c r="E138" s="11" t="s">
        <v>646</v>
      </c>
      <c r="F138" s="11" t="s">
        <v>910</v>
      </c>
      <c r="G138" s="12">
        <v>35423</v>
      </c>
      <c r="H138" s="11" t="s">
        <v>24</v>
      </c>
      <c r="I138" s="11" t="s">
        <v>911</v>
      </c>
      <c r="J138" s="11" t="s">
        <v>912</v>
      </c>
      <c r="K138" s="11" t="s">
        <v>27</v>
      </c>
      <c r="L138" s="23">
        <v>5165940385</v>
      </c>
      <c r="M138" s="14">
        <v>3460358420</v>
      </c>
      <c r="N138" s="14">
        <v>1705581965</v>
      </c>
      <c r="O138" s="14">
        <v>6673315540</v>
      </c>
      <c r="P138" s="14">
        <v>504880672</v>
      </c>
      <c r="Q138" s="14">
        <v>403831051</v>
      </c>
      <c r="R138" s="14">
        <v>307787439</v>
      </c>
      <c r="AB138" s="74">
        <f t="shared" si="215"/>
        <v>0</v>
      </c>
      <c r="AC138" s="75" t="e">
        <f t="shared" si="191"/>
        <v>#DIV/0!</v>
      </c>
      <c r="AD138" s="75" t="e">
        <f t="shared" si="216"/>
        <v>#DIV/0!</v>
      </c>
      <c r="AE138" s="76" t="e">
        <f>AD138*0.03</f>
        <v>#DIV/0!</v>
      </c>
      <c r="AF138" s="77" t="e">
        <f t="shared" si="192"/>
        <v>#DIV/0!</v>
      </c>
      <c r="AG138" s="77" t="e">
        <f t="shared" si="193"/>
        <v>#DIV/0!</v>
      </c>
      <c r="AH138" s="77" t="e">
        <f t="shared" si="217"/>
        <v>#DIV/0!</v>
      </c>
      <c r="AI138" s="78" t="e">
        <f t="shared" si="218"/>
        <v>#DIV/0!</v>
      </c>
      <c r="AJ138" s="79" t="e">
        <f>AI138*0.04</f>
        <v>#DIV/0!</v>
      </c>
      <c r="AN138" s="81">
        <f t="shared" si="178"/>
        <v>0</v>
      </c>
      <c r="AO138" s="82" t="e">
        <f t="shared" si="179"/>
        <v>#DIV/0!</v>
      </c>
      <c r="AP138" s="83" t="e">
        <f t="shared" si="194"/>
        <v>#DIV/0!</v>
      </c>
      <c r="AQ138" s="84" t="e">
        <f>AP138*0.02</f>
        <v>#DIV/0!</v>
      </c>
      <c r="AS138" s="86">
        <f t="shared" si="180"/>
        <v>0.5</v>
      </c>
      <c r="AT138" s="87">
        <f t="shared" si="195"/>
        <v>0</v>
      </c>
      <c r="AU138" s="87">
        <f t="shared" si="196"/>
        <v>0</v>
      </c>
      <c r="AV138" s="88" t="e">
        <f t="shared" si="181"/>
        <v>#DIV/0!</v>
      </c>
      <c r="AW138" s="78" t="e">
        <f t="shared" si="197"/>
        <v>#DIV/0!</v>
      </c>
      <c r="AX138" s="89" t="e">
        <f>AW138*0.01</f>
        <v>#DIV/0!</v>
      </c>
      <c r="BA138" s="91">
        <f t="shared" si="182"/>
        <v>0</v>
      </c>
      <c r="BB138" s="77" t="e">
        <f t="shared" si="198"/>
        <v>#DIV/0!</v>
      </c>
      <c r="BC138" s="78" t="e">
        <f t="shared" si="199"/>
        <v>#DIV/0!</v>
      </c>
      <c r="BD138" s="79" t="e">
        <f>BC138*0.01</f>
        <v>#DIV/0!</v>
      </c>
      <c r="BE138" s="92"/>
      <c r="BF138" s="92"/>
      <c r="BG138" s="93">
        <v>0</v>
      </c>
      <c r="BH138" s="94">
        <f t="shared" si="183"/>
        <v>0</v>
      </c>
      <c r="BI138" s="77" t="e">
        <f t="shared" si="184"/>
        <v>#DIV/0!</v>
      </c>
      <c r="BJ138" s="95" t="str">
        <f t="shared" si="200"/>
        <v>전기전자/기계업</v>
      </c>
      <c r="BK138" s="96" t="e">
        <f t="shared" si="185"/>
        <v>#DIV/0!</v>
      </c>
      <c r="BL138" s="97" t="e">
        <f t="shared" si="201"/>
        <v>#DIV/0!</v>
      </c>
      <c r="BM138" s="98" t="e">
        <f t="shared" si="202"/>
        <v>#DIV/0!</v>
      </c>
      <c r="BN138" s="99" t="e">
        <f t="shared" si="203"/>
        <v>#DIV/0!</v>
      </c>
      <c r="BP138" s="101">
        <f t="shared" si="204"/>
        <v>0</v>
      </c>
      <c r="BQ138" s="78">
        <f t="shared" si="205"/>
        <v>25</v>
      </c>
      <c r="BR138" s="79">
        <f>BQ138*0.02</f>
        <v>0.5</v>
      </c>
      <c r="BS138" s="102"/>
      <c r="BT138" s="102"/>
      <c r="BU138" s="103">
        <f t="shared" si="206"/>
        <v>0</v>
      </c>
      <c r="BV138" s="77">
        <f t="shared" si="186"/>
        <v>0</v>
      </c>
      <c r="BW138" s="96">
        <f t="shared" si="187"/>
        <v>0</v>
      </c>
      <c r="BX138" s="96">
        <f t="shared" si="207"/>
        <v>0</v>
      </c>
      <c r="BY138" s="96">
        <f t="shared" si="188"/>
        <v>0</v>
      </c>
      <c r="BZ138" s="96" t="e">
        <f t="shared" si="208"/>
        <v>#NUM!</v>
      </c>
      <c r="CA138" s="96" t="e">
        <f t="shared" si="189"/>
        <v>#NUM!</v>
      </c>
      <c r="CB138" s="104" t="e">
        <f t="shared" si="209"/>
        <v>#NUM!</v>
      </c>
      <c r="CC138" s="105">
        <f>(M138/N138)*100</f>
        <v>202.88432282994972</v>
      </c>
      <c r="CD138" s="106">
        <f>IF((100-(75*(CC138-1)/(200-1)))&gt;100, 100, IF((100-(75*(CC138-1)/(200-1)))&lt;25, 25, (100-(75*(CC138-1)/(200-1)))))</f>
        <v>25</v>
      </c>
      <c r="CE138" s="107">
        <f>CD138*0.015</f>
        <v>0.375</v>
      </c>
      <c r="CF138" s="108" t="s">
        <v>2189</v>
      </c>
      <c r="CG138" s="108" t="s">
        <v>2189</v>
      </c>
      <c r="CH138" s="108" t="s">
        <v>2189</v>
      </c>
      <c r="CI138" s="108" t="s">
        <v>2189</v>
      </c>
      <c r="CJ138" s="109"/>
      <c r="CM138" s="111">
        <f t="shared" si="210"/>
        <v>25</v>
      </c>
      <c r="CN138" s="107">
        <f>CM138*0.015</f>
        <v>0.375</v>
      </c>
      <c r="CP138" s="88">
        <f t="shared" si="211"/>
        <v>0</v>
      </c>
      <c r="CQ138" s="78">
        <f t="shared" si="212"/>
        <v>100</v>
      </c>
      <c r="CR138" s="79">
        <f>CQ138*0.03</f>
        <v>3</v>
      </c>
      <c r="CS138" s="92"/>
      <c r="CT138" s="77">
        <f t="shared" si="190"/>
        <v>0</v>
      </c>
      <c r="CU138" s="78">
        <f t="shared" si="213"/>
        <v>100</v>
      </c>
      <c r="CV138" s="79">
        <f>CU138*0.02</f>
        <v>2</v>
      </c>
      <c r="CW138" s="112" t="e">
        <f t="shared" si="214"/>
        <v>#DIV/0!</v>
      </c>
    </row>
    <row r="139" spans="1:101" x14ac:dyDescent="0.35">
      <c r="A139" s="7" t="s">
        <v>913</v>
      </c>
      <c r="B139" s="8" t="s">
        <v>914</v>
      </c>
      <c r="C139" s="21" t="s">
        <v>915</v>
      </c>
      <c r="D139" s="22" t="s">
        <v>141</v>
      </c>
      <c r="E139" s="11" t="s">
        <v>241</v>
      </c>
      <c r="F139" s="11" t="s">
        <v>916</v>
      </c>
      <c r="G139" s="12">
        <v>28913</v>
      </c>
      <c r="H139" s="11" t="s">
        <v>24</v>
      </c>
      <c r="I139" s="11" t="s">
        <v>917</v>
      </c>
      <c r="J139" s="11" t="s">
        <v>918</v>
      </c>
      <c r="K139" s="11" t="s">
        <v>50</v>
      </c>
      <c r="L139" s="23">
        <v>7910256817</v>
      </c>
      <c r="M139" s="14">
        <v>2124391740</v>
      </c>
      <c r="N139" s="14">
        <v>5785865077</v>
      </c>
      <c r="O139" s="14">
        <v>7244994321</v>
      </c>
      <c r="P139" s="14">
        <v>799695030</v>
      </c>
      <c r="Q139" s="14">
        <v>929802982</v>
      </c>
      <c r="R139" s="14">
        <v>701357778</v>
      </c>
      <c r="AB139" s="74">
        <f t="shared" si="215"/>
        <v>0</v>
      </c>
      <c r="AC139" s="75" t="e">
        <f t="shared" si="191"/>
        <v>#DIV/0!</v>
      </c>
      <c r="AD139" s="75" t="e">
        <f t="shared" si="216"/>
        <v>#DIV/0!</v>
      </c>
      <c r="AE139" s="76" t="e">
        <f>AD139*0.03</f>
        <v>#DIV/0!</v>
      </c>
      <c r="AF139" s="77" t="e">
        <f t="shared" si="192"/>
        <v>#DIV/0!</v>
      </c>
      <c r="AG139" s="77" t="e">
        <f t="shared" si="193"/>
        <v>#DIV/0!</v>
      </c>
      <c r="AH139" s="77" t="e">
        <f t="shared" si="217"/>
        <v>#DIV/0!</v>
      </c>
      <c r="AI139" s="78" t="e">
        <f t="shared" si="218"/>
        <v>#DIV/0!</v>
      </c>
      <c r="AJ139" s="79" t="e">
        <f>AI139*0.04</f>
        <v>#DIV/0!</v>
      </c>
      <c r="AN139" s="81">
        <f t="shared" si="178"/>
        <v>0</v>
      </c>
      <c r="AO139" s="82" t="e">
        <f t="shared" si="179"/>
        <v>#DIV/0!</v>
      </c>
      <c r="AP139" s="83" t="e">
        <f t="shared" si="194"/>
        <v>#DIV/0!</v>
      </c>
      <c r="AQ139" s="84" t="e">
        <f>AP139*0.02</f>
        <v>#DIV/0!</v>
      </c>
      <c r="AS139" s="86">
        <f t="shared" si="180"/>
        <v>0.5</v>
      </c>
      <c r="AT139" s="87">
        <f t="shared" si="195"/>
        <v>0</v>
      </c>
      <c r="AU139" s="87">
        <f t="shared" si="196"/>
        <v>0</v>
      </c>
      <c r="AV139" s="88" t="e">
        <f t="shared" si="181"/>
        <v>#DIV/0!</v>
      </c>
      <c r="AW139" s="78" t="e">
        <f t="shared" si="197"/>
        <v>#DIV/0!</v>
      </c>
      <c r="AX139" s="89" t="e">
        <f>AW139*0.01</f>
        <v>#DIV/0!</v>
      </c>
      <c r="BA139" s="91">
        <f t="shared" si="182"/>
        <v>0</v>
      </c>
      <c r="BB139" s="77" t="e">
        <f t="shared" si="198"/>
        <v>#DIV/0!</v>
      </c>
      <c r="BC139" s="78" t="e">
        <f t="shared" si="199"/>
        <v>#DIV/0!</v>
      </c>
      <c r="BD139" s="79" t="e">
        <f>BC139*0.01</f>
        <v>#DIV/0!</v>
      </c>
      <c r="BE139" s="92"/>
      <c r="BF139" s="92"/>
      <c r="BG139" s="93">
        <v>0</v>
      </c>
      <c r="BH139" s="94">
        <f t="shared" si="183"/>
        <v>0</v>
      </c>
      <c r="BI139" s="77" t="e">
        <f t="shared" si="184"/>
        <v>#DIV/0!</v>
      </c>
      <c r="BJ139" s="95" t="str">
        <f t="shared" si="200"/>
        <v>전기전자/기계업</v>
      </c>
      <c r="BK139" s="96" t="e">
        <f t="shared" si="185"/>
        <v>#DIV/0!</v>
      </c>
      <c r="BL139" s="97" t="e">
        <f t="shared" si="201"/>
        <v>#DIV/0!</v>
      </c>
      <c r="BM139" s="98" t="e">
        <f t="shared" si="202"/>
        <v>#DIV/0!</v>
      </c>
      <c r="BN139" s="99" t="e">
        <f t="shared" si="203"/>
        <v>#DIV/0!</v>
      </c>
      <c r="BP139" s="101">
        <f t="shared" si="204"/>
        <v>0</v>
      </c>
      <c r="BQ139" s="78">
        <f t="shared" si="205"/>
        <v>25</v>
      </c>
      <c r="BR139" s="79">
        <f>BQ139*0.02</f>
        <v>0.5</v>
      </c>
      <c r="BS139" s="102"/>
      <c r="BT139" s="102"/>
      <c r="BU139" s="103">
        <f t="shared" si="206"/>
        <v>0</v>
      </c>
      <c r="BV139" s="77">
        <f t="shared" si="186"/>
        <v>0</v>
      </c>
      <c r="BW139" s="96">
        <f t="shared" si="187"/>
        <v>0</v>
      </c>
      <c r="BX139" s="96">
        <f t="shared" si="207"/>
        <v>0</v>
      </c>
      <c r="BY139" s="96">
        <f t="shared" si="188"/>
        <v>0</v>
      </c>
      <c r="BZ139" s="96" t="e">
        <f t="shared" si="208"/>
        <v>#NUM!</v>
      </c>
      <c r="CA139" s="96" t="e">
        <f t="shared" si="189"/>
        <v>#NUM!</v>
      </c>
      <c r="CB139" s="104" t="e">
        <f t="shared" si="209"/>
        <v>#NUM!</v>
      </c>
      <c r="CC139" s="105">
        <f>(M139/N139)*100</f>
        <v>36.71692498404245</v>
      </c>
      <c r="CD139" s="106">
        <f>IF((100-(75*(CC139-1)/(200-1)))&gt;100, 100, IF((100-(75*(CC139-1)/(200-1)))&lt;25, 25, (100-(75*(CC139-1)/(200-1)))))</f>
        <v>86.538847367823195</v>
      </c>
      <c r="CE139" s="107">
        <f>CD139*0.015</f>
        <v>1.2980827105173478</v>
      </c>
      <c r="CF139" s="108" t="s">
        <v>2189</v>
      </c>
      <c r="CG139" s="108" t="s">
        <v>2189</v>
      </c>
      <c r="CH139" s="108" t="s">
        <v>2189</v>
      </c>
      <c r="CI139" s="108" t="s">
        <v>2189</v>
      </c>
      <c r="CJ139" s="109"/>
      <c r="CM139" s="111">
        <f t="shared" si="210"/>
        <v>25</v>
      </c>
      <c r="CN139" s="107">
        <f>CM139*0.015</f>
        <v>0.375</v>
      </c>
      <c r="CP139" s="88">
        <f t="shared" si="211"/>
        <v>0</v>
      </c>
      <c r="CQ139" s="78">
        <f t="shared" si="212"/>
        <v>100</v>
      </c>
      <c r="CR139" s="79">
        <f>CQ139*0.03</f>
        <v>3</v>
      </c>
      <c r="CS139" s="92"/>
      <c r="CT139" s="77">
        <f t="shared" si="190"/>
        <v>0</v>
      </c>
      <c r="CU139" s="78">
        <f t="shared" si="213"/>
        <v>100</v>
      </c>
      <c r="CV139" s="79">
        <f>CU139*0.02</f>
        <v>2</v>
      </c>
      <c r="CW139" s="112" t="e">
        <f t="shared" si="214"/>
        <v>#DIV/0!</v>
      </c>
    </row>
    <row r="140" spans="1:101" x14ac:dyDescent="0.35">
      <c r="A140" s="7" t="s">
        <v>919</v>
      </c>
      <c r="B140" s="8" t="s">
        <v>920</v>
      </c>
      <c r="C140" s="21" t="s">
        <v>921</v>
      </c>
      <c r="D140" s="22" t="s">
        <v>141</v>
      </c>
      <c r="E140" s="11" t="s">
        <v>922</v>
      </c>
      <c r="F140" s="11" t="s">
        <v>923</v>
      </c>
      <c r="G140" s="12">
        <v>27556</v>
      </c>
      <c r="H140" s="11" t="s">
        <v>24</v>
      </c>
      <c r="I140" s="11" t="s">
        <v>924</v>
      </c>
      <c r="J140" s="11" t="s">
        <v>925</v>
      </c>
      <c r="K140" s="11" t="s">
        <v>50</v>
      </c>
      <c r="L140" s="23">
        <v>260083750000</v>
      </c>
      <c r="M140" s="14">
        <v>50667559000</v>
      </c>
      <c r="N140" s="14">
        <v>209416191000</v>
      </c>
      <c r="O140" s="14">
        <v>211867483000</v>
      </c>
      <c r="P140" s="14">
        <v>25319329000</v>
      </c>
      <c r="Q140" s="14">
        <v>29691920000</v>
      </c>
      <c r="R140" s="14">
        <v>25418778000</v>
      </c>
      <c r="AB140" s="74">
        <f t="shared" si="215"/>
        <v>0</v>
      </c>
      <c r="AC140" s="75" t="e">
        <f t="shared" si="191"/>
        <v>#DIV/0!</v>
      </c>
      <c r="AD140" s="75" t="e">
        <f t="shared" si="216"/>
        <v>#DIV/0!</v>
      </c>
      <c r="AE140" s="76" t="e">
        <f>AD140*0.03</f>
        <v>#DIV/0!</v>
      </c>
      <c r="AF140" s="77" t="e">
        <f t="shared" si="192"/>
        <v>#DIV/0!</v>
      </c>
      <c r="AG140" s="77" t="e">
        <f t="shared" si="193"/>
        <v>#DIV/0!</v>
      </c>
      <c r="AH140" s="77" t="e">
        <f t="shared" si="217"/>
        <v>#DIV/0!</v>
      </c>
      <c r="AI140" s="78" t="e">
        <f t="shared" si="218"/>
        <v>#DIV/0!</v>
      </c>
      <c r="AJ140" s="79" t="e">
        <f>AI140*0.04</f>
        <v>#DIV/0!</v>
      </c>
      <c r="AN140" s="81">
        <f t="shared" si="178"/>
        <v>0</v>
      </c>
      <c r="AO140" s="82" t="e">
        <f t="shared" si="179"/>
        <v>#DIV/0!</v>
      </c>
      <c r="AP140" s="83" t="e">
        <f t="shared" si="194"/>
        <v>#DIV/0!</v>
      </c>
      <c r="AQ140" s="84" t="e">
        <f>AP140*0.02</f>
        <v>#DIV/0!</v>
      </c>
      <c r="AS140" s="86">
        <f t="shared" si="180"/>
        <v>0.5</v>
      </c>
      <c r="AT140" s="87">
        <f t="shared" si="195"/>
        <v>0</v>
      </c>
      <c r="AU140" s="87">
        <f t="shared" si="196"/>
        <v>0</v>
      </c>
      <c r="AV140" s="88" t="e">
        <f t="shared" si="181"/>
        <v>#DIV/0!</v>
      </c>
      <c r="AW140" s="78" t="e">
        <f t="shared" si="197"/>
        <v>#DIV/0!</v>
      </c>
      <c r="AX140" s="89" t="e">
        <f>AW140*0.01</f>
        <v>#DIV/0!</v>
      </c>
      <c r="BA140" s="91">
        <f t="shared" si="182"/>
        <v>0</v>
      </c>
      <c r="BB140" s="77" t="e">
        <f t="shared" si="198"/>
        <v>#DIV/0!</v>
      </c>
      <c r="BC140" s="78" t="e">
        <f t="shared" si="199"/>
        <v>#DIV/0!</v>
      </c>
      <c r="BD140" s="79" t="e">
        <f>BC140*0.01</f>
        <v>#DIV/0!</v>
      </c>
      <c r="BE140" s="92"/>
      <c r="BF140" s="92"/>
      <c r="BG140" s="93">
        <v>0</v>
      </c>
      <c r="BH140" s="94">
        <f t="shared" si="183"/>
        <v>0</v>
      </c>
      <c r="BI140" s="77" t="e">
        <f t="shared" si="184"/>
        <v>#DIV/0!</v>
      </c>
      <c r="BJ140" s="95" t="str">
        <f t="shared" si="200"/>
        <v>전기전자/기계업</v>
      </c>
      <c r="BK140" s="96" t="e">
        <f t="shared" si="185"/>
        <v>#DIV/0!</v>
      </c>
      <c r="BL140" s="97" t="e">
        <f t="shared" si="201"/>
        <v>#DIV/0!</v>
      </c>
      <c r="BM140" s="98" t="e">
        <f t="shared" si="202"/>
        <v>#DIV/0!</v>
      </c>
      <c r="BN140" s="99" t="e">
        <f t="shared" si="203"/>
        <v>#DIV/0!</v>
      </c>
      <c r="BP140" s="101">
        <f t="shared" si="204"/>
        <v>0</v>
      </c>
      <c r="BQ140" s="78">
        <f t="shared" si="205"/>
        <v>25</v>
      </c>
      <c r="BR140" s="79">
        <f>BQ140*0.02</f>
        <v>0.5</v>
      </c>
      <c r="BS140" s="102"/>
      <c r="BT140" s="102"/>
      <c r="BU140" s="103">
        <f t="shared" si="206"/>
        <v>0</v>
      </c>
      <c r="BV140" s="77">
        <f t="shared" si="186"/>
        <v>0</v>
      </c>
      <c r="BW140" s="96">
        <f t="shared" si="187"/>
        <v>0</v>
      </c>
      <c r="BX140" s="96">
        <f t="shared" si="207"/>
        <v>0</v>
      </c>
      <c r="BY140" s="96">
        <f t="shared" si="188"/>
        <v>0</v>
      </c>
      <c r="BZ140" s="96" t="e">
        <f t="shared" si="208"/>
        <v>#NUM!</v>
      </c>
      <c r="CA140" s="96" t="e">
        <f t="shared" si="189"/>
        <v>#NUM!</v>
      </c>
      <c r="CB140" s="104" t="e">
        <f t="shared" si="209"/>
        <v>#NUM!</v>
      </c>
      <c r="CC140" s="105">
        <f>(M140/N140)*100</f>
        <v>24.194671270665982</v>
      </c>
      <c r="CD140" s="106">
        <f>IF((100-(75*(CC140-1)/(200-1)))&gt;100, 100, IF((100-(75*(CC140-1)/(200-1)))&lt;25, 25, (100-(75*(CC140-1)/(200-1)))))</f>
        <v>91.258289722110817</v>
      </c>
      <c r="CE140" s="107">
        <f>CD140*0.015</f>
        <v>1.3688743458316621</v>
      </c>
      <c r="CF140" s="108" t="s">
        <v>2189</v>
      </c>
      <c r="CG140" s="108" t="s">
        <v>2189</v>
      </c>
      <c r="CH140" s="108" t="s">
        <v>2189</v>
      </c>
      <c r="CI140" s="108" t="s">
        <v>2189</v>
      </c>
      <c r="CJ140" s="109"/>
      <c r="CM140" s="111">
        <f t="shared" si="210"/>
        <v>25</v>
      </c>
      <c r="CN140" s="107">
        <f>CM140*0.015</f>
        <v>0.375</v>
      </c>
      <c r="CP140" s="88">
        <f t="shared" si="211"/>
        <v>0</v>
      </c>
      <c r="CQ140" s="78">
        <f t="shared" si="212"/>
        <v>100</v>
      </c>
      <c r="CR140" s="79">
        <f>CQ140*0.03</f>
        <v>3</v>
      </c>
      <c r="CS140" s="92"/>
      <c r="CT140" s="77">
        <f t="shared" si="190"/>
        <v>0</v>
      </c>
      <c r="CU140" s="78">
        <f t="shared" si="213"/>
        <v>100</v>
      </c>
      <c r="CV140" s="79">
        <f>CU140*0.02</f>
        <v>2</v>
      </c>
      <c r="CW140" s="112" t="e">
        <f t="shared" si="214"/>
        <v>#DIV/0!</v>
      </c>
    </row>
    <row r="141" spans="1:101" x14ac:dyDescent="0.35">
      <c r="A141" s="7" t="s">
        <v>926</v>
      </c>
      <c r="B141" s="8" t="s">
        <v>927</v>
      </c>
      <c r="C141" s="21" t="s">
        <v>928</v>
      </c>
      <c r="D141" s="25" t="s">
        <v>262</v>
      </c>
      <c r="E141" s="11" t="s">
        <v>263</v>
      </c>
      <c r="F141" s="11" t="s">
        <v>929</v>
      </c>
      <c r="G141" s="12">
        <v>32230</v>
      </c>
      <c r="H141" s="11" t="s">
        <v>24</v>
      </c>
      <c r="I141" s="11" t="s">
        <v>930</v>
      </c>
      <c r="J141" s="11" t="s">
        <v>931</v>
      </c>
      <c r="K141" s="11" t="s">
        <v>27</v>
      </c>
      <c r="L141" s="23">
        <v>47708236386</v>
      </c>
      <c r="M141" s="14">
        <v>41728539853</v>
      </c>
      <c r="N141" s="14">
        <v>5979696533</v>
      </c>
      <c r="O141" s="14">
        <v>13122029972</v>
      </c>
      <c r="P141" s="14">
        <v>522368891</v>
      </c>
      <c r="Q141" s="14">
        <v>514777360</v>
      </c>
      <c r="R141" s="14">
        <v>377508788</v>
      </c>
      <c r="AB141" s="74">
        <f t="shared" si="215"/>
        <v>0</v>
      </c>
      <c r="AC141" s="75" t="e">
        <f t="shared" si="191"/>
        <v>#DIV/0!</v>
      </c>
      <c r="AD141" s="75" t="e">
        <f t="shared" si="216"/>
        <v>#DIV/0!</v>
      </c>
      <c r="AE141" s="119" t="e">
        <f>AD141*0.04</f>
        <v>#DIV/0!</v>
      </c>
      <c r="AF141" s="77" t="e">
        <f t="shared" si="192"/>
        <v>#DIV/0!</v>
      </c>
      <c r="AG141" s="77" t="e">
        <f t="shared" si="193"/>
        <v>#DIV/0!</v>
      </c>
      <c r="AH141" s="77" t="e">
        <f t="shared" si="217"/>
        <v>#DIV/0!</v>
      </c>
      <c r="AI141" s="78" t="e">
        <f t="shared" si="218"/>
        <v>#DIV/0!</v>
      </c>
      <c r="AJ141" s="120" t="e">
        <f>AI141*0.05</f>
        <v>#DIV/0!</v>
      </c>
      <c r="AN141" s="81">
        <f t="shared" si="178"/>
        <v>0</v>
      </c>
      <c r="AO141" s="82" t="e">
        <f t="shared" si="179"/>
        <v>#DIV/0!</v>
      </c>
      <c r="AP141" s="83" t="e">
        <f t="shared" si="194"/>
        <v>#DIV/0!</v>
      </c>
      <c r="AQ141" s="121" t="e">
        <f>AP141*0.03</f>
        <v>#DIV/0!</v>
      </c>
      <c r="AS141" s="86">
        <f t="shared" si="180"/>
        <v>0.5</v>
      </c>
      <c r="AT141" s="87">
        <f t="shared" si="195"/>
        <v>0</v>
      </c>
      <c r="AU141" s="87">
        <f t="shared" si="196"/>
        <v>0</v>
      </c>
      <c r="AV141" s="88" t="e">
        <f t="shared" si="181"/>
        <v>#DIV/0!</v>
      </c>
      <c r="AW141" s="78" t="e">
        <f t="shared" si="197"/>
        <v>#DIV/0!</v>
      </c>
      <c r="AX141" s="122" t="e">
        <f>AW141*0.02</f>
        <v>#DIV/0!</v>
      </c>
      <c r="BA141" s="91">
        <f t="shared" si="182"/>
        <v>0</v>
      </c>
      <c r="BB141" s="77" t="e">
        <f t="shared" si="198"/>
        <v>#DIV/0!</v>
      </c>
      <c r="BC141" s="78" t="e">
        <f t="shared" si="199"/>
        <v>#DIV/0!</v>
      </c>
      <c r="BD141" s="120" t="e">
        <f>BC141*0.02</f>
        <v>#DIV/0!</v>
      </c>
      <c r="BE141" s="92"/>
      <c r="BF141" s="92"/>
      <c r="BG141" s="93">
        <v>0</v>
      </c>
      <c r="BH141" s="94">
        <f t="shared" si="183"/>
        <v>0</v>
      </c>
      <c r="BI141" s="77" t="e">
        <f t="shared" si="184"/>
        <v>#DIV/0!</v>
      </c>
      <c r="BJ141" s="95" t="str">
        <f t="shared" si="200"/>
        <v>금융업</v>
      </c>
      <c r="BK141" s="96" t="e">
        <f t="shared" si="185"/>
        <v>#DIV/0!</v>
      </c>
      <c r="BL141" s="97" t="e">
        <f t="shared" si="201"/>
        <v>#DIV/0!</v>
      </c>
      <c r="BM141" s="98" t="e">
        <f t="shared" si="202"/>
        <v>#DIV/0!</v>
      </c>
      <c r="BN141" s="99" t="e">
        <f t="shared" si="203"/>
        <v>#DIV/0!</v>
      </c>
      <c r="BP141" s="101">
        <f t="shared" si="204"/>
        <v>0</v>
      </c>
      <c r="BQ141" s="78">
        <f t="shared" si="205"/>
        <v>25</v>
      </c>
      <c r="BR141" s="120">
        <f>BQ141*0.01</f>
        <v>0.25</v>
      </c>
      <c r="BS141" s="102"/>
      <c r="BT141" s="102"/>
      <c r="BU141" s="103">
        <f t="shared" si="206"/>
        <v>0</v>
      </c>
      <c r="BV141" s="77">
        <f t="shared" si="186"/>
        <v>0</v>
      </c>
      <c r="BW141" s="96">
        <f t="shared" si="187"/>
        <v>0</v>
      </c>
      <c r="BX141" s="96">
        <f t="shared" si="207"/>
        <v>0</v>
      </c>
      <c r="BY141" s="96">
        <f t="shared" si="188"/>
        <v>0</v>
      </c>
      <c r="BZ141" s="96" t="e">
        <f t="shared" si="208"/>
        <v>#NUM!</v>
      </c>
      <c r="CA141" s="96" t="e">
        <f t="shared" si="189"/>
        <v>#NUM!</v>
      </c>
      <c r="CB141" s="104" t="e">
        <f t="shared" si="209"/>
        <v>#NUM!</v>
      </c>
      <c r="CC141" s="123" t="s">
        <v>2200</v>
      </c>
      <c r="CD141" s="124" t="s">
        <v>2200</v>
      </c>
      <c r="CE141" s="125"/>
      <c r="CF141" s="126" t="s">
        <v>2201</v>
      </c>
      <c r="CG141" s="127">
        <v>0.48</v>
      </c>
      <c r="CH141" s="126" t="s">
        <v>2201</v>
      </c>
      <c r="CI141" s="128">
        <f>IF((100-(75*(CG141-1)/9))&gt;100,100,IF((100-(75*(CG141-1)/9))&lt;25,25,(100-(75*(CG141-1)/9))))</f>
        <v>100</v>
      </c>
      <c r="CJ141" s="129">
        <f>CI141*0.04</f>
        <v>4</v>
      </c>
      <c r="CM141" s="111">
        <f t="shared" si="210"/>
        <v>25</v>
      </c>
      <c r="CN141" s="130">
        <f>CM141*0.03</f>
        <v>0.75</v>
      </c>
      <c r="CP141" s="88">
        <f t="shared" si="211"/>
        <v>0</v>
      </c>
      <c r="CQ141" s="78">
        <f t="shared" si="212"/>
        <v>100</v>
      </c>
      <c r="CR141" s="120">
        <f>CQ141*0.04</f>
        <v>4</v>
      </c>
      <c r="CS141" s="92"/>
      <c r="CT141" s="77">
        <f t="shared" si="190"/>
        <v>0</v>
      </c>
      <c r="CU141" s="78">
        <f t="shared" si="213"/>
        <v>100</v>
      </c>
      <c r="CV141" s="131">
        <f>CU141*0.03</f>
        <v>3</v>
      </c>
      <c r="CW141" s="112" t="e">
        <f t="shared" si="214"/>
        <v>#DIV/0!</v>
      </c>
    </row>
    <row r="142" spans="1:101" x14ac:dyDescent="0.35">
      <c r="A142" s="7" t="s">
        <v>932</v>
      </c>
      <c r="B142" s="8" t="s">
        <v>933</v>
      </c>
      <c r="C142" s="21" t="s">
        <v>934</v>
      </c>
      <c r="D142" s="25" t="s">
        <v>935</v>
      </c>
      <c r="E142" s="11" t="s">
        <v>936</v>
      </c>
      <c r="F142" s="11" t="s">
        <v>937</v>
      </c>
      <c r="G142" s="12">
        <v>39260</v>
      </c>
      <c r="H142" s="11" t="s">
        <v>24</v>
      </c>
      <c r="I142" s="11" t="s">
        <v>938</v>
      </c>
      <c r="J142" s="11" t="s">
        <v>939</v>
      </c>
      <c r="K142" s="11" t="s">
        <v>27</v>
      </c>
      <c r="L142" s="23">
        <v>29407344093</v>
      </c>
      <c r="M142" s="14">
        <v>21565863258</v>
      </c>
      <c r="N142" s="14">
        <v>7841480835</v>
      </c>
      <c r="O142" s="14">
        <v>3641606365</v>
      </c>
      <c r="P142" s="14">
        <v>846324379</v>
      </c>
      <c r="Q142" s="14">
        <v>843940009</v>
      </c>
      <c r="R142" s="14">
        <v>617150148</v>
      </c>
      <c r="AB142" s="74">
        <f t="shared" si="215"/>
        <v>0</v>
      </c>
      <c r="AC142" s="75" t="e">
        <f t="shared" si="191"/>
        <v>#DIV/0!</v>
      </c>
      <c r="AD142" s="75" t="e">
        <f t="shared" si="216"/>
        <v>#DIV/0!</v>
      </c>
      <c r="AE142" s="119" t="e">
        <f>AD142*0.04</f>
        <v>#DIV/0!</v>
      </c>
      <c r="AF142" s="77" t="e">
        <f t="shared" si="192"/>
        <v>#DIV/0!</v>
      </c>
      <c r="AG142" s="77" t="e">
        <f t="shared" si="193"/>
        <v>#DIV/0!</v>
      </c>
      <c r="AH142" s="77" t="e">
        <f t="shared" si="217"/>
        <v>#DIV/0!</v>
      </c>
      <c r="AI142" s="78" t="e">
        <f t="shared" si="218"/>
        <v>#DIV/0!</v>
      </c>
      <c r="AJ142" s="120" t="e">
        <f>AI142*0.05</f>
        <v>#DIV/0!</v>
      </c>
      <c r="AN142" s="81">
        <f t="shared" si="178"/>
        <v>0</v>
      </c>
      <c r="AO142" s="82" t="e">
        <f t="shared" si="179"/>
        <v>#DIV/0!</v>
      </c>
      <c r="AP142" s="83" t="e">
        <f t="shared" si="194"/>
        <v>#DIV/0!</v>
      </c>
      <c r="AQ142" s="121" t="e">
        <f>AP142*0.03</f>
        <v>#DIV/0!</v>
      </c>
      <c r="AS142" s="86">
        <f t="shared" si="180"/>
        <v>0.5</v>
      </c>
      <c r="AT142" s="87">
        <f t="shared" si="195"/>
        <v>0</v>
      </c>
      <c r="AU142" s="87">
        <f t="shared" si="196"/>
        <v>0</v>
      </c>
      <c r="AV142" s="88" t="e">
        <f t="shared" si="181"/>
        <v>#DIV/0!</v>
      </c>
      <c r="AW142" s="78" t="e">
        <f t="shared" si="197"/>
        <v>#DIV/0!</v>
      </c>
      <c r="AX142" s="122" t="e">
        <f>AW142*0.02</f>
        <v>#DIV/0!</v>
      </c>
      <c r="BA142" s="91">
        <f t="shared" si="182"/>
        <v>0</v>
      </c>
      <c r="BB142" s="77" t="e">
        <f t="shared" si="198"/>
        <v>#DIV/0!</v>
      </c>
      <c r="BC142" s="78" t="e">
        <f t="shared" si="199"/>
        <v>#DIV/0!</v>
      </c>
      <c r="BD142" s="120" t="e">
        <f>BC142*0.02</f>
        <v>#DIV/0!</v>
      </c>
      <c r="BE142" s="92"/>
      <c r="BF142" s="92"/>
      <c r="BG142" s="93">
        <v>0</v>
      </c>
      <c r="BH142" s="94">
        <f t="shared" si="183"/>
        <v>0</v>
      </c>
      <c r="BI142" s="77" t="e">
        <f t="shared" si="184"/>
        <v>#DIV/0!</v>
      </c>
      <c r="BJ142" s="95" t="str">
        <f t="shared" si="200"/>
        <v>금융업</v>
      </c>
      <c r="BK142" s="96" t="e">
        <f t="shared" si="185"/>
        <v>#DIV/0!</v>
      </c>
      <c r="BL142" s="97" t="e">
        <f t="shared" si="201"/>
        <v>#DIV/0!</v>
      </c>
      <c r="BM142" s="98" t="e">
        <f t="shared" si="202"/>
        <v>#DIV/0!</v>
      </c>
      <c r="BN142" s="99" t="e">
        <f t="shared" si="203"/>
        <v>#DIV/0!</v>
      </c>
      <c r="BP142" s="101">
        <f t="shared" si="204"/>
        <v>0</v>
      </c>
      <c r="BQ142" s="78">
        <f t="shared" si="205"/>
        <v>25</v>
      </c>
      <c r="BR142" s="120">
        <f>BQ142*0.01</f>
        <v>0.25</v>
      </c>
      <c r="BS142" s="102"/>
      <c r="BT142" s="102"/>
      <c r="BU142" s="103">
        <f t="shared" si="206"/>
        <v>0</v>
      </c>
      <c r="BV142" s="77">
        <f t="shared" si="186"/>
        <v>0</v>
      </c>
      <c r="BW142" s="96">
        <f t="shared" si="187"/>
        <v>0</v>
      </c>
      <c r="BX142" s="96">
        <f t="shared" si="207"/>
        <v>0</v>
      </c>
      <c r="BY142" s="96">
        <f t="shared" si="188"/>
        <v>0</v>
      </c>
      <c r="BZ142" s="96" t="e">
        <f t="shared" si="208"/>
        <v>#NUM!</v>
      </c>
      <c r="CA142" s="96" t="e">
        <f t="shared" si="189"/>
        <v>#NUM!</v>
      </c>
      <c r="CB142" s="104" t="e">
        <f t="shared" si="209"/>
        <v>#NUM!</v>
      </c>
      <c r="CC142" s="123" t="s">
        <v>2200</v>
      </c>
      <c r="CD142" s="124" t="s">
        <v>2200</v>
      </c>
      <c r="CE142" s="125"/>
      <c r="CF142" s="127">
        <v>0.72</v>
      </c>
      <c r="CG142" s="126" t="s">
        <v>2201</v>
      </c>
      <c r="CH142" s="126" t="s">
        <v>2201</v>
      </c>
      <c r="CI142" s="128">
        <f>IF((100-(75*(CF142-1)))&gt;100,100,IF((100-(75*(CF142-1)))&lt;25,25,(100-(75*(CF142-1)))))</f>
        <v>100</v>
      </c>
      <c r="CJ142" s="129">
        <f>CI142*0.04</f>
        <v>4</v>
      </c>
      <c r="CM142" s="111">
        <f t="shared" si="210"/>
        <v>25</v>
      </c>
      <c r="CN142" s="130">
        <f>CM142*0.03</f>
        <v>0.75</v>
      </c>
      <c r="CP142" s="88">
        <f t="shared" si="211"/>
        <v>0</v>
      </c>
      <c r="CQ142" s="78">
        <f t="shared" si="212"/>
        <v>100</v>
      </c>
      <c r="CR142" s="120">
        <f>CQ142*0.04</f>
        <v>4</v>
      </c>
      <c r="CS142" s="92"/>
      <c r="CT142" s="77">
        <f t="shared" si="190"/>
        <v>0</v>
      </c>
      <c r="CU142" s="78">
        <f t="shared" si="213"/>
        <v>100</v>
      </c>
      <c r="CV142" s="131">
        <f>CU142*0.03</f>
        <v>3</v>
      </c>
      <c r="CW142" s="112" t="e">
        <f t="shared" si="214"/>
        <v>#DIV/0!</v>
      </c>
    </row>
    <row r="143" spans="1:101" x14ac:dyDescent="0.35">
      <c r="A143" s="7" t="s">
        <v>940</v>
      </c>
      <c r="B143" s="8" t="s">
        <v>941</v>
      </c>
      <c r="C143" s="21" t="s">
        <v>942</v>
      </c>
      <c r="D143" s="25" t="s">
        <v>67</v>
      </c>
      <c r="E143" s="11" t="s">
        <v>68</v>
      </c>
      <c r="F143" s="11" t="s">
        <v>943</v>
      </c>
      <c r="G143" s="12">
        <v>27575</v>
      </c>
      <c r="H143" s="11" t="s">
        <v>24</v>
      </c>
      <c r="I143" s="11" t="s">
        <v>944</v>
      </c>
      <c r="J143" s="11" t="s">
        <v>945</v>
      </c>
      <c r="K143" s="11" t="s">
        <v>27</v>
      </c>
      <c r="L143" s="23">
        <v>86856870802</v>
      </c>
      <c r="M143" s="14">
        <v>76041738670</v>
      </c>
      <c r="N143" s="14">
        <v>10815132132</v>
      </c>
      <c r="O143" s="14">
        <v>18511997130</v>
      </c>
      <c r="P143" s="14">
        <v>1524131094</v>
      </c>
      <c r="Q143" s="14">
        <v>1536847185</v>
      </c>
      <c r="R143" s="14">
        <v>1141384899</v>
      </c>
      <c r="AB143" s="74">
        <f t="shared" si="215"/>
        <v>0</v>
      </c>
      <c r="AC143" s="75" t="e">
        <f t="shared" si="191"/>
        <v>#DIV/0!</v>
      </c>
      <c r="AD143" s="75" t="e">
        <f t="shared" si="216"/>
        <v>#DIV/0!</v>
      </c>
      <c r="AE143" s="119" t="e">
        <f>AD143*0.04</f>
        <v>#DIV/0!</v>
      </c>
      <c r="AF143" s="77" t="e">
        <f t="shared" si="192"/>
        <v>#DIV/0!</v>
      </c>
      <c r="AG143" s="77" t="e">
        <f t="shared" si="193"/>
        <v>#DIV/0!</v>
      </c>
      <c r="AH143" s="77" t="e">
        <f t="shared" si="217"/>
        <v>#DIV/0!</v>
      </c>
      <c r="AI143" s="78" t="e">
        <f t="shared" si="218"/>
        <v>#DIV/0!</v>
      </c>
      <c r="AJ143" s="120" t="e">
        <f>AI143*0.05</f>
        <v>#DIV/0!</v>
      </c>
      <c r="AN143" s="81">
        <f t="shared" si="178"/>
        <v>0</v>
      </c>
      <c r="AO143" s="82" t="e">
        <f t="shared" si="179"/>
        <v>#DIV/0!</v>
      </c>
      <c r="AP143" s="83" t="e">
        <f t="shared" si="194"/>
        <v>#DIV/0!</v>
      </c>
      <c r="AQ143" s="121" t="e">
        <f>AP143*0.03</f>
        <v>#DIV/0!</v>
      </c>
      <c r="AS143" s="86">
        <f t="shared" si="180"/>
        <v>0.5</v>
      </c>
      <c r="AT143" s="87">
        <f t="shared" si="195"/>
        <v>0</v>
      </c>
      <c r="AU143" s="87">
        <f t="shared" si="196"/>
        <v>0</v>
      </c>
      <c r="AV143" s="88" t="e">
        <f t="shared" si="181"/>
        <v>#DIV/0!</v>
      </c>
      <c r="AW143" s="78" t="e">
        <f t="shared" si="197"/>
        <v>#DIV/0!</v>
      </c>
      <c r="AX143" s="122" t="e">
        <f>AW143*0.02</f>
        <v>#DIV/0!</v>
      </c>
      <c r="BA143" s="91">
        <f t="shared" si="182"/>
        <v>0</v>
      </c>
      <c r="BB143" s="77" t="e">
        <f t="shared" si="198"/>
        <v>#DIV/0!</v>
      </c>
      <c r="BC143" s="78" t="e">
        <f t="shared" si="199"/>
        <v>#DIV/0!</v>
      </c>
      <c r="BD143" s="120" t="e">
        <f>BC143*0.02</f>
        <v>#DIV/0!</v>
      </c>
      <c r="BE143" s="92"/>
      <c r="BF143" s="92"/>
      <c r="BG143" s="93">
        <v>0</v>
      </c>
      <c r="BH143" s="94">
        <f t="shared" si="183"/>
        <v>0</v>
      </c>
      <c r="BI143" s="77" t="e">
        <f t="shared" si="184"/>
        <v>#DIV/0!</v>
      </c>
      <c r="BJ143" s="95" t="str">
        <f t="shared" si="200"/>
        <v>금융업</v>
      </c>
      <c r="BK143" s="96" t="e">
        <f t="shared" si="185"/>
        <v>#DIV/0!</v>
      </c>
      <c r="BL143" s="97" t="e">
        <f t="shared" si="201"/>
        <v>#DIV/0!</v>
      </c>
      <c r="BM143" s="98" t="e">
        <f t="shared" si="202"/>
        <v>#DIV/0!</v>
      </c>
      <c r="BN143" s="99" t="e">
        <f t="shared" si="203"/>
        <v>#DIV/0!</v>
      </c>
      <c r="BP143" s="101">
        <f t="shared" si="204"/>
        <v>0</v>
      </c>
      <c r="BQ143" s="78">
        <f t="shared" si="205"/>
        <v>25</v>
      </c>
      <c r="BR143" s="120">
        <f>BQ143*0.01</f>
        <v>0.25</v>
      </c>
      <c r="BS143" s="102"/>
      <c r="BT143" s="102"/>
      <c r="BU143" s="103">
        <f t="shared" si="206"/>
        <v>0</v>
      </c>
      <c r="BV143" s="77">
        <f t="shared" si="186"/>
        <v>0</v>
      </c>
      <c r="BW143" s="96">
        <f t="shared" si="187"/>
        <v>0</v>
      </c>
      <c r="BX143" s="96">
        <f t="shared" si="207"/>
        <v>0</v>
      </c>
      <c r="BY143" s="96">
        <f t="shared" si="188"/>
        <v>0</v>
      </c>
      <c r="BZ143" s="96" t="e">
        <f t="shared" si="208"/>
        <v>#NUM!</v>
      </c>
      <c r="CA143" s="96" t="e">
        <f t="shared" si="189"/>
        <v>#NUM!</v>
      </c>
      <c r="CB143" s="104" t="e">
        <f t="shared" si="209"/>
        <v>#NUM!</v>
      </c>
      <c r="CC143" s="123" t="s">
        <v>2200</v>
      </c>
      <c r="CD143" s="124" t="s">
        <v>2200</v>
      </c>
      <c r="CE143" s="125"/>
      <c r="CF143" s="126" t="s">
        <v>2201</v>
      </c>
      <c r="CG143" s="126" t="s">
        <v>2201</v>
      </c>
      <c r="CH143" s="127">
        <v>7.0000000000000007E-2</v>
      </c>
      <c r="CI143" s="128">
        <f>IF((100-(75*(CH143-10)/40))&gt;100, 100, IF((100-(75*(CH143-10)/40))&lt;25, 25, (100-(75*(CH143-10)/40))))</f>
        <v>100</v>
      </c>
      <c r="CJ143" s="129">
        <f>CI143*0.04</f>
        <v>4</v>
      </c>
      <c r="CM143" s="111">
        <f t="shared" si="210"/>
        <v>25</v>
      </c>
      <c r="CN143" s="130">
        <f>CM143*0.03</f>
        <v>0.75</v>
      </c>
      <c r="CP143" s="88">
        <f t="shared" si="211"/>
        <v>0</v>
      </c>
      <c r="CQ143" s="78">
        <f t="shared" si="212"/>
        <v>100</v>
      </c>
      <c r="CR143" s="120">
        <f>CQ143*0.04</f>
        <v>4</v>
      </c>
      <c r="CS143" s="92"/>
      <c r="CT143" s="77">
        <f t="shared" si="190"/>
        <v>0</v>
      </c>
      <c r="CU143" s="78">
        <f t="shared" si="213"/>
        <v>100</v>
      </c>
      <c r="CV143" s="131">
        <f>CU143*0.03</f>
        <v>3</v>
      </c>
      <c r="CW143" s="112" t="e">
        <f t="shared" si="214"/>
        <v>#DIV/0!</v>
      </c>
    </row>
    <row r="144" spans="1:101" x14ac:dyDescent="0.35">
      <c r="A144" s="7" t="s">
        <v>946</v>
      </c>
      <c r="B144" s="8" t="s">
        <v>947</v>
      </c>
      <c r="C144" s="21" t="s">
        <v>948</v>
      </c>
      <c r="D144" s="10" t="s">
        <v>75</v>
      </c>
      <c r="E144" s="11" t="s">
        <v>106</v>
      </c>
      <c r="F144" s="11" t="s">
        <v>949</v>
      </c>
      <c r="G144" s="12">
        <v>29560</v>
      </c>
      <c r="H144" s="11" t="s">
        <v>24</v>
      </c>
      <c r="I144" s="11" t="s">
        <v>950</v>
      </c>
      <c r="J144" s="11" t="s">
        <v>951</v>
      </c>
      <c r="K144" s="11" t="s">
        <v>50</v>
      </c>
      <c r="L144" s="23">
        <v>287810418</v>
      </c>
      <c r="M144" s="14">
        <v>149871483</v>
      </c>
      <c r="N144" s="14">
        <v>137938935</v>
      </c>
      <c r="O144" s="14">
        <v>272706610</v>
      </c>
      <c r="P144" s="14">
        <v>22413049</v>
      </c>
      <c r="Q144" s="14">
        <v>21027374</v>
      </c>
      <c r="R144" s="14">
        <v>17206656</v>
      </c>
      <c r="AB144" s="74">
        <f t="shared" si="215"/>
        <v>0</v>
      </c>
      <c r="AC144" s="75" t="e">
        <f t="shared" si="191"/>
        <v>#DIV/0!</v>
      </c>
      <c r="AD144" s="75" t="e">
        <f t="shared" si="216"/>
        <v>#DIV/0!</v>
      </c>
      <c r="AE144" s="76" t="e">
        <f t="shared" ref="AE144:AE178" si="219">AD144*0.03</f>
        <v>#DIV/0!</v>
      </c>
      <c r="AF144" s="77" t="e">
        <f t="shared" si="192"/>
        <v>#DIV/0!</v>
      </c>
      <c r="AG144" s="77" t="e">
        <f t="shared" si="193"/>
        <v>#DIV/0!</v>
      </c>
      <c r="AH144" s="77" t="e">
        <f t="shared" si="217"/>
        <v>#DIV/0!</v>
      </c>
      <c r="AI144" s="78" t="e">
        <f t="shared" si="218"/>
        <v>#DIV/0!</v>
      </c>
      <c r="AJ144" s="79" t="e">
        <f t="shared" ref="AJ144:AJ178" si="220">AI144*0.04</f>
        <v>#DIV/0!</v>
      </c>
      <c r="AN144" s="81">
        <f t="shared" si="178"/>
        <v>0</v>
      </c>
      <c r="AO144" s="82" t="e">
        <f t="shared" si="179"/>
        <v>#DIV/0!</v>
      </c>
      <c r="AP144" s="83" t="e">
        <f t="shared" si="194"/>
        <v>#DIV/0!</v>
      </c>
      <c r="AQ144" s="84" t="e">
        <f t="shared" ref="AQ144:AQ178" si="221">AP144*0.02</f>
        <v>#DIV/0!</v>
      </c>
      <c r="AS144" s="86">
        <f t="shared" si="180"/>
        <v>0.25</v>
      </c>
      <c r="AT144" s="87">
        <f t="shared" si="195"/>
        <v>0</v>
      </c>
      <c r="AU144" s="87">
        <f t="shared" si="196"/>
        <v>0</v>
      </c>
      <c r="AV144" s="88" t="e">
        <f t="shared" si="181"/>
        <v>#DIV/0!</v>
      </c>
      <c r="AW144" s="78" t="e">
        <f t="shared" si="197"/>
        <v>#DIV/0!</v>
      </c>
      <c r="AX144" s="89" t="e">
        <f t="shared" ref="AX144:AX178" si="222">AW144*0.01</f>
        <v>#DIV/0!</v>
      </c>
      <c r="BA144" s="91">
        <f t="shared" si="182"/>
        <v>0</v>
      </c>
      <c r="BB144" s="77" t="e">
        <f t="shared" si="198"/>
        <v>#DIV/0!</v>
      </c>
      <c r="BC144" s="78" t="e">
        <f t="shared" si="199"/>
        <v>#DIV/0!</v>
      </c>
      <c r="BD144" s="79" t="e">
        <f t="shared" ref="BD144:BD178" si="223">BC144*0.01</f>
        <v>#DIV/0!</v>
      </c>
      <c r="BE144" s="92"/>
      <c r="BF144" s="92"/>
      <c r="BG144" s="114">
        <v>240192</v>
      </c>
      <c r="BH144" s="94">
        <f t="shared" si="183"/>
        <v>0</v>
      </c>
      <c r="BI144" s="77" t="e">
        <f t="shared" si="184"/>
        <v>#DIV/0!</v>
      </c>
      <c r="BJ144" s="95" t="str">
        <f t="shared" si="200"/>
        <v>금속/비금속/화학업</v>
      </c>
      <c r="BK144" s="96" t="e">
        <f t="shared" si="185"/>
        <v>#DIV/0!</v>
      </c>
      <c r="BL144" s="97" t="e">
        <f t="shared" si="201"/>
        <v>#DIV/0!</v>
      </c>
      <c r="BM144" s="98" t="e">
        <f t="shared" si="202"/>
        <v>#DIV/0!</v>
      </c>
      <c r="BN144" s="99" t="e">
        <f t="shared" si="203"/>
        <v>#DIV/0!</v>
      </c>
      <c r="BP144" s="101">
        <f t="shared" si="204"/>
        <v>0</v>
      </c>
      <c r="BQ144" s="78">
        <f t="shared" si="205"/>
        <v>25</v>
      </c>
      <c r="BR144" s="79">
        <f t="shared" ref="BR144:BR178" si="224">BQ144*0.02</f>
        <v>0.5</v>
      </c>
      <c r="BS144" s="102"/>
      <c r="BT144" s="102"/>
      <c r="BU144" s="103">
        <f t="shared" si="206"/>
        <v>0</v>
      </c>
      <c r="BV144" s="77">
        <f t="shared" si="186"/>
        <v>0</v>
      </c>
      <c r="BW144" s="96">
        <f t="shared" si="187"/>
        <v>0</v>
      </c>
      <c r="BX144" s="96">
        <f t="shared" si="207"/>
        <v>0</v>
      </c>
      <c r="BY144" s="96">
        <f t="shared" si="188"/>
        <v>0</v>
      </c>
      <c r="BZ144" s="96" t="e">
        <f t="shared" si="208"/>
        <v>#NUM!</v>
      </c>
      <c r="CA144" s="96" t="e">
        <f t="shared" si="189"/>
        <v>#NUM!</v>
      </c>
      <c r="CB144" s="104" t="e">
        <f t="shared" si="209"/>
        <v>#NUM!</v>
      </c>
      <c r="CC144" s="105">
        <f t="shared" ref="CC144:CC178" si="225">(M144/N144)*100</f>
        <v>108.65060180434189</v>
      </c>
      <c r="CD144" s="106">
        <f t="shared" ref="CD144:CD178" si="226">IF((100-(75*(CC144-1)/(200-1)))&gt;100, 100, IF((100-(75*(CC144-1)/(200-1)))&lt;25, 25, (100-(75*(CC144-1)/(200-1)))))</f>
        <v>59.428165149117383</v>
      </c>
      <c r="CE144" s="107">
        <f t="shared" ref="CE144:CE178" si="227">CD144*0.015</f>
        <v>0.89142247723676071</v>
      </c>
      <c r="CF144" s="108" t="s">
        <v>2189</v>
      </c>
      <c r="CG144" s="108" t="s">
        <v>2189</v>
      </c>
      <c r="CH144" s="108" t="s">
        <v>2189</v>
      </c>
      <c r="CI144" s="108" t="s">
        <v>2189</v>
      </c>
      <c r="CJ144" s="109"/>
      <c r="CM144" s="111">
        <f t="shared" si="210"/>
        <v>25</v>
      </c>
      <c r="CN144" s="107">
        <f t="shared" ref="CN144:CN178" si="228">CM144*0.015</f>
        <v>0.375</v>
      </c>
      <c r="CP144" s="88">
        <f t="shared" si="211"/>
        <v>0</v>
      </c>
      <c r="CQ144" s="78">
        <f t="shared" si="212"/>
        <v>100</v>
      </c>
      <c r="CR144" s="79">
        <f t="shared" ref="CR144:CR178" si="229">CQ144*0.03</f>
        <v>3</v>
      </c>
      <c r="CS144" s="92"/>
      <c r="CT144" s="77">
        <f t="shared" si="190"/>
        <v>0</v>
      </c>
      <c r="CU144" s="78">
        <f t="shared" si="213"/>
        <v>100</v>
      </c>
      <c r="CV144" s="79">
        <f t="shared" ref="CV144:CV178" si="230">CU144*0.02</f>
        <v>2</v>
      </c>
      <c r="CW144" s="112" t="e">
        <f t="shared" si="214"/>
        <v>#DIV/0!</v>
      </c>
    </row>
    <row r="145" spans="1:101" x14ac:dyDescent="0.35">
      <c r="A145" s="7" t="s">
        <v>952</v>
      </c>
      <c r="B145" s="8" t="s">
        <v>953</v>
      </c>
      <c r="C145" s="21" t="s">
        <v>954</v>
      </c>
      <c r="D145" s="10" t="s">
        <v>31</v>
      </c>
      <c r="E145" s="11" t="s">
        <v>46</v>
      </c>
      <c r="F145" s="11" t="s">
        <v>955</v>
      </c>
      <c r="G145" s="12">
        <v>40882</v>
      </c>
      <c r="H145" s="11" t="s">
        <v>24</v>
      </c>
      <c r="I145" s="11" t="s">
        <v>956</v>
      </c>
      <c r="J145" s="11" t="s">
        <v>957</v>
      </c>
      <c r="K145" s="11" t="s">
        <v>27</v>
      </c>
      <c r="L145" s="23">
        <v>2278458050</v>
      </c>
      <c r="M145" s="14">
        <v>1056955250</v>
      </c>
      <c r="N145" s="14">
        <v>1221502799</v>
      </c>
      <c r="O145" s="14">
        <v>1998768182</v>
      </c>
      <c r="P145" s="14">
        <v>37795019</v>
      </c>
      <c r="Q145" s="14">
        <v>66850204</v>
      </c>
      <c r="R145" s="14">
        <v>55711450</v>
      </c>
      <c r="AB145" s="74">
        <f t="shared" si="215"/>
        <v>0</v>
      </c>
      <c r="AC145" s="75" t="e">
        <f t="shared" si="191"/>
        <v>#DIV/0!</v>
      </c>
      <c r="AD145" s="75" t="e">
        <f t="shared" si="216"/>
        <v>#DIV/0!</v>
      </c>
      <c r="AE145" s="76" t="e">
        <f t="shared" si="219"/>
        <v>#DIV/0!</v>
      </c>
      <c r="AF145" s="77" t="e">
        <f t="shared" si="192"/>
        <v>#DIV/0!</v>
      </c>
      <c r="AG145" s="77" t="e">
        <f t="shared" si="193"/>
        <v>#DIV/0!</v>
      </c>
      <c r="AH145" s="77" t="e">
        <f t="shared" si="217"/>
        <v>#DIV/0!</v>
      </c>
      <c r="AI145" s="78" t="e">
        <f t="shared" si="218"/>
        <v>#DIV/0!</v>
      </c>
      <c r="AJ145" s="79" t="e">
        <f t="shared" si="220"/>
        <v>#DIV/0!</v>
      </c>
      <c r="AM145" s="80"/>
      <c r="AN145" s="81">
        <f t="shared" si="178"/>
        <v>0</v>
      </c>
      <c r="AO145" s="82" t="e">
        <f t="shared" si="179"/>
        <v>#DIV/0!</v>
      </c>
      <c r="AP145" s="83" t="e">
        <f t="shared" si="194"/>
        <v>#DIV/0!</v>
      </c>
      <c r="AQ145" s="84" t="e">
        <f t="shared" si="221"/>
        <v>#DIV/0!</v>
      </c>
      <c r="AS145" s="86">
        <f t="shared" si="180"/>
        <v>0.5</v>
      </c>
      <c r="AT145" s="87">
        <f t="shared" si="195"/>
        <v>0</v>
      </c>
      <c r="AU145" s="87">
        <f t="shared" si="196"/>
        <v>0</v>
      </c>
      <c r="AV145" s="88" t="e">
        <f t="shared" si="181"/>
        <v>#DIV/0!</v>
      </c>
      <c r="AW145" s="78" t="e">
        <f t="shared" si="197"/>
        <v>#DIV/0!</v>
      </c>
      <c r="AX145" s="89" t="e">
        <f t="shared" si="222"/>
        <v>#DIV/0!</v>
      </c>
      <c r="BA145" s="91">
        <f t="shared" si="182"/>
        <v>0</v>
      </c>
      <c r="BB145" s="77" t="e">
        <f t="shared" si="198"/>
        <v>#DIV/0!</v>
      </c>
      <c r="BC145" s="78" t="e">
        <f t="shared" si="199"/>
        <v>#DIV/0!</v>
      </c>
      <c r="BD145" s="79" t="e">
        <f t="shared" si="223"/>
        <v>#DIV/0!</v>
      </c>
      <c r="BE145" s="92"/>
      <c r="BF145" s="92"/>
      <c r="BG145" s="93">
        <v>0</v>
      </c>
      <c r="BH145" s="94">
        <f t="shared" si="183"/>
        <v>0</v>
      </c>
      <c r="BI145" s="77" t="e">
        <f t="shared" si="184"/>
        <v>#DIV/0!</v>
      </c>
      <c r="BJ145" s="95" t="str">
        <f t="shared" si="200"/>
        <v>식약/섬유/종이업</v>
      </c>
      <c r="BK145" s="96" t="e">
        <f t="shared" si="185"/>
        <v>#DIV/0!</v>
      </c>
      <c r="BL145" s="97" t="e">
        <f t="shared" si="201"/>
        <v>#DIV/0!</v>
      </c>
      <c r="BM145" s="98" t="e">
        <f t="shared" si="202"/>
        <v>#DIV/0!</v>
      </c>
      <c r="BN145" s="99" t="e">
        <f t="shared" si="203"/>
        <v>#DIV/0!</v>
      </c>
      <c r="BP145" s="101">
        <f t="shared" si="204"/>
        <v>0</v>
      </c>
      <c r="BQ145" s="78">
        <f t="shared" si="205"/>
        <v>25</v>
      </c>
      <c r="BR145" s="79">
        <f t="shared" si="224"/>
        <v>0.5</v>
      </c>
      <c r="BS145" s="102"/>
      <c r="BT145" s="102"/>
      <c r="BU145" s="103">
        <f t="shared" si="206"/>
        <v>0</v>
      </c>
      <c r="BV145" s="77">
        <f t="shared" si="186"/>
        <v>0</v>
      </c>
      <c r="BW145" s="96">
        <f t="shared" si="187"/>
        <v>0</v>
      </c>
      <c r="BX145" s="96">
        <f t="shared" si="207"/>
        <v>0</v>
      </c>
      <c r="BY145" s="96">
        <f t="shared" si="188"/>
        <v>0</v>
      </c>
      <c r="BZ145" s="96" t="e">
        <f t="shared" si="208"/>
        <v>#NUM!</v>
      </c>
      <c r="CA145" s="96" t="e">
        <f t="shared" si="189"/>
        <v>#NUM!</v>
      </c>
      <c r="CB145" s="104" t="e">
        <f t="shared" si="209"/>
        <v>#NUM!</v>
      </c>
      <c r="CC145" s="105">
        <f t="shared" si="225"/>
        <v>86.529089484304976</v>
      </c>
      <c r="CD145" s="106">
        <f t="shared" si="226"/>
        <v>67.765418536065965</v>
      </c>
      <c r="CE145" s="107">
        <f t="shared" si="227"/>
        <v>1.0164812780409895</v>
      </c>
      <c r="CF145" s="108" t="s">
        <v>2189</v>
      </c>
      <c r="CG145" s="108" t="s">
        <v>2189</v>
      </c>
      <c r="CH145" s="108" t="s">
        <v>2189</v>
      </c>
      <c r="CI145" s="108" t="s">
        <v>2189</v>
      </c>
      <c r="CJ145" s="109"/>
      <c r="CM145" s="111">
        <f t="shared" si="210"/>
        <v>25</v>
      </c>
      <c r="CN145" s="107">
        <f t="shared" si="228"/>
        <v>0.375</v>
      </c>
      <c r="CP145" s="88">
        <f t="shared" si="211"/>
        <v>0</v>
      </c>
      <c r="CQ145" s="78">
        <f t="shared" si="212"/>
        <v>100</v>
      </c>
      <c r="CR145" s="79">
        <f t="shared" si="229"/>
        <v>3</v>
      </c>
      <c r="CS145" s="92"/>
      <c r="CT145" s="77">
        <f t="shared" si="190"/>
        <v>0</v>
      </c>
      <c r="CU145" s="78">
        <f t="shared" si="213"/>
        <v>100</v>
      </c>
      <c r="CV145" s="79">
        <f t="shared" si="230"/>
        <v>2</v>
      </c>
      <c r="CW145" s="112" t="e">
        <f t="shared" si="214"/>
        <v>#DIV/0!</v>
      </c>
    </row>
    <row r="146" spans="1:101" x14ac:dyDescent="0.35">
      <c r="A146" s="7" t="s">
        <v>958</v>
      </c>
      <c r="B146" s="8" t="s">
        <v>959</v>
      </c>
      <c r="C146" s="21" t="s">
        <v>960</v>
      </c>
      <c r="D146" s="10" t="s">
        <v>31</v>
      </c>
      <c r="E146" s="11" t="s">
        <v>46</v>
      </c>
      <c r="F146" s="11" t="s">
        <v>961</v>
      </c>
      <c r="G146" s="12">
        <v>27575</v>
      </c>
      <c r="H146" s="11" t="s">
        <v>24</v>
      </c>
      <c r="I146" s="11" t="s">
        <v>962</v>
      </c>
      <c r="J146" s="11" t="s">
        <v>963</v>
      </c>
      <c r="K146" s="11" t="s">
        <v>27</v>
      </c>
      <c r="L146" s="23">
        <v>857127709</v>
      </c>
      <c r="M146" s="14">
        <v>439493133</v>
      </c>
      <c r="N146" s="14">
        <v>417634577</v>
      </c>
      <c r="O146" s="14">
        <v>833227370</v>
      </c>
      <c r="P146" s="14">
        <v>86234040</v>
      </c>
      <c r="Q146" s="14">
        <v>96322163</v>
      </c>
      <c r="R146" s="14">
        <v>75455528</v>
      </c>
      <c r="AB146" s="74">
        <f t="shared" si="215"/>
        <v>0</v>
      </c>
      <c r="AC146" s="75" t="e">
        <f t="shared" si="191"/>
        <v>#DIV/0!</v>
      </c>
      <c r="AD146" s="75" t="e">
        <f t="shared" si="216"/>
        <v>#DIV/0!</v>
      </c>
      <c r="AE146" s="76" t="e">
        <f t="shared" si="219"/>
        <v>#DIV/0!</v>
      </c>
      <c r="AF146" s="77" t="e">
        <f t="shared" si="192"/>
        <v>#DIV/0!</v>
      </c>
      <c r="AG146" s="77" t="e">
        <f t="shared" si="193"/>
        <v>#DIV/0!</v>
      </c>
      <c r="AH146" s="77" t="e">
        <f t="shared" si="217"/>
        <v>#DIV/0!</v>
      </c>
      <c r="AI146" s="78" t="e">
        <f t="shared" si="218"/>
        <v>#DIV/0!</v>
      </c>
      <c r="AJ146" s="79" t="e">
        <f t="shared" si="220"/>
        <v>#DIV/0!</v>
      </c>
      <c r="AN146" s="81">
        <f t="shared" si="178"/>
        <v>0</v>
      </c>
      <c r="AO146" s="82" t="e">
        <f t="shared" si="179"/>
        <v>#DIV/0!</v>
      </c>
      <c r="AP146" s="83" t="e">
        <f t="shared" si="194"/>
        <v>#DIV/0!</v>
      </c>
      <c r="AQ146" s="84" t="e">
        <f t="shared" si="221"/>
        <v>#DIV/0!</v>
      </c>
      <c r="AS146" s="86">
        <f t="shared" si="180"/>
        <v>0.25</v>
      </c>
      <c r="AT146" s="87">
        <f t="shared" si="195"/>
        <v>0</v>
      </c>
      <c r="AU146" s="87">
        <f t="shared" si="196"/>
        <v>0</v>
      </c>
      <c r="AV146" s="88" t="e">
        <f t="shared" si="181"/>
        <v>#DIV/0!</v>
      </c>
      <c r="AW146" s="78" t="e">
        <f t="shared" si="197"/>
        <v>#DIV/0!</v>
      </c>
      <c r="AX146" s="89" t="e">
        <f t="shared" si="222"/>
        <v>#DIV/0!</v>
      </c>
      <c r="BA146" s="91">
        <f t="shared" si="182"/>
        <v>0</v>
      </c>
      <c r="BB146" s="77" t="e">
        <f t="shared" si="198"/>
        <v>#DIV/0!</v>
      </c>
      <c r="BC146" s="78" t="e">
        <f t="shared" si="199"/>
        <v>#DIV/0!</v>
      </c>
      <c r="BD146" s="79" t="e">
        <f t="shared" si="223"/>
        <v>#DIV/0!</v>
      </c>
      <c r="BE146" s="92"/>
      <c r="BF146" s="92"/>
      <c r="BG146" s="93">
        <v>0</v>
      </c>
      <c r="BH146" s="94">
        <f t="shared" si="183"/>
        <v>0</v>
      </c>
      <c r="BI146" s="77" t="e">
        <f t="shared" si="184"/>
        <v>#DIV/0!</v>
      </c>
      <c r="BJ146" s="95" t="str">
        <f t="shared" si="200"/>
        <v>식약/섬유/종이업</v>
      </c>
      <c r="BK146" s="96" t="e">
        <f t="shared" si="185"/>
        <v>#DIV/0!</v>
      </c>
      <c r="BL146" s="97" t="e">
        <f t="shared" si="201"/>
        <v>#DIV/0!</v>
      </c>
      <c r="BM146" s="98" t="e">
        <f t="shared" si="202"/>
        <v>#DIV/0!</v>
      </c>
      <c r="BN146" s="99" t="e">
        <f t="shared" si="203"/>
        <v>#DIV/0!</v>
      </c>
      <c r="BP146" s="101">
        <f t="shared" si="204"/>
        <v>0</v>
      </c>
      <c r="BQ146" s="78">
        <f t="shared" si="205"/>
        <v>25</v>
      </c>
      <c r="BR146" s="79">
        <f t="shared" si="224"/>
        <v>0.5</v>
      </c>
      <c r="BS146" s="102"/>
      <c r="BT146" s="102"/>
      <c r="BU146" s="103">
        <f t="shared" si="206"/>
        <v>0</v>
      </c>
      <c r="BV146" s="77">
        <f t="shared" si="186"/>
        <v>0</v>
      </c>
      <c r="BW146" s="96">
        <f t="shared" si="187"/>
        <v>0</v>
      </c>
      <c r="BX146" s="96">
        <f t="shared" si="207"/>
        <v>0</v>
      </c>
      <c r="BY146" s="96">
        <f t="shared" si="188"/>
        <v>0</v>
      </c>
      <c r="BZ146" s="96" t="e">
        <f t="shared" si="208"/>
        <v>#NUM!</v>
      </c>
      <c r="CA146" s="96" t="e">
        <f t="shared" si="189"/>
        <v>#NUM!</v>
      </c>
      <c r="CB146" s="104" t="e">
        <f t="shared" si="209"/>
        <v>#NUM!</v>
      </c>
      <c r="CC146" s="105">
        <f t="shared" si="225"/>
        <v>105.23389518104962</v>
      </c>
      <c r="CD146" s="106">
        <f t="shared" si="226"/>
        <v>60.715868650358182</v>
      </c>
      <c r="CE146" s="107">
        <f t="shared" si="227"/>
        <v>0.91073802975537266</v>
      </c>
      <c r="CF146" s="108" t="s">
        <v>2189</v>
      </c>
      <c r="CG146" s="108" t="s">
        <v>2189</v>
      </c>
      <c r="CH146" s="108" t="s">
        <v>2189</v>
      </c>
      <c r="CI146" s="108" t="s">
        <v>2189</v>
      </c>
      <c r="CJ146" s="109"/>
      <c r="CM146" s="111">
        <f t="shared" si="210"/>
        <v>25</v>
      </c>
      <c r="CN146" s="107">
        <f t="shared" si="228"/>
        <v>0.375</v>
      </c>
      <c r="CP146" s="88">
        <f t="shared" si="211"/>
        <v>0</v>
      </c>
      <c r="CQ146" s="78">
        <f t="shared" si="212"/>
        <v>100</v>
      </c>
      <c r="CR146" s="79">
        <f t="shared" si="229"/>
        <v>3</v>
      </c>
      <c r="CS146" s="92"/>
      <c r="CT146" s="77">
        <f t="shared" si="190"/>
        <v>0</v>
      </c>
      <c r="CU146" s="78">
        <f t="shared" si="213"/>
        <v>100</v>
      </c>
      <c r="CV146" s="79">
        <f t="shared" si="230"/>
        <v>2</v>
      </c>
      <c r="CW146" s="112" t="e">
        <f t="shared" si="214"/>
        <v>#DIV/0!</v>
      </c>
    </row>
    <row r="147" spans="1:101" x14ac:dyDescent="0.35">
      <c r="A147" s="7" t="s">
        <v>964</v>
      </c>
      <c r="B147" s="8" t="s">
        <v>965</v>
      </c>
      <c r="C147" s="21" t="s">
        <v>966</v>
      </c>
      <c r="D147" s="10" t="s">
        <v>31</v>
      </c>
      <c r="E147" s="11" t="s">
        <v>967</v>
      </c>
      <c r="F147" s="11" t="s">
        <v>968</v>
      </c>
      <c r="G147" s="12">
        <v>32822</v>
      </c>
      <c r="H147" s="11" t="s">
        <v>24</v>
      </c>
      <c r="I147" s="11" t="s">
        <v>969</v>
      </c>
      <c r="J147" s="11" t="s">
        <v>970</v>
      </c>
      <c r="K147" s="11" t="s">
        <v>27</v>
      </c>
      <c r="L147" s="23">
        <v>443969944</v>
      </c>
      <c r="M147" s="14">
        <v>38559474</v>
      </c>
      <c r="N147" s="14">
        <v>405410470</v>
      </c>
      <c r="O147" s="14">
        <v>177572920</v>
      </c>
      <c r="P147" s="14">
        <v>14182631</v>
      </c>
      <c r="Q147" s="14">
        <v>16901598</v>
      </c>
      <c r="R147" s="14">
        <v>12822855</v>
      </c>
      <c r="AB147" s="74">
        <f t="shared" si="215"/>
        <v>0</v>
      </c>
      <c r="AC147" s="75" t="e">
        <f t="shared" si="191"/>
        <v>#DIV/0!</v>
      </c>
      <c r="AD147" s="75" t="e">
        <f t="shared" si="216"/>
        <v>#DIV/0!</v>
      </c>
      <c r="AE147" s="76" t="e">
        <f t="shared" si="219"/>
        <v>#DIV/0!</v>
      </c>
      <c r="AF147" s="77" t="e">
        <f t="shared" si="192"/>
        <v>#DIV/0!</v>
      </c>
      <c r="AG147" s="77" t="e">
        <f t="shared" si="193"/>
        <v>#DIV/0!</v>
      </c>
      <c r="AH147" s="77" t="e">
        <f t="shared" si="217"/>
        <v>#DIV/0!</v>
      </c>
      <c r="AI147" s="78" t="e">
        <f t="shared" si="218"/>
        <v>#DIV/0!</v>
      </c>
      <c r="AJ147" s="79" t="e">
        <f t="shared" si="220"/>
        <v>#DIV/0!</v>
      </c>
      <c r="AN147" s="81">
        <f t="shared" si="178"/>
        <v>0</v>
      </c>
      <c r="AO147" s="82" t="e">
        <f t="shared" si="179"/>
        <v>#DIV/0!</v>
      </c>
      <c r="AP147" s="83" t="e">
        <f t="shared" si="194"/>
        <v>#DIV/0!</v>
      </c>
      <c r="AQ147" s="84" t="e">
        <f t="shared" si="221"/>
        <v>#DIV/0!</v>
      </c>
      <c r="AS147" s="86">
        <f t="shared" si="180"/>
        <v>0.25</v>
      </c>
      <c r="AT147" s="87">
        <f t="shared" si="195"/>
        <v>0</v>
      </c>
      <c r="AU147" s="87">
        <f t="shared" si="196"/>
        <v>0</v>
      </c>
      <c r="AV147" s="88" t="e">
        <f t="shared" si="181"/>
        <v>#DIV/0!</v>
      </c>
      <c r="AW147" s="78" t="e">
        <f t="shared" si="197"/>
        <v>#DIV/0!</v>
      </c>
      <c r="AX147" s="89" t="e">
        <f t="shared" si="222"/>
        <v>#DIV/0!</v>
      </c>
      <c r="BA147" s="91">
        <f t="shared" si="182"/>
        <v>0</v>
      </c>
      <c r="BB147" s="77" t="e">
        <f t="shared" si="198"/>
        <v>#DIV/0!</v>
      </c>
      <c r="BC147" s="78" t="e">
        <f t="shared" si="199"/>
        <v>#DIV/0!</v>
      </c>
      <c r="BD147" s="79" t="e">
        <f t="shared" si="223"/>
        <v>#DIV/0!</v>
      </c>
      <c r="BE147" s="92"/>
      <c r="BF147" s="92"/>
      <c r="BG147" s="114">
        <v>58205</v>
      </c>
      <c r="BH147" s="94">
        <f t="shared" si="183"/>
        <v>0</v>
      </c>
      <c r="BI147" s="77" t="e">
        <f t="shared" si="184"/>
        <v>#DIV/0!</v>
      </c>
      <c r="BJ147" s="95" t="str">
        <f t="shared" si="200"/>
        <v>식약/섬유/종이업</v>
      </c>
      <c r="BK147" s="96" t="e">
        <f t="shared" si="185"/>
        <v>#DIV/0!</v>
      </c>
      <c r="BL147" s="97" t="e">
        <f t="shared" si="201"/>
        <v>#DIV/0!</v>
      </c>
      <c r="BM147" s="98" t="e">
        <f t="shared" si="202"/>
        <v>#DIV/0!</v>
      </c>
      <c r="BN147" s="99" t="e">
        <f t="shared" si="203"/>
        <v>#DIV/0!</v>
      </c>
      <c r="BP147" s="101">
        <f t="shared" si="204"/>
        <v>0</v>
      </c>
      <c r="BQ147" s="78">
        <f t="shared" si="205"/>
        <v>25</v>
      </c>
      <c r="BR147" s="79">
        <f t="shared" si="224"/>
        <v>0.5</v>
      </c>
      <c r="BS147" s="102"/>
      <c r="BT147" s="102"/>
      <c r="BU147" s="103">
        <f t="shared" si="206"/>
        <v>0</v>
      </c>
      <c r="BV147" s="77">
        <f t="shared" si="186"/>
        <v>0</v>
      </c>
      <c r="BW147" s="96">
        <f t="shared" si="187"/>
        <v>0</v>
      </c>
      <c r="BX147" s="96">
        <f t="shared" si="207"/>
        <v>0</v>
      </c>
      <c r="BY147" s="96">
        <f t="shared" si="188"/>
        <v>0</v>
      </c>
      <c r="BZ147" s="96" t="e">
        <f t="shared" si="208"/>
        <v>#NUM!</v>
      </c>
      <c r="CA147" s="96" t="e">
        <f t="shared" si="189"/>
        <v>#NUM!</v>
      </c>
      <c r="CB147" s="104" t="e">
        <f t="shared" si="209"/>
        <v>#NUM!</v>
      </c>
      <c r="CC147" s="105">
        <f t="shared" si="225"/>
        <v>9.51121809952269</v>
      </c>
      <c r="CD147" s="106">
        <f t="shared" si="226"/>
        <v>96.792254485104507</v>
      </c>
      <c r="CE147" s="107">
        <f t="shared" si="227"/>
        <v>1.4518838172765676</v>
      </c>
      <c r="CF147" s="108" t="s">
        <v>2189</v>
      </c>
      <c r="CG147" s="108" t="s">
        <v>2189</v>
      </c>
      <c r="CH147" s="108" t="s">
        <v>2189</v>
      </c>
      <c r="CI147" s="108" t="s">
        <v>2189</v>
      </c>
      <c r="CJ147" s="109"/>
      <c r="CM147" s="111">
        <f t="shared" si="210"/>
        <v>25</v>
      </c>
      <c r="CN147" s="107">
        <f t="shared" si="228"/>
        <v>0.375</v>
      </c>
      <c r="CP147" s="88">
        <f t="shared" si="211"/>
        <v>0</v>
      </c>
      <c r="CQ147" s="78">
        <f t="shared" si="212"/>
        <v>100</v>
      </c>
      <c r="CR147" s="79">
        <f t="shared" si="229"/>
        <v>3</v>
      </c>
      <c r="CS147" s="92"/>
      <c r="CT147" s="77">
        <f t="shared" si="190"/>
        <v>0</v>
      </c>
      <c r="CU147" s="78">
        <f t="shared" si="213"/>
        <v>100</v>
      </c>
      <c r="CV147" s="79">
        <f t="shared" si="230"/>
        <v>2</v>
      </c>
      <c r="CW147" s="112" t="e">
        <f t="shared" si="214"/>
        <v>#DIV/0!</v>
      </c>
    </row>
    <row r="148" spans="1:101" x14ac:dyDescent="0.35">
      <c r="A148" s="7" t="s">
        <v>971</v>
      </c>
      <c r="B148" s="8" t="s">
        <v>972</v>
      </c>
      <c r="C148" s="21" t="s">
        <v>973</v>
      </c>
      <c r="D148" s="22" t="s">
        <v>75</v>
      </c>
      <c r="E148" s="11" t="s">
        <v>276</v>
      </c>
      <c r="F148" s="11" t="s">
        <v>974</v>
      </c>
      <c r="G148" s="12">
        <v>27941</v>
      </c>
      <c r="H148" s="11" t="s">
        <v>24</v>
      </c>
      <c r="I148" s="11" t="s">
        <v>975</v>
      </c>
      <c r="J148" s="11" t="s">
        <v>976</v>
      </c>
      <c r="K148" s="11" t="s">
        <v>27</v>
      </c>
      <c r="L148" s="23">
        <v>98509521</v>
      </c>
      <c r="M148" s="14">
        <v>46664469</v>
      </c>
      <c r="N148" s="14">
        <v>51845052</v>
      </c>
      <c r="O148" s="14">
        <v>115386329</v>
      </c>
      <c r="P148" s="14">
        <v>2879227</v>
      </c>
      <c r="Q148" s="14">
        <v>2393878</v>
      </c>
      <c r="R148" s="14">
        <v>2701762</v>
      </c>
      <c r="AB148" s="74">
        <f t="shared" si="215"/>
        <v>0</v>
      </c>
      <c r="AC148" s="75" t="e">
        <f t="shared" si="191"/>
        <v>#DIV/0!</v>
      </c>
      <c r="AD148" s="75" t="e">
        <f t="shared" si="216"/>
        <v>#DIV/0!</v>
      </c>
      <c r="AE148" s="76" t="e">
        <f t="shared" si="219"/>
        <v>#DIV/0!</v>
      </c>
      <c r="AF148" s="77" t="e">
        <f t="shared" si="192"/>
        <v>#DIV/0!</v>
      </c>
      <c r="AG148" s="77" t="e">
        <f t="shared" si="193"/>
        <v>#DIV/0!</v>
      </c>
      <c r="AH148" s="77" t="e">
        <f t="shared" si="217"/>
        <v>#DIV/0!</v>
      </c>
      <c r="AI148" s="78" t="e">
        <f t="shared" si="218"/>
        <v>#DIV/0!</v>
      </c>
      <c r="AJ148" s="79" t="e">
        <f t="shared" si="220"/>
        <v>#DIV/0!</v>
      </c>
      <c r="AN148" s="81">
        <f t="shared" si="178"/>
        <v>0</v>
      </c>
      <c r="AO148" s="82" t="e">
        <f t="shared" si="179"/>
        <v>#DIV/0!</v>
      </c>
      <c r="AP148" s="83" t="e">
        <f t="shared" si="194"/>
        <v>#DIV/0!</v>
      </c>
      <c r="AQ148" s="84" t="e">
        <f t="shared" si="221"/>
        <v>#DIV/0!</v>
      </c>
      <c r="AS148" s="86">
        <f t="shared" si="180"/>
        <v>0.25</v>
      </c>
      <c r="AT148" s="87">
        <f t="shared" si="195"/>
        <v>0</v>
      </c>
      <c r="AU148" s="87">
        <f t="shared" si="196"/>
        <v>0</v>
      </c>
      <c r="AV148" s="88" t="e">
        <f t="shared" si="181"/>
        <v>#DIV/0!</v>
      </c>
      <c r="AW148" s="78" t="e">
        <f t="shared" si="197"/>
        <v>#DIV/0!</v>
      </c>
      <c r="AX148" s="89" t="e">
        <f t="shared" si="222"/>
        <v>#DIV/0!</v>
      </c>
      <c r="BA148" s="91">
        <f t="shared" si="182"/>
        <v>0</v>
      </c>
      <c r="BB148" s="77" t="e">
        <f t="shared" si="198"/>
        <v>#DIV/0!</v>
      </c>
      <c r="BC148" s="78" t="e">
        <f t="shared" si="199"/>
        <v>#DIV/0!</v>
      </c>
      <c r="BD148" s="79" t="e">
        <f t="shared" si="223"/>
        <v>#DIV/0!</v>
      </c>
      <c r="BE148" s="92"/>
      <c r="BF148" s="92"/>
      <c r="BG148" s="114">
        <v>41166</v>
      </c>
      <c r="BH148" s="94">
        <f t="shared" si="183"/>
        <v>0</v>
      </c>
      <c r="BI148" s="77" t="e">
        <f t="shared" si="184"/>
        <v>#DIV/0!</v>
      </c>
      <c r="BJ148" s="95" t="str">
        <f t="shared" si="200"/>
        <v>금속/비금속/화학업</v>
      </c>
      <c r="BK148" s="96" t="e">
        <f t="shared" si="185"/>
        <v>#DIV/0!</v>
      </c>
      <c r="BL148" s="97" t="e">
        <f t="shared" si="201"/>
        <v>#DIV/0!</v>
      </c>
      <c r="BM148" s="98" t="e">
        <f t="shared" si="202"/>
        <v>#DIV/0!</v>
      </c>
      <c r="BN148" s="99" t="e">
        <f t="shared" si="203"/>
        <v>#DIV/0!</v>
      </c>
      <c r="BP148" s="101">
        <f t="shared" si="204"/>
        <v>0</v>
      </c>
      <c r="BQ148" s="78">
        <f t="shared" si="205"/>
        <v>25</v>
      </c>
      <c r="BR148" s="79">
        <f t="shared" si="224"/>
        <v>0.5</v>
      </c>
      <c r="BS148" s="102"/>
      <c r="BT148" s="102"/>
      <c r="BU148" s="103">
        <f t="shared" si="206"/>
        <v>0</v>
      </c>
      <c r="BV148" s="77">
        <f t="shared" si="186"/>
        <v>0</v>
      </c>
      <c r="BW148" s="96">
        <f t="shared" si="187"/>
        <v>0</v>
      </c>
      <c r="BX148" s="96">
        <f t="shared" si="207"/>
        <v>0</v>
      </c>
      <c r="BY148" s="96">
        <f t="shared" si="188"/>
        <v>0</v>
      </c>
      <c r="BZ148" s="96" t="e">
        <f t="shared" si="208"/>
        <v>#NUM!</v>
      </c>
      <c r="CA148" s="96" t="e">
        <f t="shared" si="189"/>
        <v>#NUM!</v>
      </c>
      <c r="CB148" s="104" t="e">
        <f t="shared" si="209"/>
        <v>#NUM!</v>
      </c>
      <c r="CC148" s="105">
        <f t="shared" si="225"/>
        <v>90.007565234962044</v>
      </c>
      <c r="CD148" s="106">
        <f t="shared" si="226"/>
        <v>66.454435212953996</v>
      </c>
      <c r="CE148" s="107">
        <f t="shared" si="227"/>
        <v>0.99681652819430988</v>
      </c>
      <c r="CF148" s="108" t="s">
        <v>2189</v>
      </c>
      <c r="CG148" s="108" t="s">
        <v>2189</v>
      </c>
      <c r="CH148" s="108" t="s">
        <v>2189</v>
      </c>
      <c r="CI148" s="108" t="s">
        <v>2189</v>
      </c>
      <c r="CJ148" s="109"/>
      <c r="CM148" s="111">
        <f t="shared" si="210"/>
        <v>25</v>
      </c>
      <c r="CN148" s="107">
        <f t="shared" si="228"/>
        <v>0.375</v>
      </c>
      <c r="CP148" s="88">
        <f t="shared" si="211"/>
        <v>0</v>
      </c>
      <c r="CQ148" s="78">
        <f t="shared" si="212"/>
        <v>100</v>
      </c>
      <c r="CR148" s="79">
        <f t="shared" si="229"/>
        <v>3</v>
      </c>
      <c r="CS148" s="92"/>
      <c r="CT148" s="77">
        <f t="shared" si="190"/>
        <v>0</v>
      </c>
      <c r="CU148" s="78">
        <f t="shared" si="213"/>
        <v>100</v>
      </c>
      <c r="CV148" s="79">
        <f t="shared" si="230"/>
        <v>2</v>
      </c>
      <c r="CW148" s="112" t="e">
        <f t="shared" si="214"/>
        <v>#DIV/0!</v>
      </c>
    </row>
    <row r="149" spans="1:101" x14ac:dyDescent="0.35">
      <c r="A149" s="7" t="s">
        <v>977</v>
      </c>
      <c r="B149" s="8" t="s">
        <v>978</v>
      </c>
      <c r="C149" s="21" t="s">
        <v>979</v>
      </c>
      <c r="D149" s="10" t="s">
        <v>21</v>
      </c>
      <c r="E149" s="11" t="s">
        <v>303</v>
      </c>
      <c r="F149" s="11" t="s">
        <v>980</v>
      </c>
      <c r="G149" s="12">
        <v>32230</v>
      </c>
      <c r="H149" s="11" t="s">
        <v>24</v>
      </c>
      <c r="I149" s="11" t="s">
        <v>981</v>
      </c>
      <c r="J149" s="11" t="s">
        <v>982</v>
      </c>
      <c r="K149" s="11" t="s">
        <v>27</v>
      </c>
      <c r="L149" s="23">
        <v>395346619</v>
      </c>
      <c r="M149" s="14">
        <v>33864968</v>
      </c>
      <c r="N149" s="14">
        <v>361481651</v>
      </c>
      <c r="O149" s="14">
        <v>285742678</v>
      </c>
      <c r="P149" s="14">
        <v>9710082</v>
      </c>
      <c r="Q149" s="14">
        <v>36912471</v>
      </c>
      <c r="R149" s="14">
        <v>33624974</v>
      </c>
      <c r="AB149" s="74">
        <f t="shared" si="215"/>
        <v>0</v>
      </c>
      <c r="AC149" s="75" t="e">
        <f t="shared" si="191"/>
        <v>#DIV/0!</v>
      </c>
      <c r="AD149" s="75" t="e">
        <f t="shared" si="216"/>
        <v>#DIV/0!</v>
      </c>
      <c r="AE149" s="76" t="e">
        <f t="shared" si="219"/>
        <v>#DIV/0!</v>
      </c>
      <c r="AF149" s="77" t="e">
        <f t="shared" si="192"/>
        <v>#DIV/0!</v>
      </c>
      <c r="AG149" s="77" t="e">
        <f t="shared" si="193"/>
        <v>#DIV/0!</v>
      </c>
      <c r="AH149" s="77" t="e">
        <f t="shared" si="217"/>
        <v>#DIV/0!</v>
      </c>
      <c r="AI149" s="78" t="e">
        <f t="shared" si="218"/>
        <v>#DIV/0!</v>
      </c>
      <c r="AJ149" s="79" t="e">
        <f t="shared" si="220"/>
        <v>#DIV/0!</v>
      </c>
      <c r="AN149" s="81">
        <f t="shared" si="178"/>
        <v>0</v>
      </c>
      <c r="AO149" s="82" t="e">
        <f t="shared" si="179"/>
        <v>#DIV/0!</v>
      </c>
      <c r="AP149" s="83" t="e">
        <f t="shared" si="194"/>
        <v>#DIV/0!</v>
      </c>
      <c r="AQ149" s="84" t="e">
        <f t="shared" si="221"/>
        <v>#DIV/0!</v>
      </c>
      <c r="AS149" s="86">
        <f t="shared" si="180"/>
        <v>0.25</v>
      </c>
      <c r="AT149" s="87">
        <f t="shared" si="195"/>
        <v>0</v>
      </c>
      <c r="AU149" s="87">
        <f t="shared" si="196"/>
        <v>0</v>
      </c>
      <c r="AV149" s="88" t="e">
        <f t="shared" si="181"/>
        <v>#DIV/0!</v>
      </c>
      <c r="AW149" s="78" t="e">
        <f t="shared" si="197"/>
        <v>#DIV/0!</v>
      </c>
      <c r="AX149" s="89" t="e">
        <f t="shared" si="222"/>
        <v>#DIV/0!</v>
      </c>
      <c r="BA149" s="91">
        <f t="shared" si="182"/>
        <v>0</v>
      </c>
      <c r="BB149" s="77" t="e">
        <f t="shared" si="198"/>
        <v>#DIV/0!</v>
      </c>
      <c r="BC149" s="78" t="e">
        <f t="shared" si="199"/>
        <v>#DIV/0!</v>
      </c>
      <c r="BD149" s="79" t="e">
        <f t="shared" si="223"/>
        <v>#DIV/0!</v>
      </c>
      <c r="BE149" s="92"/>
      <c r="BF149" s="92"/>
      <c r="BG149" s="114">
        <v>164487</v>
      </c>
      <c r="BH149" s="94">
        <f t="shared" si="183"/>
        <v>0</v>
      </c>
      <c r="BI149" s="77" t="e">
        <f t="shared" si="184"/>
        <v>#DIV/0!</v>
      </c>
      <c r="BJ149" s="95" t="str">
        <f t="shared" si="200"/>
        <v>비제조/서비스업</v>
      </c>
      <c r="BK149" s="96" t="e">
        <f t="shared" si="185"/>
        <v>#DIV/0!</v>
      </c>
      <c r="BL149" s="97" t="e">
        <f t="shared" si="201"/>
        <v>#DIV/0!</v>
      </c>
      <c r="BM149" s="98" t="e">
        <f t="shared" si="202"/>
        <v>#DIV/0!</v>
      </c>
      <c r="BN149" s="99" t="e">
        <f t="shared" si="203"/>
        <v>#DIV/0!</v>
      </c>
      <c r="BP149" s="101">
        <f t="shared" si="204"/>
        <v>0</v>
      </c>
      <c r="BQ149" s="78">
        <f t="shared" si="205"/>
        <v>25</v>
      </c>
      <c r="BR149" s="79">
        <f t="shared" si="224"/>
        <v>0.5</v>
      </c>
      <c r="BS149" s="102"/>
      <c r="BT149" s="102"/>
      <c r="BU149" s="103">
        <f t="shared" si="206"/>
        <v>0</v>
      </c>
      <c r="BV149" s="77">
        <f t="shared" si="186"/>
        <v>0</v>
      </c>
      <c r="BW149" s="96">
        <f t="shared" si="187"/>
        <v>0</v>
      </c>
      <c r="BX149" s="96">
        <f t="shared" si="207"/>
        <v>0</v>
      </c>
      <c r="BY149" s="96">
        <f t="shared" si="188"/>
        <v>0</v>
      </c>
      <c r="BZ149" s="96" t="e">
        <f t="shared" si="208"/>
        <v>#NUM!</v>
      </c>
      <c r="CA149" s="96" t="e">
        <f t="shared" si="189"/>
        <v>#NUM!</v>
      </c>
      <c r="CB149" s="104" t="e">
        <f t="shared" si="209"/>
        <v>#NUM!</v>
      </c>
      <c r="CC149" s="105">
        <f t="shared" si="225"/>
        <v>9.3683781476365997</v>
      </c>
      <c r="CD149" s="106">
        <f t="shared" si="226"/>
        <v>96.846088637825403</v>
      </c>
      <c r="CE149" s="107">
        <f t="shared" si="227"/>
        <v>1.4526913295673809</v>
      </c>
      <c r="CF149" s="108" t="s">
        <v>2189</v>
      </c>
      <c r="CG149" s="108" t="s">
        <v>2189</v>
      </c>
      <c r="CH149" s="108" t="s">
        <v>2189</v>
      </c>
      <c r="CI149" s="108" t="s">
        <v>2189</v>
      </c>
      <c r="CJ149" s="109"/>
      <c r="CM149" s="111">
        <f t="shared" si="210"/>
        <v>25</v>
      </c>
      <c r="CN149" s="107">
        <f t="shared" si="228"/>
        <v>0.375</v>
      </c>
      <c r="CP149" s="88">
        <f t="shared" si="211"/>
        <v>0</v>
      </c>
      <c r="CQ149" s="78">
        <f t="shared" si="212"/>
        <v>100</v>
      </c>
      <c r="CR149" s="79">
        <f t="shared" si="229"/>
        <v>3</v>
      </c>
      <c r="CS149" s="92"/>
      <c r="CT149" s="77">
        <f t="shared" si="190"/>
        <v>0</v>
      </c>
      <c r="CU149" s="78">
        <f t="shared" si="213"/>
        <v>100</v>
      </c>
      <c r="CV149" s="79">
        <f t="shared" si="230"/>
        <v>2</v>
      </c>
      <c r="CW149" s="112" t="e">
        <f t="shared" si="214"/>
        <v>#DIV/0!</v>
      </c>
    </row>
    <row r="150" spans="1:101" x14ac:dyDescent="0.35">
      <c r="A150" s="7" t="s">
        <v>983</v>
      </c>
      <c r="B150" s="8" t="s">
        <v>984</v>
      </c>
      <c r="C150" s="21" t="s">
        <v>985</v>
      </c>
      <c r="D150" s="10" t="s">
        <v>141</v>
      </c>
      <c r="E150" s="11" t="s">
        <v>241</v>
      </c>
      <c r="F150" s="11" t="s">
        <v>986</v>
      </c>
      <c r="G150" s="12">
        <v>28122</v>
      </c>
      <c r="H150" s="11" t="s">
        <v>24</v>
      </c>
      <c r="I150" s="11" t="s">
        <v>987</v>
      </c>
      <c r="J150" s="11" t="s">
        <v>988</v>
      </c>
      <c r="K150" s="11" t="s">
        <v>50</v>
      </c>
      <c r="L150" s="23">
        <v>486680110</v>
      </c>
      <c r="M150" s="14">
        <v>12024987</v>
      </c>
      <c r="N150" s="14">
        <v>474655123</v>
      </c>
      <c r="O150" s="14">
        <v>196500716</v>
      </c>
      <c r="P150" s="14">
        <v>14583438</v>
      </c>
      <c r="Q150" s="14">
        <v>24138425</v>
      </c>
      <c r="R150" s="14">
        <v>18484244</v>
      </c>
      <c r="AB150" s="74">
        <f t="shared" si="215"/>
        <v>0</v>
      </c>
      <c r="AC150" s="75" t="e">
        <f t="shared" si="191"/>
        <v>#DIV/0!</v>
      </c>
      <c r="AD150" s="75" t="e">
        <f t="shared" si="216"/>
        <v>#DIV/0!</v>
      </c>
      <c r="AE150" s="76" t="e">
        <f t="shared" si="219"/>
        <v>#DIV/0!</v>
      </c>
      <c r="AF150" s="77" t="e">
        <f t="shared" si="192"/>
        <v>#DIV/0!</v>
      </c>
      <c r="AG150" s="77" t="e">
        <f t="shared" si="193"/>
        <v>#DIV/0!</v>
      </c>
      <c r="AH150" s="77" t="e">
        <f t="shared" si="217"/>
        <v>#DIV/0!</v>
      </c>
      <c r="AI150" s="78" t="e">
        <f t="shared" si="218"/>
        <v>#DIV/0!</v>
      </c>
      <c r="AJ150" s="79" t="e">
        <f t="shared" si="220"/>
        <v>#DIV/0!</v>
      </c>
      <c r="AN150" s="81">
        <f t="shared" si="178"/>
        <v>0</v>
      </c>
      <c r="AO150" s="82" t="e">
        <f t="shared" si="179"/>
        <v>#DIV/0!</v>
      </c>
      <c r="AP150" s="83" t="e">
        <f t="shared" si="194"/>
        <v>#DIV/0!</v>
      </c>
      <c r="AQ150" s="84" t="e">
        <f t="shared" si="221"/>
        <v>#DIV/0!</v>
      </c>
      <c r="AS150" s="86">
        <f t="shared" si="180"/>
        <v>0.25</v>
      </c>
      <c r="AT150" s="87">
        <f t="shared" si="195"/>
        <v>0</v>
      </c>
      <c r="AU150" s="87">
        <f t="shared" si="196"/>
        <v>0</v>
      </c>
      <c r="AV150" s="88" t="e">
        <f t="shared" si="181"/>
        <v>#DIV/0!</v>
      </c>
      <c r="AW150" s="78" t="e">
        <f t="shared" si="197"/>
        <v>#DIV/0!</v>
      </c>
      <c r="AX150" s="89" t="e">
        <f t="shared" si="222"/>
        <v>#DIV/0!</v>
      </c>
      <c r="BA150" s="91">
        <f t="shared" si="182"/>
        <v>0</v>
      </c>
      <c r="BB150" s="77" t="e">
        <f t="shared" si="198"/>
        <v>#DIV/0!</v>
      </c>
      <c r="BC150" s="78" t="e">
        <f t="shared" si="199"/>
        <v>#DIV/0!</v>
      </c>
      <c r="BD150" s="79" t="e">
        <f t="shared" si="223"/>
        <v>#DIV/0!</v>
      </c>
      <c r="BE150" s="92"/>
      <c r="BF150" s="92"/>
      <c r="BG150" s="93">
        <v>0</v>
      </c>
      <c r="BH150" s="94">
        <f t="shared" si="183"/>
        <v>0</v>
      </c>
      <c r="BI150" s="77" t="e">
        <f t="shared" si="184"/>
        <v>#DIV/0!</v>
      </c>
      <c r="BJ150" s="95" t="str">
        <f t="shared" si="200"/>
        <v>전기전자/기계업</v>
      </c>
      <c r="BK150" s="96" t="e">
        <f t="shared" si="185"/>
        <v>#DIV/0!</v>
      </c>
      <c r="BL150" s="97" t="e">
        <f t="shared" si="201"/>
        <v>#DIV/0!</v>
      </c>
      <c r="BM150" s="98" t="e">
        <f t="shared" si="202"/>
        <v>#DIV/0!</v>
      </c>
      <c r="BN150" s="99" t="e">
        <f t="shared" si="203"/>
        <v>#DIV/0!</v>
      </c>
      <c r="BP150" s="101">
        <f t="shared" si="204"/>
        <v>0</v>
      </c>
      <c r="BQ150" s="78">
        <f t="shared" si="205"/>
        <v>25</v>
      </c>
      <c r="BR150" s="79">
        <f t="shared" si="224"/>
        <v>0.5</v>
      </c>
      <c r="BS150" s="102"/>
      <c r="BT150" s="102"/>
      <c r="BU150" s="103">
        <f t="shared" si="206"/>
        <v>0</v>
      </c>
      <c r="BV150" s="77">
        <f t="shared" si="186"/>
        <v>0</v>
      </c>
      <c r="BW150" s="96">
        <f t="shared" si="187"/>
        <v>0</v>
      </c>
      <c r="BX150" s="96">
        <f t="shared" si="207"/>
        <v>0</v>
      </c>
      <c r="BY150" s="96">
        <f t="shared" si="188"/>
        <v>0</v>
      </c>
      <c r="BZ150" s="96" t="e">
        <f t="shared" si="208"/>
        <v>#NUM!</v>
      </c>
      <c r="CA150" s="96" t="e">
        <f t="shared" si="189"/>
        <v>#NUM!</v>
      </c>
      <c r="CB150" s="104" t="e">
        <f t="shared" si="209"/>
        <v>#NUM!</v>
      </c>
      <c r="CC150" s="105">
        <f t="shared" si="225"/>
        <v>2.5334156142669504</v>
      </c>
      <c r="CD150" s="106">
        <f t="shared" si="226"/>
        <v>99.422079542361701</v>
      </c>
      <c r="CE150" s="107">
        <f t="shared" si="227"/>
        <v>1.4913311931354254</v>
      </c>
      <c r="CF150" s="108" t="s">
        <v>2189</v>
      </c>
      <c r="CG150" s="108" t="s">
        <v>2189</v>
      </c>
      <c r="CH150" s="108" t="s">
        <v>2189</v>
      </c>
      <c r="CI150" s="108" t="s">
        <v>2189</v>
      </c>
      <c r="CJ150" s="109"/>
      <c r="CM150" s="111">
        <f t="shared" si="210"/>
        <v>25</v>
      </c>
      <c r="CN150" s="107">
        <f t="shared" si="228"/>
        <v>0.375</v>
      </c>
      <c r="CP150" s="88">
        <f t="shared" si="211"/>
        <v>0</v>
      </c>
      <c r="CQ150" s="78">
        <f t="shared" si="212"/>
        <v>100</v>
      </c>
      <c r="CR150" s="79">
        <f t="shared" si="229"/>
        <v>3</v>
      </c>
      <c r="CS150" s="92"/>
      <c r="CT150" s="77">
        <f t="shared" si="190"/>
        <v>0</v>
      </c>
      <c r="CU150" s="78">
        <f t="shared" si="213"/>
        <v>100</v>
      </c>
      <c r="CV150" s="79">
        <f t="shared" si="230"/>
        <v>2</v>
      </c>
      <c r="CW150" s="112" t="e">
        <f t="shared" si="214"/>
        <v>#DIV/0!</v>
      </c>
    </row>
    <row r="151" spans="1:101" x14ac:dyDescent="0.35">
      <c r="A151" s="7" t="s">
        <v>989</v>
      </c>
      <c r="B151" s="8" t="s">
        <v>990</v>
      </c>
      <c r="C151" s="21" t="s">
        <v>991</v>
      </c>
      <c r="D151" s="10" t="s">
        <v>141</v>
      </c>
      <c r="E151" s="11" t="s">
        <v>356</v>
      </c>
      <c r="F151" s="11" t="s">
        <v>992</v>
      </c>
      <c r="G151" s="12">
        <v>40746</v>
      </c>
      <c r="H151" s="11" t="s">
        <v>24</v>
      </c>
      <c r="I151" s="11" t="s">
        <v>993</v>
      </c>
      <c r="J151" s="11" t="s">
        <v>994</v>
      </c>
      <c r="K151" s="11" t="s">
        <v>453</v>
      </c>
      <c r="L151" s="23">
        <v>293690103</v>
      </c>
      <c r="M151" s="14">
        <v>62909269</v>
      </c>
      <c r="N151" s="14">
        <v>230780834</v>
      </c>
      <c r="O151" s="14">
        <v>364111086</v>
      </c>
      <c r="P151" s="14">
        <v>16532526</v>
      </c>
      <c r="Q151" s="14">
        <v>16979269</v>
      </c>
      <c r="R151" s="14">
        <v>13013318</v>
      </c>
      <c r="AB151" s="74">
        <f t="shared" si="215"/>
        <v>0</v>
      </c>
      <c r="AC151" s="75" t="e">
        <f t="shared" si="191"/>
        <v>#DIV/0!</v>
      </c>
      <c r="AD151" s="75" t="e">
        <f t="shared" si="216"/>
        <v>#DIV/0!</v>
      </c>
      <c r="AE151" s="76" t="e">
        <f t="shared" si="219"/>
        <v>#DIV/0!</v>
      </c>
      <c r="AF151" s="77" t="e">
        <f t="shared" si="192"/>
        <v>#DIV/0!</v>
      </c>
      <c r="AG151" s="77" t="e">
        <f t="shared" si="193"/>
        <v>#DIV/0!</v>
      </c>
      <c r="AH151" s="77" t="e">
        <f t="shared" si="217"/>
        <v>#DIV/0!</v>
      </c>
      <c r="AI151" s="78" t="e">
        <f t="shared" si="218"/>
        <v>#DIV/0!</v>
      </c>
      <c r="AJ151" s="79" t="e">
        <f t="shared" si="220"/>
        <v>#DIV/0!</v>
      </c>
      <c r="AN151" s="81">
        <f t="shared" si="178"/>
        <v>0</v>
      </c>
      <c r="AO151" s="82" t="e">
        <f t="shared" si="179"/>
        <v>#DIV/0!</v>
      </c>
      <c r="AP151" s="83" t="e">
        <f t="shared" si="194"/>
        <v>#DIV/0!</v>
      </c>
      <c r="AQ151" s="84" t="e">
        <f t="shared" si="221"/>
        <v>#DIV/0!</v>
      </c>
      <c r="AS151" s="86">
        <f t="shared" si="180"/>
        <v>0.25</v>
      </c>
      <c r="AT151" s="87">
        <f t="shared" si="195"/>
        <v>0</v>
      </c>
      <c r="AU151" s="87">
        <f t="shared" si="196"/>
        <v>0</v>
      </c>
      <c r="AV151" s="88" t="e">
        <f t="shared" si="181"/>
        <v>#DIV/0!</v>
      </c>
      <c r="AW151" s="78" t="e">
        <f t="shared" si="197"/>
        <v>#DIV/0!</v>
      </c>
      <c r="AX151" s="89" t="e">
        <f t="shared" si="222"/>
        <v>#DIV/0!</v>
      </c>
      <c r="BA151" s="91">
        <f t="shared" si="182"/>
        <v>0</v>
      </c>
      <c r="BB151" s="77" t="e">
        <f t="shared" si="198"/>
        <v>#DIV/0!</v>
      </c>
      <c r="BC151" s="78" t="e">
        <f t="shared" si="199"/>
        <v>#DIV/0!</v>
      </c>
      <c r="BD151" s="79" t="e">
        <f t="shared" si="223"/>
        <v>#DIV/0!</v>
      </c>
      <c r="BE151" s="92"/>
      <c r="BF151" s="92"/>
      <c r="BG151" s="114">
        <v>174719</v>
      </c>
      <c r="BH151" s="94">
        <f t="shared" si="183"/>
        <v>0</v>
      </c>
      <c r="BI151" s="77" t="e">
        <f t="shared" si="184"/>
        <v>#DIV/0!</v>
      </c>
      <c r="BJ151" s="95" t="str">
        <f t="shared" si="200"/>
        <v>전기전자/기계업</v>
      </c>
      <c r="BK151" s="96" t="e">
        <f t="shared" si="185"/>
        <v>#DIV/0!</v>
      </c>
      <c r="BL151" s="97" t="e">
        <f t="shared" si="201"/>
        <v>#DIV/0!</v>
      </c>
      <c r="BM151" s="98" t="e">
        <f t="shared" si="202"/>
        <v>#DIV/0!</v>
      </c>
      <c r="BN151" s="99" t="e">
        <f t="shared" si="203"/>
        <v>#DIV/0!</v>
      </c>
      <c r="BP151" s="101">
        <f t="shared" si="204"/>
        <v>0</v>
      </c>
      <c r="BQ151" s="78">
        <f t="shared" si="205"/>
        <v>25</v>
      </c>
      <c r="BR151" s="79">
        <f t="shared" si="224"/>
        <v>0.5</v>
      </c>
      <c r="BS151" s="102"/>
      <c r="BT151" s="102"/>
      <c r="BU151" s="103">
        <f t="shared" si="206"/>
        <v>0</v>
      </c>
      <c r="BV151" s="77">
        <f t="shared" si="186"/>
        <v>0</v>
      </c>
      <c r="BW151" s="96">
        <f t="shared" si="187"/>
        <v>0</v>
      </c>
      <c r="BX151" s="96">
        <f t="shared" si="207"/>
        <v>0</v>
      </c>
      <c r="BY151" s="96">
        <f t="shared" si="188"/>
        <v>0</v>
      </c>
      <c r="BZ151" s="96" t="e">
        <f t="shared" si="208"/>
        <v>#NUM!</v>
      </c>
      <c r="CA151" s="96" t="e">
        <f t="shared" si="189"/>
        <v>#NUM!</v>
      </c>
      <c r="CB151" s="104" t="e">
        <f t="shared" si="209"/>
        <v>#NUM!</v>
      </c>
      <c r="CC151" s="105">
        <f t="shared" si="225"/>
        <v>27.259312616922077</v>
      </c>
      <c r="CD151" s="106">
        <f t="shared" si="226"/>
        <v>90.103274139350972</v>
      </c>
      <c r="CE151" s="107">
        <f t="shared" si="227"/>
        <v>1.3515491120902645</v>
      </c>
      <c r="CF151" s="108" t="s">
        <v>2189</v>
      </c>
      <c r="CG151" s="108" t="s">
        <v>2189</v>
      </c>
      <c r="CH151" s="108" t="s">
        <v>2189</v>
      </c>
      <c r="CI151" s="108" t="s">
        <v>2189</v>
      </c>
      <c r="CJ151" s="109"/>
      <c r="CM151" s="111">
        <f t="shared" si="210"/>
        <v>25</v>
      </c>
      <c r="CN151" s="107">
        <f t="shared" si="228"/>
        <v>0.375</v>
      </c>
      <c r="CP151" s="88">
        <f t="shared" si="211"/>
        <v>0</v>
      </c>
      <c r="CQ151" s="78">
        <f t="shared" si="212"/>
        <v>100</v>
      </c>
      <c r="CR151" s="79">
        <f t="shared" si="229"/>
        <v>3</v>
      </c>
      <c r="CS151" s="92"/>
      <c r="CT151" s="77">
        <f t="shared" si="190"/>
        <v>0</v>
      </c>
      <c r="CU151" s="78">
        <f t="shared" si="213"/>
        <v>100</v>
      </c>
      <c r="CV151" s="79">
        <f t="shared" si="230"/>
        <v>2</v>
      </c>
      <c r="CW151" s="112" t="e">
        <f t="shared" si="214"/>
        <v>#DIV/0!</v>
      </c>
    </row>
    <row r="152" spans="1:101" x14ac:dyDescent="0.35">
      <c r="A152" s="7" t="s">
        <v>995</v>
      </c>
      <c r="B152" s="8" t="s">
        <v>996</v>
      </c>
      <c r="C152" s="21" t="s">
        <v>997</v>
      </c>
      <c r="D152" s="10" t="s">
        <v>141</v>
      </c>
      <c r="E152" s="11" t="s">
        <v>998</v>
      </c>
      <c r="F152" s="11" t="s">
        <v>999</v>
      </c>
      <c r="G152" s="12">
        <v>32777</v>
      </c>
      <c r="H152" s="11" t="s">
        <v>24</v>
      </c>
      <c r="I152" s="11" t="s">
        <v>1000</v>
      </c>
      <c r="J152" s="11" t="s">
        <v>1001</v>
      </c>
      <c r="K152" s="11" t="s">
        <v>536</v>
      </c>
      <c r="L152" s="23">
        <v>439293006</v>
      </c>
      <c r="M152" s="14">
        <v>233301117</v>
      </c>
      <c r="N152" s="14">
        <v>205991889</v>
      </c>
      <c r="O152" s="14">
        <v>339133931</v>
      </c>
      <c r="P152" s="14">
        <v>20669671</v>
      </c>
      <c r="Q152" s="14">
        <v>19430527</v>
      </c>
      <c r="R152" s="14">
        <v>16418030</v>
      </c>
      <c r="AB152" s="74">
        <f t="shared" si="215"/>
        <v>0</v>
      </c>
      <c r="AC152" s="75" t="e">
        <f t="shared" si="191"/>
        <v>#DIV/0!</v>
      </c>
      <c r="AD152" s="75" t="e">
        <f t="shared" si="216"/>
        <v>#DIV/0!</v>
      </c>
      <c r="AE152" s="76" t="e">
        <f t="shared" si="219"/>
        <v>#DIV/0!</v>
      </c>
      <c r="AF152" s="77" t="e">
        <f t="shared" si="192"/>
        <v>#DIV/0!</v>
      </c>
      <c r="AG152" s="77" t="e">
        <f t="shared" si="193"/>
        <v>#DIV/0!</v>
      </c>
      <c r="AH152" s="77" t="e">
        <f t="shared" si="217"/>
        <v>#DIV/0!</v>
      </c>
      <c r="AI152" s="78" t="e">
        <f t="shared" si="218"/>
        <v>#DIV/0!</v>
      </c>
      <c r="AJ152" s="79" t="e">
        <f t="shared" si="220"/>
        <v>#DIV/0!</v>
      </c>
      <c r="AN152" s="81">
        <f t="shared" si="178"/>
        <v>0</v>
      </c>
      <c r="AO152" s="82" t="e">
        <f t="shared" si="179"/>
        <v>#DIV/0!</v>
      </c>
      <c r="AP152" s="83" t="e">
        <f t="shared" si="194"/>
        <v>#DIV/0!</v>
      </c>
      <c r="AQ152" s="84" t="e">
        <f t="shared" si="221"/>
        <v>#DIV/0!</v>
      </c>
      <c r="AS152" s="86">
        <f t="shared" si="180"/>
        <v>0.25</v>
      </c>
      <c r="AT152" s="87">
        <f t="shared" si="195"/>
        <v>0</v>
      </c>
      <c r="AU152" s="87">
        <f t="shared" si="196"/>
        <v>0</v>
      </c>
      <c r="AV152" s="88" t="e">
        <f t="shared" si="181"/>
        <v>#DIV/0!</v>
      </c>
      <c r="AW152" s="78" t="e">
        <f t="shared" si="197"/>
        <v>#DIV/0!</v>
      </c>
      <c r="AX152" s="89" t="e">
        <f t="shared" si="222"/>
        <v>#DIV/0!</v>
      </c>
      <c r="BA152" s="91">
        <f t="shared" si="182"/>
        <v>0</v>
      </c>
      <c r="BB152" s="77" t="e">
        <f t="shared" si="198"/>
        <v>#DIV/0!</v>
      </c>
      <c r="BC152" s="78" t="e">
        <f t="shared" si="199"/>
        <v>#DIV/0!</v>
      </c>
      <c r="BD152" s="79" t="e">
        <f t="shared" si="223"/>
        <v>#DIV/0!</v>
      </c>
      <c r="BE152" s="92"/>
      <c r="BF152" s="92"/>
      <c r="BG152" s="114">
        <v>857353.23699999996</v>
      </c>
      <c r="BH152" s="94">
        <f t="shared" si="183"/>
        <v>0</v>
      </c>
      <c r="BI152" s="77" t="e">
        <f t="shared" si="184"/>
        <v>#DIV/0!</v>
      </c>
      <c r="BJ152" s="95" t="str">
        <f t="shared" si="200"/>
        <v>전기전자/기계업</v>
      </c>
      <c r="BK152" s="96" t="e">
        <f t="shared" si="185"/>
        <v>#DIV/0!</v>
      </c>
      <c r="BL152" s="97" t="e">
        <f t="shared" si="201"/>
        <v>#DIV/0!</v>
      </c>
      <c r="BM152" s="98" t="e">
        <f t="shared" si="202"/>
        <v>#DIV/0!</v>
      </c>
      <c r="BN152" s="99" t="e">
        <f t="shared" si="203"/>
        <v>#DIV/0!</v>
      </c>
      <c r="BP152" s="101">
        <f t="shared" si="204"/>
        <v>0</v>
      </c>
      <c r="BQ152" s="78">
        <f t="shared" si="205"/>
        <v>25</v>
      </c>
      <c r="BR152" s="79">
        <f t="shared" si="224"/>
        <v>0.5</v>
      </c>
      <c r="BS152" s="102"/>
      <c r="BT152" s="102"/>
      <c r="BU152" s="103">
        <f t="shared" si="206"/>
        <v>0</v>
      </c>
      <c r="BV152" s="77">
        <f t="shared" si="186"/>
        <v>0</v>
      </c>
      <c r="BW152" s="96">
        <f t="shared" si="187"/>
        <v>0</v>
      </c>
      <c r="BX152" s="96">
        <f t="shared" si="207"/>
        <v>0</v>
      </c>
      <c r="BY152" s="96">
        <f t="shared" si="188"/>
        <v>0</v>
      </c>
      <c r="BZ152" s="96" t="e">
        <f t="shared" si="208"/>
        <v>#NUM!</v>
      </c>
      <c r="CA152" s="96" t="e">
        <f t="shared" si="189"/>
        <v>#NUM!</v>
      </c>
      <c r="CB152" s="104" t="e">
        <f t="shared" si="209"/>
        <v>#NUM!</v>
      </c>
      <c r="CC152" s="105">
        <f t="shared" si="225"/>
        <v>113.25742879128605</v>
      </c>
      <c r="CD152" s="106">
        <f t="shared" si="226"/>
        <v>57.691923822379628</v>
      </c>
      <c r="CE152" s="107">
        <f t="shared" si="227"/>
        <v>0.86537885733569442</v>
      </c>
      <c r="CF152" s="108" t="s">
        <v>2189</v>
      </c>
      <c r="CG152" s="108" t="s">
        <v>2189</v>
      </c>
      <c r="CH152" s="108" t="s">
        <v>2189</v>
      </c>
      <c r="CI152" s="108" t="s">
        <v>2189</v>
      </c>
      <c r="CJ152" s="109"/>
      <c r="CM152" s="111">
        <f t="shared" si="210"/>
        <v>25</v>
      </c>
      <c r="CN152" s="107">
        <f t="shared" si="228"/>
        <v>0.375</v>
      </c>
      <c r="CP152" s="88">
        <f t="shared" si="211"/>
        <v>0</v>
      </c>
      <c r="CQ152" s="78">
        <f t="shared" si="212"/>
        <v>100</v>
      </c>
      <c r="CR152" s="79">
        <f t="shared" si="229"/>
        <v>3</v>
      </c>
      <c r="CS152" s="92"/>
      <c r="CT152" s="77">
        <f t="shared" si="190"/>
        <v>0</v>
      </c>
      <c r="CU152" s="78">
        <f t="shared" si="213"/>
        <v>100</v>
      </c>
      <c r="CV152" s="79">
        <f t="shared" si="230"/>
        <v>2</v>
      </c>
      <c r="CW152" s="112" t="e">
        <f t="shared" si="214"/>
        <v>#DIV/0!</v>
      </c>
    </row>
    <row r="153" spans="1:101" x14ac:dyDescent="0.35">
      <c r="A153" s="7" t="s">
        <v>1002</v>
      </c>
      <c r="B153" s="8" t="s">
        <v>1003</v>
      </c>
      <c r="C153" s="21" t="s">
        <v>1004</v>
      </c>
      <c r="D153" s="22" t="s">
        <v>31</v>
      </c>
      <c r="E153" s="11" t="s">
        <v>1005</v>
      </c>
      <c r="F153" s="11" t="s">
        <v>1006</v>
      </c>
      <c r="G153" s="12">
        <v>32416</v>
      </c>
      <c r="H153" s="11" t="s">
        <v>24</v>
      </c>
      <c r="I153" s="11" t="s">
        <v>1007</v>
      </c>
      <c r="J153" s="11" t="s">
        <v>1008</v>
      </c>
      <c r="K153" s="11" t="s">
        <v>280</v>
      </c>
      <c r="L153" s="23">
        <v>292340683</v>
      </c>
      <c r="M153" s="14">
        <v>98908853</v>
      </c>
      <c r="N153" s="14">
        <v>193431830</v>
      </c>
      <c r="O153" s="14">
        <v>135261634</v>
      </c>
      <c r="P153" s="14">
        <v>10418758</v>
      </c>
      <c r="Q153" s="14">
        <v>6051762</v>
      </c>
      <c r="R153" s="14">
        <v>3276434</v>
      </c>
      <c r="AB153" s="74">
        <f t="shared" si="215"/>
        <v>0</v>
      </c>
      <c r="AC153" s="75" t="e">
        <f t="shared" si="191"/>
        <v>#DIV/0!</v>
      </c>
      <c r="AD153" s="75" t="e">
        <f t="shared" si="216"/>
        <v>#DIV/0!</v>
      </c>
      <c r="AE153" s="76" t="e">
        <f t="shared" si="219"/>
        <v>#DIV/0!</v>
      </c>
      <c r="AF153" s="77" t="e">
        <f t="shared" si="192"/>
        <v>#DIV/0!</v>
      </c>
      <c r="AG153" s="77" t="e">
        <f t="shared" si="193"/>
        <v>#DIV/0!</v>
      </c>
      <c r="AH153" s="77" t="e">
        <f t="shared" si="217"/>
        <v>#DIV/0!</v>
      </c>
      <c r="AI153" s="78" t="e">
        <f t="shared" si="218"/>
        <v>#DIV/0!</v>
      </c>
      <c r="AJ153" s="79" t="e">
        <f t="shared" si="220"/>
        <v>#DIV/0!</v>
      </c>
      <c r="AN153" s="81">
        <f t="shared" si="178"/>
        <v>0</v>
      </c>
      <c r="AO153" s="82" t="e">
        <f t="shared" si="179"/>
        <v>#DIV/0!</v>
      </c>
      <c r="AP153" s="83" t="e">
        <f t="shared" si="194"/>
        <v>#DIV/0!</v>
      </c>
      <c r="AQ153" s="84" t="e">
        <f t="shared" si="221"/>
        <v>#DIV/0!</v>
      </c>
      <c r="AS153" s="86">
        <f t="shared" si="180"/>
        <v>0.25</v>
      </c>
      <c r="AT153" s="87">
        <f t="shared" si="195"/>
        <v>0</v>
      </c>
      <c r="AU153" s="87">
        <f t="shared" si="196"/>
        <v>0</v>
      </c>
      <c r="AV153" s="88" t="e">
        <f t="shared" si="181"/>
        <v>#DIV/0!</v>
      </c>
      <c r="AW153" s="78" t="e">
        <f t="shared" si="197"/>
        <v>#DIV/0!</v>
      </c>
      <c r="AX153" s="89" t="e">
        <f t="shared" si="222"/>
        <v>#DIV/0!</v>
      </c>
      <c r="BA153" s="91">
        <f t="shared" si="182"/>
        <v>0</v>
      </c>
      <c r="BB153" s="77" t="e">
        <f t="shared" si="198"/>
        <v>#DIV/0!</v>
      </c>
      <c r="BC153" s="78" t="e">
        <f t="shared" si="199"/>
        <v>#DIV/0!</v>
      </c>
      <c r="BD153" s="79" t="e">
        <f t="shared" si="223"/>
        <v>#DIV/0!</v>
      </c>
      <c r="BE153" s="92"/>
      <c r="BF153" s="92"/>
      <c r="BG153" s="93">
        <v>0</v>
      </c>
      <c r="BH153" s="94">
        <f t="shared" si="183"/>
        <v>0</v>
      </c>
      <c r="BI153" s="77" t="e">
        <f t="shared" si="184"/>
        <v>#DIV/0!</v>
      </c>
      <c r="BJ153" s="95" t="str">
        <f t="shared" si="200"/>
        <v>식약/섬유/종이업</v>
      </c>
      <c r="BK153" s="96" t="e">
        <f t="shared" si="185"/>
        <v>#DIV/0!</v>
      </c>
      <c r="BL153" s="97" t="e">
        <f t="shared" si="201"/>
        <v>#DIV/0!</v>
      </c>
      <c r="BM153" s="98" t="e">
        <f t="shared" si="202"/>
        <v>#DIV/0!</v>
      </c>
      <c r="BN153" s="99" t="e">
        <f t="shared" si="203"/>
        <v>#DIV/0!</v>
      </c>
      <c r="BP153" s="101">
        <f t="shared" si="204"/>
        <v>0</v>
      </c>
      <c r="BQ153" s="78">
        <f t="shared" si="205"/>
        <v>25</v>
      </c>
      <c r="BR153" s="79">
        <f t="shared" si="224"/>
        <v>0.5</v>
      </c>
      <c r="BS153" s="102"/>
      <c r="BT153" s="102"/>
      <c r="BU153" s="103">
        <f t="shared" si="206"/>
        <v>0</v>
      </c>
      <c r="BV153" s="77">
        <f t="shared" si="186"/>
        <v>0</v>
      </c>
      <c r="BW153" s="96">
        <f t="shared" si="187"/>
        <v>0</v>
      </c>
      <c r="BX153" s="96">
        <f t="shared" si="207"/>
        <v>0</v>
      </c>
      <c r="BY153" s="96">
        <f t="shared" si="188"/>
        <v>0</v>
      </c>
      <c r="BZ153" s="96" t="e">
        <f t="shared" si="208"/>
        <v>#NUM!</v>
      </c>
      <c r="CA153" s="96" t="e">
        <f t="shared" si="189"/>
        <v>#NUM!</v>
      </c>
      <c r="CB153" s="104" t="e">
        <f t="shared" si="209"/>
        <v>#NUM!</v>
      </c>
      <c r="CC153" s="105">
        <f t="shared" si="225"/>
        <v>51.133700694451377</v>
      </c>
      <c r="CD153" s="106">
        <f t="shared" si="226"/>
        <v>81.105389185508272</v>
      </c>
      <c r="CE153" s="107">
        <f t="shared" si="227"/>
        <v>1.2165808377826239</v>
      </c>
      <c r="CF153" s="108" t="s">
        <v>2189</v>
      </c>
      <c r="CG153" s="108" t="s">
        <v>2189</v>
      </c>
      <c r="CH153" s="108" t="s">
        <v>2189</v>
      </c>
      <c r="CI153" s="108" t="s">
        <v>2189</v>
      </c>
      <c r="CJ153" s="109"/>
      <c r="CM153" s="111">
        <f t="shared" si="210"/>
        <v>25</v>
      </c>
      <c r="CN153" s="107">
        <f t="shared" si="228"/>
        <v>0.375</v>
      </c>
      <c r="CP153" s="88">
        <f t="shared" si="211"/>
        <v>0</v>
      </c>
      <c r="CQ153" s="78">
        <f t="shared" si="212"/>
        <v>100</v>
      </c>
      <c r="CR153" s="79">
        <f t="shared" si="229"/>
        <v>3</v>
      </c>
      <c r="CS153" s="92"/>
      <c r="CT153" s="77">
        <f t="shared" si="190"/>
        <v>0</v>
      </c>
      <c r="CU153" s="78">
        <f t="shared" si="213"/>
        <v>100</v>
      </c>
      <c r="CV153" s="79">
        <f t="shared" si="230"/>
        <v>2</v>
      </c>
      <c r="CW153" s="112" t="e">
        <f t="shared" si="214"/>
        <v>#DIV/0!</v>
      </c>
    </row>
    <row r="154" spans="1:101" x14ac:dyDescent="0.35">
      <c r="A154" s="7" t="s">
        <v>1009</v>
      </c>
      <c r="B154" s="8" t="s">
        <v>1010</v>
      </c>
      <c r="C154" s="21" t="s">
        <v>1011</v>
      </c>
      <c r="D154" s="10" t="s">
        <v>31</v>
      </c>
      <c r="E154" s="11" t="s">
        <v>183</v>
      </c>
      <c r="F154" s="11" t="s">
        <v>1012</v>
      </c>
      <c r="G154" s="12">
        <v>32312</v>
      </c>
      <c r="H154" s="11" t="s">
        <v>24</v>
      </c>
      <c r="I154" s="11" t="s">
        <v>1013</v>
      </c>
      <c r="J154" s="11" t="s">
        <v>1014</v>
      </c>
      <c r="K154" s="11" t="s">
        <v>27</v>
      </c>
      <c r="L154" s="23">
        <v>404796609</v>
      </c>
      <c r="M154" s="14">
        <v>130234655</v>
      </c>
      <c r="N154" s="14">
        <v>274561954</v>
      </c>
      <c r="O154" s="14">
        <v>274031808</v>
      </c>
      <c r="P154" s="14">
        <v>23292333</v>
      </c>
      <c r="Q154" s="14">
        <v>24312301</v>
      </c>
      <c r="R154" s="14">
        <v>21111758</v>
      </c>
      <c r="AB154" s="74">
        <f t="shared" si="215"/>
        <v>0</v>
      </c>
      <c r="AC154" s="75" t="e">
        <f t="shared" si="191"/>
        <v>#DIV/0!</v>
      </c>
      <c r="AD154" s="75" t="e">
        <f t="shared" si="216"/>
        <v>#DIV/0!</v>
      </c>
      <c r="AE154" s="76" t="e">
        <f t="shared" si="219"/>
        <v>#DIV/0!</v>
      </c>
      <c r="AF154" s="77" t="e">
        <f t="shared" si="192"/>
        <v>#DIV/0!</v>
      </c>
      <c r="AG154" s="77" t="e">
        <f t="shared" si="193"/>
        <v>#DIV/0!</v>
      </c>
      <c r="AH154" s="77" t="e">
        <f t="shared" si="217"/>
        <v>#DIV/0!</v>
      </c>
      <c r="AI154" s="78" t="e">
        <f t="shared" si="218"/>
        <v>#DIV/0!</v>
      </c>
      <c r="AJ154" s="79" t="e">
        <f t="shared" si="220"/>
        <v>#DIV/0!</v>
      </c>
      <c r="AN154" s="81">
        <f t="shared" si="178"/>
        <v>0</v>
      </c>
      <c r="AO154" s="82" t="e">
        <f t="shared" si="179"/>
        <v>#DIV/0!</v>
      </c>
      <c r="AP154" s="83" t="e">
        <f t="shared" si="194"/>
        <v>#DIV/0!</v>
      </c>
      <c r="AQ154" s="84" t="e">
        <f t="shared" si="221"/>
        <v>#DIV/0!</v>
      </c>
      <c r="AS154" s="86">
        <f t="shared" si="180"/>
        <v>0.25</v>
      </c>
      <c r="AT154" s="87">
        <f t="shared" si="195"/>
        <v>0</v>
      </c>
      <c r="AU154" s="87">
        <f t="shared" si="196"/>
        <v>0</v>
      </c>
      <c r="AV154" s="88" t="e">
        <f t="shared" si="181"/>
        <v>#DIV/0!</v>
      </c>
      <c r="AW154" s="78" t="e">
        <f t="shared" si="197"/>
        <v>#DIV/0!</v>
      </c>
      <c r="AX154" s="89" t="e">
        <f t="shared" si="222"/>
        <v>#DIV/0!</v>
      </c>
      <c r="BA154" s="91">
        <f t="shared" si="182"/>
        <v>0</v>
      </c>
      <c r="BB154" s="77" t="e">
        <f t="shared" si="198"/>
        <v>#DIV/0!</v>
      </c>
      <c r="BC154" s="78" t="e">
        <f t="shared" si="199"/>
        <v>#DIV/0!</v>
      </c>
      <c r="BD154" s="79" t="e">
        <f t="shared" si="223"/>
        <v>#DIV/0!</v>
      </c>
      <c r="BE154" s="92"/>
      <c r="BF154" s="92"/>
      <c r="BG154" s="114">
        <v>384116</v>
      </c>
      <c r="BH154" s="94">
        <f t="shared" si="183"/>
        <v>0</v>
      </c>
      <c r="BI154" s="77" t="e">
        <f t="shared" si="184"/>
        <v>#DIV/0!</v>
      </c>
      <c r="BJ154" s="95" t="str">
        <f t="shared" si="200"/>
        <v>식약/섬유/종이업</v>
      </c>
      <c r="BK154" s="96" t="e">
        <f t="shared" si="185"/>
        <v>#DIV/0!</v>
      </c>
      <c r="BL154" s="97" t="e">
        <f t="shared" si="201"/>
        <v>#DIV/0!</v>
      </c>
      <c r="BM154" s="98" t="e">
        <f t="shared" si="202"/>
        <v>#DIV/0!</v>
      </c>
      <c r="BN154" s="99" t="e">
        <f t="shared" si="203"/>
        <v>#DIV/0!</v>
      </c>
      <c r="BP154" s="101">
        <f t="shared" si="204"/>
        <v>0</v>
      </c>
      <c r="BQ154" s="78">
        <f t="shared" si="205"/>
        <v>25</v>
      </c>
      <c r="BR154" s="79">
        <f t="shared" si="224"/>
        <v>0.5</v>
      </c>
      <c r="BS154" s="102"/>
      <c r="BT154" s="102"/>
      <c r="BU154" s="103">
        <f t="shared" si="206"/>
        <v>0</v>
      </c>
      <c r="BV154" s="77">
        <f t="shared" si="186"/>
        <v>0</v>
      </c>
      <c r="BW154" s="96">
        <f t="shared" si="187"/>
        <v>0</v>
      </c>
      <c r="BX154" s="96">
        <f t="shared" si="207"/>
        <v>0</v>
      </c>
      <c r="BY154" s="96">
        <f t="shared" si="188"/>
        <v>0</v>
      </c>
      <c r="BZ154" s="96" t="e">
        <f t="shared" si="208"/>
        <v>#NUM!</v>
      </c>
      <c r="CA154" s="96" t="e">
        <f t="shared" si="189"/>
        <v>#NUM!</v>
      </c>
      <c r="CB154" s="104" t="e">
        <f t="shared" si="209"/>
        <v>#NUM!</v>
      </c>
      <c r="CC154" s="105">
        <f t="shared" si="225"/>
        <v>47.433613107226066</v>
      </c>
      <c r="CD154" s="106">
        <f t="shared" si="226"/>
        <v>82.499894557578116</v>
      </c>
      <c r="CE154" s="107">
        <f t="shared" si="227"/>
        <v>1.2374984183636717</v>
      </c>
      <c r="CF154" s="108" t="s">
        <v>2189</v>
      </c>
      <c r="CG154" s="108" t="s">
        <v>2189</v>
      </c>
      <c r="CH154" s="108" t="s">
        <v>2189</v>
      </c>
      <c r="CI154" s="108" t="s">
        <v>2189</v>
      </c>
      <c r="CJ154" s="109"/>
      <c r="CM154" s="111">
        <f t="shared" si="210"/>
        <v>25</v>
      </c>
      <c r="CN154" s="107">
        <f t="shared" si="228"/>
        <v>0.375</v>
      </c>
      <c r="CP154" s="88">
        <f t="shared" si="211"/>
        <v>0</v>
      </c>
      <c r="CQ154" s="78">
        <f t="shared" si="212"/>
        <v>100</v>
      </c>
      <c r="CR154" s="79">
        <f t="shared" si="229"/>
        <v>3</v>
      </c>
      <c r="CS154" s="92"/>
      <c r="CT154" s="77">
        <f t="shared" si="190"/>
        <v>0</v>
      </c>
      <c r="CU154" s="78">
        <f t="shared" si="213"/>
        <v>100</v>
      </c>
      <c r="CV154" s="79">
        <f t="shared" si="230"/>
        <v>2</v>
      </c>
      <c r="CW154" s="112" t="e">
        <f t="shared" si="214"/>
        <v>#DIV/0!</v>
      </c>
    </row>
    <row r="155" spans="1:101" x14ac:dyDescent="0.35">
      <c r="A155" s="7" t="s">
        <v>1015</v>
      </c>
      <c r="B155" s="8" t="s">
        <v>1016</v>
      </c>
      <c r="C155" s="21" t="s">
        <v>1017</v>
      </c>
      <c r="D155" s="10" t="s">
        <v>21</v>
      </c>
      <c r="E155" s="11" t="s">
        <v>1018</v>
      </c>
      <c r="F155" s="11" t="s">
        <v>1019</v>
      </c>
      <c r="G155" s="12">
        <v>38484</v>
      </c>
      <c r="H155" s="11" t="s">
        <v>24</v>
      </c>
      <c r="I155" s="11" t="s">
        <v>1020</v>
      </c>
      <c r="J155" s="11" t="s">
        <v>1021</v>
      </c>
      <c r="K155" s="11" t="s">
        <v>153</v>
      </c>
      <c r="L155" s="23">
        <v>278609820</v>
      </c>
      <c r="M155" s="14">
        <v>60662564</v>
      </c>
      <c r="N155" s="14">
        <v>217947256</v>
      </c>
      <c r="O155" s="14">
        <v>300844920</v>
      </c>
      <c r="P155" s="14">
        <v>2168970</v>
      </c>
      <c r="Q155" s="14">
        <v>5936019</v>
      </c>
      <c r="R155" s="14">
        <v>4978376</v>
      </c>
      <c r="AB155" s="74">
        <f t="shared" si="215"/>
        <v>0</v>
      </c>
      <c r="AC155" s="75" t="e">
        <f t="shared" si="191"/>
        <v>#DIV/0!</v>
      </c>
      <c r="AD155" s="75" t="e">
        <f t="shared" si="216"/>
        <v>#DIV/0!</v>
      </c>
      <c r="AE155" s="76" t="e">
        <f t="shared" si="219"/>
        <v>#DIV/0!</v>
      </c>
      <c r="AF155" s="77" t="e">
        <f t="shared" si="192"/>
        <v>#DIV/0!</v>
      </c>
      <c r="AG155" s="77" t="e">
        <f t="shared" si="193"/>
        <v>#DIV/0!</v>
      </c>
      <c r="AH155" s="77" t="e">
        <f t="shared" si="217"/>
        <v>#DIV/0!</v>
      </c>
      <c r="AI155" s="78" t="e">
        <f t="shared" si="218"/>
        <v>#DIV/0!</v>
      </c>
      <c r="AJ155" s="79" t="e">
        <f t="shared" si="220"/>
        <v>#DIV/0!</v>
      </c>
      <c r="AN155" s="81">
        <f t="shared" si="178"/>
        <v>0</v>
      </c>
      <c r="AO155" s="82" t="e">
        <f t="shared" si="179"/>
        <v>#DIV/0!</v>
      </c>
      <c r="AP155" s="83" t="e">
        <f t="shared" si="194"/>
        <v>#DIV/0!</v>
      </c>
      <c r="AQ155" s="84" t="e">
        <f t="shared" si="221"/>
        <v>#DIV/0!</v>
      </c>
      <c r="AS155" s="86">
        <f t="shared" si="180"/>
        <v>0.25</v>
      </c>
      <c r="AT155" s="87">
        <f t="shared" si="195"/>
        <v>0</v>
      </c>
      <c r="AU155" s="87">
        <f t="shared" si="196"/>
        <v>0</v>
      </c>
      <c r="AV155" s="88" t="e">
        <f t="shared" si="181"/>
        <v>#DIV/0!</v>
      </c>
      <c r="AW155" s="78" t="e">
        <f t="shared" si="197"/>
        <v>#DIV/0!</v>
      </c>
      <c r="AX155" s="89" t="e">
        <f t="shared" si="222"/>
        <v>#DIV/0!</v>
      </c>
      <c r="BA155" s="91">
        <f t="shared" si="182"/>
        <v>0</v>
      </c>
      <c r="BB155" s="77" t="e">
        <f t="shared" si="198"/>
        <v>#DIV/0!</v>
      </c>
      <c r="BC155" s="78" t="e">
        <f t="shared" si="199"/>
        <v>#DIV/0!</v>
      </c>
      <c r="BD155" s="79" t="e">
        <f t="shared" si="223"/>
        <v>#DIV/0!</v>
      </c>
      <c r="BE155" s="92"/>
      <c r="BF155" s="92"/>
      <c r="BG155" s="114">
        <v>172576</v>
      </c>
      <c r="BH155" s="94">
        <f t="shared" si="183"/>
        <v>0</v>
      </c>
      <c r="BI155" s="77" t="e">
        <f t="shared" si="184"/>
        <v>#DIV/0!</v>
      </c>
      <c r="BJ155" s="95" t="str">
        <f t="shared" si="200"/>
        <v>비제조/서비스업</v>
      </c>
      <c r="BK155" s="96" t="e">
        <f t="shared" si="185"/>
        <v>#DIV/0!</v>
      </c>
      <c r="BL155" s="97" t="e">
        <f t="shared" si="201"/>
        <v>#DIV/0!</v>
      </c>
      <c r="BM155" s="98" t="e">
        <f t="shared" si="202"/>
        <v>#DIV/0!</v>
      </c>
      <c r="BN155" s="99" t="e">
        <f t="shared" si="203"/>
        <v>#DIV/0!</v>
      </c>
      <c r="BP155" s="101">
        <f t="shared" si="204"/>
        <v>0</v>
      </c>
      <c r="BQ155" s="78">
        <f t="shared" si="205"/>
        <v>25</v>
      </c>
      <c r="BR155" s="79">
        <f t="shared" si="224"/>
        <v>0.5</v>
      </c>
      <c r="BS155" s="102"/>
      <c r="BT155" s="102"/>
      <c r="BU155" s="103">
        <f t="shared" si="206"/>
        <v>0</v>
      </c>
      <c r="BV155" s="77">
        <f t="shared" si="186"/>
        <v>0</v>
      </c>
      <c r="BW155" s="96">
        <f t="shared" si="187"/>
        <v>0</v>
      </c>
      <c r="BX155" s="96">
        <f t="shared" si="207"/>
        <v>0</v>
      </c>
      <c r="BY155" s="96">
        <f t="shared" si="188"/>
        <v>0</v>
      </c>
      <c r="BZ155" s="96" t="e">
        <f t="shared" si="208"/>
        <v>#NUM!</v>
      </c>
      <c r="CA155" s="96" t="e">
        <f t="shared" si="189"/>
        <v>#NUM!</v>
      </c>
      <c r="CB155" s="104" t="e">
        <f t="shared" si="209"/>
        <v>#NUM!</v>
      </c>
      <c r="CC155" s="105">
        <f t="shared" si="225"/>
        <v>27.833598418876171</v>
      </c>
      <c r="CD155" s="106">
        <f t="shared" si="226"/>
        <v>89.886834766755214</v>
      </c>
      <c r="CE155" s="107">
        <f t="shared" si="227"/>
        <v>1.3483025215013282</v>
      </c>
      <c r="CF155" s="108" t="s">
        <v>2189</v>
      </c>
      <c r="CG155" s="108" t="s">
        <v>2189</v>
      </c>
      <c r="CH155" s="108" t="s">
        <v>2189</v>
      </c>
      <c r="CI155" s="108" t="s">
        <v>2189</v>
      </c>
      <c r="CJ155" s="109"/>
      <c r="CM155" s="111">
        <f t="shared" si="210"/>
        <v>25</v>
      </c>
      <c r="CN155" s="107">
        <f t="shared" si="228"/>
        <v>0.375</v>
      </c>
      <c r="CP155" s="88">
        <f t="shared" si="211"/>
        <v>0</v>
      </c>
      <c r="CQ155" s="78">
        <f t="shared" si="212"/>
        <v>100</v>
      </c>
      <c r="CR155" s="79">
        <f t="shared" si="229"/>
        <v>3</v>
      </c>
      <c r="CS155" s="92"/>
      <c r="CT155" s="77">
        <f t="shared" si="190"/>
        <v>0</v>
      </c>
      <c r="CU155" s="78">
        <f t="shared" si="213"/>
        <v>100</v>
      </c>
      <c r="CV155" s="79">
        <f t="shared" si="230"/>
        <v>2</v>
      </c>
      <c r="CW155" s="112" t="e">
        <f t="shared" si="214"/>
        <v>#DIV/0!</v>
      </c>
    </row>
    <row r="156" spans="1:101" x14ac:dyDescent="0.35">
      <c r="A156" s="7" t="s">
        <v>1022</v>
      </c>
      <c r="B156" s="8" t="s">
        <v>1023</v>
      </c>
      <c r="C156" s="21" t="s">
        <v>1024</v>
      </c>
      <c r="D156" s="10" t="s">
        <v>141</v>
      </c>
      <c r="E156" s="11" t="s">
        <v>241</v>
      </c>
      <c r="F156" s="11" t="s">
        <v>1025</v>
      </c>
      <c r="G156" s="12">
        <v>31740</v>
      </c>
      <c r="H156" s="11" t="s">
        <v>24</v>
      </c>
      <c r="I156" s="11" t="s">
        <v>1026</v>
      </c>
      <c r="J156" s="11" t="s">
        <v>1027</v>
      </c>
      <c r="K156" s="11" t="s">
        <v>280</v>
      </c>
      <c r="L156" s="23">
        <v>110962184</v>
      </c>
      <c r="M156" s="14">
        <v>49075760</v>
      </c>
      <c r="N156" s="14">
        <v>61886424</v>
      </c>
      <c r="O156" s="14">
        <v>192666638</v>
      </c>
      <c r="P156" s="14">
        <v>14593397</v>
      </c>
      <c r="Q156" s="14">
        <v>13329040</v>
      </c>
      <c r="R156" s="14">
        <v>11131018</v>
      </c>
      <c r="AB156" s="74">
        <f t="shared" si="215"/>
        <v>0</v>
      </c>
      <c r="AC156" s="75" t="e">
        <f t="shared" si="191"/>
        <v>#DIV/0!</v>
      </c>
      <c r="AD156" s="75" t="e">
        <f t="shared" si="216"/>
        <v>#DIV/0!</v>
      </c>
      <c r="AE156" s="76" t="e">
        <f t="shared" si="219"/>
        <v>#DIV/0!</v>
      </c>
      <c r="AF156" s="77" t="e">
        <f t="shared" si="192"/>
        <v>#DIV/0!</v>
      </c>
      <c r="AG156" s="77" t="e">
        <f t="shared" si="193"/>
        <v>#DIV/0!</v>
      </c>
      <c r="AH156" s="77" t="e">
        <f t="shared" si="217"/>
        <v>#DIV/0!</v>
      </c>
      <c r="AI156" s="78" t="e">
        <f t="shared" si="218"/>
        <v>#DIV/0!</v>
      </c>
      <c r="AJ156" s="79" t="e">
        <f t="shared" si="220"/>
        <v>#DIV/0!</v>
      </c>
      <c r="AN156" s="81">
        <f t="shared" si="178"/>
        <v>0</v>
      </c>
      <c r="AO156" s="82" t="e">
        <f t="shared" si="179"/>
        <v>#DIV/0!</v>
      </c>
      <c r="AP156" s="83" t="e">
        <f t="shared" si="194"/>
        <v>#DIV/0!</v>
      </c>
      <c r="AQ156" s="84" t="e">
        <f t="shared" si="221"/>
        <v>#DIV/0!</v>
      </c>
      <c r="AS156" s="86">
        <f t="shared" si="180"/>
        <v>0.25</v>
      </c>
      <c r="AT156" s="87">
        <f t="shared" si="195"/>
        <v>0</v>
      </c>
      <c r="AU156" s="87">
        <f t="shared" si="196"/>
        <v>0</v>
      </c>
      <c r="AV156" s="88" t="e">
        <f t="shared" si="181"/>
        <v>#DIV/0!</v>
      </c>
      <c r="AW156" s="78" t="e">
        <f t="shared" si="197"/>
        <v>#DIV/0!</v>
      </c>
      <c r="AX156" s="89" t="e">
        <f t="shared" si="222"/>
        <v>#DIV/0!</v>
      </c>
      <c r="BA156" s="91">
        <f t="shared" si="182"/>
        <v>0</v>
      </c>
      <c r="BB156" s="77" t="e">
        <f t="shared" si="198"/>
        <v>#DIV/0!</v>
      </c>
      <c r="BC156" s="78" t="e">
        <f t="shared" si="199"/>
        <v>#DIV/0!</v>
      </c>
      <c r="BD156" s="79" t="e">
        <f t="shared" si="223"/>
        <v>#DIV/0!</v>
      </c>
      <c r="BE156" s="92"/>
      <c r="BF156" s="92"/>
      <c r="BG156" s="114">
        <v>119637</v>
      </c>
      <c r="BH156" s="94">
        <f t="shared" si="183"/>
        <v>0</v>
      </c>
      <c r="BI156" s="77" t="e">
        <f t="shared" si="184"/>
        <v>#DIV/0!</v>
      </c>
      <c r="BJ156" s="95" t="str">
        <f t="shared" si="200"/>
        <v>전기전자/기계업</v>
      </c>
      <c r="BK156" s="96" t="e">
        <f t="shared" si="185"/>
        <v>#DIV/0!</v>
      </c>
      <c r="BL156" s="97" t="e">
        <f t="shared" si="201"/>
        <v>#DIV/0!</v>
      </c>
      <c r="BM156" s="98" t="e">
        <f t="shared" si="202"/>
        <v>#DIV/0!</v>
      </c>
      <c r="BN156" s="99" t="e">
        <f t="shared" si="203"/>
        <v>#DIV/0!</v>
      </c>
      <c r="BP156" s="101">
        <f t="shared" si="204"/>
        <v>0</v>
      </c>
      <c r="BQ156" s="78">
        <f t="shared" si="205"/>
        <v>25</v>
      </c>
      <c r="BR156" s="79">
        <f t="shared" si="224"/>
        <v>0.5</v>
      </c>
      <c r="BS156" s="102"/>
      <c r="BT156" s="102"/>
      <c r="BU156" s="103">
        <f t="shared" si="206"/>
        <v>0</v>
      </c>
      <c r="BV156" s="77">
        <f t="shared" si="186"/>
        <v>0</v>
      </c>
      <c r="BW156" s="96">
        <f t="shared" si="187"/>
        <v>0</v>
      </c>
      <c r="BX156" s="96">
        <f t="shared" si="207"/>
        <v>0</v>
      </c>
      <c r="BY156" s="96">
        <f t="shared" si="188"/>
        <v>0</v>
      </c>
      <c r="BZ156" s="96" t="e">
        <f t="shared" si="208"/>
        <v>#NUM!</v>
      </c>
      <c r="CA156" s="96" t="e">
        <f t="shared" si="189"/>
        <v>#NUM!</v>
      </c>
      <c r="CB156" s="104" t="e">
        <f t="shared" si="209"/>
        <v>#NUM!</v>
      </c>
      <c r="CC156" s="105">
        <f t="shared" si="225"/>
        <v>79.299718464909191</v>
      </c>
      <c r="CD156" s="106">
        <f t="shared" si="226"/>
        <v>70.490055854933729</v>
      </c>
      <c r="CE156" s="107">
        <f t="shared" si="227"/>
        <v>1.057350837824006</v>
      </c>
      <c r="CF156" s="108" t="s">
        <v>2189</v>
      </c>
      <c r="CG156" s="108" t="s">
        <v>2189</v>
      </c>
      <c r="CH156" s="108" t="s">
        <v>2189</v>
      </c>
      <c r="CI156" s="108" t="s">
        <v>2189</v>
      </c>
      <c r="CJ156" s="109"/>
      <c r="CM156" s="111">
        <f t="shared" si="210"/>
        <v>25</v>
      </c>
      <c r="CN156" s="107">
        <f t="shared" si="228"/>
        <v>0.375</v>
      </c>
      <c r="CP156" s="88">
        <f t="shared" si="211"/>
        <v>0</v>
      </c>
      <c r="CQ156" s="78">
        <f t="shared" si="212"/>
        <v>100</v>
      </c>
      <c r="CR156" s="79">
        <f t="shared" si="229"/>
        <v>3</v>
      </c>
      <c r="CS156" s="92"/>
      <c r="CT156" s="77">
        <f t="shared" si="190"/>
        <v>0</v>
      </c>
      <c r="CU156" s="78">
        <f t="shared" si="213"/>
        <v>100</v>
      </c>
      <c r="CV156" s="79">
        <f t="shared" si="230"/>
        <v>2</v>
      </c>
      <c r="CW156" s="112" t="e">
        <f t="shared" si="214"/>
        <v>#DIV/0!</v>
      </c>
    </row>
    <row r="157" spans="1:101" x14ac:dyDescent="0.35">
      <c r="A157" s="7" t="s">
        <v>1028</v>
      </c>
      <c r="B157" s="8" t="s">
        <v>1029</v>
      </c>
      <c r="C157" s="21" t="s">
        <v>1030</v>
      </c>
      <c r="D157" s="10" t="s">
        <v>141</v>
      </c>
      <c r="E157" s="11" t="s">
        <v>241</v>
      </c>
      <c r="F157" s="11" t="s">
        <v>1031</v>
      </c>
      <c r="G157" s="12">
        <v>27937</v>
      </c>
      <c r="H157" s="11" t="s">
        <v>24</v>
      </c>
      <c r="I157" s="11" t="s">
        <v>1032</v>
      </c>
      <c r="J157" s="11" t="s">
        <v>1033</v>
      </c>
      <c r="K157" s="11" t="s">
        <v>50</v>
      </c>
      <c r="L157" s="23">
        <v>258833722</v>
      </c>
      <c r="M157" s="14">
        <v>56671294</v>
      </c>
      <c r="N157" s="14">
        <v>202162428</v>
      </c>
      <c r="O157" s="14">
        <v>211265922</v>
      </c>
      <c r="P157" s="14">
        <v>24633492</v>
      </c>
      <c r="Q157" s="14">
        <v>27322194</v>
      </c>
      <c r="R157" s="14">
        <v>21624124</v>
      </c>
      <c r="AB157" s="74">
        <f t="shared" si="215"/>
        <v>0</v>
      </c>
      <c r="AC157" s="75" t="e">
        <f t="shared" si="191"/>
        <v>#DIV/0!</v>
      </c>
      <c r="AD157" s="75" t="e">
        <f t="shared" si="216"/>
        <v>#DIV/0!</v>
      </c>
      <c r="AE157" s="76" t="e">
        <f t="shared" si="219"/>
        <v>#DIV/0!</v>
      </c>
      <c r="AF157" s="77" t="e">
        <f t="shared" si="192"/>
        <v>#DIV/0!</v>
      </c>
      <c r="AG157" s="77" t="e">
        <f t="shared" si="193"/>
        <v>#DIV/0!</v>
      </c>
      <c r="AH157" s="77" t="e">
        <f t="shared" si="217"/>
        <v>#DIV/0!</v>
      </c>
      <c r="AI157" s="78" t="e">
        <f t="shared" si="218"/>
        <v>#DIV/0!</v>
      </c>
      <c r="AJ157" s="79" t="e">
        <f t="shared" si="220"/>
        <v>#DIV/0!</v>
      </c>
      <c r="AN157" s="81">
        <f t="shared" si="178"/>
        <v>0</v>
      </c>
      <c r="AO157" s="82" t="e">
        <f t="shared" si="179"/>
        <v>#DIV/0!</v>
      </c>
      <c r="AP157" s="83" t="e">
        <f t="shared" si="194"/>
        <v>#DIV/0!</v>
      </c>
      <c r="AQ157" s="84" t="e">
        <f t="shared" si="221"/>
        <v>#DIV/0!</v>
      </c>
      <c r="AS157" s="86">
        <f t="shared" si="180"/>
        <v>0.25</v>
      </c>
      <c r="AT157" s="87">
        <f t="shared" si="195"/>
        <v>0</v>
      </c>
      <c r="AU157" s="87">
        <f t="shared" si="196"/>
        <v>0</v>
      </c>
      <c r="AV157" s="88" t="e">
        <f t="shared" si="181"/>
        <v>#DIV/0!</v>
      </c>
      <c r="AW157" s="78" t="e">
        <f t="shared" si="197"/>
        <v>#DIV/0!</v>
      </c>
      <c r="AX157" s="89" t="e">
        <f t="shared" si="222"/>
        <v>#DIV/0!</v>
      </c>
      <c r="BA157" s="91">
        <f t="shared" si="182"/>
        <v>0</v>
      </c>
      <c r="BB157" s="77" t="e">
        <f t="shared" si="198"/>
        <v>#DIV/0!</v>
      </c>
      <c r="BC157" s="78" t="e">
        <f t="shared" si="199"/>
        <v>#DIV/0!</v>
      </c>
      <c r="BD157" s="79" t="e">
        <f t="shared" si="223"/>
        <v>#DIV/0!</v>
      </c>
      <c r="BE157" s="92"/>
      <c r="BF157" s="92"/>
      <c r="BG157" s="93">
        <v>0</v>
      </c>
      <c r="BH157" s="94">
        <f t="shared" si="183"/>
        <v>0</v>
      </c>
      <c r="BI157" s="77" t="e">
        <f t="shared" si="184"/>
        <v>#DIV/0!</v>
      </c>
      <c r="BJ157" s="95" t="str">
        <f t="shared" si="200"/>
        <v>전기전자/기계업</v>
      </c>
      <c r="BK157" s="96" t="e">
        <f t="shared" si="185"/>
        <v>#DIV/0!</v>
      </c>
      <c r="BL157" s="97" t="e">
        <f t="shared" si="201"/>
        <v>#DIV/0!</v>
      </c>
      <c r="BM157" s="98" t="e">
        <f t="shared" si="202"/>
        <v>#DIV/0!</v>
      </c>
      <c r="BN157" s="99" t="e">
        <f t="shared" si="203"/>
        <v>#DIV/0!</v>
      </c>
      <c r="BP157" s="101">
        <f t="shared" si="204"/>
        <v>0</v>
      </c>
      <c r="BQ157" s="78">
        <f t="shared" si="205"/>
        <v>25</v>
      </c>
      <c r="BR157" s="79">
        <f t="shared" si="224"/>
        <v>0.5</v>
      </c>
      <c r="BS157" s="102"/>
      <c r="BT157" s="102"/>
      <c r="BU157" s="103">
        <f t="shared" si="206"/>
        <v>0</v>
      </c>
      <c r="BV157" s="77">
        <f t="shared" si="186"/>
        <v>0</v>
      </c>
      <c r="BW157" s="96">
        <f t="shared" si="187"/>
        <v>0</v>
      </c>
      <c r="BX157" s="96">
        <f t="shared" si="207"/>
        <v>0</v>
      </c>
      <c r="BY157" s="96">
        <f t="shared" si="188"/>
        <v>0</v>
      </c>
      <c r="BZ157" s="96" t="e">
        <f t="shared" si="208"/>
        <v>#NUM!</v>
      </c>
      <c r="CA157" s="96" t="e">
        <f t="shared" si="189"/>
        <v>#NUM!</v>
      </c>
      <c r="CB157" s="104" t="e">
        <f t="shared" si="209"/>
        <v>#NUM!</v>
      </c>
      <c r="CC157" s="105">
        <f t="shared" si="225"/>
        <v>28.03255508981125</v>
      </c>
      <c r="CD157" s="106">
        <f t="shared" si="226"/>
        <v>89.811851096804801</v>
      </c>
      <c r="CE157" s="107">
        <f t="shared" si="227"/>
        <v>1.3471777664520719</v>
      </c>
      <c r="CF157" s="108" t="s">
        <v>2189</v>
      </c>
      <c r="CG157" s="108" t="s">
        <v>2189</v>
      </c>
      <c r="CH157" s="108" t="s">
        <v>2189</v>
      </c>
      <c r="CI157" s="108" t="s">
        <v>2189</v>
      </c>
      <c r="CJ157" s="109"/>
      <c r="CM157" s="111">
        <f t="shared" si="210"/>
        <v>25</v>
      </c>
      <c r="CN157" s="107">
        <f t="shared" si="228"/>
        <v>0.375</v>
      </c>
      <c r="CP157" s="88">
        <f t="shared" si="211"/>
        <v>0</v>
      </c>
      <c r="CQ157" s="78">
        <f t="shared" si="212"/>
        <v>100</v>
      </c>
      <c r="CR157" s="79">
        <f t="shared" si="229"/>
        <v>3</v>
      </c>
      <c r="CS157" s="92"/>
      <c r="CT157" s="77">
        <f t="shared" si="190"/>
        <v>0</v>
      </c>
      <c r="CU157" s="78">
        <f t="shared" si="213"/>
        <v>100</v>
      </c>
      <c r="CV157" s="79">
        <f t="shared" si="230"/>
        <v>2</v>
      </c>
      <c r="CW157" s="112" t="e">
        <f t="shared" si="214"/>
        <v>#DIV/0!</v>
      </c>
    </row>
    <row r="158" spans="1:101" x14ac:dyDescent="0.35">
      <c r="A158" s="7" t="s">
        <v>1034</v>
      </c>
      <c r="B158" s="8" t="s">
        <v>1035</v>
      </c>
      <c r="C158" s="21" t="s">
        <v>1036</v>
      </c>
      <c r="D158" s="10" t="s">
        <v>141</v>
      </c>
      <c r="E158" s="11" t="s">
        <v>356</v>
      </c>
      <c r="F158" s="11" t="s">
        <v>1037</v>
      </c>
      <c r="G158" s="12">
        <v>38287</v>
      </c>
      <c r="H158" s="11" t="s">
        <v>24</v>
      </c>
      <c r="I158" s="11" t="s">
        <v>1038</v>
      </c>
      <c r="J158" s="11" t="s">
        <v>1039</v>
      </c>
      <c r="K158" s="11" t="s">
        <v>536</v>
      </c>
      <c r="L158" s="23">
        <v>425929471</v>
      </c>
      <c r="M158" s="14">
        <v>214344538</v>
      </c>
      <c r="N158" s="14">
        <v>211584933</v>
      </c>
      <c r="O158" s="14">
        <v>373474666</v>
      </c>
      <c r="P158" s="14">
        <v>26834891</v>
      </c>
      <c r="Q158" s="14">
        <v>16665875</v>
      </c>
      <c r="R158" s="14">
        <v>11131495</v>
      </c>
      <c r="AB158" s="74">
        <f t="shared" si="215"/>
        <v>0</v>
      </c>
      <c r="AC158" s="75" t="e">
        <f t="shared" si="191"/>
        <v>#DIV/0!</v>
      </c>
      <c r="AD158" s="75" t="e">
        <f t="shared" si="216"/>
        <v>#DIV/0!</v>
      </c>
      <c r="AE158" s="76" t="e">
        <f t="shared" si="219"/>
        <v>#DIV/0!</v>
      </c>
      <c r="AF158" s="77" t="e">
        <f t="shared" si="192"/>
        <v>#DIV/0!</v>
      </c>
      <c r="AG158" s="77" t="e">
        <f t="shared" si="193"/>
        <v>#DIV/0!</v>
      </c>
      <c r="AH158" s="77" t="e">
        <f t="shared" si="217"/>
        <v>#DIV/0!</v>
      </c>
      <c r="AI158" s="78" t="e">
        <f t="shared" si="218"/>
        <v>#DIV/0!</v>
      </c>
      <c r="AJ158" s="79" t="e">
        <f t="shared" si="220"/>
        <v>#DIV/0!</v>
      </c>
      <c r="AN158" s="81">
        <f t="shared" si="178"/>
        <v>0</v>
      </c>
      <c r="AO158" s="82" t="e">
        <f t="shared" si="179"/>
        <v>#DIV/0!</v>
      </c>
      <c r="AP158" s="83" t="e">
        <f t="shared" si="194"/>
        <v>#DIV/0!</v>
      </c>
      <c r="AQ158" s="84" t="e">
        <f t="shared" si="221"/>
        <v>#DIV/0!</v>
      </c>
      <c r="AS158" s="86">
        <f t="shared" si="180"/>
        <v>0.25</v>
      </c>
      <c r="AT158" s="87">
        <f t="shared" si="195"/>
        <v>0</v>
      </c>
      <c r="AU158" s="87">
        <f t="shared" si="196"/>
        <v>0</v>
      </c>
      <c r="AV158" s="88" t="e">
        <f t="shared" si="181"/>
        <v>#DIV/0!</v>
      </c>
      <c r="AW158" s="78" t="e">
        <f t="shared" si="197"/>
        <v>#DIV/0!</v>
      </c>
      <c r="AX158" s="89" t="e">
        <f t="shared" si="222"/>
        <v>#DIV/0!</v>
      </c>
      <c r="BA158" s="91">
        <f t="shared" si="182"/>
        <v>0</v>
      </c>
      <c r="BB158" s="77" t="e">
        <f t="shared" si="198"/>
        <v>#DIV/0!</v>
      </c>
      <c r="BC158" s="78" t="e">
        <f t="shared" si="199"/>
        <v>#DIV/0!</v>
      </c>
      <c r="BD158" s="79" t="e">
        <f t="shared" si="223"/>
        <v>#DIV/0!</v>
      </c>
      <c r="BE158" s="92"/>
      <c r="BF158" s="92"/>
      <c r="BG158" s="114">
        <v>259722.875</v>
      </c>
      <c r="BH158" s="94">
        <f t="shared" si="183"/>
        <v>0</v>
      </c>
      <c r="BI158" s="77" t="e">
        <f t="shared" si="184"/>
        <v>#DIV/0!</v>
      </c>
      <c r="BJ158" s="95" t="str">
        <f t="shared" si="200"/>
        <v>전기전자/기계업</v>
      </c>
      <c r="BK158" s="96" t="e">
        <f t="shared" si="185"/>
        <v>#DIV/0!</v>
      </c>
      <c r="BL158" s="97" t="e">
        <f t="shared" si="201"/>
        <v>#DIV/0!</v>
      </c>
      <c r="BM158" s="98" t="e">
        <f t="shared" si="202"/>
        <v>#DIV/0!</v>
      </c>
      <c r="BN158" s="99" t="e">
        <f t="shared" si="203"/>
        <v>#DIV/0!</v>
      </c>
      <c r="BP158" s="101">
        <f t="shared" si="204"/>
        <v>0</v>
      </c>
      <c r="BQ158" s="78">
        <f t="shared" si="205"/>
        <v>25</v>
      </c>
      <c r="BR158" s="79">
        <f t="shared" si="224"/>
        <v>0.5</v>
      </c>
      <c r="BS158" s="102"/>
      <c r="BT158" s="102"/>
      <c r="BU158" s="103">
        <f t="shared" si="206"/>
        <v>0</v>
      </c>
      <c r="BV158" s="77">
        <f t="shared" si="186"/>
        <v>0</v>
      </c>
      <c r="BW158" s="96">
        <f t="shared" si="187"/>
        <v>0</v>
      </c>
      <c r="BX158" s="96">
        <f t="shared" si="207"/>
        <v>0</v>
      </c>
      <c r="BY158" s="96">
        <f t="shared" si="188"/>
        <v>0</v>
      </c>
      <c r="BZ158" s="96" t="e">
        <f t="shared" si="208"/>
        <v>#NUM!</v>
      </c>
      <c r="CA158" s="96" t="e">
        <f t="shared" si="189"/>
        <v>#NUM!</v>
      </c>
      <c r="CB158" s="104" t="e">
        <f t="shared" si="209"/>
        <v>#NUM!</v>
      </c>
      <c r="CC158" s="105">
        <f t="shared" si="225"/>
        <v>101.30425402266239</v>
      </c>
      <c r="CD158" s="106">
        <f t="shared" si="226"/>
        <v>62.196889187438799</v>
      </c>
      <c r="CE158" s="107">
        <f t="shared" si="227"/>
        <v>0.93295333781158196</v>
      </c>
      <c r="CF158" s="108" t="s">
        <v>2189</v>
      </c>
      <c r="CG158" s="108" t="s">
        <v>2189</v>
      </c>
      <c r="CH158" s="108" t="s">
        <v>2189</v>
      </c>
      <c r="CI158" s="108" t="s">
        <v>2189</v>
      </c>
      <c r="CJ158" s="109"/>
      <c r="CM158" s="111">
        <f t="shared" si="210"/>
        <v>25</v>
      </c>
      <c r="CN158" s="107">
        <f t="shared" si="228"/>
        <v>0.375</v>
      </c>
      <c r="CP158" s="88">
        <f t="shared" si="211"/>
        <v>0</v>
      </c>
      <c r="CQ158" s="78">
        <f t="shared" si="212"/>
        <v>100</v>
      </c>
      <c r="CR158" s="79">
        <f t="shared" si="229"/>
        <v>3</v>
      </c>
      <c r="CS158" s="92"/>
      <c r="CT158" s="77">
        <f t="shared" si="190"/>
        <v>0</v>
      </c>
      <c r="CU158" s="78">
        <f t="shared" si="213"/>
        <v>100</v>
      </c>
      <c r="CV158" s="79">
        <f t="shared" si="230"/>
        <v>2</v>
      </c>
      <c r="CW158" s="112" t="e">
        <f t="shared" si="214"/>
        <v>#DIV/0!</v>
      </c>
    </row>
    <row r="159" spans="1:101" x14ac:dyDescent="0.35">
      <c r="A159" s="7" t="s">
        <v>1040</v>
      </c>
      <c r="B159" s="8" t="s">
        <v>1041</v>
      </c>
      <c r="C159" s="21" t="s">
        <v>1042</v>
      </c>
      <c r="D159" s="10" t="s">
        <v>31</v>
      </c>
      <c r="E159" s="11" t="s">
        <v>46</v>
      </c>
      <c r="F159" s="11" t="s">
        <v>1043</v>
      </c>
      <c r="G159" s="12">
        <v>42591</v>
      </c>
      <c r="H159" s="11" t="s">
        <v>24</v>
      </c>
      <c r="I159" s="11" t="s">
        <v>1044</v>
      </c>
      <c r="J159" s="11" t="s">
        <v>1045</v>
      </c>
      <c r="K159" s="11" t="s">
        <v>27</v>
      </c>
      <c r="L159" s="23">
        <v>323958042</v>
      </c>
      <c r="M159" s="14">
        <v>108746469</v>
      </c>
      <c r="N159" s="14">
        <v>215211573</v>
      </c>
      <c r="O159" s="14">
        <v>362553052</v>
      </c>
      <c r="P159" s="14">
        <v>8643494</v>
      </c>
      <c r="Q159" s="14">
        <v>12941595</v>
      </c>
      <c r="R159" s="14">
        <v>11435933</v>
      </c>
      <c r="AB159" s="74">
        <f t="shared" si="215"/>
        <v>0</v>
      </c>
      <c r="AC159" s="75" t="e">
        <f t="shared" si="191"/>
        <v>#DIV/0!</v>
      </c>
      <c r="AD159" s="75" t="e">
        <f t="shared" si="216"/>
        <v>#DIV/0!</v>
      </c>
      <c r="AE159" s="76" t="e">
        <f t="shared" si="219"/>
        <v>#DIV/0!</v>
      </c>
      <c r="AF159" s="77" t="e">
        <f t="shared" si="192"/>
        <v>#DIV/0!</v>
      </c>
      <c r="AG159" s="77" t="e">
        <f t="shared" si="193"/>
        <v>#DIV/0!</v>
      </c>
      <c r="AH159" s="77" t="e">
        <f t="shared" si="217"/>
        <v>#DIV/0!</v>
      </c>
      <c r="AI159" s="78" t="e">
        <f t="shared" si="218"/>
        <v>#DIV/0!</v>
      </c>
      <c r="AJ159" s="79" t="e">
        <f t="shared" si="220"/>
        <v>#DIV/0!</v>
      </c>
      <c r="AM159" s="80"/>
      <c r="AN159" s="81">
        <f t="shared" si="178"/>
        <v>0</v>
      </c>
      <c r="AO159" s="82" t="e">
        <f t="shared" si="179"/>
        <v>#DIV/0!</v>
      </c>
      <c r="AP159" s="83" t="e">
        <f t="shared" si="194"/>
        <v>#DIV/0!</v>
      </c>
      <c r="AQ159" s="84" t="e">
        <f t="shared" si="221"/>
        <v>#DIV/0!</v>
      </c>
      <c r="AS159" s="86">
        <f t="shared" si="180"/>
        <v>0.25</v>
      </c>
      <c r="AT159" s="87">
        <f t="shared" si="195"/>
        <v>0</v>
      </c>
      <c r="AU159" s="87">
        <f t="shared" si="196"/>
        <v>0</v>
      </c>
      <c r="AV159" s="88" t="e">
        <f t="shared" si="181"/>
        <v>#DIV/0!</v>
      </c>
      <c r="AW159" s="78" t="e">
        <f t="shared" si="197"/>
        <v>#DIV/0!</v>
      </c>
      <c r="AX159" s="89" t="e">
        <f t="shared" si="222"/>
        <v>#DIV/0!</v>
      </c>
      <c r="BA159" s="91">
        <f t="shared" si="182"/>
        <v>0</v>
      </c>
      <c r="BB159" s="77" t="e">
        <f t="shared" si="198"/>
        <v>#DIV/0!</v>
      </c>
      <c r="BC159" s="78" t="e">
        <f t="shared" si="199"/>
        <v>#DIV/0!</v>
      </c>
      <c r="BD159" s="79" t="e">
        <f t="shared" si="223"/>
        <v>#DIV/0!</v>
      </c>
      <c r="BE159" s="92"/>
      <c r="BF159" s="92"/>
      <c r="BG159" s="114">
        <v>91186</v>
      </c>
      <c r="BH159" s="94">
        <f t="shared" si="183"/>
        <v>0</v>
      </c>
      <c r="BI159" s="77" t="e">
        <f t="shared" si="184"/>
        <v>#DIV/0!</v>
      </c>
      <c r="BJ159" s="95" t="str">
        <f t="shared" si="200"/>
        <v>식약/섬유/종이업</v>
      </c>
      <c r="BK159" s="96" t="e">
        <f t="shared" si="185"/>
        <v>#DIV/0!</v>
      </c>
      <c r="BL159" s="97" t="e">
        <f t="shared" si="201"/>
        <v>#DIV/0!</v>
      </c>
      <c r="BM159" s="98" t="e">
        <f t="shared" si="202"/>
        <v>#DIV/0!</v>
      </c>
      <c r="BN159" s="99" t="e">
        <f t="shared" si="203"/>
        <v>#DIV/0!</v>
      </c>
      <c r="BP159" s="101">
        <f t="shared" si="204"/>
        <v>0</v>
      </c>
      <c r="BQ159" s="78">
        <f t="shared" si="205"/>
        <v>25</v>
      </c>
      <c r="BR159" s="79">
        <f t="shared" si="224"/>
        <v>0.5</v>
      </c>
      <c r="BS159" s="102"/>
      <c r="BT159" s="102"/>
      <c r="BU159" s="103">
        <f t="shared" si="206"/>
        <v>0</v>
      </c>
      <c r="BV159" s="77">
        <f t="shared" si="186"/>
        <v>0</v>
      </c>
      <c r="BW159" s="96">
        <f t="shared" si="187"/>
        <v>0</v>
      </c>
      <c r="BX159" s="96">
        <f t="shared" si="207"/>
        <v>0</v>
      </c>
      <c r="BY159" s="96">
        <f t="shared" si="188"/>
        <v>0</v>
      </c>
      <c r="BZ159" s="96" t="e">
        <f t="shared" si="208"/>
        <v>#NUM!</v>
      </c>
      <c r="CA159" s="96" t="e">
        <f t="shared" si="189"/>
        <v>#NUM!</v>
      </c>
      <c r="CB159" s="104" t="e">
        <f t="shared" si="209"/>
        <v>#NUM!</v>
      </c>
      <c r="CC159" s="105">
        <f t="shared" si="225"/>
        <v>50.530028419986508</v>
      </c>
      <c r="CD159" s="106">
        <f t="shared" si="226"/>
        <v>81.332903861814131</v>
      </c>
      <c r="CE159" s="107">
        <f t="shared" si="227"/>
        <v>1.2199935579272119</v>
      </c>
      <c r="CF159" s="108" t="s">
        <v>2189</v>
      </c>
      <c r="CG159" s="108" t="s">
        <v>2189</v>
      </c>
      <c r="CH159" s="108" t="s">
        <v>2189</v>
      </c>
      <c r="CI159" s="108" t="s">
        <v>2189</v>
      </c>
      <c r="CJ159" s="109"/>
      <c r="CM159" s="111">
        <f t="shared" si="210"/>
        <v>25</v>
      </c>
      <c r="CN159" s="107">
        <f t="shared" si="228"/>
        <v>0.375</v>
      </c>
      <c r="CP159" s="88">
        <f t="shared" si="211"/>
        <v>0</v>
      </c>
      <c r="CQ159" s="78">
        <f t="shared" si="212"/>
        <v>100</v>
      </c>
      <c r="CR159" s="79">
        <f t="shared" si="229"/>
        <v>3</v>
      </c>
      <c r="CS159" s="92"/>
      <c r="CT159" s="77">
        <f t="shared" si="190"/>
        <v>0</v>
      </c>
      <c r="CU159" s="78">
        <f t="shared" si="213"/>
        <v>100</v>
      </c>
      <c r="CV159" s="79">
        <f t="shared" si="230"/>
        <v>2</v>
      </c>
      <c r="CW159" s="112" t="e">
        <f t="shared" si="214"/>
        <v>#DIV/0!</v>
      </c>
    </row>
    <row r="160" spans="1:101" x14ac:dyDescent="0.35">
      <c r="A160" s="7" t="s">
        <v>1046</v>
      </c>
      <c r="B160" s="8" t="s">
        <v>1047</v>
      </c>
      <c r="C160" s="21" t="s">
        <v>1048</v>
      </c>
      <c r="D160" s="22" t="s">
        <v>75</v>
      </c>
      <c r="E160" s="11" t="s">
        <v>390</v>
      </c>
      <c r="F160" s="11" t="s">
        <v>1049</v>
      </c>
      <c r="G160" s="12">
        <v>34929</v>
      </c>
      <c r="H160" s="11" t="s">
        <v>24</v>
      </c>
      <c r="I160" s="11" t="s">
        <v>1050</v>
      </c>
      <c r="J160" s="11" t="s">
        <v>1051</v>
      </c>
      <c r="K160" s="11" t="s">
        <v>27</v>
      </c>
      <c r="L160" s="23">
        <v>1847155998</v>
      </c>
      <c r="M160" s="14">
        <v>810732237</v>
      </c>
      <c r="N160" s="14">
        <v>1036423762</v>
      </c>
      <c r="O160" s="14">
        <v>1716610303</v>
      </c>
      <c r="P160" s="14">
        <v>2873932</v>
      </c>
      <c r="Q160" s="14">
        <v>21741733</v>
      </c>
      <c r="R160" s="14">
        <v>17341286</v>
      </c>
      <c r="AB160" s="74">
        <f t="shared" si="215"/>
        <v>0</v>
      </c>
      <c r="AC160" s="75" t="e">
        <f t="shared" si="191"/>
        <v>#DIV/0!</v>
      </c>
      <c r="AD160" s="75" t="e">
        <f t="shared" si="216"/>
        <v>#DIV/0!</v>
      </c>
      <c r="AE160" s="76" t="e">
        <f t="shared" si="219"/>
        <v>#DIV/0!</v>
      </c>
      <c r="AF160" s="77" t="e">
        <f t="shared" si="192"/>
        <v>#DIV/0!</v>
      </c>
      <c r="AG160" s="77" t="e">
        <f t="shared" si="193"/>
        <v>#DIV/0!</v>
      </c>
      <c r="AH160" s="77" t="e">
        <f t="shared" si="217"/>
        <v>#DIV/0!</v>
      </c>
      <c r="AI160" s="78" t="e">
        <f t="shared" si="218"/>
        <v>#DIV/0!</v>
      </c>
      <c r="AJ160" s="79" t="e">
        <f t="shared" si="220"/>
        <v>#DIV/0!</v>
      </c>
      <c r="AN160" s="81">
        <f t="shared" si="178"/>
        <v>0</v>
      </c>
      <c r="AO160" s="82" t="e">
        <f t="shared" si="179"/>
        <v>#DIV/0!</v>
      </c>
      <c r="AP160" s="83" t="e">
        <f t="shared" si="194"/>
        <v>#DIV/0!</v>
      </c>
      <c r="AQ160" s="84" t="e">
        <f t="shared" si="221"/>
        <v>#DIV/0!</v>
      </c>
      <c r="AS160" s="86">
        <f t="shared" si="180"/>
        <v>0.25</v>
      </c>
      <c r="AT160" s="87">
        <f t="shared" si="195"/>
        <v>0</v>
      </c>
      <c r="AU160" s="87">
        <f t="shared" si="196"/>
        <v>0</v>
      </c>
      <c r="AV160" s="88" t="e">
        <f t="shared" si="181"/>
        <v>#DIV/0!</v>
      </c>
      <c r="AW160" s="78" t="e">
        <f t="shared" si="197"/>
        <v>#DIV/0!</v>
      </c>
      <c r="AX160" s="89" t="e">
        <f t="shared" si="222"/>
        <v>#DIV/0!</v>
      </c>
      <c r="BA160" s="91">
        <f t="shared" si="182"/>
        <v>0</v>
      </c>
      <c r="BB160" s="77" t="e">
        <f t="shared" si="198"/>
        <v>#DIV/0!</v>
      </c>
      <c r="BC160" s="78" t="e">
        <f t="shared" si="199"/>
        <v>#DIV/0!</v>
      </c>
      <c r="BD160" s="79" t="e">
        <f t="shared" si="223"/>
        <v>#DIV/0!</v>
      </c>
      <c r="BE160" s="92"/>
      <c r="BF160" s="92"/>
      <c r="BG160" s="114">
        <v>4538287</v>
      </c>
      <c r="BH160" s="94">
        <f t="shared" si="183"/>
        <v>0</v>
      </c>
      <c r="BI160" s="77" t="e">
        <f t="shared" si="184"/>
        <v>#DIV/0!</v>
      </c>
      <c r="BJ160" s="95" t="str">
        <f t="shared" si="200"/>
        <v>금속/비금속/화학업</v>
      </c>
      <c r="BK160" s="96" t="e">
        <f t="shared" si="185"/>
        <v>#DIV/0!</v>
      </c>
      <c r="BL160" s="97" t="e">
        <f t="shared" si="201"/>
        <v>#DIV/0!</v>
      </c>
      <c r="BM160" s="98" t="e">
        <f t="shared" si="202"/>
        <v>#DIV/0!</v>
      </c>
      <c r="BN160" s="99" t="e">
        <f t="shared" si="203"/>
        <v>#DIV/0!</v>
      </c>
      <c r="BP160" s="101">
        <f t="shared" si="204"/>
        <v>0</v>
      </c>
      <c r="BQ160" s="78">
        <f t="shared" si="205"/>
        <v>25</v>
      </c>
      <c r="BR160" s="79">
        <f t="shared" si="224"/>
        <v>0.5</v>
      </c>
      <c r="BS160" s="102"/>
      <c r="BT160" s="102"/>
      <c r="BU160" s="103">
        <f t="shared" si="206"/>
        <v>0</v>
      </c>
      <c r="BV160" s="77">
        <f t="shared" si="186"/>
        <v>0</v>
      </c>
      <c r="BW160" s="96">
        <f t="shared" si="187"/>
        <v>0</v>
      </c>
      <c r="BX160" s="96">
        <f t="shared" si="207"/>
        <v>0</v>
      </c>
      <c r="BY160" s="96">
        <f t="shared" si="188"/>
        <v>0</v>
      </c>
      <c r="BZ160" s="96" t="e">
        <f t="shared" si="208"/>
        <v>#NUM!</v>
      </c>
      <c r="CA160" s="96" t="e">
        <f t="shared" si="189"/>
        <v>#NUM!</v>
      </c>
      <c r="CB160" s="104" t="e">
        <f t="shared" si="209"/>
        <v>#NUM!</v>
      </c>
      <c r="CC160" s="105">
        <f t="shared" si="225"/>
        <v>78.224010942736371</v>
      </c>
      <c r="CD160" s="106">
        <f t="shared" si="226"/>
        <v>70.895473262787803</v>
      </c>
      <c r="CE160" s="107">
        <f t="shared" si="227"/>
        <v>1.0634320989418171</v>
      </c>
      <c r="CF160" s="108" t="s">
        <v>2189</v>
      </c>
      <c r="CG160" s="108" t="s">
        <v>2189</v>
      </c>
      <c r="CH160" s="108" t="s">
        <v>2189</v>
      </c>
      <c r="CI160" s="108" t="s">
        <v>2189</v>
      </c>
      <c r="CJ160" s="109"/>
      <c r="CM160" s="111">
        <f t="shared" si="210"/>
        <v>25</v>
      </c>
      <c r="CN160" s="107">
        <f t="shared" si="228"/>
        <v>0.375</v>
      </c>
      <c r="CP160" s="88">
        <f t="shared" si="211"/>
        <v>0</v>
      </c>
      <c r="CQ160" s="78">
        <f t="shared" si="212"/>
        <v>100</v>
      </c>
      <c r="CR160" s="79">
        <f t="shared" si="229"/>
        <v>3</v>
      </c>
      <c r="CS160" s="92"/>
      <c r="CT160" s="77">
        <f t="shared" si="190"/>
        <v>0</v>
      </c>
      <c r="CU160" s="78">
        <f t="shared" si="213"/>
        <v>100</v>
      </c>
      <c r="CV160" s="79">
        <f t="shared" si="230"/>
        <v>2</v>
      </c>
      <c r="CW160" s="112" t="e">
        <f t="shared" si="214"/>
        <v>#DIV/0!</v>
      </c>
    </row>
    <row r="161" spans="1:101" x14ac:dyDescent="0.35">
      <c r="A161" s="7" t="s">
        <v>1052</v>
      </c>
      <c r="B161" s="8" t="s">
        <v>1053</v>
      </c>
      <c r="C161" s="21" t="s">
        <v>1054</v>
      </c>
      <c r="D161" s="22" t="s">
        <v>31</v>
      </c>
      <c r="E161" s="11" t="s">
        <v>1055</v>
      </c>
      <c r="F161" s="11" t="s">
        <v>1056</v>
      </c>
      <c r="G161" s="12">
        <v>40590</v>
      </c>
      <c r="H161" s="11" t="s">
        <v>24</v>
      </c>
      <c r="I161" s="11" t="s">
        <v>1057</v>
      </c>
      <c r="J161" s="28" t="s">
        <v>1058</v>
      </c>
      <c r="K161" s="11" t="s">
        <v>50</v>
      </c>
      <c r="L161" s="23">
        <v>915554063</v>
      </c>
      <c r="M161" s="14">
        <v>489216440</v>
      </c>
      <c r="N161" s="14">
        <v>426337623</v>
      </c>
      <c r="O161" s="14">
        <v>1198282787</v>
      </c>
      <c r="P161" s="14">
        <v>30096580</v>
      </c>
      <c r="Q161" s="14">
        <v>53117187</v>
      </c>
      <c r="R161" s="14">
        <v>41094963</v>
      </c>
      <c r="AB161" s="74">
        <f t="shared" si="215"/>
        <v>0</v>
      </c>
      <c r="AC161" s="75" t="e">
        <f t="shared" si="191"/>
        <v>#DIV/0!</v>
      </c>
      <c r="AD161" s="75" t="e">
        <f t="shared" si="216"/>
        <v>#DIV/0!</v>
      </c>
      <c r="AE161" s="76" t="e">
        <f t="shared" si="219"/>
        <v>#DIV/0!</v>
      </c>
      <c r="AF161" s="77" t="e">
        <f t="shared" si="192"/>
        <v>#DIV/0!</v>
      </c>
      <c r="AG161" s="77" t="e">
        <f t="shared" si="193"/>
        <v>#DIV/0!</v>
      </c>
      <c r="AH161" s="77" t="e">
        <f t="shared" si="217"/>
        <v>#DIV/0!</v>
      </c>
      <c r="AI161" s="78" t="e">
        <f t="shared" si="218"/>
        <v>#DIV/0!</v>
      </c>
      <c r="AJ161" s="79" t="e">
        <f t="shared" si="220"/>
        <v>#DIV/0!</v>
      </c>
      <c r="AN161" s="81">
        <f t="shared" si="178"/>
        <v>0</v>
      </c>
      <c r="AO161" s="82" t="e">
        <f t="shared" si="179"/>
        <v>#DIV/0!</v>
      </c>
      <c r="AP161" s="83" t="e">
        <f t="shared" si="194"/>
        <v>#DIV/0!</v>
      </c>
      <c r="AQ161" s="84" t="e">
        <f t="shared" si="221"/>
        <v>#DIV/0!</v>
      </c>
      <c r="AS161" s="86">
        <f t="shared" si="180"/>
        <v>0.25</v>
      </c>
      <c r="AT161" s="87">
        <f t="shared" si="195"/>
        <v>0</v>
      </c>
      <c r="AU161" s="87">
        <f t="shared" si="196"/>
        <v>0</v>
      </c>
      <c r="AV161" s="88" t="e">
        <f t="shared" si="181"/>
        <v>#DIV/0!</v>
      </c>
      <c r="AW161" s="78" t="e">
        <f t="shared" si="197"/>
        <v>#DIV/0!</v>
      </c>
      <c r="AX161" s="89" t="e">
        <f t="shared" si="222"/>
        <v>#DIV/0!</v>
      </c>
      <c r="BA161" s="91">
        <f t="shared" si="182"/>
        <v>0</v>
      </c>
      <c r="BB161" s="77" t="e">
        <f t="shared" si="198"/>
        <v>#DIV/0!</v>
      </c>
      <c r="BC161" s="78" t="e">
        <f t="shared" si="199"/>
        <v>#DIV/0!</v>
      </c>
      <c r="BD161" s="79" t="e">
        <f t="shared" si="223"/>
        <v>#DIV/0!</v>
      </c>
      <c r="BE161" s="92"/>
      <c r="BF161" s="92"/>
      <c r="BG161" s="114">
        <v>3781331</v>
      </c>
      <c r="BH161" s="94">
        <f t="shared" si="183"/>
        <v>0</v>
      </c>
      <c r="BI161" s="77" t="e">
        <f t="shared" si="184"/>
        <v>#DIV/0!</v>
      </c>
      <c r="BJ161" s="95" t="str">
        <f t="shared" si="200"/>
        <v>식약/섬유/종이업</v>
      </c>
      <c r="BK161" s="96" t="e">
        <f t="shared" si="185"/>
        <v>#DIV/0!</v>
      </c>
      <c r="BL161" s="97" t="e">
        <f t="shared" si="201"/>
        <v>#DIV/0!</v>
      </c>
      <c r="BM161" s="98" t="e">
        <f t="shared" si="202"/>
        <v>#DIV/0!</v>
      </c>
      <c r="BN161" s="99" t="e">
        <f t="shared" si="203"/>
        <v>#DIV/0!</v>
      </c>
      <c r="BP161" s="101">
        <f t="shared" si="204"/>
        <v>0</v>
      </c>
      <c r="BQ161" s="78">
        <f t="shared" si="205"/>
        <v>25</v>
      </c>
      <c r="BR161" s="79">
        <f t="shared" si="224"/>
        <v>0.5</v>
      </c>
      <c r="BS161" s="102"/>
      <c r="BT161" s="102"/>
      <c r="BU161" s="103">
        <f t="shared" si="206"/>
        <v>0</v>
      </c>
      <c r="BV161" s="77">
        <f t="shared" si="186"/>
        <v>0</v>
      </c>
      <c r="BW161" s="96">
        <f t="shared" si="187"/>
        <v>0</v>
      </c>
      <c r="BX161" s="96">
        <f t="shared" si="207"/>
        <v>0</v>
      </c>
      <c r="BY161" s="96">
        <f t="shared" si="188"/>
        <v>0</v>
      </c>
      <c r="BZ161" s="96" t="e">
        <f t="shared" si="208"/>
        <v>#NUM!</v>
      </c>
      <c r="CA161" s="96" t="e">
        <f t="shared" si="189"/>
        <v>#NUM!</v>
      </c>
      <c r="CB161" s="104" t="e">
        <f t="shared" si="209"/>
        <v>#NUM!</v>
      </c>
      <c r="CC161" s="105">
        <f t="shared" si="225"/>
        <v>114.74859679461129</v>
      </c>
      <c r="CD161" s="106">
        <f t="shared" si="226"/>
        <v>57.129925831176649</v>
      </c>
      <c r="CE161" s="107">
        <f t="shared" si="227"/>
        <v>0.85694888746764974</v>
      </c>
      <c r="CF161" s="108" t="s">
        <v>2189</v>
      </c>
      <c r="CG161" s="108" t="s">
        <v>2189</v>
      </c>
      <c r="CH161" s="108" t="s">
        <v>2189</v>
      </c>
      <c r="CI161" s="108" t="s">
        <v>2189</v>
      </c>
      <c r="CJ161" s="109"/>
      <c r="CM161" s="111">
        <f t="shared" si="210"/>
        <v>25</v>
      </c>
      <c r="CN161" s="107">
        <f t="shared" si="228"/>
        <v>0.375</v>
      </c>
      <c r="CP161" s="88">
        <f t="shared" si="211"/>
        <v>0</v>
      </c>
      <c r="CQ161" s="78">
        <f t="shared" si="212"/>
        <v>100</v>
      </c>
      <c r="CR161" s="79">
        <f t="shared" si="229"/>
        <v>3</v>
      </c>
      <c r="CS161" s="92"/>
      <c r="CT161" s="77">
        <f t="shared" si="190"/>
        <v>0</v>
      </c>
      <c r="CU161" s="78">
        <f t="shared" si="213"/>
        <v>100</v>
      </c>
      <c r="CV161" s="79">
        <f t="shared" si="230"/>
        <v>2</v>
      </c>
      <c r="CW161" s="112" t="e">
        <f t="shared" si="214"/>
        <v>#DIV/0!</v>
      </c>
    </row>
    <row r="162" spans="1:101" x14ac:dyDescent="0.35">
      <c r="A162" s="7" t="s">
        <v>1059</v>
      </c>
      <c r="B162" s="8" t="s">
        <v>1060</v>
      </c>
      <c r="C162" s="21" t="s">
        <v>1061</v>
      </c>
      <c r="D162" s="22" t="s">
        <v>21</v>
      </c>
      <c r="E162" s="11" t="s">
        <v>39</v>
      </c>
      <c r="F162" s="11" t="s">
        <v>1062</v>
      </c>
      <c r="G162" s="12">
        <v>28264</v>
      </c>
      <c r="H162" s="11" t="s">
        <v>24</v>
      </c>
      <c r="I162" s="11" t="s">
        <v>1063</v>
      </c>
      <c r="J162" s="11" t="s">
        <v>1064</v>
      </c>
      <c r="K162" s="11" t="s">
        <v>110</v>
      </c>
      <c r="L162" s="23">
        <v>818244152</v>
      </c>
      <c r="M162" s="14">
        <v>212287560</v>
      </c>
      <c r="N162" s="14">
        <v>605956593</v>
      </c>
      <c r="O162" s="14">
        <v>708635837</v>
      </c>
      <c r="P162" s="14">
        <v>24543012</v>
      </c>
      <c r="Q162" s="14">
        <v>35564999</v>
      </c>
      <c r="R162" s="14">
        <v>39359123</v>
      </c>
      <c r="AB162" s="74">
        <f t="shared" si="215"/>
        <v>0</v>
      </c>
      <c r="AC162" s="75" t="e">
        <f t="shared" si="191"/>
        <v>#DIV/0!</v>
      </c>
      <c r="AD162" s="75" t="e">
        <f t="shared" si="216"/>
        <v>#DIV/0!</v>
      </c>
      <c r="AE162" s="76" t="e">
        <f t="shared" si="219"/>
        <v>#DIV/0!</v>
      </c>
      <c r="AF162" s="77" t="e">
        <f t="shared" si="192"/>
        <v>#DIV/0!</v>
      </c>
      <c r="AG162" s="77" t="e">
        <f t="shared" si="193"/>
        <v>#DIV/0!</v>
      </c>
      <c r="AH162" s="77" t="e">
        <f t="shared" si="217"/>
        <v>#DIV/0!</v>
      </c>
      <c r="AI162" s="78" t="e">
        <f t="shared" si="218"/>
        <v>#DIV/0!</v>
      </c>
      <c r="AJ162" s="79" t="e">
        <f t="shared" si="220"/>
        <v>#DIV/0!</v>
      </c>
      <c r="AN162" s="81">
        <f t="shared" si="178"/>
        <v>0</v>
      </c>
      <c r="AO162" s="82" t="e">
        <f t="shared" si="179"/>
        <v>#DIV/0!</v>
      </c>
      <c r="AP162" s="83" t="e">
        <f t="shared" si="194"/>
        <v>#DIV/0!</v>
      </c>
      <c r="AQ162" s="84" t="e">
        <f t="shared" si="221"/>
        <v>#DIV/0!</v>
      </c>
      <c r="AS162" s="86">
        <f t="shared" si="180"/>
        <v>0.25</v>
      </c>
      <c r="AT162" s="87">
        <f t="shared" si="195"/>
        <v>0</v>
      </c>
      <c r="AU162" s="87">
        <f t="shared" si="196"/>
        <v>0</v>
      </c>
      <c r="AV162" s="88" t="e">
        <f t="shared" si="181"/>
        <v>#DIV/0!</v>
      </c>
      <c r="AW162" s="78" t="e">
        <f t="shared" si="197"/>
        <v>#DIV/0!</v>
      </c>
      <c r="AX162" s="89" t="e">
        <f t="shared" si="222"/>
        <v>#DIV/0!</v>
      </c>
      <c r="BA162" s="91">
        <f t="shared" si="182"/>
        <v>0</v>
      </c>
      <c r="BB162" s="77" t="e">
        <f t="shared" si="198"/>
        <v>#DIV/0!</v>
      </c>
      <c r="BC162" s="78" t="e">
        <f t="shared" si="199"/>
        <v>#DIV/0!</v>
      </c>
      <c r="BD162" s="79" t="e">
        <f t="shared" si="223"/>
        <v>#DIV/0!</v>
      </c>
      <c r="BE162" s="92"/>
      <c r="BF162" s="92"/>
      <c r="BG162" s="114">
        <v>2474523</v>
      </c>
      <c r="BH162" s="94">
        <f t="shared" si="183"/>
        <v>0</v>
      </c>
      <c r="BI162" s="77" t="e">
        <f t="shared" si="184"/>
        <v>#DIV/0!</v>
      </c>
      <c r="BJ162" s="95" t="str">
        <f t="shared" si="200"/>
        <v>비제조/서비스업</v>
      </c>
      <c r="BK162" s="96" t="e">
        <f t="shared" si="185"/>
        <v>#DIV/0!</v>
      </c>
      <c r="BL162" s="97" t="e">
        <f t="shared" si="201"/>
        <v>#DIV/0!</v>
      </c>
      <c r="BM162" s="98" t="e">
        <f t="shared" si="202"/>
        <v>#DIV/0!</v>
      </c>
      <c r="BN162" s="99" t="e">
        <f t="shared" si="203"/>
        <v>#DIV/0!</v>
      </c>
      <c r="BP162" s="101">
        <f t="shared" si="204"/>
        <v>0</v>
      </c>
      <c r="BQ162" s="78">
        <f t="shared" si="205"/>
        <v>25</v>
      </c>
      <c r="BR162" s="79">
        <f t="shared" si="224"/>
        <v>0.5</v>
      </c>
      <c r="BS162" s="102"/>
      <c r="BT162" s="102"/>
      <c r="BU162" s="103">
        <f t="shared" si="206"/>
        <v>0</v>
      </c>
      <c r="BV162" s="77">
        <f t="shared" si="186"/>
        <v>0</v>
      </c>
      <c r="BW162" s="96">
        <f t="shared" si="187"/>
        <v>0</v>
      </c>
      <c r="BX162" s="96">
        <f t="shared" si="207"/>
        <v>0</v>
      </c>
      <c r="BY162" s="96">
        <f t="shared" si="188"/>
        <v>0</v>
      </c>
      <c r="BZ162" s="96" t="e">
        <f t="shared" si="208"/>
        <v>#NUM!</v>
      </c>
      <c r="CA162" s="96" t="e">
        <f t="shared" si="189"/>
        <v>#NUM!</v>
      </c>
      <c r="CB162" s="104" t="e">
        <f t="shared" si="209"/>
        <v>#NUM!</v>
      </c>
      <c r="CC162" s="105">
        <f t="shared" si="225"/>
        <v>35.033459896689337</v>
      </c>
      <c r="CD162" s="106">
        <f t="shared" si="226"/>
        <v>87.173319134413561</v>
      </c>
      <c r="CE162" s="107">
        <f t="shared" si="227"/>
        <v>1.3075997870162033</v>
      </c>
      <c r="CF162" s="108" t="s">
        <v>2189</v>
      </c>
      <c r="CG162" s="108" t="s">
        <v>2189</v>
      </c>
      <c r="CH162" s="108" t="s">
        <v>2189</v>
      </c>
      <c r="CI162" s="108" t="s">
        <v>2189</v>
      </c>
      <c r="CJ162" s="109"/>
      <c r="CM162" s="111">
        <f t="shared" si="210"/>
        <v>25</v>
      </c>
      <c r="CN162" s="107">
        <f t="shared" si="228"/>
        <v>0.375</v>
      </c>
      <c r="CP162" s="88">
        <f t="shared" si="211"/>
        <v>0</v>
      </c>
      <c r="CQ162" s="78">
        <f t="shared" si="212"/>
        <v>100</v>
      </c>
      <c r="CR162" s="79">
        <f t="shared" si="229"/>
        <v>3</v>
      </c>
      <c r="CS162" s="92"/>
      <c r="CT162" s="77">
        <f t="shared" si="190"/>
        <v>0</v>
      </c>
      <c r="CU162" s="78">
        <f t="shared" si="213"/>
        <v>100</v>
      </c>
      <c r="CV162" s="79">
        <f t="shared" si="230"/>
        <v>2</v>
      </c>
      <c r="CW162" s="112" t="e">
        <f t="shared" si="214"/>
        <v>#DIV/0!</v>
      </c>
    </row>
    <row r="163" spans="1:101" x14ac:dyDescent="0.35">
      <c r="A163" s="7" t="s">
        <v>1065</v>
      </c>
      <c r="B163" s="8" t="s">
        <v>1066</v>
      </c>
      <c r="C163" s="21" t="s">
        <v>1067</v>
      </c>
      <c r="D163" s="10" t="s">
        <v>141</v>
      </c>
      <c r="E163" s="11" t="s">
        <v>98</v>
      </c>
      <c r="F163" s="11" t="s">
        <v>1068</v>
      </c>
      <c r="G163" s="12">
        <v>32109</v>
      </c>
      <c r="H163" s="11" t="s">
        <v>24</v>
      </c>
      <c r="I163" s="11" t="s">
        <v>1069</v>
      </c>
      <c r="J163" s="11" t="s">
        <v>1070</v>
      </c>
      <c r="K163" s="11" t="s">
        <v>27</v>
      </c>
      <c r="L163" s="23">
        <v>1482320425</v>
      </c>
      <c r="M163" s="14">
        <v>264349343</v>
      </c>
      <c r="N163" s="14">
        <v>1217971082</v>
      </c>
      <c r="O163" s="14">
        <v>1278383546</v>
      </c>
      <c r="P163" s="14">
        <v>73366427</v>
      </c>
      <c r="Q163" s="14">
        <v>70696990</v>
      </c>
      <c r="R163" s="14">
        <v>48458346</v>
      </c>
      <c r="AB163" s="74">
        <f t="shared" si="215"/>
        <v>0</v>
      </c>
      <c r="AC163" s="75" t="e">
        <f t="shared" si="191"/>
        <v>#DIV/0!</v>
      </c>
      <c r="AD163" s="75" t="e">
        <f t="shared" si="216"/>
        <v>#DIV/0!</v>
      </c>
      <c r="AE163" s="76" t="e">
        <f t="shared" si="219"/>
        <v>#DIV/0!</v>
      </c>
      <c r="AF163" s="77" t="e">
        <f t="shared" si="192"/>
        <v>#DIV/0!</v>
      </c>
      <c r="AG163" s="77" t="e">
        <f t="shared" si="193"/>
        <v>#DIV/0!</v>
      </c>
      <c r="AH163" s="77" t="e">
        <f t="shared" si="217"/>
        <v>#DIV/0!</v>
      </c>
      <c r="AI163" s="78" t="e">
        <f t="shared" si="218"/>
        <v>#DIV/0!</v>
      </c>
      <c r="AJ163" s="79" t="e">
        <f t="shared" si="220"/>
        <v>#DIV/0!</v>
      </c>
      <c r="AN163" s="81">
        <f t="shared" si="178"/>
        <v>0</v>
      </c>
      <c r="AO163" s="82" t="e">
        <f t="shared" si="179"/>
        <v>#DIV/0!</v>
      </c>
      <c r="AP163" s="83" t="e">
        <f t="shared" si="194"/>
        <v>#DIV/0!</v>
      </c>
      <c r="AQ163" s="84" t="e">
        <f t="shared" si="221"/>
        <v>#DIV/0!</v>
      </c>
      <c r="AS163" s="86">
        <f t="shared" si="180"/>
        <v>0.25</v>
      </c>
      <c r="AT163" s="87">
        <f t="shared" si="195"/>
        <v>0</v>
      </c>
      <c r="AU163" s="87">
        <f t="shared" si="196"/>
        <v>0</v>
      </c>
      <c r="AV163" s="88" t="e">
        <f t="shared" si="181"/>
        <v>#DIV/0!</v>
      </c>
      <c r="AW163" s="78" t="e">
        <f t="shared" si="197"/>
        <v>#DIV/0!</v>
      </c>
      <c r="AX163" s="89" t="e">
        <f t="shared" si="222"/>
        <v>#DIV/0!</v>
      </c>
      <c r="BA163" s="91">
        <f t="shared" si="182"/>
        <v>0</v>
      </c>
      <c r="BB163" s="77" t="e">
        <f t="shared" si="198"/>
        <v>#DIV/0!</v>
      </c>
      <c r="BC163" s="78" t="e">
        <f t="shared" si="199"/>
        <v>#DIV/0!</v>
      </c>
      <c r="BD163" s="79" t="e">
        <f t="shared" si="223"/>
        <v>#DIV/0!</v>
      </c>
      <c r="BE163" s="92"/>
      <c r="BF163" s="92"/>
      <c r="BG163" s="114">
        <v>1581458</v>
      </c>
      <c r="BH163" s="94">
        <f t="shared" si="183"/>
        <v>0</v>
      </c>
      <c r="BI163" s="77" t="e">
        <f t="shared" si="184"/>
        <v>#DIV/0!</v>
      </c>
      <c r="BJ163" s="95" t="str">
        <f t="shared" si="200"/>
        <v>전기전자/기계업</v>
      </c>
      <c r="BK163" s="96" t="e">
        <f t="shared" si="185"/>
        <v>#DIV/0!</v>
      </c>
      <c r="BL163" s="97" t="e">
        <f t="shared" si="201"/>
        <v>#DIV/0!</v>
      </c>
      <c r="BM163" s="98" t="e">
        <f t="shared" si="202"/>
        <v>#DIV/0!</v>
      </c>
      <c r="BN163" s="99" t="e">
        <f t="shared" si="203"/>
        <v>#DIV/0!</v>
      </c>
      <c r="BP163" s="101">
        <f t="shared" si="204"/>
        <v>0</v>
      </c>
      <c r="BQ163" s="78">
        <f t="shared" si="205"/>
        <v>25</v>
      </c>
      <c r="BR163" s="79">
        <f t="shared" si="224"/>
        <v>0.5</v>
      </c>
      <c r="BS163" s="102"/>
      <c r="BT163" s="102"/>
      <c r="BU163" s="103">
        <f t="shared" si="206"/>
        <v>0</v>
      </c>
      <c r="BV163" s="77">
        <f t="shared" si="186"/>
        <v>0</v>
      </c>
      <c r="BW163" s="96">
        <f t="shared" si="187"/>
        <v>0</v>
      </c>
      <c r="BX163" s="96">
        <f t="shared" si="207"/>
        <v>0</v>
      </c>
      <c r="BY163" s="96">
        <f t="shared" si="188"/>
        <v>0</v>
      </c>
      <c r="BZ163" s="96" t="e">
        <f t="shared" si="208"/>
        <v>#NUM!</v>
      </c>
      <c r="CA163" s="96" t="e">
        <f t="shared" si="189"/>
        <v>#NUM!</v>
      </c>
      <c r="CB163" s="104" t="e">
        <f t="shared" si="209"/>
        <v>#NUM!</v>
      </c>
      <c r="CC163" s="105">
        <f t="shared" si="225"/>
        <v>21.704073841056925</v>
      </c>
      <c r="CD163" s="106">
        <f t="shared" si="226"/>
        <v>92.196957095079043</v>
      </c>
      <c r="CE163" s="107">
        <f t="shared" si="227"/>
        <v>1.3829543564261857</v>
      </c>
      <c r="CF163" s="108" t="s">
        <v>2189</v>
      </c>
      <c r="CG163" s="108" t="s">
        <v>2189</v>
      </c>
      <c r="CH163" s="108" t="s">
        <v>2189</v>
      </c>
      <c r="CI163" s="108" t="s">
        <v>2189</v>
      </c>
      <c r="CJ163" s="109"/>
      <c r="CM163" s="111">
        <f t="shared" si="210"/>
        <v>25</v>
      </c>
      <c r="CN163" s="107">
        <f t="shared" si="228"/>
        <v>0.375</v>
      </c>
      <c r="CP163" s="88">
        <f t="shared" si="211"/>
        <v>0</v>
      </c>
      <c r="CQ163" s="78">
        <f t="shared" si="212"/>
        <v>100</v>
      </c>
      <c r="CR163" s="79">
        <f t="shared" si="229"/>
        <v>3</v>
      </c>
      <c r="CS163" s="92"/>
      <c r="CT163" s="77">
        <f t="shared" si="190"/>
        <v>0</v>
      </c>
      <c r="CU163" s="78">
        <f t="shared" si="213"/>
        <v>100</v>
      </c>
      <c r="CV163" s="79">
        <f t="shared" si="230"/>
        <v>2</v>
      </c>
      <c r="CW163" s="112" t="e">
        <f t="shared" si="214"/>
        <v>#DIV/0!</v>
      </c>
    </row>
    <row r="164" spans="1:101" x14ac:dyDescent="0.35">
      <c r="A164" s="7" t="s">
        <v>1071</v>
      </c>
      <c r="B164" s="8" t="s">
        <v>1072</v>
      </c>
      <c r="C164" s="21" t="s">
        <v>1073</v>
      </c>
      <c r="D164" s="10" t="s">
        <v>75</v>
      </c>
      <c r="E164" s="11" t="s">
        <v>114</v>
      </c>
      <c r="F164" s="11" t="s">
        <v>1074</v>
      </c>
      <c r="G164" s="12">
        <v>43378</v>
      </c>
      <c r="H164" s="11" t="s">
        <v>24</v>
      </c>
      <c r="I164" s="11" t="s">
        <v>1075</v>
      </c>
      <c r="J164" s="11" t="s">
        <v>1076</v>
      </c>
      <c r="K164" s="11" t="s">
        <v>27</v>
      </c>
      <c r="L164" s="23">
        <v>1465129429</v>
      </c>
      <c r="M164" s="14">
        <v>636127563</v>
      </c>
      <c r="N164" s="14">
        <v>829001866</v>
      </c>
      <c r="O164" s="14">
        <v>1801835090</v>
      </c>
      <c r="P164" s="14">
        <v>215165658</v>
      </c>
      <c r="Q164" s="14">
        <v>211145518</v>
      </c>
      <c r="R164" s="14">
        <v>159294293</v>
      </c>
      <c r="AB164" s="74">
        <f t="shared" si="215"/>
        <v>0</v>
      </c>
      <c r="AC164" s="75" t="e">
        <f t="shared" si="191"/>
        <v>#DIV/0!</v>
      </c>
      <c r="AD164" s="75" t="e">
        <f t="shared" si="216"/>
        <v>#DIV/0!</v>
      </c>
      <c r="AE164" s="76" t="e">
        <f t="shared" si="219"/>
        <v>#DIV/0!</v>
      </c>
      <c r="AF164" s="77" t="e">
        <f t="shared" si="192"/>
        <v>#DIV/0!</v>
      </c>
      <c r="AG164" s="77" t="e">
        <f t="shared" si="193"/>
        <v>#DIV/0!</v>
      </c>
      <c r="AH164" s="77" t="e">
        <f t="shared" si="217"/>
        <v>#DIV/0!</v>
      </c>
      <c r="AI164" s="78" t="e">
        <f t="shared" si="218"/>
        <v>#DIV/0!</v>
      </c>
      <c r="AJ164" s="79" t="e">
        <f t="shared" si="220"/>
        <v>#DIV/0!</v>
      </c>
      <c r="AN164" s="81">
        <f t="shared" si="178"/>
        <v>0</v>
      </c>
      <c r="AO164" s="82" t="e">
        <f t="shared" si="179"/>
        <v>#DIV/0!</v>
      </c>
      <c r="AP164" s="83" t="e">
        <f t="shared" si="194"/>
        <v>#DIV/0!</v>
      </c>
      <c r="AQ164" s="84" t="e">
        <f t="shared" si="221"/>
        <v>#DIV/0!</v>
      </c>
      <c r="AS164" s="86">
        <f t="shared" si="180"/>
        <v>0.25</v>
      </c>
      <c r="AT164" s="87">
        <f t="shared" si="195"/>
        <v>0</v>
      </c>
      <c r="AU164" s="87">
        <f t="shared" si="196"/>
        <v>0</v>
      </c>
      <c r="AV164" s="88" t="e">
        <f t="shared" si="181"/>
        <v>#DIV/0!</v>
      </c>
      <c r="AW164" s="78" t="e">
        <f t="shared" si="197"/>
        <v>#DIV/0!</v>
      </c>
      <c r="AX164" s="89" t="e">
        <f t="shared" si="222"/>
        <v>#DIV/0!</v>
      </c>
      <c r="BA164" s="91">
        <f t="shared" si="182"/>
        <v>0</v>
      </c>
      <c r="BB164" s="77" t="e">
        <f t="shared" si="198"/>
        <v>#DIV/0!</v>
      </c>
      <c r="BC164" s="78" t="e">
        <f t="shared" si="199"/>
        <v>#DIV/0!</v>
      </c>
      <c r="BD164" s="79" t="e">
        <f t="shared" si="223"/>
        <v>#DIV/0!</v>
      </c>
      <c r="BE164" s="92"/>
      <c r="BF164" s="92"/>
      <c r="BG164" s="93">
        <v>0</v>
      </c>
      <c r="BH164" s="94">
        <f t="shared" si="183"/>
        <v>0</v>
      </c>
      <c r="BI164" s="77" t="e">
        <f t="shared" si="184"/>
        <v>#DIV/0!</v>
      </c>
      <c r="BJ164" s="95" t="str">
        <f t="shared" si="200"/>
        <v>금속/비금속/화학업</v>
      </c>
      <c r="BK164" s="96" t="e">
        <f t="shared" si="185"/>
        <v>#DIV/0!</v>
      </c>
      <c r="BL164" s="97" t="e">
        <f t="shared" si="201"/>
        <v>#DIV/0!</v>
      </c>
      <c r="BM164" s="98" t="e">
        <f t="shared" si="202"/>
        <v>#DIV/0!</v>
      </c>
      <c r="BN164" s="99" t="e">
        <f t="shared" si="203"/>
        <v>#DIV/0!</v>
      </c>
      <c r="BP164" s="101">
        <f t="shared" si="204"/>
        <v>0</v>
      </c>
      <c r="BQ164" s="78">
        <f t="shared" si="205"/>
        <v>25</v>
      </c>
      <c r="BR164" s="79">
        <f t="shared" si="224"/>
        <v>0.5</v>
      </c>
      <c r="BS164" s="102"/>
      <c r="BT164" s="102"/>
      <c r="BU164" s="103">
        <f t="shared" si="206"/>
        <v>0</v>
      </c>
      <c r="BV164" s="77">
        <f t="shared" si="186"/>
        <v>0</v>
      </c>
      <c r="BW164" s="96">
        <f t="shared" si="187"/>
        <v>0</v>
      </c>
      <c r="BX164" s="96">
        <f t="shared" si="207"/>
        <v>0</v>
      </c>
      <c r="BY164" s="96">
        <f t="shared" si="188"/>
        <v>0</v>
      </c>
      <c r="BZ164" s="96" t="e">
        <f t="shared" si="208"/>
        <v>#NUM!</v>
      </c>
      <c r="CA164" s="96" t="e">
        <f t="shared" si="189"/>
        <v>#NUM!</v>
      </c>
      <c r="CB164" s="104" t="e">
        <f t="shared" si="209"/>
        <v>#NUM!</v>
      </c>
      <c r="CC164" s="105">
        <f t="shared" si="225"/>
        <v>76.734153334221816</v>
      </c>
      <c r="CD164" s="106">
        <f t="shared" si="226"/>
        <v>71.456977386599817</v>
      </c>
      <c r="CE164" s="107">
        <f t="shared" si="227"/>
        <v>1.0718546607989972</v>
      </c>
      <c r="CF164" s="108" t="s">
        <v>2189</v>
      </c>
      <c r="CG164" s="108" t="s">
        <v>2189</v>
      </c>
      <c r="CH164" s="108" t="s">
        <v>2189</v>
      </c>
      <c r="CI164" s="108" t="s">
        <v>2189</v>
      </c>
      <c r="CJ164" s="109"/>
      <c r="CM164" s="111">
        <f t="shared" si="210"/>
        <v>25</v>
      </c>
      <c r="CN164" s="107">
        <f t="shared" si="228"/>
        <v>0.375</v>
      </c>
      <c r="CP164" s="88">
        <f t="shared" si="211"/>
        <v>0</v>
      </c>
      <c r="CQ164" s="78">
        <f t="shared" si="212"/>
        <v>100</v>
      </c>
      <c r="CR164" s="79">
        <f t="shared" si="229"/>
        <v>3</v>
      </c>
      <c r="CS164" s="92"/>
      <c r="CT164" s="77">
        <f t="shared" si="190"/>
        <v>0</v>
      </c>
      <c r="CU164" s="78">
        <f t="shared" si="213"/>
        <v>100</v>
      </c>
      <c r="CV164" s="79">
        <f t="shared" si="230"/>
        <v>2</v>
      </c>
      <c r="CW164" s="112" t="e">
        <f t="shared" si="214"/>
        <v>#DIV/0!</v>
      </c>
    </row>
    <row r="165" spans="1:101" x14ac:dyDescent="0.35">
      <c r="A165" s="7" t="s">
        <v>1077</v>
      </c>
      <c r="B165" s="8" t="s">
        <v>1078</v>
      </c>
      <c r="C165" s="21" t="s">
        <v>1079</v>
      </c>
      <c r="D165" s="10" t="s">
        <v>21</v>
      </c>
      <c r="E165" s="11" t="s">
        <v>303</v>
      </c>
      <c r="F165" s="11" t="s">
        <v>1080</v>
      </c>
      <c r="G165" s="12">
        <v>32756</v>
      </c>
      <c r="H165" s="11" t="s">
        <v>24</v>
      </c>
      <c r="I165" s="11" t="s">
        <v>1081</v>
      </c>
      <c r="J165" s="11" t="s">
        <v>1082</v>
      </c>
      <c r="K165" s="11" t="s">
        <v>87</v>
      </c>
      <c r="L165" s="23">
        <v>49842667</v>
      </c>
      <c r="M165" s="14">
        <v>4029139</v>
      </c>
      <c r="N165" s="14">
        <v>45813528</v>
      </c>
      <c r="O165" s="14">
        <v>28065827</v>
      </c>
      <c r="P165" s="14">
        <v>1582371</v>
      </c>
      <c r="Q165" s="14">
        <v>2149604</v>
      </c>
      <c r="R165" s="14">
        <v>1307423</v>
      </c>
      <c r="AB165" s="74">
        <f t="shared" si="215"/>
        <v>0</v>
      </c>
      <c r="AC165" s="75" t="e">
        <f t="shared" si="191"/>
        <v>#DIV/0!</v>
      </c>
      <c r="AD165" s="75" t="e">
        <f t="shared" si="216"/>
        <v>#DIV/0!</v>
      </c>
      <c r="AE165" s="76" t="e">
        <f t="shared" si="219"/>
        <v>#DIV/0!</v>
      </c>
      <c r="AF165" s="77" t="e">
        <f t="shared" si="192"/>
        <v>#DIV/0!</v>
      </c>
      <c r="AG165" s="77" t="e">
        <f t="shared" si="193"/>
        <v>#DIV/0!</v>
      </c>
      <c r="AH165" s="77" t="e">
        <f t="shared" si="217"/>
        <v>#DIV/0!</v>
      </c>
      <c r="AI165" s="78" t="e">
        <f t="shared" si="218"/>
        <v>#DIV/0!</v>
      </c>
      <c r="AJ165" s="79" t="e">
        <f t="shared" si="220"/>
        <v>#DIV/0!</v>
      </c>
      <c r="AN165" s="81">
        <f t="shared" si="178"/>
        <v>0</v>
      </c>
      <c r="AO165" s="82" t="e">
        <f t="shared" si="179"/>
        <v>#DIV/0!</v>
      </c>
      <c r="AP165" s="83" t="e">
        <f t="shared" si="194"/>
        <v>#DIV/0!</v>
      </c>
      <c r="AQ165" s="84" t="e">
        <f t="shared" si="221"/>
        <v>#DIV/0!</v>
      </c>
      <c r="AS165" s="86">
        <f t="shared" si="180"/>
        <v>0.25</v>
      </c>
      <c r="AT165" s="87">
        <f t="shared" si="195"/>
        <v>0</v>
      </c>
      <c r="AU165" s="87">
        <f t="shared" si="196"/>
        <v>0</v>
      </c>
      <c r="AV165" s="88" t="e">
        <f t="shared" si="181"/>
        <v>#DIV/0!</v>
      </c>
      <c r="AW165" s="78" t="e">
        <f t="shared" si="197"/>
        <v>#DIV/0!</v>
      </c>
      <c r="AX165" s="89" t="e">
        <f t="shared" si="222"/>
        <v>#DIV/0!</v>
      </c>
      <c r="BA165" s="91">
        <f t="shared" si="182"/>
        <v>0</v>
      </c>
      <c r="BB165" s="77" t="e">
        <f t="shared" si="198"/>
        <v>#DIV/0!</v>
      </c>
      <c r="BC165" s="78" t="e">
        <f t="shared" si="199"/>
        <v>#DIV/0!</v>
      </c>
      <c r="BD165" s="79" t="e">
        <f t="shared" si="223"/>
        <v>#DIV/0!</v>
      </c>
      <c r="BE165" s="92"/>
      <c r="BF165" s="92"/>
      <c r="BG165" s="114">
        <v>3869</v>
      </c>
      <c r="BH165" s="94">
        <f t="shared" si="183"/>
        <v>0</v>
      </c>
      <c r="BI165" s="77" t="e">
        <f t="shared" si="184"/>
        <v>#DIV/0!</v>
      </c>
      <c r="BJ165" s="95" t="str">
        <f t="shared" si="200"/>
        <v>비제조/서비스업</v>
      </c>
      <c r="BK165" s="96" t="e">
        <f t="shared" si="185"/>
        <v>#DIV/0!</v>
      </c>
      <c r="BL165" s="97" t="e">
        <f t="shared" si="201"/>
        <v>#DIV/0!</v>
      </c>
      <c r="BM165" s="98" t="e">
        <f t="shared" si="202"/>
        <v>#DIV/0!</v>
      </c>
      <c r="BN165" s="99" t="e">
        <f t="shared" si="203"/>
        <v>#DIV/0!</v>
      </c>
      <c r="BP165" s="101">
        <f t="shared" si="204"/>
        <v>0</v>
      </c>
      <c r="BQ165" s="78">
        <f t="shared" si="205"/>
        <v>25</v>
      </c>
      <c r="BR165" s="79">
        <f t="shared" si="224"/>
        <v>0.5</v>
      </c>
      <c r="BS165" s="102"/>
      <c r="BT165" s="102"/>
      <c r="BU165" s="103">
        <f t="shared" si="206"/>
        <v>0</v>
      </c>
      <c r="BV165" s="77">
        <f t="shared" si="186"/>
        <v>0</v>
      </c>
      <c r="BW165" s="96">
        <f t="shared" si="187"/>
        <v>0</v>
      </c>
      <c r="BX165" s="96">
        <f t="shared" si="207"/>
        <v>0</v>
      </c>
      <c r="BY165" s="96">
        <f t="shared" si="188"/>
        <v>0</v>
      </c>
      <c r="BZ165" s="96" t="e">
        <f t="shared" si="208"/>
        <v>#NUM!</v>
      </c>
      <c r="CA165" s="96" t="e">
        <f t="shared" si="189"/>
        <v>#NUM!</v>
      </c>
      <c r="CB165" s="104" t="e">
        <f t="shared" si="209"/>
        <v>#NUM!</v>
      </c>
      <c r="CC165" s="105">
        <f t="shared" si="225"/>
        <v>8.7946490390349332</v>
      </c>
      <c r="CD165" s="106">
        <f t="shared" si="226"/>
        <v>97.06231820136874</v>
      </c>
      <c r="CE165" s="107">
        <f t="shared" si="227"/>
        <v>1.455934773020531</v>
      </c>
      <c r="CF165" s="108" t="s">
        <v>2189</v>
      </c>
      <c r="CG165" s="108" t="s">
        <v>2189</v>
      </c>
      <c r="CH165" s="108" t="s">
        <v>2189</v>
      </c>
      <c r="CI165" s="108" t="s">
        <v>2189</v>
      </c>
      <c r="CJ165" s="109"/>
      <c r="CM165" s="111">
        <f t="shared" si="210"/>
        <v>25</v>
      </c>
      <c r="CN165" s="107">
        <f t="shared" si="228"/>
        <v>0.375</v>
      </c>
      <c r="CP165" s="88">
        <f t="shared" si="211"/>
        <v>0</v>
      </c>
      <c r="CQ165" s="78">
        <f t="shared" si="212"/>
        <v>100</v>
      </c>
      <c r="CR165" s="79">
        <f t="shared" si="229"/>
        <v>3</v>
      </c>
      <c r="CS165" s="92"/>
      <c r="CT165" s="77">
        <f t="shared" si="190"/>
        <v>0</v>
      </c>
      <c r="CU165" s="78">
        <f t="shared" si="213"/>
        <v>100</v>
      </c>
      <c r="CV165" s="79">
        <f t="shared" si="230"/>
        <v>2</v>
      </c>
      <c r="CW165" s="112" t="e">
        <f t="shared" si="214"/>
        <v>#DIV/0!</v>
      </c>
    </row>
    <row r="166" spans="1:101" x14ac:dyDescent="0.35">
      <c r="A166" s="7" t="s">
        <v>1083</v>
      </c>
      <c r="B166" s="8" t="s">
        <v>1084</v>
      </c>
      <c r="C166" s="21" t="s">
        <v>1085</v>
      </c>
      <c r="D166" s="10" t="s">
        <v>141</v>
      </c>
      <c r="E166" s="11" t="s">
        <v>356</v>
      </c>
      <c r="F166" s="11" t="s">
        <v>1086</v>
      </c>
      <c r="G166" s="12">
        <v>35249</v>
      </c>
      <c r="H166" s="11" t="s">
        <v>788</v>
      </c>
      <c r="I166" s="11" t="s">
        <v>1087</v>
      </c>
      <c r="J166" s="11" t="s">
        <v>1088</v>
      </c>
      <c r="K166" s="11" t="s">
        <v>536</v>
      </c>
      <c r="L166" s="23">
        <v>298109844</v>
      </c>
      <c r="M166" s="14">
        <v>31806382</v>
      </c>
      <c r="N166" s="14">
        <v>266303462</v>
      </c>
      <c r="O166" s="14">
        <v>55615777</v>
      </c>
      <c r="P166" s="14">
        <v>4744809</v>
      </c>
      <c r="Q166" s="14">
        <v>9739774</v>
      </c>
      <c r="R166" s="14">
        <v>7926239</v>
      </c>
      <c r="AB166" s="74">
        <f t="shared" si="215"/>
        <v>0</v>
      </c>
      <c r="AC166" s="75" t="e">
        <f t="shared" si="191"/>
        <v>#DIV/0!</v>
      </c>
      <c r="AD166" s="75" t="e">
        <f t="shared" si="216"/>
        <v>#DIV/0!</v>
      </c>
      <c r="AE166" s="76" t="e">
        <f t="shared" si="219"/>
        <v>#DIV/0!</v>
      </c>
      <c r="AF166" s="77" t="e">
        <f t="shared" si="192"/>
        <v>#DIV/0!</v>
      </c>
      <c r="AG166" s="77" t="e">
        <f t="shared" si="193"/>
        <v>#DIV/0!</v>
      </c>
      <c r="AH166" s="77" t="e">
        <f t="shared" si="217"/>
        <v>#DIV/0!</v>
      </c>
      <c r="AI166" s="78" t="e">
        <f t="shared" si="218"/>
        <v>#DIV/0!</v>
      </c>
      <c r="AJ166" s="79" t="e">
        <f t="shared" si="220"/>
        <v>#DIV/0!</v>
      </c>
      <c r="AN166" s="81">
        <f t="shared" si="178"/>
        <v>0</v>
      </c>
      <c r="AO166" s="82" t="e">
        <f t="shared" si="179"/>
        <v>#DIV/0!</v>
      </c>
      <c r="AP166" s="83" t="e">
        <f t="shared" si="194"/>
        <v>#DIV/0!</v>
      </c>
      <c r="AQ166" s="84" t="e">
        <f t="shared" si="221"/>
        <v>#DIV/0!</v>
      </c>
      <c r="AS166" s="86">
        <f t="shared" si="180"/>
        <v>0.25</v>
      </c>
      <c r="AT166" s="87">
        <f t="shared" si="195"/>
        <v>0</v>
      </c>
      <c r="AU166" s="87">
        <f t="shared" si="196"/>
        <v>0</v>
      </c>
      <c r="AV166" s="88" t="e">
        <f t="shared" si="181"/>
        <v>#DIV/0!</v>
      </c>
      <c r="AW166" s="78" t="e">
        <f t="shared" si="197"/>
        <v>#DIV/0!</v>
      </c>
      <c r="AX166" s="89" t="e">
        <f t="shared" si="222"/>
        <v>#DIV/0!</v>
      </c>
      <c r="BA166" s="91">
        <f t="shared" si="182"/>
        <v>0</v>
      </c>
      <c r="BB166" s="77" t="e">
        <f t="shared" si="198"/>
        <v>#DIV/0!</v>
      </c>
      <c r="BC166" s="78" t="e">
        <f t="shared" si="199"/>
        <v>#DIV/0!</v>
      </c>
      <c r="BD166" s="79" t="e">
        <f t="shared" si="223"/>
        <v>#DIV/0!</v>
      </c>
      <c r="BE166" s="92"/>
      <c r="BF166" s="92"/>
      <c r="BG166" s="93">
        <v>0</v>
      </c>
      <c r="BH166" s="94">
        <f t="shared" si="183"/>
        <v>0</v>
      </c>
      <c r="BI166" s="77" t="e">
        <f t="shared" si="184"/>
        <v>#DIV/0!</v>
      </c>
      <c r="BJ166" s="95" t="str">
        <f t="shared" si="200"/>
        <v>전기전자/기계업</v>
      </c>
      <c r="BK166" s="96" t="e">
        <f t="shared" si="185"/>
        <v>#DIV/0!</v>
      </c>
      <c r="BL166" s="97" t="e">
        <f t="shared" si="201"/>
        <v>#DIV/0!</v>
      </c>
      <c r="BM166" s="98" t="e">
        <f t="shared" si="202"/>
        <v>#DIV/0!</v>
      </c>
      <c r="BN166" s="99" t="e">
        <f t="shared" si="203"/>
        <v>#DIV/0!</v>
      </c>
      <c r="BP166" s="101">
        <f t="shared" si="204"/>
        <v>0</v>
      </c>
      <c r="BQ166" s="78">
        <f t="shared" si="205"/>
        <v>25</v>
      </c>
      <c r="BR166" s="79">
        <f t="shared" si="224"/>
        <v>0.5</v>
      </c>
      <c r="BS166" s="102"/>
      <c r="BT166" s="102"/>
      <c r="BU166" s="103">
        <f t="shared" si="206"/>
        <v>0</v>
      </c>
      <c r="BV166" s="77">
        <f t="shared" si="186"/>
        <v>0</v>
      </c>
      <c r="BW166" s="96">
        <f t="shared" si="187"/>
        <v>0</v>
      </c>
      <c r="BX166" s="96">
        <f t="shared" si="207"/>
        <v>0</v>
      </c>
      <c r="BY166" s="96">
        <f t="shared" si="188"/>
        <v>0</v>
      </c>
      <c r="BZ166" s="96" t="e">
        <f t="shared" si="208"/>
        <v>#NUM!</v>
      </c>
      <c r="CA166" s="96" t="e">
        <f t="shared" si="189"/>
        <v>#NUM!</v>
      </c>
      <c r="CB166" s="104" t="e">
        <f t="shared" si="209"/>
        <v>#NUM!</v>
      </c>
      <c r="CC166" s="105">
        <f t="shared" si="225"/>
        <v>11.943660724921406</v>
      </c>
      <c r="CD166" s="106">
        <f t="shared" si="226"/>
        <v>95.875504751914036</v>
      </c>
      <c r="CE166" s="107">
        <f t="shared" si="227"/>
        <v>1.4381325712787105</v>
      </c>
      <c r="CF166" s="108" t="s">
        <v>2189</v>
      </c>
      <c r="CG166" s="108" t="s">
        <v>2189</v>
      </c>
      <c r="CH166" s="108" t="s">
        <v>2189</v>
      </c>
      <c r="CI166" s="108" t="s">
        <v>2189</v>
      </c>
      <c r="CJ166" s="109"/>
      <c r="CM166" s="111">
        <f t="shared" si="210"/>
        <v>25</v>
      </c>
      <c r="CN166" s="107">
        <f t="shared" si="228"/>
        <v>0.375</v>
      </c>
      <c r="CP166" s="88">
        <f t="shared" si="211"/>
        <v>0</v>
      </c>
      <c r="CQ166" s="78">
        <f t="shared" si="212"/>
        <v>100</v>
      </c>
      <c r="CR166" s="79">
        <f t="shared" si="229"/>
        <v>3</v>
      </c>
      <c r="CS166" s="92"/>
      <c r="CT166" s="77">
        <f t="shared" si="190"/>
        <v>0</v>
      </c>
      <c r="CU166" s="78">
        <f t="shared" si="213"/>
        <v>100</v>
      </c>
      <c r="CV166" s="79">
        <f t="shared" si="230"/>
        <v>2</v>
      </c>
      <c r="CW166" s="112" t="e">
        <f t="shared" si="214"/>
        <v>#DIV/0!</v>
      </c>
    </row>
    <row r="167" spans="1:101" x14ac:dyDescent="0.35">
      <c r="A167" s="7" t="s">
        <v>1089</v>
      </c>
      <c r="B167" s="8" t="s">
        <v>1090</v>
      </c>
      <c r="C167" s="21" t="s">
        <v>1091</v>
      </c>
      <c r="D167" s="10" t="s">
        <v>21</v>
      </c>
      <c r="E167" s="11" t="s">
        <v>22</v>
      </c>
      <c r="F167" s="11" t="s">
        <v>1092</v>
      </c>
      <c r="G167" s="12">
        <v>37462</v>
      </c>
      <c r="H167" s="11" t="s">
        <v>24</v>
      </c>
      <c r="I167" s="11" t="s">
        <v>1093</v>
      </c>
      <c r="J167" s="11" t="s">
        <v>1094</v>
      </c>
      <c r="K167" s="11" t="s">
        <v>27</v>
      </c>
      <c r="L167" s="23">
        <v>573569548</v>
      </c>
      <c r="M167" s="14">
        <v>109458880</v>
      </c>
      <c r="N167" s="14">
        <v>464110668</v>
      </c>
      <c r="O167" s="14">
        <v>119350275</v>
      </c>
      <c r="P167" s="14">
        <v>9219026</v>
      </c>
      <c r="Q167" s="14">
        <v>8486086</v>
      </c>
      <c r="R167" s="14">
        <v>9179410</v>
      </c>
      <c r="AB167" s="74">
        <f t="shared" si="215"/>
        <v>0</v>
      </c>
      <c r="AC167" s="75" t="e">
        <f t="shared" si="191"/>
        <v>#DIV/0!</v>
      </c>
      <c r="AD167" s="75" t="e">
        <f t="shared" si="216"/>
        <v>#DIV/0!</v>
      </c>
      <c r="AE167" s="76" t="e">
        <f t="shared" si="219"/>
        <v>#DIV/0!</v>
      </c>
      <c r="AF167" s="77" t="e">
        <f t="shared" si="192"/>
        <v>#DIV/0!</v>
      </c>
      <c r="AG167" s="77" t="e">
        <f t="shared" si="193"/>
        <v>#DIV/0!</v>
      </c>
      <c r="AH167" s="77" t="e">
        <f t="shared" si="217"/>
        <v>#DIV/0!</v>
      </c>
      <c r="AI167" s="78" t="e">
        <f t="shared" si="218"/>
        <v>#DIV/0!</v>
      </c>
      <c r="AJ167" s="79" t="e">
        <f t="shared" si="220"/>
        <v>#DIV/0!</v>
      </c>
      <c r="AN167" s="81">
        <f t="shared" si="178"/>
        <v>0</v>
      </c>
      <c r="AO167" s="82" t="e">
        <f t="shared" si="179"/>
        <v>#DIV/0!</v>
      </c>
      <c r="AP167" s="83" t="e">
        <f t="shared" si="194"/>
        <v>#DIV/0!</v>
      </c>
      <c r="AQ167" s="84" t="e">
        <f t="shared" si="221"/>
        <v>#DIV/0!</v>
      </c>
      <c r="AS167" s="86">
        <f t="shared" si="180"/>
        <v>0.25</v>
      </c>
      <c r="AT167" s="87">
        <f t="shared" si="195"/>
        <v>0</v>
      </c>
      <c r="AU167" s="87">
        <f t="shared" si="196"/>
        <v>0</v>
      </c>
      <c r="AV167" s="88" t="e">
        <f t="shared" si="181"/>
        <v>#DIV/0!</v>
      </c>
      <c r="AW167" s="78" t="e">
        <f t="shared" si="197"/>
        <v>#DIV/0!</v>
      </c>
      <c r="AX167" s="89" t="e">
        <f t="shared" si="222"/>
        <v>#DIV/0!</v>
      </c>
      <c r="BA167" s="91">
        <f t="shared" si="182"/>
        <v>0</v>
      </c>
      <c r="BB167" s="77" t="e">
        <f t="shared" si="198"/>
        <v>#DIV/0!</v>
      </c>
      <c r="BC167" s="78" t="e">
        <f t="shared" si="199"/>
        <v>#DIV/0!</v>
      </c>
      <c r="BD167" s="79" t="e">
        <f t="shared" si="223"/>
        <v>#DIV/0!</v>
      </c>
      <c r="BE167" s="92"/>
      <c r="BF167" s="92"/>
      <c r="BG167" s="114">
        <v>140423</v>
      </c>
      <c r="BH167" s="94">
        <f t="shared" si="183"/>
        <v>0</v>
      </c>
      <c r="BI167" s="77" t="e">
        <f t="shared" si="184"/>
        <v>#DIV/0!</v>
      </c>
      <c r="BJ167" s="95" t="str">
        <f t="shared" si="200"/>
        <v>비제조/서비스업</v>
      </c>
      <c r="BK167" s="96" t="e">
        <f t="shared" si="185"/>
        <v>#DIV/0!</v>
      </c>
      <c r="BL167" s="97" t="e">
        <f t="shared" si="201"/>
        <v>#DIV/0!</v>
      </c>
      <c r="BM167" s="98" t="e">
        <f t="shared" si="202"/>
        <v>#DIV/0!</v>
      </c>
      <c r="BN167" s="99" t="e">
        <f t="shared" si="203"/>
        <v>#DIV/0!</v>
      </c>
      <c r="BP167" s="101">
        <f t="shared" si="204"/>
        <v>0</v>
      </c>
      <c r="BQ167" s="78">
        <f t="shared" si="205"/>
        <v>25</v>
      </c>
      <c r="BR167" s="79">
        <f t="shared" si="224"/>
        <v>0.5</v>
      </c>
      <c r="BS167" s="102"/>
      <c r="BT167" s="102"/>
      <c r="BU167" s="103">
        <f t="shared" si="206"/>
        <v>0</v>
      </c>
      <c r="BV167" s="77">
        <f t="shared" si="186"/>
        <v>0</v>
      </c>
      <c r="BW167" s="96">
        <f t="shared" si="187"/>
        <v>0</v>
      </c>
      <c r="BX167" s="96">
        <f t="shared" si="207"/>
        <v>0</v>
      </c>
      <c r="BY167" s="96">
        <f t="shared" si="188"/>
        <v>0</v>
      </c>
      <c r="BZ167" s="96" t="e">
        <f t="shared" si="208"/>
        <v>#NUM!</v>
      </c>
      <c r="CA167" s="96" t="e">
        <f t="shared" si="189"/>
        <v>#NUM!</v>
      </c>
      <c r="CB167" s="104" t="e">
        <f t="shared" si="209"/>
        <v>#NUM!</v>
      </c>
      <c r="CC167" s="105">
        <f t="shared" si="225"/>
        <v>23.584650719556397</v>
      </c>
      <c r="CD167" s="106">
        <f t="shared" si="226"/>
        <v>91.488196964991303</v>
      </c>
      <c r="CE167" s="107">
        <f t="shared" si="227"/>
        <v>1.3723229544748694</v>
      </c>
      <c r="CF167" s="108" t="s">
        <v>2189</v>
      </c>
      <c r="CG167" s="108" t="s">
        <v>2189</v>
      </c>
      <c r="CH167" s="108" t="s">
        <v>2189</v>
      </c>
      <c r="CI167" s="108" t="s">
        <v>2189</v>
      </c>
      <c r="CJ167" s="109"/>
      <c r="CM167" s="111">
        <f t="shared" si="210"/>
        <v>25</v>
      </c>
      <c r="CN167" s="107">
        <f t="shared" si="228"/>
        <v>0.375</v>
      </c>
      <c r="CP167" s="88">
        <f t="shared" si="211"/>
        <v>0</v>
      </c>
      <c r="CQ167" s="78">
        <f t="shared" si="212"/>
        <v>100</v>
      </c>
      <c r="CR167" s="79">
        <f t="shared" si="229"/>
        <v>3</v>
      </c>
      <c r="CS167" s="92"/>
      <c r="CT167" s="77">
        <f t="shared" si="190"/>
        <v>0</v>
      </c>
      <c r="CU167" s="78">
        <f t="shared" si="213"/>
        <v>100</v>
      </c>
      <c r="CV167" s="79">
        <f t="shared" si="230"/>
        <v>2</v>
      </c>
      <c r="CW167" s="112" t="e">
        <f t="shared" si="214"/>
        <v>#DIV/0!</v>
      </c>
    </row>
    <row r="168" spans="1:101" x14ac:dyDescent="0.35">
      <c r="A168" s="7" t="s">
        <v>1095</v>
      </c>
      <c r="B168" s="8" t="s">
        <v>1096</v>
      </c>
      <c r="C168" s="21" t="s">
        <v>1097</v>
      </c>
      <c r="D168" s="10" t="s">
        <v>31</v>
      </c>
      <c r="E168" s="11" t="s">
        <v>317</v>
      </c>
      <c r="F168" s="11" t="s">
        <v>1098</v>
      </c>
      <c r="G168" s="12">
        <v>43140</v>
      </c>
      <c r="H168" s="11" t="s">
        <v>24</v>
      </c>
      <c r="I168" s="11" t="s">
        <v>1099</v>
      </c>
      <c r="J168" s="11" t="s">
        <v>1100</v>
      </c>
      <c r="K168" s="11" t="s">
        <v>87</v>
      </c>
      <c r="L168" s="23">
        <v>5571483130</v>
      </c>
      <c r="M168" s="14">
        <v>1401534327</v>
      </c>
      <c r="N168" s="14">
        <v>4169948803</v>
      </c>
      <c r="O168" s="14">
        <v>1937469297</v>
      </c>
      <c r="P168" s="14">
        <v>618890773</v>
      </c>
      <c r="Q168" s="14">
        <v>606389938</v>
      </c>
      <c r="R168" s="14">
        <v>511383102</v>
      </c>
      <c r="AB168" s="74">
        <f t="shared" si="215"/>
        <v>0</v>
      </c>
      <c r="AC168" s="75" t="e">
        <f t="shared" si="191"/>
        <v>#DIV/0!</v>
      </c>
      <c r="AD168" s="75" t="e">
        <f t="shared" si="216"/>
        <v>#DIV/0!</v>
      </c>
      <c r="AE168" s="76" t="e">
        <f t="shared" si="219"/>
        <v>#DIV/0!</v>
      </c>
      <c r="AF168" s="77" t="e">
        <f t="shared" si="192"/>
        <v>#DIV/0!</v>
      </c>
      <c r="AG168" s="77" t="e">
        <f t="shared" si="193"/>
        <v>#DIV/0!</v>
      </c>
      <c r="AH168" s="77" t="e">
        <f t="shared" si="217"/>
        <v>#DIV/0!</v>
      </c>
      <c r="AI168" s="78" t="e">
        <f t="shared" si="218"/>
        <v>#DIV/0!</v>
      </c>
      <c r="AJ168" s="79" t="e">
        <f t="shared" si="220"/>
        <v>#DIV/0!</v>
      </c>
      <c r="AM168" s="80"/>
      <c r="AN168" s="81">
        <f t="shared" si="178"/>
        <v>0</v>
      </c>
      <c r="AO168" s="82" t="e">
        <f t="shared" si="179"/>
        <v>#DIV/0!</v>
      </c>
      <c r="AP168" s="83" t="e">
        <f t="shared" si="194"/>
        <v>#DIV/0!</v>
      </c>
      <c r="AQ168" s="84" t="e">
        <f t="shared" si="221"/>
        <v>#DIV/0!</v>
      </c>
      <c r="AS168" s="86">
        <f t="shared" si="180"/>
        <v>0.5</v>
      </c>
      <c r="AT168" s="87">
        <f t="shared" si="195"/>
        <v>0</v>
      </c>
      <c r="AU168" s="87">
        <f t="shared" si="196"/>
        <v>0</v>
      </c>
      <c r="AV168" s="88" t="e">
        <f t="shared" si="181"/>
        <v>#DIV/0!</v>
      </c>
      <c r="AW168" s="78" t="e">
        <f t="shared" si="197"/>
        <v>#DIV/0!</v>
      </c>
      <c r="AX168" s="89" t="e">
        <f t="shared" si="222"/>
        <v>#DIV/0!</v>
      </c>
      <c r="BA168" s="91">
        <f t="shared" si="182"/>
        <v>0</v>
      </c>
      <c r="BB168" s="77" t="e">
        <f t="shared" si="198"/>
        <v>#DIV/0!</v>
      </c>
      <c r="BC168" s="78" t="e">
        <f t="shared" si="199"/>
        <v>#DIV/0!</v>
      </c>
      <c r="BD168" s="79" t="e">
        <f t="shared" si="223"/>
        <v>#DIV/0!</v>
      </c>
      <c r="BE168" s="92"/>
      <c r="BF168" s="92"/>
      <c r="BG168" s="114">
        <v>1465416</v>
      </c>
      <c r="BH168" s="94">
        <f t="shared" si="183"/>
        <v>0</v>
      </c>
      <c r="BI168" s="77" t="e">
        <f t="shared" si="184"/>
        <v>#DIV/0!</v>
      </c>
      <c r="BJ168" s="95" t="str">
        <f t="shared" si="200"/>
        <v>식약/섬유/종이업</v>
      </c>
      <c r="BK168" s="96" t="e">
        <f t="shared" si="185"/>
        <v>#DIV/0!</v>
      </c>
      <c r="BL168" s="97" t="e">
        <f t="shared" si="201"/>
        <v>#DIV/0!</v>
      </c>
      <c r="BM168" s="98" t="e">
        <f t="shared" si="202"/>
        <v>#DIV/0!</v>
      </c>
      <c r="BN168" s="99" t="e">
        <f t="shared" si="203"/>
        <v>#DIV/0!</v>
      </c>
      <c r="BP168" s="101">
        <f t="shared" si="204"/>
        <v>0</v>
      </c>
      <c r="BQ168" s="78">
        <f t="shared" si="205"/>
        <v>25</v>
      </c>
      <c r="BR168" s="79">
        <f t="shared" si="224"/>
        <v>0.5</v>
      </c>
      <c r="BS168" s="102"/>
      <c r="BT168" s="102"/>
      <c r="BU168" s="103">
        <f t="shared" si="206"/>
        <v>0</v>
      </c>
      <c r="BV168" s="77">
        <f t="shared" si="186"/>
        <v>0</v>
      </c>
      <c r="BW168" s="96">
        <f t="shared" si="187"/>
        <v>0</v>
      </c>
      <c r="BX168" s="96">
        <f t="shared" si="207"/>
        <v>0</v>
      </c>
      <c r="BY168" s="96">
        <f t="shared" si="188"/>
        <v>0</v>
      </c>
      <c r="BZ168" s="96" t="e">
        <f t="shared" si="208"/>
        <v>#NUM!</v>
      </c>
      <c r="CA168" s="96" t="e">
        <f t="shared" si="189"/>
        <v>#NUM!</v>
      </c>
      <c r="CB168" s="104" t="e">
        <f t="shared" si="209"/>
        <v>#NUM!</v>
      </c>
      <c r="CC168" s="105">
        <f t="shared" si="225"/>
        <v>33.610348548924378</v>
      </c>
      <c r="CD168" s="106">
        <f t="shared" si="226"/>
        <v>87.709667632314932</v>
      </c>
      <c r="CE168" s="107">
        <f t="shared" si="227"/>
        <v>1.315645014484724</v>
      </c>
      <c r="CF168" s="108" t="s">
        <v>2189</v>
      </c>
      <c r="CG168" s="108" t="s">
        <v>2189</v>
      </c>
      <c r="CH168" s="108" t="s">
        <v>2189</v>
      </c>
      <c r="CI168" s="108" t="s">
        <v>2189</v>
      </c>
      <c r="CJ168" s="109"/>
      <c r="CM168" s="111">
        <f t="shared" si="210"/>
        <v>25</v>
      </c>
      <c r="CN168" s="107">
        <f t="shared" si="228"/>
        <v>0.375</v>
      </c>
      <c r="CP168" s="88">
        <f t="shared" si="211"/>
        <v>0</v>
      </c>
      <c r="CQ168" s="78">
        <f t="shared" si="212"/>
        <v>100</v>
      </c>
      <c r="CR168" s="79">
        <f t="shared" si="229"/>
        <v>3</v>
      </c>
      <c r="CS168" s="92"/>
      <c r="CT168" s="77">
        <f t="shared" si="190"/>
        <v>0</v>
      </c>
      <c r="CU168" s="78">
        <f t="shared" si="213"/>
        <v>100</v>
      </c>
      <c r="CV168" s="79">
        <f t="shared" si="230"/>
        <v>2</v>
      </c>
      <c r="CW168" s="112" t="e">
        <f t="shared" si="214"/>
        <v>#DIV/0!</v>
      </c>
    </row>
    <row r="169" spans="1:101" x14ac:dyDescent="0.35">
      <c r="A169" s="7" t="s">
        <v>1101</v>
      </c>
      <c r="B169" s="8" t="s">
        <v>1102</v>
      </c>
      <c r="C169" s="21" t="s">
        <v>1103</v>
      </c>
      <c r="D169" s="22" t="s">
        <v>141</v>
      </c>
      <c r="E169" s="11" t="s">
        <v>241</v>
      </c>
      <c r="F169" s="11" t="s">
        <v>1104</v>
      </c>
      <c r="G169" s="12">
        <v>44229</v>
      </c>
      <c r="H169" s="11" t="s">
        <v>24</v>
      </c>
      <c r="I169" s="11" t="s">
        <v>1105</v>
      </c>
      <c r="J169" s="11" t="s">
        <v>1106</v>
      </c>
      <c r="K169" s="11" t="s">
        <v>50</v>
      </c>
      <c r="L169" s="23">
        <v>487384549</v>
      </c>
      <c r="M169" s="14">
        <v>250541994</v>
      </c>
      <c r="N169" s="14">
        <v>236842555</v>
      </c>
      <c r="O169" s="14">
        <v>931449231</v>
      </c>
      <c r="P169" s="14">
        <v>44671754</v>
      </c>
      <c r="Q169" s="14">
        <v>50417620</v>
      </c>
      <c r="R169" s="14">
        <v>39493848</v>
      </c>
      <c r="AB169" s="74">
        <f t="shared" si="215"/>
        <v>0</v>
      </c>
      <c r="AC169" s="75" t="e">
        <f t="shared" si="191"/>
        <v>#DIV/0!</v>
      </c>
      <c r="AD169" s="75" t="e">
        <f t="shared" si="216"/>
        <v>#DIV/0!</v>
      </c>
      <c r="AE169" s="76" t="e">
        <f t="shared" si="219"/>
        <v>#DIV/0!</v>
      </c>
      <c r="AF169" s="77" t="e">
        <f t="shared" si="192"/>
        <v>#DIV/0!</v>
      </c>
      <c r="AG169" s="77" t="e">
        <f t="shared" si="193"/>
        <v>#DIV/0!</v>
      </c>
      <c r="AH169" s="77" t="e">
        <f t="shared" si="217"/>
        <v>#DIV/0!</v>
      </c>
      <c r="AI169" s="78" t="e">
        <f t="shared" si="218"/>
        <v>#DIV/0!</v>
      </c>
      <c r="AJ169" s="79" t="e">
        <f t="shared" si="220"/>
        <v>#DIV/0!</v>
      </c>
      <c r="AN169" s="81">
        <f t="shared" si="178"/>
        <v>0</v>
      </c>
      <c r="AO169" s="82" t="e">
        <f t="shared" si="179"/>
        <v>#DIV/0!</v>
      </c>
      <c r="AP169" s="83" t="e">
        <f t="shared" si="194"/>
        <v>#DIV/0!</v>
      </c>
      <c r="AQ169" s="84" t="e">
        <f t="shared" si="221"/>
        <v>#DIV/0!</v>
      </c>
      <c r="AS169" s="86">
        <f t="shared" si="180"/>
        <v>0.25</v>
      </c>
      <c r="AT169" s="87">
        <f t="shared" si="195"/>
        <v>0</v>
      </c>
      <c r="AU169" s="87">
        <f t="shared" si="196"/>
        <v>0</v>
      </c>
      <c r="AV169" s="88" t="e">
        <f t="shared" si="181"/>
        <v>#DIV/0!</v>
      </c>
      <c r="AW169" s="78" t="e">
        <f t="shared" si="197"/>
        <v>#DIV/0!</v>
      </c>
      <c r="AX169" s="89" t="e">
        <f t="shared" si="222"/>
        <v>#DIV/0!</v>
      </c>
      <c r="BA169" s="91">
        <f t="shared" si="182"/>
        <v>0</v>
      </c>
      <c r="BB169" s="77" t="e">
        <f t="shared" si="198"/>
        <v>#DIV/0!</v>
      </c>
      <c r="BC169" s="78" t="e">
        <f t="shared" si="199"/>
        <v>#DIV/0!</v>
      </c>
      <c r="BD169" s="79" t="e">
        <f t="shared" si="223"/>
        <v>#DIV/0!</v>
      </c>
      <c r="BE169" s="92"/>
      <c r="BF169" s="92"/>
      <c r="BG169" s="93">
        <v>0</v>
      </c>
      <c r="BH169" s="94">
        <f t="shared" si="183"/>
        <v>0</v>
      </c>
      <c r="BI169" s="77" t="e">
        <f t="shared" si="184"/>
        <v>#DIV/0!</v>
      </c>
      <c r="BJ169" s="95" t="str">
        <f t="shared" si="200"/>
        <v>전기전자/기계업</v>
      </c>
      <c r="BK169" s="96" t="e">
        <f t="shared" si="185"/>
        <v>#DIV/0!</v>
      </c>
      <c r="BL169" s="97" t="e">
        <f t="shared" si="201"/>
        <v>#DIV/0!</v>
      </c>
      <c r="BM169" s="98" t="e">
        <f t="shared" si="202"/>
        <v>#DIV/0!</v>
      </c>
      <c r="BN169" s="99" t="e">
        <f t="shared" si="203"/>
        <v>#DIV/0!</v>
      </c>
      <c r="BP169" s="101">
        <f t="shared" si="204"/>
        <v>0</v>
      </c>
      <c r="BQ169" s="78">
        <f t="shared" si="205"/>
        <v>25</v>
      </c>
      <c r="BR169" s="79">
        <f t="shared" si="224"/>
        <v>0.5</v>
      </c>
      <c r="BS169" s="102"/>
      <c r="BT169" s="102"/>
      <c r="BU169" s="103">
        <f t="shared" si="206"/>
        <v>0</v>
      </c>
      <c r="BV169" s="77">
        <f t="shared" si="186"/>
        <v>0</v>
      </c>
      <c r="BW169" s="96">
        <f t="shared" si="187"/>
        <v>0</v>
      </c>
      <c r="BX169" s="96">
        <f t="shared" si="207"/>
        <v>0</v>
      </c>
      <c r="BY169" s="96">
        <f t="shared" si="188"/>
        <v>0</v>
      </c>
      <c r="BZ169" s="96" t="e">
        <f t="shared" si="208"/>
        <v>#NUM!</v>
      </c>
      <c r="CA169" s="96" t="e">
        <f t="shared" si="189"/>
        <v>#NUM!</v>
      </c>
      <c r="CB169" s="104" t="e">
        <f t="shared" si="209"/>
        <v>#NUM!</v>
      </c>
      <c r="CC169" s="105">
        <f t="shared" si="225"/>
        <v>105.78419659423113</v>
      </c>
      <c r="CD169" s="106">
        <f t="shared" si="226"/>
        <v>60.508468620264651</v>
      </c>
      <c r="CE169" s="107">
        <f t="shared" si="227"/>
        <v>0.90762702930396977</v>
      </c>
      <c r="CF169" s="108" t="s">
        <v>2189</v>
      </c>
      <c r="CG169" s="108" t="s">
        <v>2189</v>
      </c>
      <c r="CH169" s="108" t="s">
        <v>2189</v>
      </c>
      <c r="CI169" s="108" t="s">
        <v>2189</v>
      </c>
      <c r="CJ169" s="109"/>
      <c r="CM169" s="111">
        <f t="shared" si="210"/>
        <v>25</v>
      </c>
      <c r="CN169" s="107">
        <f t="shared" si="228"/>
        <v>0.375</v>
      </c>
      <c r="CP169" s="88">
        <f t="shared" si="211"/>
        <v>0</v>
      </c>
      <c r="CQ169" s="78">
        <f t="shared" si="212"/>
        <v>100</v>
      </c>
      <c r="CR169" s="79">
        <f t="shared" si="229"/>
        <v>3</v>
      </c>
      <c r="CS169" s="92"/>
      <c r="CT169" s="77">
        <f t="shared" si="190"/>
        <v>0</v>
      </c>
      <c r="CU169" s="78">
        <f t="shared" si="213"/>
        <v>100</v>
      </c>
      <c r="CV169" s="79">
        <f t="shared" si="230"/>
        <v>2</v>
      </c>
      <c r="CW169" s="112" t="e">
        <f t="shared" si="214"/>
        <v>#DIV/0!</v>
      </c>
    </row>
    <row r="170" spans="1:101" x14ac:dyDescent="0.35">
      <c r="A170" s="7" t="s">
        <v>1107</v>
      </c>
      <c r="B170" s="8" t="s">
        <v>1108</v>
      </c>
      <c r="C170" s="21" t="s">
        <v>1109</v>
      </c>
      <c r="D170" s="10" t="s">
        <v>75</v>
      </c>
      <c r="E170" s="11" t="s">
        <v>149</v>
      </c>
      <c r="F170" s="11" t="s">
        <v>1110</v>
      </c>
      <c r="G170" s="12">
        <v>28301</v>
      </c>
      <c r="H170" s="11" t="s">
        <v>24</v>
      </c>
      <c r="I170" s="11" t="s">
        <v>1111</v>
      </c>
      <c r="J170" s="11" t="s">
        <v>1112</v>
      </c>
      <c r="K170" s="11" t="s">
        <v>394</v>
      </c>
      <c r="L170" s="23">
        <v>1117980000</v>
      </c>
      <c r="M170" s="14">
        <v>475314000</v>
      </c>
      <c r="N170" s="14">
        <v>642666000</v>
      </c>
      <c r="O170" s="14">
        <v>1145427000</v>
      </c>
      <c r="P170" s="14">
        <v>167535000</v>
      </c>
      <c r="Q170" s="14">
        <v>168668000</v>
      </c>
      <c r="R170" s="14">
        <v>122873000</v>
      </c>
      <c r="AB170" s="74">
        <f t="shared" si="215"/>
        <v>0</v>
      </c>
      <c r="AC170" s="75" t="e">
        <f t="shared" si="191"/>
        <v>#DIV/0!</v>
      </c>
      <c r="AD170" s="75" t="e">
        <f t="shared" si="216"/>
        <v>#DIV/0!</v>
      </c>
      <c r="AE170" s="76" t="e">
        <f t="shared" si="219"/>
        <v>#DIV/0!</v>
      </c>
      <c r="AF170" s="77" t="e">
        <f t="shared" si="192"/>
        <v>#DIV/0!</v>
      </c>
      <c r="AG170" s="77" t="e">
        <f t="shared" si="193"/>
        <v>#DIV/0!</v>
      </c>
      <c r="AH170" s="77" t="e">
        <f t="shared" si="217"/>
        <v>#DIV/0!</v>
      </c>
      <c r="AI170" s="78" t="e">
        <f t="shared" si="218"/>
        <v>#DIV/0!</v>
      </c>
      <c r="AJ170" s="79" t="e">
        <f t="shared" si="220"/>
        <v>#DIV/0!</v>
      </c>
      <c r="AN170" s="81">
        <f t="shared" si="178"/>
        <v>0</v>
      </c>
      <c r="AO170" s="82" t="e">
        <f t="shared" si="179"/>
        <v>#DIV/0!</v>
      </c>
      <c r="AP170" s="83" t="e">
        <f t="shared" si="194"/>
        <v>#DIV/0!</v>
      </c>
      <c r="AQ170" s="84" t="e">
        <f t="shared" si="221"/>
        <v>#DIV/0!</v>
      </c>
      <c r="AS170" s="86">
        <f t="shared" si="180"/>
        <v>0.25</v>
      </c>
      <c r="AT170" s="87">
        <f t="shared" si="195"/>
        <v>0</v>
      </c>
      <c r="AU170" s="87">
        <f t="shared" si="196"/>
        <v>0</v>
      </c>
      <c r="AV170" s="88" t="e">
        <f t="shared" si="181"/>
        <v>#DIV/0!</v>
      </c>
      <c r="AW170" s="78" t="e">
        <f t="shared" si="197"/>
        <v>#DIV/0!</v>
      </c>
      <c r="AX170" s="89" t="e">
        <f t="shared" si="222"/>
        <v>#DIV/0!</v>
      </c>
      <c r="BA170" s="91">
        <f t="shared" si="182"/>
        <v>0</v>
      </c>
      <c r="BB170" s="77" t="e">
        <f t="shared" si="198"/>
        <v>#DIV/0!</v>
      </c>
      <c r="BC170" s="78" t="e">
        <f t="shared" si="199"/>
        <v>#DIV/0!</v>
      </c>
      <c r="BD170" s="79" t="e">
        <f t="shared" si="223"/>
        <v>#DIV/0!</v>
      </c>
      <c r="BE170" s="92"/>
      <c r="BF170" s="92"/>
      <c r="BG170" s="114">
        <v>1753000</v>
      </c>
      <c r="BH170" s="94">
        <f t="shared" si="183"/>
        <v>0</v>
      </c>
      <c r="BI170" s="77" t="e">
        <f t="shared" si="184"/>
        <v>#DIV/0!</v>
      </c>
      <c r="BJ170" s="95" t="str">
        <f t="shared" si="200"/>
        <v>금속/비금속/화학업</v>
      </c>
      <c r="BK170" s="96" t="e">
        <f t="shared" si="185"/>
        <v>#DIV/0!</v>
      </c>
      <c r="BL170" s="97" t="e">
        <f t="shared" si="201"/>
        <v>#DIV/0!</v>
      </c>
      <c r="BM170" s="98" t="e">
        <f t="shared" si="202"/>
        <v>#DIV/0!</v>
      </c>
      <c r="BN170" s="99" t="e">
        <f t="shared" si="203"/>
        <v>#DIV/0!</v>
      </c>
      <c r="BP170" s="101">
        <f t="shared" si="204"/>
        <v>0</v>
      </c>
      <c r="BQ170" s="78">
        <f t="shared" si="205"/>
        <v>25</v>
      </c>
      <c r="BR170" s="79">
        <f t="shared" si="224"/>
        <v>0.5</v>
      </c>
      <c r="BS170" s="102"/>
      <c r="BT170" s="102"/>
      <c r="BU170" s="103">
        <f t="shared" si="206"/>
        <v>0</v>
      </c>
      <c r="BV170" s="77">
        <f t="shared" si="186"/>
        <v>0</v>
      </c>
      <c r="BW170" s="96">
        <f t="shared" si="187"/>
        <v>0</v>
      </c>
      <c r="BX170" s="96">
        <f t="shared" si="207"/>
        <v>0</v>
      </c>
      <c r="BY170" s="96">
        <f t="shared" si="188"/>
        <v>0</v>
      </c>
      <c r="BZ170" s="96" t="e">
        <f t="shared" si="208"/>
        <v>#NUM!</v>
      </c>
      <c r="CA170" s="96" t="e">
        <f t="shared" si="189"/>
        <v>#NUM!</v>
      </c>
      <c r="CB170" s="104" t="e">
        <f t="shared" si="209"/>
        <v>#NUM!</v>
      </c>
      <c r="CC170" s="105">
        <f t="shared" si="225"/>
        <v>73.959724024609983</v>
      </c>
      <c r="CD170" s="106">
        <f t="shared" si="226"/>
        <v>72.502616573639457</v>
      </c>
      <c r="CE170" s="107">
        <f t="shared" si="227"/>
        <v>1.0875392486045918</v>
      </c>
      <c r="CF170" s="108" t="s">
        <v>2189</v>
      </c>
      <c r="CG170" s="108" t="s">
        <v>2189</v>
      </c>
      <c r="CH170" s="108" t="s">
        <v>2189</v>
      </c>
      <c r="CI170" s="108" t="s">
        <v>2189</v>
      </c>
      <c r="CJ170" s="109"/>
      <c r="CM170" s="111">
        <f t="shared" si="210"/>
        <v>25</v>
      </c>
      <c r="CN170" s="107">
        <f t="shared" si="228"/>
        <v>0.375</v>
      </c>
      <c r="CP170" s="88">
        <f t="shared" si="211"/>
        <v>0</v>
      </c>
      <c r="CQ170" s="78">
        <f t="shared" si="212"/>
        <v>100</v>
      </c>
      <c r="CR170" s="79">
        <f t="shared" si="229"/>
        <v>3</v>
      </c>
      <c r="CS170" s="92"/>
      <c r="CT170" s="77">
        <f t="shared" si="190"/>
        <v>0</v>
      </c>
      <c r="CU170" s="78">
        <f t="shared" si="213"/>
        <v>100</v>
      </c>
      <c r="CV170" s="79">
        <f t="shared" si="230"/>
        <v>2</v>
      </c>
      <c r="CW170" s="112" t="e">
        <f t="shared" si="214"/>
        <v>#DIV/0!</v>
      </c>
    </row>
    <row r="171" spans="1:101" x14ac:dyDescent="0.35">
      <c r="A171" s="7" t="s">
        <v>1113</v>
      </c>
      <c r="B171" s="8" t="s">
        <v>1114</v>
      </c>
      <c r="C171" s="21" t="s">
        <v>1115</v>
      </c>
      <c r="D171" s="22" t="s">
        <v>141</v>
      </c>
      <c r="E171" s="11" t="s">
        <v>481</v>
      </c>
      <c r="F171" s="11" t="s">
        <v>1116</v>
      </c>
      <c r="G171" s="12">
        <v>33480</v>
      </c>
      <c r="H171" s="11" t="s">
        <v>24</v>
      </c>
      <c r="I171" s="11" t="s">
        <v>1117</v>
      </c>
      <c r="J171" s="11" t="s">
        <v>1118</v>
      </c>
      <c r="K171" s="11" t="s">
        <v>50</v>
      </c>
      <c r="L171" s="23">
        <v>181493057</v>
      </c>
      <c r="M171" s="14">
        <v>70279714</v>
      </c>
      <c r="N171" s="14">
        <v>111213342</v>
      </c>
      <c r="O171" s="14">
        <v>120360819</v>
      </c>
      <c r="P171" s="14">
        <v>9391620</v>
      </c>
      <c r="Q171" s="14">
        <v>7726840</v>
      </c>
      <c r="R171" s="14">
        <v>5939402</v>
      </c>
      <c r="AB171" s="74">
        <f t="shared" si="215"/>
        <v>0</v>
      </c>
      <c r="AC171" s="75" t="e">
        <f t="shared" si="191"/>
        <v>#DIV/0!</v>
      </c>
      <c r="AD171" s="75" t="e">
        <f t="shared" si="216"/>
        <v>#DIV/0!</v>
      </c>
      <c r="AE171" s="76" t="e">
        <f t="shared" si="219"/>
        <v>#DIV/0!</v>
      </c>
      <c r="AF171" s="77" t="e">
        <f t="shared" si="192"/>
        <v>#DIV/0!</v>
      </c>
      <c r="AG171" s="77" t="e">
        <f t="shared" si="193"/>
        <v>#DIV/0!</v>
      </c>
      <c r="AH171" s="77" t="e">
        <f t="shared" si="217"/>
        <v>#DIV/0!</v>
      </c>
      <c r="AI171" s="78" t="e">
        <f t="shared" si="218"/>
        <v>#DIV/0!</v>
      </c>
      <c r="AJ171" s="79" t="e">
        <f t="shared" si="220"/>
        <v>#DIV/0!</v>
      </c>
      <c r="AN171" s="81">
        <f t="shared" si="178"/>
        <v>0</v>
      </c>
      <c r="AO171" s="82" t="e">
        <f t="shared" si="179"/>
        <v>#DIV/0!</v>
      </c>
      <c r="AP171" s="83" t="e">
        <f t="shared" si="194"/>
        <v>#DIV/0!</v>
      </c>
      <c r="AQ171" s="84" t="e">
        <f t="shared" si="221"/>
        <v>#DIV/0!</v>
      </c>
      <c r="AS171" s="86">
        <f t="shared" si="180"/>
        <v>0.25</v>
      </c>
      <c r="AT171" s="87">
        <f t="shared" si="195"/>
        <v>0</v>
      </c>
      <c r="AU171" s="87">
        <f t="shared" si="196"/>
        <v>0</v>
      </c>
      <c r="AV171" s="88" t="e">
        <f t="shared" si="181"/>
        <v>#DIV/0!</v>
      </c>
      <c r="AW171" s="78" t="e">
        <f t="shared" si="197"/>
        <v>#DIV/0!</v>
      </c>
      <c r="AX171" s="89" t="e">
        <f t="shared" si="222"/>
        <v>#DIV/0!</v>
      </c>
      <c r="BA171" s="91">
        <f t="shared" si="182"/>
        <v>0</v>
      </c>
      <c r="BB171" s="77" t="e">
        <f t="shared" si="198"/>
        <v>#DIV/0!</v>
      </c>
      <c r="BC171" s="78" t="e">
        <f t="shared" si="199"/>
        <v>#DIV/0!</v>
      </c>
      <c r="BD171" s="79" t="e">
        <f t="shared" si="223"/>
        <v>#DIV/0!</v>
      </c>
      <c r="BE171" s="92"/>
      <c r="BF171" s="92"/>
      <c r="BG171" s="114">
        <v>68216</v>
      </c>
      <c r="BH171" s="94">
        <f t="shared" si="183"/>
        <v>0</v>
      </c>
      <c r="BI171" s="77" t="e">
        <f t="shared" si="184"/>
        <v>#DIV/0!</v>
      </c>
      <c r="BJ171" s="95" t="str">
        <f t="shared" si="200"/>
        <v>전기전자/기계업</v>
      </c>
      <c r="BK171" s="96" t="e">
        <f t="shared" si="185"/>
        <v>#DIV/0!</v>
      </c>
      <c r="BL171" s="97" t="e">
        <f t="shared" si="201"/>
        <v>#DIV/0!</v>
      </c>
      <c r="BM171" s="98" t="e">
        <f t="shared" si="202"/>
        <v>#DIV/0!</v>
      </c>
      <c r="BN171" s="99" t="e">
        <f t="shared" si="203"/>
        <v>#DIV/0!</v>
      </c>
      <c r="BP171" s="101">
        <f t="shared" si="204"/>
        <v>0</v>
      </c>
      <c r="BQ171" s="78">
        <f t="shared" si="205"/>
        <v>25</v>
      </c>
      <c r="BR171" s="79">
        <f t="shared" si="224"/>
        <v>0.5</v>
      </c>
      <c r="BS171" s="102"/>
      <c r="BT171" s="102"/>
      <c r="BU171" s="103">
        <f t="shared" si="206"/>
        <v>0</v>
      </c>
      <c r="BV171" s="77">
        <f t="shared" si="186"/>
        <v>0</v>
      </c>
      <c r="BW171" s="96">
        <f t="shared" si="187"/>
        <v>0</v>
      </c>
      <c r="BX171" s="96">
        <f t="shared" si="207"/>
        <v>0</v>
      </c>
      <c r="BY171" s="96">
        <f t="shared" si="188"/>
        <v>0</v>
      </c>
      <c r="BZ171" s="96" t="e">
        <f t="shared" si="208"/>
        <v>#NUM!</v>
      </c>
      <c r="CA171" s="96" t="e">
        <f t="shared" si="189"/>
        <v>#NUM!</v>
      </c>
      <c r="CB171" s="104" t="e">
        <f t="shared" si="209"/>
        <v>#NUM!</v>
      </c>
      <c r="CC171" s="105">
        <f t="shared" si="225"/>
        <v>63.193599559304673</v>
      </c>
      <c r="CD171" s="106">
        <f t="shared" si="226"/>
        <v>76.560201171116333</v>
      </c>
      <c r="CE171" s="107">
        <f t="shared" si="227"/>
        <v>1.148403017566745</v>
      </c>
      <c r="CF171" s="108" t="s">
        <v>2189</v>
      </c>
      <c r="CG171" s="108" t="s">
        <v>2189</v>
      </c>
      <c r="CH171" s="108" t="s">
        <v>2189</v>
      </c>
      <c r="CI171" s="108" t="s">
        <v>2189</v>
      </c>
      <c r="CJ171" s="109"/>
      <c r="CM171" s="111">
        <f t="shared" si="210"/>
        <v>25</v>
      </c>
      <c r="CN171" s="107">
        <f t="shared" si="228"/>
        <v>0.375</v>
      </c>
      <c r="CP171" s="88">
        <f t="shared" si="211"/>
        <v>0</v>
      </c>
      <c r="CQ171" s="78">
        <f t="shared" si="212"/>
        <v>100</v>
      </c>
      <c r="CR171" s="79">
        <f t="shared" si="229"/>
        <v>3</v>
      </c>
      <c r="CS171" s="92"/>
      <c r="CT171" s="77">
        <f t="shared" si="190"/>
        <v>0</v>
      </c>
      <c r="CU171" s="78">
        <f t="shared" si="213"/>
        <v>100</v>
      </c>
      <c r="CV171" s="79">
        <f t="shared" si="230"/>
        <v>2</v>
      </c>
      <c r="CW171" s="112" t="e">
        <f t="shared" si="214"/>
        <v>#DIV/0!</v>
      </c>
    </row>
    <row r="172" spans="1:101" x14ac:dyDescent="0.35">
      <c r="A172" s="7" t="s">
        <v>1119</v>
      </c>
      <c r="B172" s="8" t="s">
        <v>1120</v>
      </c>
      <c r="C172" s="21" t="s">
        <v>1121</v>
      </c>
      <c r="D172" s="10" t="s">
        <v>31</v>
      </c>
      <c r="E172" s="11" t="s">
        <v>1122</v>
      </c>
      <c r="F172" s="11" t="s">
        <v>1123</v>
      </c>
      <c r="G172" s="12">
        <v>40568</v>
      </c>
      <c r="H172" s="11" t="s">
        <v>24</v>
      </c>
      <c r="I172" s="11" t="s">
        <v>1124</v>
      </c>
      <c r="J172" s="11" t="s">
        <v>1125</v>
      </c>
      <c r="K172" s="11" t="s">
        <v>50</v>
      </c>
      <c r="L172" s="23">
        <v>84677096</v>
      </c>
      <c r="M172" s="14">
        <v>21426870</v>
      </c>
      <c r="N172" s="14">
        <v>63250226</v>
      </c>
      <c r="O172" s="14">
        <v>241730925</v>
      </c>
      <c r="P172" s="14">
        <v>412795</v>
      </c>
      <c r="Q172" s="14">
        <v>2901178</v>
      </c>
      <c r="R172" s="14">
        <v>2331137</v>
      </c>
      <c r="AB172" s="74">
        <f t="shared" si="215"/>
        <v>0</v>
      </c>
      <c r="AC172" s="75" t="e">
        <f t="shared" si="191"/>
        <v>#DIV/0!</v>
      </c>
      <c r="AD172" s="75" t="e">
        <f t="shared" si="216"/>
        <v>#DIV/0!</v>
      </c>
      <c r="AE172" s="76" t="e">
        <f t="shared" si="219"/>
        <v>#DIV/0!</v>
      </c>
      <c r="AF172" s="77" t="e">
        <f t="shared" si="192"/>
        <v>#DIV/0!</v>
      </c>
      <c r="AG172" s="77" t="e">
        <f t="shared" si="193"/>
        <v>#DIV/0!</v>
      </c>
      <c r="AH172" s="77" t="e">
        <f t="shared" si="217"/>
        <v>#DIV/0!</v>
      </c>
      <c r="AI172" s="78" t="e">
        <f t="shared" si="218"/>
        <v>#DIV/0!</v>
      </c>
      <c r="AJ172" s="79" t="e">
        <f t="shared" si="220"/>
        <v>#DIV/0!</v>
      </c>
      <c r="AN172" s="81">
        <f t="shared" si="178"/>
        <v>0</v>
      </c>
      <c r="AO172" s="82" t="e">
        <f t="shared" si="179"/>
        <v>#DIV/0!</v>
      </c>
      <c r="AP172" s="83" t="e">
        <f t="shared" si="194"/>
        <v>#DIV/0!</v>
      </c>
      <c r="AQ172" s="84" t="e">
        <f t="shared" si="221"/>
        <v>#DIV/0!</v>
      </c>
      <c r="AS172" s="86">
        <f t="shared" si="180"/>
        <v>0.25</v>
      </c>
      <c r="AT172" s="87">
        <f t="shared" si="195"/>
        <v>0</v>
      </c>
      <c r="AU172" s="87">
        <f t="shared" si="196"/>
        <v>0</v>
      </c>
      <c r="AV172" s="88" t="e">
        <f t="shared" si="181"/>
        <v>#DIV/0!</v>
      </c>
      <c r="AW172" s="78" t="e">
        <f t="shared" si="197"/>
        <v>#DIV/0!</v>
      </c>
      <c r="AX172" s="89" t="e">
        <f t="shared" si="222"/>
        <v>#DIV/0!</v>
      </c>
      <c r="AY172" s="93"/>
      <c r="AZ172" s="93"/>
      <c r="BA172" s="91">
        <f t="shared" si="182"/>
        <v>0</v>
      </c>
      <c r="BB172" s="77" t="e">
        <f t="shared" si="198"/>
        <v>#DIV/0!</v>
      </c>
      <c r="BC172" s="78" t="e">
        <f t="shared" si="199"/>
        <v>#DIV/0!</v>
      </c>
      <c r="BD172" s="79" t="e">
        <f t="shared" si="223"/>
        <v>#DIV/0!</v>
      </c>
      <c r="BE172" s="92"/>
      <c r="BF172" s="92"/>
      <c r="BG172" s="93">
        <v>0</v>
      </c>
      <c r="BH172" s="94">
        <f t="shared" si="183"/>
        <v>0</v>
      </c>
      <c r="BI172" s="77" t="e">
        <f t="shared" si="184"/>
        <v>#DIV/0!</v>
      </c>
      <c r="BJ172" s="95" t="str">
        <f t="shared" si="200"/>
        <v>식약/섬유/종이업</v>
      </c>
      <c r="BK172" s="96" t="e">
        <f t="shared" si="185"/>
        <v>#DIV/0!</v>
      </c>
      <c r="BL172" s="97" t="e">
        <f t="shared" si="201"/>
        <v>#DIV/0!</v>
      </c>
      <c r="BM172" s="98" t="e">
        <f t="shared" si="202"/>
        <v>#DIV/0!</v>
      </c>
      <c r="BN172" s="99" t="e">
        <f t="shared" si="203"/>
        <v>#DIV/0!</v>
      </c>
      <c r="BP172" s="101">
        <f t="shared" si="204"/>
        <v>0</v>
      </c>
      <c r="BQ172" s="78">
        <f t="shared" si="205"/>
        <v>25</v>
      </c>
      <c r="BR172" s="79">
        <f t="shared" si="224"/>
        <v>0.5</v>
      </c>
      <c r="BS172" s="102"/>
      <c r="BT172" s="102"/>
      <c r="BU172" s="103">
        <f t="shared" si="206"/>
        <v>0</v>
      </c>
      <c r="BV172" s="77">
        <f t="shared" si="186"/>
        <v>0</v>
      </c>
      <c r="BW172" s="96">
        <f t="shared" si="187"/>
        <v>0</v>
      </c>
      <c r="BX172" s="96">
        <f t="shared" si="207"/>
        <v>0</v>
      </c>
      <c r="BY172" s="96">
        <f t="shared" si="188"/>
        <v>0</v>
      </c>
      <c r="BZ172" s="96" t="e">
        <f t="shared" si="208"/>
        <v>#NUM!</v>
      </c>
      <c r="CA172" s="96" t="e">
        <f t="shared" si="189"/>
        <v>#NUM!</v>
      </c>
      <c r="CB172" s="104" t="e">
        <f t="shared" si="209"/>
        <v>#NUM!</v>
      </c>
      <c r="CC172" s="105">
        <f t="shared" si="225"/>
        <v>33.876353263939322</v>
      </c>
      <c r="CD172" s="106">
        <f t="shared" si="226"/>
        <v>87.609414599017839</v>
      </c>
      <c r="CE172" s="107">
        <f t="shared" si="227"/>
        <v>1.3141412189852675</v>
      </c>
      <c r="CF172" s="108" t="s">
        <v>2189</v>
      </c>
      <c r="CG172" s="108" t="s">
        <v>2189</v>
      </c>
      <c r="CH172" s="108" t="s">
        <v>2189</v>
      </c>
      <c r="CI172" s="108" t="s">
        <v>2189</v>
      </c>
      <c r="CJ172" s="109"/>
      <c r="CM172" s="111">
        <f t="shared" si="210"/>
        <v>25</v>
      </c>
      <c r="CN172" s="107">
        <f t="shared" si="228"/>
        <v>0.375</v>
      </c>
      <c r="CP172" s="88">
        <f t="shared" si="211"/>
        <v>0</v>
      </c>
      <c r="CQ172" s="78">
        <f t="shared" si="212"/>
        <v>100</v>
      </c>
      <c r="CR172" s="79">
        <f t="shared" si="229"/>
        <v>3</v>
      </c>
      <c r="CS172" s="92"/>
      <c r="CT172" s="77">
        <f t="shared" si="190"/>
        <v>0</v>
      </c>
      <c r="CU172" s="78">
        <f t="shared" si="213"/>
        <v>100</v>
      </c>
      <c r="CV172" s="79">
        <f t="shared" si="230"/>
        <v>2</v>
      </c>
      <c r="CW172" s="112" t="e">
        <f t="shared" si="214"/>
        <v>#DIV/0!</v>
      </c>
    </row>
    <row r="173" spans="1:101" x14ac:dyDescent="0.35">
      <c r="A173" s="7" t="s">
        <v>1126</v>
      </c>
      <c r="B173" s="8" t="s">
        <v>1127</v>
      </c>
      <c r="C173" s="21" t="s">
        <v>1128</v>
      </c>
      <c r="D173" s="10" t="s">
        <v>31</v>
      </c>
      <c r="E173" s="11" t="s">
        <v>1129</v>
      </c>
      <c r="F173" s="11" t="s">
        <v>1130</v>
      </c>
      <c r="G173" s="12">
        <v>35054</v>
      </c>
      <c r="H173" s="11" t="s">
        <v>24</v>
      </c>
      <c r="I173" s="11" t="s">
        <v>1131</v>
      </c>
      <c r="J173" s="11" t="s">
        <v>1132</v>
      </c>
      <c r="K173" s="11" t="s">
        <v>50</v>
      </c>
      <c r="L173" s="23">
        <v>426922360</v>
      </c>
      <c r="M173" s="14">
        <v>43331711</v>
      </c>
      <c r="N173" s="14">
        <v>383590648</v>
      </c>
      <c r="O173" s="14">
        <v>226067372</v>
      </c>
      <c r="P173" s="14">
        <v>21433375</v>
      </c>
      <c r="Q173" s="14">
        <v>24456144</v>
      </c>
      <c r="R173" s="14">
        <v>20262547</v>
      </c>
      <c r="AB173" s="74">
        <f t="shared" si="215"/>
        <v>0</v>
      </c>
      <c r="AC173" s="75" t="e">
        <f t="shared" si="191"/>
        <v>#DIV/0!</v>
      </c>
      <c r="AD173" s="75" t="e">
        <f t="shared" si="216"/>
        <v>#DIV/0!</v>
      </c>
      <c r="AE173" s="76" t="e">
        <f t="shared" si="219"/>
        <v>#DIV/0!</v>
      </c>
      <c r="AF173" s="77" t="e">
        <f t="shared" si="192"/>
        <v>#DIV/0!</v>
      </c>
      <c r="AG173" s="77" t="e">
        <f t="shared" si="193"/>
        <v>#DIV/0!</v>
      </c>
      <c r="AH173" s="77" t="e">
        <f t="shared" si="217"/>
        <v>#DIV/0!</v>
      </c>
      <c r="AI173" s="78" t="e">
        <f t="shared" si="218"/>
        <v>#DIV/0!</v>
      </c>
      <c r="AJ173" s="79" t="e">
        <f t="shared" si="220"/>
        <v>#DIV/0!</v>
      </c>
      <c r="AN173" s="81">
        <f t="shared" si="178"/>
        <v>0</v>
      </c>
      <c r="AO173" s="82" t="e">
        <f t="shared" si="179"/>
        <v>#DIV/0!</v>
      </c>
      <c r="AP173" s="83" t="e">
        <f t="shared" si="194"/>
        <v>#DIV/0!</v>
      </c>
      <c r="AQ173" s="84" t="e">
        <f t="shared" si="221"/>
        <v>#DIV/0!</v>
      </c>
      <c r="AS173" s="86">
        <f t="shared" si="180"/>
        <v>0.25</v>
      </c>
      <c r="AT173" s="87">
        <f t="shared" si="195"/>
        <v>0</v>
      </c>
      <c r="AU173" s="87">
        <f t="shared" si="196"/>
        <v>0</v>
      </c>
      <c r="AV173" s="88" t="e">
        <f t="shared" si="181"/>
        <v>#DIV/0!</v>
      </c>
      <c r="AW173" s="78" t="e">
        <f t="shared" si="197"/>
        <v>#DIV/0!</v>
      </c>
      <c r="AX173" s="89" t="e">
        <f t="shared" si="222"/>
        <v>#DIV/0!</v>
      </c>
      <c r="BA173" s="91">
        <f t="shared" si="182"/>
        <v>0</v>
      </c>
      <c r="BB173" s="77" t="e">
        <f t="shared" si="198"/>
        <v>#DIV/0!</v>
      </c>
      <c r="BC173" s="78" t="e">
        <f t="shared" si="199"/>
        <v>#DIV/0!</v>
      </c>
      <c r="BD173" s="79" t="e">
        <f t="shared" si="223"/>
        <v>#DIV/0!</v>
      </c>
      <c r="BE173" s="92"/>
      <c r="BF173" s="92"/>
      <c r="BG173" s="114">
        <v>1151017</v>
      </c>
      <c r="BH173" s="94">
        <f t="shared" si="183"/>
        <v>0</v>
      </c>
      <c r="BI173" s="77" t="e">
        <f t="shared" si="184"/>
        <v>#DIV/0!</v>
      </c>
      <c r="BJ173" s="95" t="str">
        <f t="shared" si="200"/>
        <v>식약/섬유/종이업</v>
      </c>
      <c r="BK173" s="96" t="e">
        <f t="shared" si="185"/>
        <v>#DIV/0!</v>
      </c>
      <c r="BL173" s="97" t="e">
        <f t="shared" si="201"/>
        <v>#DIV/0!</v>
      </c>
      <c r="BM173" s="98" t="e">
        <f t="shared" si="202"/>
        <v>#DIV/0!</v>
      </c>
      <c r="BN173" s="99" t="e">
        <f t="shared" si="203"/>
        <v>#DIV/0!</v>
      </c>
      <c r="BP173" s="101">
        <f t="shared" si="204"/>
        <v>0</v>
      </c>
      <c r="BQ173" s="78">
        <f t="shared" si="205"/>
        <v>25</v>
      </c>
      <c r="BR173" s="79">
        <f t="shared" si="224"/>
        <v>0.5</v>
      </c>
      <c r="BS173" s="102"/>
      <c r="BT173" s="102"/>
      <c r="BU173" s="103">
        <f t="shared" si="206"/>
        <v>0</v>
      </c>
      <c r="BV173" s="77">
        <f t="shared" si="186"/>
        <v>0</v>
      </c>
      <c r="BW173" s="96">
        <f t="shared" si="187"/>
        <v>0</v>
      </c>
      <c r="BX173" s="96">
        <f t="shared" si="207"/>
        <v>0</v>
      </c>
      <c r="BY173" s="96">
        <f t="shared" si="188"/>
        <v>0</v>
      </c>
      <c r="BZ173" s="96" t="e">
        <f t="shared" si="208"/>
        <v>#NUM!</v>
      </c>
      <c r="CA173" s="96" t="e">
        <f t="shared" si="189"/>
        <v>#NUM!</v>
      </c>
      <c r="CB173" s="104" t="e">
        <f t="shared" si="209"/>
        <v>#NUM!</v>
      </c>
      <c r="CC173" s="105">
        <f t="shared" si="225"/>
        <v>11.296341875362927</v>
      </c>
      <c r="CD173" s="106">
        <f t="shared" si="226"/>
        <v>96.119469142451152</v>
      </c>
      <c r="CE173" s="107">
        <f t="shared" si="227"/>
        <v>1.4417920371367672</v>
      </c>
      <c r="CF173" s="108" t="s">
        <v>2189</v>
      </c>
      <c r="CG173" s="108" t="s">
        <v>2189</v>
      </c>
      <c r="CH173" s="108" t="s">
        <v>2189</v>
      </c>
      <c r="CI173" s="108" t="s">
        <v>2189</v>
      </c>
      <c r="CJ173" s="109"/>
      <c r="CM173" s="111">
        <f t="shared" si="210"/>
        <v>25</v>
      </c>
      <c r="CN173" s="107">
        <f t="shared" si="228"/>
        <v>0.375</v>
      </c>
      <c r="CP173" s="88">
        <f t="shared" si="211"/>
        <v>0</v>
      </c>
      <c r="CQ173" s="78">
        <f t="shared" si="212"/>
        <v>100</v>
      </c>
      <c r="CR173" s="79">
        <f t="shared" si="229"/>
        <v>3</v>
      </c>
      <c r="CS173" s="92"/>
      <c r="CT173" s="77">
        <f t="shared" si="190"/>
        <v>0</v>
      </c>
      <c r="CU173" s="78">
        <f t="shared" si="213"/>
        <v>100</v>
      </c>
      <c r="CV173" s="79">
        <f t="shared" si="230"/>
        <v>2</v>
      </c>
      <c r="CW173" s="112" t="e">
        <f t="shared" si="214"/>
        <v>#DIV/0!</v>
      </c>
    </row>
    <row r="174" spans="1:101" x14ac:dyDescent="0.35">
      <c r="A174" s="7" t="s">
        <v>1133</v>
      </c>
      <c r="B174" s="8" t="s">
        <v>1134</v>
      </c>
      <c r="C174" s="21" t="s">
        <v>1135</v>
      </c>
      <c r="D174" s="10" t="s">
        <v>31</v>
      </c>
      <c r="E174" s="11" t="s">
        <v>1136</v>
      </c>
      <c r="F174" s="11" t="s">
        <v>1137</v>
      </c>
      <c r="G174" s="12">
        <v>27941</v>
      </c>
      <c r="H174" s="11" t="s">
        <v>24</v>
      </c>
      <c r="I174" s="11" t="s">
        <v>1138</v>
      </c>
      <c r="J174" s="11" t="s">
        <v>1139</v>
      </c>
      <c r="K174" s="11" t="s">
        <v>27</v>
      </c>
      <c r="L174" s="23">
        <v>692320507</v>
      </c>
      <c r="M174" s="14">
        <v>130333252</v>
      </c>
      <c r="N174" s="14">
        <v>561987255</v>
      </c>
      <c r="O174" s="14">
        <v>383845600</v>
      </c>
      <c r="P174" s="14">
        <v>10768868</v>
      </c>
      <c r="Q174" s="14">
        <v>19845163</v>
      </c>
      <c r="R174" s="14">
        <v>15665849</v>
      </c>
      <c r="AB174" s="74">
        <f t="shared" si="215"/>
        <v>0</v>
      </c>
      <c r="AC174" s="75" t="e">
        <f t="shared" si="191"/>
        <v>#DIV/0!</v>
      </c>
      <c r="AD174" s="75" t="e">
        <f t="shared" si="216"/>
        <v>#DIV/0!</v>
      </c>
      <c r="AE174" s="76" t="e">
        <f t="shared" si="219"/>
        <v>#DIV/0!</v>
      </c>
      <c r="AF174" s="77" t="e">
        <f t="shared" si="192"/>
        <v>#DIV/0!</v>
      </c>
      <c r="AG174" s="77" t="e">
        <f t="shared" si="193"/>
        <v>#DIV/0!</v>
      </c>
      <c r="AH174" s="77" t="e">
        <f t="shared" si="217"/>
        <v>#DIV/0!</v>
      </c>
      <c r="AI174" s="78" t="e">
        <f t="shared" si="218"/>
        <v>#DIV/0!</v>
      </c>
      <c r="AJ174" s="79" t="e">
        <f t="shared" si="220"/>
        <v>#DIV/0!</v>
      </c>
      <c r="AM174" s="80"/>
      <c r="AN174" s="81">
        <f t="shared" si="178"/>
        <v>0</v>
      </c>
      <c r="AO174" s="82" t="e">
        <f t="shared" si="179"/>
        <v>#DIV/0!</v>
      </c>
      <c r="AP174" s="83" t="e">
        <f t="shared" si="194"/>
        <v>#DIV/0!</v>
      </c>
      <c r="AQ174" s="84" t="e">
        <f t="shared" si="221"/>
        <v>#DIV/0!</v>
      </c>
      <c r="AS174" s="86">
        <f t="shared" si="180"/>
        <v>0.25</v>
      </c>
      <c r="AT174" s="87">
        <f t="shared" si="195"/>
        <v>0</v>
      </c>
      <c r="AU174" s="87">
        <f t="shared" si="196"/>
        <v>0</v>
      </c>
      <c r="AV174" s="88" t="e">
        <f t="shared" si="181"/>
        <v>#DIV/0!</v>
      </c>
      <c r="AW174" s="78" t="e">
        <f t="shared" si="197"/>
        <v>#DIV/0!</v>
      </c>
      <c r="AX174" s="89" t="e">
        <f t="shared" si="222"/>
        <v>#DIV/0!</v>
      </c>
      <c r="BA174" s="91">
        <f t="shared" si="182"/>
        <v>0</v>
      </c>
      <c r="BB174" s="77" t="e">
        <f t="shared" si="198"/>
        <v>#DIV/0!</v>
      </c>
      <c r="BC174" s="78" t="e">
        <f t="shared" si="199"/>
        <v>#DIV/0!</v>
      </c>
      <c r="BD174" s="79" t="e">
        <f t="shared" si="223"/>
        <v>#DIV/0!</v>
      </c>
      <c r="BE174" s="92"/>
      <c r="BF174" s="92"/>
      <c r="BG174" s="114">
        <v>176417</v>
      </c>
      <c r="BH174" s="94">
        <f t="shared" si="183"/>
        <v>0</v>
      </c>
      <c r="BI174" s="77" t="e">
        <f t="shared" si="184"/>
        <v>#DIV/0!</v>
      </c>
      <c r="BJ174" s="95" t="str">
        <f t="shared" si="200"/>
        <v>식약/섬유/종이업</v>
      </c>
      <c r="BK174" s="96" t="e">
        <f t="shared" si="185"/>
        <v>#DIV/0!</v>
      </c>
      <c r="BL174" s="97" t="e">
        <f t="shared" si="201"/>
        <v>#DIV/0!</v>
      </c>
      <c r="BM174" s="98" t="e">
        <f t="shared" si="202"/>
        <v>#DIV/0!</v>
      </c>
      <c r="BN174" s="99" t="e">
        <f t="shared" si="203"/>
        <v>#DIV/0!</v>
      </c>
      <c r="BP174" s="101">
        <f t="shared" si="204"/>
        <v>0</v>
      </c>
      <c r="BQ174" s="78">
        <f t="shared" si="205"/>
        <v>25</v>
      </c>
      <c r="BR174" s="79">
        <f t="shared" si="224"/>
        <v>0.5</v>
      </c>
      <c r="BS174" s="102"/>
      <c r="BT174" s="102"/>
      <c r="BU174" s="103">
        <f t="shared" si="206"/>
        <v>0</v>
      </c>
      <c r="BV174" s="77">
        <f t="shared" si="186"/>
        <v>0</v>
      </c>
      <c r="BW174" s="96">
        <f t="shared" si="187"/>
        <v>0</v>
      </c>
      <c r="BX174" s="96">
        <f t="shared" si="207"/>
        <v>0</v>
      </c>
      <c r="BY174" s="96">
        <f t="shared" si="188"/>
        <v>0</v>
      </c>
      <c r="BZ174" s="96" t="e">
        <f t="shared" si="208"/>
        <v>#NUM!</v>
      </c>
      <c r="CA174" s="96" t="e">
        <f t="shared" si="189"/>
        <v>#NUM!</v>
      </c>
      <c r="CB174" s="104" t="e">
        <f t="shared" si="209"/>
        <v>#NUM!</v>
      </c>
      <c r="CC174" s="105">
        <f t="shared" si="225"/>
        <v>23.191496042023228</v>
      </c>
      <c r="CD174" s="106">
        <f t="shared" si="226"/>
        <v>91.636370838433464</v>
      </c>
      <c r="CE174" s="107">
        <f t="shared" si="227"/>
        <v>1.374545562576502</v>
      </c>
      <c r="CF174" s="108" t="s">
        <v>2189</v>
      </c>
      <c r="CG174" s="108" t="s">
        <v>2189</v>
      </c>
      <c r="CH174" s="108" t="s">
        <v>2189</v>
      </c>
      <c r="CI174" s="108" t="s">
        <v>2189</v>
      </c>
      <c r="CJ174" s="109"/>
      <c r="CM174" s="111">
        <f t="shared" si="210"/>
        <v>25</v>
      </c>
      <c r="CN174" s="107">
        <f t="shared" si="228"/>
        <v>0.375</v>
      </c>
      <c r="CP174" s="88">
        <f t="shared" si="211"/>
        <v>0</v>
      </c>
      <c r="CQ174" s="78">
        <f t="shared" si="212"/>
        <v>100</v>
      </c>
      <c r="CR174" s="79">
        <f t="shared" si="229"/>
        <v>3</v>
      </c>
      <c r="CS174" s="92"/>
      <c r="CT174" s="77">
        <f t="shared" si="190"/>
        <v>0</v>
      </c>
      <c r="CU174" s="78">
        <f t="shared" si="213"/>
        <v>100</v>
      </c>
      <c r="CV174" s="79">
        <f t="shared" si="230"/>
        <v>2</v>
      </c>
      <c r="CW174" s="112" t="e">
        <f t="shared" si="214"/>
        <v>#DIV/0!</v>
      </c>
    </row>
    <row r="175" spans="1:101" x14ac:dyDescent="0.35">
      <c r="A175" s="7" t="s">
        <v>1140</v>
      </c>
      <c r="B175" s="8" t="s">
        <v>1141</v>
      </c>
      <c r="C175" s="21" t="s">
        <v>1142</v>
      </c>
      <c r="D175" s="10" t="s">
        <v>21</v>
      </c>
      <c r="E175" s="11" t="s">
        <v>303</v>
      </c>
      <c r="F175" s="11" t="s">
        <v>1143</v>
      </c>
      <c r="G175" s="12">
        <v>27750</v>
      </c>
      <c r="H175" s="11" t="s">
        <v>788</v>
      </c>
      <c r="I175" s="11" t="s">
        <v>1144</v>
      </c>
      <c r="J175" s="11" t="s">
        <v>1145</v>
      </c>
      <c r="K175" s="11" t="s">
        <v>27</v>
      </c>
      <c r="L175" s="23">
        <v>993336394</v>
      </c>
      <c r="M175" s="14">
        <v>651630168</v>
      </c>
      <c r="N175" s="14">
        <v>341706226</v>
      </c>
      <c r="O175" s="14">
        <v>1463883744</v>
      </c>
      <c r="P175" s="14">
        <v>144479752</v>
      </c>
      <c r="Q175" s="14">
        <v>118763976</v>
      </c>
      <c r="R175" s="14">
        <v>84457579</v>
      </c>
      <c r="AB175" s="74">
        <f t="shared" si="215"/>
        <v>0</v>
      </c>
      <c r="AC175" s="75" t="e">
        <f t="shared" si="191"/>
        <v>#DIV/0!</v>
      </c>
      <c r="AD175" s="75" t="e">
        <f t="shared" si="216"/>
        <v>#DIV/0!</v>
      </c>
      <c r="AE175" s="76" t="e">
        <f t="shared" si="219"/>
        <v>#DIV/0!</v>
      </c>
      <c r="AF175" s="77" t="e">
        <f t="shared" si="192"/>
        <v>#DIV/0!</v>
      </c>
      <c r="AG175" s="77" t="e">
        <f t="shared" si="193"/>
        <v>#DIV/0!</v>
      </c>
      <c r="AH175" s="77" t="e">
        <f t="shared" si="217"/>
        <v>#DIV/0!</v>
      </c>
      <c r="AI175" s="78" t="e">
        <f t="shared" si="218"/>
        <v>#DIV/0!</v>
      </c>
      <c r="AJ175" s="79" t="e">
        <f t="shared" si="220"/>
        <v>#DIV/0!</v>
      </c>
      <c r="AN175" s="81">
        <f t="shared" si="178"/>
        <v>0</v>
      </c>
      <c r="AO175" s="82" t="e">
        <f t="shared" si="179"/>
        <v>#DIV/0!</v>
      </c>
      <c r="AP175" s="83" t="e">
        <f t="shared" si="194"/>
        <v>#DIV/0!</v>
      </c>
      <c r="AQ175" s="84" t="e">
        <f t="shared" si="221"/>
        <v>#DIV/0!</v>
      </c>
      <c r="AS175" s="86">
        <f t="shared" si="180"/>
        <v>0.25</v>
      </c>
      <c r="AT175" s="87">
        <f t="shared" si="195"/>
        <v>0</v>
      </c>
      <c r="AU175" s="87">
        <f t="shared" si="196"/>
        <v>0</v>
      </c>
      <c r="AV175" s="88" t="e">
        <f t="shared" si="181"/>
        <v>#DIV/0!</v>
      </c>
      <c r="AW175" s="78" t="e">
        <f t="shared" si="197"/>
        <v>#DIV/0!</v>
      </c>
      <c r="AX175" s="89" t="e">
        <f t="shared" si="222"/>
        <v>#DIV/0!</v>
      </c>
      <c r="BA175" s="91">
        <f t="shared" si="182"/>
        <v>0</v>
      </c>
      <c r="BB175" s="77" t="e">
        <f t="shared" si="198"/>
        <v>#DIV/0!</v>
      </c>
      <c r="BC175" s="78" t="e">
        <f t="shared" si="199"/>
        <v>#DIV/0!</v>
      </c>
      <c r="BD175" s="79" t="e">
        <f t="shared" si="223"/>
        <v>#DIV/0!</v>
      </c>
      <c r="BE175" s="92"/>
      <c r="BF175" s="92"/>
      <c r="BG175" s="114">
        <v>807000</v>
      </c>
      <c r="BH175" s="94">
        <f t="shared" si="183"/>
        <v>0</v>
      </c>
      <c r="BI175" s="77" t="e">
        <f t="shared" si="184"/>
        <v>#DIV/0!</v>
      </c>
      <c r="BJ175" s="95" t="str">
        <f t="shared" si="200"/>
        <v>비제조/서비스업</v>
      </c>
      <c r="BK175" s="96" t="e">
        <f t="shared" si="185"/>
        <v>#DIV/0!</v>
      </c>
      <c r="BL175" s="97" t="e">
        <f t="shared" si="201"/>
        <v>#DIV/0!</v>
      </c>
      <c r="BM175" s="98" t="e">
        <f t="shared" si="202"/>
        <v>#DIV/0!</v>
      </c>
      <c r="BN175" s="99" t="e">
        <f t="shared" si="203"/>
        <v>#DIV/0!</v>
      </c>
      <c r="BP175" s="101">
        <f t="shared" si="204"/>
        <v>0</v>
      </c>
      <c r="BQ175" s="78">
        <f t="shared" si="205"/>
        <v>25</v>
      </c>
      <c r="BR175" s="79">
        <f t="shared" si="224"/>
        <v>0.5</v>
      </c>
      <c r="BS175" s="102"/>
      <c r="BT175" s="102"/>
      <c r="BU175" s="103">
        <f t="shared" si="206"/>
        <v>0</v>
      </c>
      <c r="BV175" s="77">
        <f t="shared" si="186"/>
        <v>0</v>
      </c>
      <c r="BW175" s="96">
        <f t="shared" si="187"/>
        <v>0</v>
      </c>
      <c r="BX175" s="96">
        <f t="shared" si="207"/>
        <v>0</v>
      </c>
      <c r="BY175" s="96">
        <f t="shared" si="188"/>
        <v>0</v>
      </c>
      <c r="BZ175" s="96" t="e">
        <f t="shared" si="208"/>
        <v>#NUM!</v>
      </c>
      <c r="CA175" s="96" t="e">
        <f t="shared" si="189"/>
        <v>#NUM!</v>
      </c>
      <c r="CB175" s="104" t="e">
        <f t="shared" si="209"/>
        <v>#NUM!</v>
      </c>
      <c r="CC175" s="105">
        <f t="shared" si="225"/>
        <v>190.69894500546795</v>
      </c>
      <c r="CD175" s="106">
        <f t="shared" si="226"/>
        <v>28.505422736632681</v>
      </c>
      <c r="CE175" s="107">
        <f t="shared" si="227"/>
        <v>0.42758134104949019</v>
      </c>
      <c r="CF175" s="108" t="s">
        <v>2189</v>
      </c>
      <c r="CG175" s="108" t="s">
        <v>2189</v>
      </c>
      <c r="CH175" s="108" t="s">
        <v>2189</v>
      </c>
      <c r="CI175" s="108" t="s">
        <v>2189</v>
      </c>
      <c r="CJ175" s="109"/>
      <c r="CM175" s="111">
        <f t="shared" si="210"/>
        <v>25</v>
      </c>
      <c r="CN175" s="107">
        <f t="shared" si="228"/>
        <v>0.375</v>
      </c>
      <c r="CP175" s="88">
        <f t="shared" si="211"/>
        <v>0</v>
      </c>
      <c r="CQ175" s="78">
        <f t="shared" si="212"/>
        <v>100</v>
      </c>
      <c r="CR175" s="79">
        <f t="shared" si="229"/>
        <v>3</v>
      </c>
      <c r="CS175" s="92"/>
      <c r="CT175" s="77">
        <f t="shared" si="190"/>
        <v>0</v>
      </c>
      <c r="CU175" s="78">
        <f t="shared" si="213"/>
        <v>100</v>
      </c>
      <c r="CV175" s="79">
        <f t="shared" si="230"/>
        <v>2</v>
      </c>
      <c r="CW175" s="112" t="e">
        <f t="shared" si="214"/>
        <v>#DIV/0!</v>
      </c>
    </row>
    <row r="176" spans="1:101" x14ac:dyDescent="0.35">
      <c r="A176" s="7" t="s">
        <v>1146</v>
      </c>
      <c r="B176" s="8" t="s">
        <v>1147</v>
      </c>
      <c r="C176" s="21" t="s">
        <v>1148</v>
      </c>
      <c r="D176" s="10" t="s">
        <v>21</v>
      </c>
      <c r="E176" s="11" t="s">
        <v>22</v>
      </c>
      <c r="F176" s="11" t="s">
        <v>1149</v>
      </c>
      <c r="G176" s="12">
        <v>31278</v>
      </c>
      <c r="H176" s="11" t="s">
        <v>24</v>
      </c>
      <c r="I176" s="11" t="s">
        <v>1150</v>
      </c>
      <c r="J176" s="11" t="s">
        <v>1151</v>
      </c>
      <c r="K176" s="11" t="s">
        <v>27</v>
      </c>
      <c r="L176" s="23">
        <v>8345250728</v>
      </c>
      <c r="M176" s="14">
        <v>4385916580</v>
      </c>
      <c r="N176" s="14">
        <v>3959334148</v>
      </c>
      <c r="O176" s="14">
        <v>1865707316</v>
      </c>
      <c r="P176" s="14">
        <v>348026286</v>
      </c>
      <c r="Q176" s="14">
        <v>294941948</v>
      </c>
      <c r="R176" s="14">
        <v>247588341</v>
      </c>
      <c r="AB176" s="74">
        <f t="shared" si="215"/>
        <v>0</v>
      </c>
      <c r="AC176" s="75" t="e">
        <f t="shared" si="191"/>
        <v>#DIV/0!</v>
      </c>
      <c r="AD176" s="75" t="e">
        <f t="shared" si="216"/>
        <v>#DIV/0!</v>
      </c>
      <c r="AE176" s="76" t="e">
        <f t="shared" si="219"/>
        <v>#DIV/0!</v>
      </c>
      <c r="AF176" s="77" t="e">
        <f t="shared" si="192"/>
        <v>#DIV/0!</v>
      </c>
      <c r="AG176" s="77" t="e">
        <f t="shared" si="193"/>
        <v>#DIV/0!</v>
      </c>
      <c r="AH176" s="77" t="e">
        <f t="shared" si="217"/>
        <v>#DIV/0!</v>
      </c>
      <c r="AI176" s="78" t="e">
        <f t="shared" si="218"/>
        <v>#DIV/0!</v>
      </c>
      <c r="AJ176" s="79" t="e">
        <f t="shared" si="220"/>
        <v>#DIV/0!</v>
      </c>
      <c r="AN176" s="81">
        <f t="shared" si="178"/>
        <v>0</v>
      </c>
      <c r="AO176" s="82" t="e">
        <f t="shared" si="179"/>
        <v>#DIV/0!</v>
      </c>
      <c r="AP176" s="83" t="e">
        <f t="shared" si="194"/>
        <v>#DIV/0!</v>
      </c>
      <c r="AQ176" s="84" t="e">
        <f t="shared" si="221"/>
        <v>#DIV/0!</v>
      </c>
      <c r="AS176" s="86">
        <f t="shared" si="180"/>
        <v>0.5</v>
      </c>
      <c r="AT176" s="87">
        <f t="shared" si="195"/>
        <v>0</v>
      </c>
      <c r="AU176" s="87">
        <f t="shared" si="196"/>
        <v>0</v>
      </c>
      <c r="AV176" s="88" t="e">
        <f t="shared" si="181"/>
        <v>#DIV/0!</v>
      </c>
      <c r="AW176" s="78" t="e">
        <f t="shared" si="197"/>
        <v>#DIV/0!</v>
      </c>
      <c r="AX176" s="89" t="e">
        <f t="shared" si="222"/>
        <v>#DIV/0!</v>
      </c>
      <c r="BA176" s="91">
        <f t="shared" si="182"/>
        <v>0</v>
      </c>
      <c r="BB176" s="77" t="e">
        <f t="shared" si="198"/>
        <v>#DIV/0!</v>
      </c>
      <c r="BC176" s="78" t="e">
        <f t="shared" si="199"/>
        <v>#DIV/0!</v>
      </c>
      <c r="BD176" s="79" t="e">
        <f t="shared" si="223"/>
        <v>#DIV/0!</v>
      </c>
      <c r="BE176" s="92"/>
      <c r="BF176" s="92"/>
      <c r="BG176" s="93">
        <v>0</v>
      </c>
      <c r="BH176" s="94">
        <f t="shared" si="183"/>
        <v>0</v>
      </c>
      <c r="BI176" s="77" t="e">
        <f t="shared" si="184"/>
        <v>#DIV/0!</v>
      </c>
      <c r="BJ176" s="95" t="str">
        <f t="shared" si="200"/>
        <v>비제조/서비스업</v>
      </c>
      <c r="BK176" s="96" t="e">
        <f t="shared" si="185"/>
        <v>#DIV/0!</v>
      </c>
      <c r="BL176" s="97" t="e">
        <f t="shared" si="201"/>
        <v>#DIV/0!</v>
      </c>
      <c r="BM176" s="98" t="e">
        <f t="shared" si="202"/>
        <v>#DIV/0!</v>
      </c>
      <c r="BN176" s="99" t="e">
        <f t="shared" si="203"/>
        <v>#DIV/0!</v>
      </c>
      <c r="BP176" s="101">
        <f t="shared" si="204"/>
        <v>0</v>
      </c>
      <c r="BQ176" s="78">
        <f t="shared" si="205"/>
        <v>25</v>
      </c>
      <c r="BR176" s="79">
        <f t="shared" si="224"/>
        <v>0.5</v>
      </c>
      <c r="BS176" s="102"/>
      <c r="BT176" s="102"/>
      <c r="BU176" s="103">
        <f t="shared" si="206"/>
        <v>0</v>
      </c>
      <c r="BV176" s="77">
        <f t="shared" si="186"/>
        <v>0</v>
      </c>
      <c r="BW176" s="96">
        <f t="shared" si="187"/>
        <v>0</v>
      </c>
      <c r="BX176" s="96">
        <f t="shared" si="207"/>
        <v>0</v>
      </c>
      <c r="BY176" s="96">
        <f t="shared" si="188"/>
        <v>0</v>
      </c>
      <c r="BZ176" s="96" t="e">
        <f t="shared" si="208"/>
        <v>#NUM!</v>
      </c>
      <c r="CA176" s="96" t="e">
        <f t="shared" si="189"/>
        <v>#NUM!</v>
      </c>
      <c r="CB176" s="104" t="e">
        <f t="shared" si="209"/>
        <v>#NUM!</v>
      </c>
      <c r="CC176" s="105">
        <f t="shared" si="225"/>
        <v>110.77409524062227</v>
      </c>
      <c r="CD176" s="106">
        <f t="shared" si="226"/>
        <v>58.627853552529295</v>
      </c>
      <c r="CE176" s="107">
        <f t="shared" si="227"/>
        <v>0.87941780328793939</v>
      </c>
      <c r="CF176" s="108" t="s">
        <v>2189</v>
      </c>
      <c r="CG176" s="108" t="s">
        <v>2189</v>
      </c>
      <c r="CH176" s="108" t="s">
        <v>2189</v>
      </c>
      <c r="CI176" s="108" t="s">
        <v>2189</v>
      </c>
      <c r="CJ176" s="109"/>
      <c r="CM176" s="111">
        <f t="shared" si="210"/>
        <v>25</v>
      </c>
      <c r="CN176" s="107">
        <f t="shared" si="228"/>
        <v>0.375</v>
      </c>
      <c r="CP176" s="88">
        <f t="shared" si="211"/>
        <v>0</v>
      </c>
      <c r="CQ176" s="78">
        <f t="shared" si="212"/>
        <v>100</v>
      </c>
      <c r="CR176" s="79">
        <f t="shared" si="229"/>
        <v>3</v>
      </c>
      <c r="CS176" s="92"/>
      <c r="CT176" s="77">
        <f t="shared" si="190"/>
        <v>0</v>
      </c>
      <c r="CU176" s="78">
        <f t="shared" si="213"/>
        <v>100</v>
      </c>
      <c r="CV176" s="79">
        <f t="shared" si="230"/>
        <v>2</v>
      </c>
      <c r="CW176" s="112" t="e">
        <f t="shared" si="214"/>
        <v>#DIV/0!</v>
      </c>
    </row>
    <row r="177" spans="1:101" x14ac:dyDescent="0.35">
      <c r="A177" s="7" t="s">
        <v>1152</v>
      </c>
      <c r="B177" s="28" t="s">
        <v>1153</v>
      </c>
      <c r="C177" s="21" t="s">
        <v>1154</v>
      </c>
      <c r="D177" s="10" t="s">
        <v>21</v>
      </c>
      <c r="E177" s="11" t="s">
        <v>1155</v>
      </c>
      <c r="F177" s="11" t="s">
        <v>1156</v>
      </c>
      <c r="G177" s="12">
        <v>40738</v>
      </c>
      <c r="H177" s="11" t="s">
        <v>24</v>
      </c>
      <c r="I177" s="11" t="s">
        <v>1157</v>
      </c>
      <c r="J177" s="11" t="s">
        <v>1158</v>
      </c>
      <c r="K177" s="11" t="s">
        <v>27</v>
      </c>
      <c r="L177" s="23">
        <v>1134250211</v>
      </c>
      <c r="M177" s="14">
        <v>421706641</v>
      </c>
      <c r="N177" s="14">
        <v>712543570</v>
      </c>
      <c r="O177" s="14">
        <v>1430631262</v>
      </c>
      <c r="P177" s="14">
        <v>99554619</v>
      </c>
      <c r="Q177" s="14">
        <v>116211296</v>
      </c>
      <c r="R177" s="14">
        <v>89493182</v>
      </c>
      <c r="AB177" s="74">
        <f t="shared" si="215"/>
        <v>0</v>
      </c>
      <c r="AC177" s="75" t="e">
        <f t="shared" si="191"/>
        <v>#DIV/0!</v>
      </c>
      <c r="AD177" s="75" t="e">
        <f t="shared" si="216"/>
        <v>#DIV/0!</v>
      </c>
      <c r="AE177" s="76" t="e">
        <f t="shared" si="219"/>
        <v>#DIV/0!</v>
      </c>
      <c r="AF177" s="77" t="e">
        <f t="shared" si="192"/>
        <v>#DIV/0!</v>
      </c>
      <c r="AG177" s="77" t="e">
        <f t="shared" si="193"/>
        <v>#DIV/0!</v>
      </c>
      <c r="AH177" s="77" t="e">
        <f t="shared" si="217"/>
        <v>#DIV/0!</v>
      </c>
      <c r="AI177" s="78" t="e">
        <f t="shared" si="218"/>
        <v>#DIV/0!</v>
      </c>
      <c r="AJ177" s="79" t="e">
        <f t="shared" si="220"/>
        <v>#DIV/0!</v>
      </c>
      <c r="AN177" s="81">
        <f t="shared" si="178"/>
        <v>0</v>
      </c>
      <c r="AO177" s="82" t="e">
        <f t="shared" si="179"/>
        <v>#DIV/0!</v>
      </c>
      <c r="AP177" s="83" t="e">
        <f t="shared" si="194"/>
        <v>#DIV/0!</v>
      </c>
      <c r="AQ177" s="84" t="e">
        <f t="shared" si="221"/>
        <v>#DIV/0!</v>
      </c>
      <c r="AS177" s="86">
        <f t="shared" si="180"/>
        <v>0.25</v>
      </c>
      <c r="AT177" s="87">
        <f t="shared" si="195"/>
        <v>0</v>
      </c>
      <c r="AU177" s="87">
        <f t="shared" si="196"/>
        <v>0</v>
      </c>
      <c r="AV177" s="88" t="e">
        <f t="shared" si="181"/>
        <v>#DIV/0!</v>
      </c>
      <c r="AW177" s="78" t="e">
        <f t="shared" si="197"/>
        <v>#DIV/0!</v>
      </c>
      <c r="AX177" s="89" t="e">
        <f t="shared" si="222"/>
        <v>#DIV/0!</v>
      </c>
      <c r="BA177" s="91">
        <f t="shared" si="182"/>
        <v>0</v>
      </c>
      <c r="BB177" s="77" t="e">
        <f t="shared" si="198"/>
        <v>#DIV/0!</v>
      </c>
      <c r="BC177" s="78" t="e">
        <f t="shared" si="199"/>
        <v>#DIV/0!</v>
      </c>
      <c r="BD177" s="79" t="e">
        <f t="shared" si="223"/>
        <v>#DIV/0!</v>
      </c>
      <c r="BE177" s="92"/>
      <c r="BF177" s="92"/>
      <c r="BG177" s="114">
        <v>360425</v>
      </c>
      <c r="BH177" s="94">
        <f t="shared" si="183"/>
        <v>0</v>
      </c>
      <c r="BI177" s="77" t="e">
        <f t="shared" si="184"/>
        <v>#DIV/0!</v>
      </c>
      <c r="BJ177" s="95" t="str">
        <f t="shared" si="200"/>
        <v>비제조/서비스업</v>
      </c>
      <c r="BK177" s="96" t="e">
        <f t="shared" si="185"/>
        <v>#DIV/0!</v>
      </c>
      <c r="BL177" s="97" t="e">
        <f t="shared" si="201"/>
        <v>#DIV/0!</v>
      </c>
      <c r="BM177" s="98" t="e">
        <f t="shared" si="202"/>
        <v>#DIV/0!</v>
      </c>
      <c r="BN177" s="99" t="e">
        <f t="shared" si="203"/>
        <v>#DIV/0!</v>
      </c>
      <c r="BP177" s="101">
        <f t="shared" si="204"/>
        <v>0</v>
      </c>
      <c r="BQ177" s="78">
        <f t="shared" si="205"/>
        <v>25</v>
      </c>
      <c r="BR177" s="79">
        <f t="shared" si="224"/>
        <v>0.5</v>
      </c>
      <c r="BS177" s="102"/>
      <c r="BT177" s="102"/>
      <c r="BU177" s="103">
        <f t="shared" si="206"/>
        <v>0</v>
      </c>
      <c r="BV177" s="77">
        <f t="shared" si="186"/>
        <v>0</v>
      </c>
      <c r="BW177" s="96">
        <f t="shared" si="187"/>
        <v>0</v>
      </c>
      <c r="BX177" s="96">
        <f t="shared" si="207"/>
        <v>0</v>
      </c>
      <c r="BY177" s="96">
        <f t="shared" si="188"/>
        <v>0</v>
      </c>
      <c r="BZ177" s="96" t="e">
        <f t="shared" si="208"/>
        <v>#NUM!</v>
      </c>
      <c r="CA177" s="96" t="e">
        <f t="shared" si="189"/>
        <v>#NUM!</v>
      </c>
      <c r="CB177" s="104" t="e">
        <f t="shared" si="209"/>
        <v>#NUM!</v>
      </c>
      <c r="CC177" s="105">
        <f t="shared" si="225"/>
        <v>59.183277873099051</v>
      </c>
      <c r="CD177" s="106">
        <f t="shared" si="226"/>
        <v>78.071628942299355</v>
      </c>
      <c r="CE177" s="107">
        <f t="shared" si="227"/>
        <v>1.1710744341344903</v>
      </c>
      <c r="CF177" s="108" t="s">
        <v>2189</v>
      </c>
      <c r="CG177" s="108" t="s">
        <v>2189</v>
      </c>
      <c r="CH177" s="108" t="s">
        <v>2189</v>
      </c>
      <c r="CI177" s="108" t="s">
        <v>2189</v>
      </c>
      <c r="CJ177" s="109"/>
      <c r="CM177" s="111">
        <f t="shared" si="210"/>
        <v>25</v>
      </c>
      <c r="CN177" s="107">
        <f t="shared" si="228"/>
        <v>0.375</v>
      </c>
      <c r="CP177" s="88">
        <f t="shared" si="211"/>
        <v>0</v>
      </c>
      <c r="CQ177" s="78">
        <f t="shared" si="212"/>
        <v>100</v>
      </c>
      <c r="CR177" s="79">
        <f t="shared" si="229"/>
        <v>3</v>
      </c>
      <c r="CS177" s="92"/>
      <c r="CT177" s="77">
        <f t="shared" si="190"/>
        <v>0</v>
      </c>
      <c r="CU177" s="78">
        <f t="shared" si="213"/>
        <v>100</v>
      </c>
      <c r="CV177" s="79">
        <f t="shared" si="230"/>
        <v>2</v>
      </c>
      <c r="CW177" s="112" t="e">
        <f t="shared" si="214"/>
        <v>#DIV/0!</v>
      </c>
    </row>
    <row r="178" spans="1:101" x14ac:dyDescent="0.35">
      <c r="A178" s="7" t="s">
        <v>1159</v>
      </c>
      <c r="B178" s="8" t="s">
        <v>1160</v>
      </c>
      <c r="C178" s="21" t="s">
        <v>1161</v>
      </c>
      <c r="D178" s="10" t="s">
        <v>31</v>
      </c>
      <c r="E178" s="11" t="s">
        <v>32</v>
      </c>
      <c r="F178" s="11" t="s">
        <v>1162</v>
      </c>
      <c r="G178" s="12">
        <v>28122</v>
      </c>
      <c r="H178" s="11" t="s">
        <v>24</v>
      </c>
      <c r="I178" s="11" t="s">
        <v>1163</v>
      </c>
      <c r="J178" s="11" t="s">
        <v>1164</v>
      </c>
      <c r="K178" s="11" t="s">
        <v>27</v>
      </c>
      <c r="L178" s="23">
        <v>385696451</v>
      </c>
      <c r="M178" s="14">
        <v>57970889</v>
      </c>
      <c r="N178" s="14">
        <v>327725561</v>
      </c>
      <c r="O178" s="14">
        <v>201337780</v>
      </c>
      <c r="P178" s="14">
        <v>7473489</v>
      </c>
      <c r="Q178" s="14">
        <v>11002724</v>
      </c>
      <c r="R178" s="14">
        <v>11593733</v>
      </c>
      <c r="AB178" s="74">
        <f t="shared" si="215"/>
        <v>0</v>
      </c>
      <c r="AC178" s="75" t="e">
        <f t="shared" si="191"/>
        <v>#DIV/0!</v>
      </c>
      <c r="AD178" s="75" t="e">
        <f t="shared" si="216"/>
        <v>#DIV/0!</v>
      </c>
      <c r="AE178" s="76" t="e">
        <f t="shared" si="219"/>
        <v>#DIV/0!</v>
      </c>
      <c r="AF178" s="77" t="e">
        <f t="shared" si="192"/>
        <v>#DIV/0!</v>
      </c>
      <c r="AG178" s="77" t="e">
        <f t="shared" si="193"/>
        <v>#DIV/0!</v>
      </c>
      <c r="AH178" s="77" t="e">
        <f t="shared" si="217"/>
        <v>#DIV/0!</v>
      </c>
      <c r="AI178" s="78" t="e">
        <f t="shared" si="218"/>
        <v>#DIV/0!</v>
      </c>
      <c r="AJ178" s="79" t="e">
        <f t="shared" si="220"/>
        <v>#DIV/0!</v>
      </c>
      <c r="AN178" s="81">
        <f t="shared" si="178"/>
        <v>0</v>
      </c>
      <c r="AO178" s="82" t="e">
        <f t="shared" si="179"/>
        <v>#DIV/0!</v>
      </c>
      <c r="AP178" s="83" t="e">
        <f t="shared" si="194"/>
        <v>#DIV/0!</v>
      </c>
      <c r="AQ178" s="84" t="e">
        <f t="shared" si="221"/>
        <v>#DIV/0!</v>
      </c>
      <c r="AS178" s="86">
        <f t="shared" si="180"/>
        <v>0.25</v>
      </c>
      <c r="AT178" s="87">
        <f t="shared" si="195"/>
        <v>0</v>
      </c>
      <c r="AU178" s="87">
        <f t="shared" si="196"/>
        <v>0</v>
      </c>
      <c r="AV178" s="88" t="e">
        <f t="shared" si="181"/>
        <v>#DIV/0!</v>
      </c>
      <c r="AW178" s="78" t="e">
        <f t="shared" si="197"/>
        <v>#DIV/0!</v>
      </c>
      <c r="AX178" s="89" t="e">
        <f t="shared" si="222"/>
        <v>#DIV/0!</v>
      </c>
      <c r="BA178" s="91">
        <f t="shared" si="182"/>
        <v>0</v>
      </c>
      <c r="BB178" s="77" t="e">
        <f t="shared" si="198"/>
        <v>#DIV/0!</v>
      </c>
      <c r="BC178" s="78" t="e">
        <f t="shared" si="199"/>
        <v>#DIV/0!</v>
      </c>
      <c r="BD178" s="79" t="e">
        <f t="shared" si="223"/>
        <v>#DIV/0!</v>
      </c>
      <c r="BE178" s="92"/>
      <c r="BF178" s="92"/>
      <c r="BG178" s="114">
        <v>246943</v>
      </c>
      <c r="BH178" s="94">
        <f t="shared" si="183"/>
        <v>0</v>
      </c>
      <c r="BI178" s="77" t="e">
        <f t="shared" si="184"/>
        <v>#DIV/0!</v>
      </c>
      <c r="BJ178" s="95" t="str">
        <f t="shared" si="200"/>
        <v>식약/섬유/종이업</v>
      </c>
      <c r="BK178" s="96" t="e">
        <f t="shared" si="185"/>
        <v>#DIV/0!</v>
      </c>
      <c r="BL178" s="97" t="e">
        <f t="shared" si="201"/>
        <v>#DIV/0!</v>
      </c>
      <c r="BM178" s="98" t="e">
        <f t="shared" si="202"/>
        <v>#DIV/0!</v>
      </c>
      <c r="BN178" s="99" t="e">
        <f t="shared" si="203"/>
        <v>#DIV/0!</v>
      </c>
      <c r="BP178" s="101">
        <f t="shared" si="204"/>
        <v>0</v>
      </c>
      <c r="BQ178" s="78">
        <f t="shared" si="205"/>
        <v>25</v>
      </c>
      <c r="BR178" s="79">
        <f t="shared" si="224"/>
        <v>0.5</v>
      </c>
      <c r="BS178" s="102"/>
      <c r="BT178" s="102"/>
      <c r="BU178" s="103">
        <f t="shared" si="206"/>
        <v>0</v>
      </c>
      <c r="BV178" s="77">
        <f t="shared" si="186"/>
        <v>0</v>
      </c>
      <c r="BW178" s="96">
        <f t="shared" si="187"/>
        <v>0</v>
      </c>
      <c r="BX178" s="96">
        <f t="shared" si="207"/>
        <v>0</v>
      </c>
      <c r="BY178" s="96">
        <f t="shared" si="188"/>
        <v>0</v>
      </c>
      <c r="BZ178" s="96" t="e">
        <f t="shared" si="208"/>
        <v>#NUM!</v>
      </c>
      <c r="CA178" s="96" t="e">
        <f t="shared" si="189"/>
        <v>#NUM!</v>
      </c>
      <c r="CB178" s="104" t="e">
        <f t="shared" si="209"/>
        <v>#NUM!</v>
      </c>
      <c r="CC178" s="105">
        <f t="shared" si="225"/>
        <v>17.688851862244583</v>
      </c>
      <c r="CD178" s="106">
        <f t="shared" si="226"/>
        <v>93.710231710209328</v>
      </c>
      <c r="CE178" s="107">
        <f t="shared" si="227"/>
        <v>1.4056534756531398</v>
      </c>
      <c r="CF178" s="108" t="s">
        <v>2189</v>
      </c>
      <c r="CG178" s="108" t="s">
        <v>2189</v>
      </c>
      <c r="CH178" s="108" t="s">
        <v>2189</v>
      </c>
      <c r="CI178" s="108" t="s">
        <v>2189</v>
      </c>
      <c r="CJ178" s="109"/>
      <c r="CM178" s="111">
        <f t="shared" si="210"/>
        <v>25</v>
      </c>
      <c r="CN178" s="107">
        <f t="shared" si="228"/>
        <v>0.375</v>
      </c>
      <c r="CP178" s="88">
        <f t="shared" si="211"/>
        <v>0</v>
      </c>
      <c r="CQ178" s="78">
        <f t="shared" si="212"/>
        <v>100</v>
      </c>
      <c r="CR178" s="79">
        <f t="shared" si="229"/>
        <v>3</v>
      </c>
      <c r="CS178" s="92"/>
      <c r="CT178" s="77">
        <f t="shared" si="190"/>
        <v>0</v>
      </c>
      <c r="CU178" s="78">
        <f t="shared" si="213"/>
        <v>100</v>
      </c>
      <c r="CV178" s="79">
        <f t="shared" si="230"/>
        <v>2</v>
      </c>
      <c r="CW178" s="112" t="e">
        <f t="shared" si="214"/>
        <v>#DIV/0!</v>
      </c>
    </row>
    <row r="179" spans="1:101" x14ac:dyDescent="0.35">
      <c r="A179" s="7" t="s">
        <v>1165</v>
      </c>
      <c r="B179" s="8" t="s">
        <v>1166</v>
      </c>
      <c r="C179" s="21" t="s">
        <v>1167</v>
      </c>
      <c r="D179" s="25" t="s">
        <v>262</v>
      </c>
      <c r="E179" s="11" t="s">
        <v>263</v>
      </c>
      <c r="F179" s="11" t="s">
        <v>1168</v>
      </c>
      <c r="G179" s="12">
        <v>32013</v>
      </c>
      <c r="H179" s="11" t="s">
        <v>483</v>
      </c>
      <c r="I179" s="11" t="s">
        <v>1169</v>
      </c>
      <c r="J179" s="11" t="s">
        <v>1170</v>
      </c>
      <c r="K179" s="11" t="s">
        <v>27</v>
      </c>
      <c r="L179" s="23">
        <v>10400472991</v>
      </c>
      <c r="M179" s="14">
        <v>9031560866</v>
      </c>
      <c r="N179" s="14">
        <v>1368912125</v>
      </c>
      <c r="O179" s="14">
        <v>2043938653</v>
      </c>
      <c r="P179" s="14">
        <v>111260253</v>
      </c>
      <c r="Q179" s="14">
        <v>121787342</v>
      </c>
      <c r="R179" s="14">
        <v>93015535</v>
      </c>
      <c r="AB179" s="74">
        <f t="shared" si="215"/>
        <v>0</v>
      </c>
      <c r="AC179" s="75" t="e">
        <f t="shared" si="191"/>
        <v>#DIV/0!</v>
      </c>
      <c r="AD179" s="75" t="e">
        <f t="shared" si="216"/>
        <v>#DIV/0!</v>
      </c>
      <c r="AE179" s="119" t="e">
        <f>AD179*0.04</f>
        <v>#DIV/0!</v>
      </c>
      <c r="AF179" s="77" t="e">
        <f t="shared" si="192"/>
        <v>#DIV/0!</v>
      </c>
      <c r="AG179" s="77" t="e">
        <f t="shared" si="193"/>
        <v>#DIV/0!</v>
      </c>
      <c r="AH179" s="77" t="e">
        <f t="shared" si="217"/>
        <v>#DIV/0!</v>
      </c>
      <c r="AI179" s="78" t="e">
        <f t="shared" si="218"/>
        <v>#DIV/0!</v>
      </c>
      <c r="AJ179" s="120" t="e">
        <f>AI179*0.05</f>
        <v>#DIV/0!</v>
      </c>
      <c r="AN179" s="81">
        <f t="shared" si="178"/>
        <v>0</v>
      </c>
      <c r="AO179" s="82" t="e">
        <f t="shared" si="179"/>
        <v>#DIV/0!</v>
      </c>
      <c r="AP179" s="83" t="e">
        <f t="shared" si="194"/>
        <v>#DIV/0!</v>
      </c>
      <c r="AQ179" s="121" t="e">
        <f>AP179*0.03</f>
        <v>#DIV/0!</v>
      </c>
      <c r="AS179" s="86">
        <f t="shared" si="180"/>
        <v>0.5</v>
      </c>
      <c r="AT179" s="87">
        <f t="shared" si="195"/>
        <v>0</v>
      </c>
      <c r="AU179" s="87">
        <f t="shared" si="196"/>
        <v>0</v>
      </c>
      <c r="AV179" s="88" t="e">
        <f t="shared" si="181"/>
        <v>#DIV/0!</v>
      </c>
      <c r="AW179" s="78" t="e">
        <f t="shared" si="197"/>
        <v>#DIV/0!</v>
      </c>
      <c r="AX179" s="122" t="e">
        <f>AW179*0.02</f>
        <v>#DIV/0!</v>
      </c>
      <c r="BA179" s="91">
        <f t="shared" si="182"/>
        <v>0</v>
      </c>
      <c r="BB179" s="77" t="e">
        <f t="shared" si="198"/>
        <v>#DIV/0!</v>
      </c>
      <c r="BC179" s="78" t="e">
        <f t="shared" si="199"/>
        <v>#DIV/0!</v>
      </c>
      <c r="BD179" s="120" t="e">
        <f>BC179*0.02</f>
        <v>#DIV/0!</v>
      </c>
      <c r="BE179" s="92"/>
      <c r="BF179" s="92"/>
      <c r="BG179" s="114">
        <v>2907074</v>
      </c>
      <c r="BH179" s="94">
        <f t="shared" si="183"/>
        <v>0</v>
      </c>
      <c r="BI179" s="77" t="e">
        <f t="shared" si="184"/>
        <v>#DIV/0!</v>
      </c>
      <c r="BJ179" s="95" t="str">
        <f t="shared" si="200"/>
        <v>금융업</v>
      </c>
      <c r="BK179" s="96" t="e">
        <f t="shared" si="185"/>
        <v>#DIV/0!</v>
      </c>
      <c r="BL179" s="97" t="e">
        <f t="shared" si="201"/>
        <v>#DIV/0!</v>
      </c>
      <c r="BM179" s="98" t="e">
        <f t="shared" si="202"/>
        <v>#DIV/0!</v>
      </c>
      <c r="BN179" s="99" t="e">
        <f t="shared" si="203"/>
        <v>#DIV/0!</v>
      </c>
      <c r="BP179" s="101">
        <f t="shared" si="204"/>
        <v>0</v>
      </c>
      <c r="BQ179" s="78">
        <f t="shared" si="205"/>
        <v>25</v>
      </c>
      <c r="BR179" s="120">
        <f>BQ179*0.01</f>
        <v>0.25</v>
      </c>
      <c r="BS179" s="102"/>
      <c r="BT179" s="102"/>
      <c r="BU179" s="103">
        <f t="shared" si="206"/>
        <v>0</v>
      </c>
      <c r="BV179" s="77">
        <f t="shared" si="186"/>
        <v>0</v>
      </c>
      <c r="BW179" s="96">
        <f t="shared" si="187"/>
        <v>0</v>
      </c>
      <c r="BX179" s="96">
        <f t="shared" si="207"/>
        <v>0</v>
      </c>
      <c r="BY179" s="96">
        <f t="shared" si="188"/>
        <v>0</v>
      </c>
      <c r="BZ179" s="96" t="e">
        <f t="shared" si="208"/>
        <v>#NUM!</v>
      </c>
      <c r="CA179" s="96" t="e">
        <f t="shared" si="189"/>
        <v>#NUM!</v>
      </c>
      <c r="CB179" s="104" t="e">
        <f t="shared" si="209"/>
        <v>#NUM!</v>
      </c>
      <c r="CC179" s="123" t="s">
        <v>2200</v>
      </c>
      <c r="CD179" s="124" t="s">
        <v>2200</v>
      </c>
      <c r="CE179" s="125"/>
      <c r="CF179" s="126" t="s">
        <v>2201</v>
      </c>
      <c r="CG179" s="127">
        <v>4.2</v>
      </c>
      <c r="CH179" s="126" t="s">
        <v>2201</v>
      </c>
      <c r="CI179" s="128">
        <f>IF((100-(75*(CG179-1)/9))&gt;100,100,IF((100-(75*(CG179-1)/9))&lt;25,25,(100-(75*(CG179-1)/9))))</f>
        <v>73.333333333333329</v>
      </c>
      <c r="CJ179" s="129">
        <f>CI179*0.04</f>
        <v>2.9333333333333331</v>
      </c>
      <c r="CM179" s="111">
        <f t="shared" si="210"/>
        <v>25</v>
      </c>
      <c r="CN179" s="130">
        <f>CM179*0.03</f>
        <v>0.75</v>
      </c>
      <c r="CP179" s="88">
        <f t="shared" si="211"/>
        <v>0</v>
      </c>
      <c r="CQ179" s="78">
        <f t="shared" si="212"/>
        <v>100</v>
      </c>
      <c r="CR179" s="120">
        <f>CQ179*0.04</f>
        <v>4</v>
      </c>
      <c r="CS179" s="92"/>
      <c r="CT179" s="77">
        <f t="shared" si="190"/>
        <v>0</v>
      </c>
      <c r="CU179" s="78">
        <f t="shared" si="213"/>
        <v>100</v>
      </c>
      <c r="CV179" s="131">
        <f>CU179*0.03</f>
        <v>3</v>
      </c>
      <c r="CW179" s="112" t="e">
        <f t="shared" si="214"/>
        <v>#DIV/0!</v>
      </c>
    </row>
    <row r="180" spans="1:101" x14ac:dyDescent="0.35">
      <c r="A180" s="7" t="s">
        <v>1171</v>
      </c>
      <c r="B180" s="8" t="s">
        <v>1172</v>
      </c>
      <c r="C180" s="21" t="s">
        <v>1173</v>
      </c>
      <c r="D180" s="10" t="s">
        <v>21</v>
      </c>
      <c r="E180" s="11" t="s">
        <v>1174</v>
      </c>
      <c r="F180" s="11" t="s">
        <v>1175</v>
      </c>
      <c r="G180" s="12">
        <v>27667</v>
      </c>
      <c r="H180" s="11" t="s">
        <v>24</v>
      </c>
      <c r="I180" s="11" t="s">
        <v>1176</v>
      </c>
      <c r="J180" s="11" t="s">
        <v>1177</v>
      </c>
      <c r="K180" s="11" t="s">
        <v>153</v>
      </c>
      <c r="L180" s="23">
        <v>152880655</v>
      </c>
      <c r="M180" s="14">
        <v>70989813</v>
      </c>
      <c r="N180" s="14">
        <v>81890843</v>
      </c>
      <c r="O180" s="14">
        <v>202728990</v>
      </c>
      <c r="P180" s="14">
        <v>2828954</v>
      </c>
      <c r="Q180" s="14">
        <v>1737125</v>
      </c>
      <c r="R180" s="14">
        <v>1041713</v>
      </c>
      <c r="AB180" s="74">
        <f t="shared" si="215"/>
        <v>0</v>
      </c>
      <c r="AC180" s="75" t="e">
        <f t="shared" si="191"/>
        <v>#DIV/0!</v>
      </c>
      <c r="AD180" s="75" t="e">
        <f t="shared" si="216"/>
        <v>#DIV/0!</v>
      </c>
      <c r="AE180" s="76" t="e">
        <f t="shared" ref="AE180:AE193" si="231">AD180*0.03</f>
        <v>#DIV/0!</v>
      </c>
      <c r="AF180" s="77" t="e">
        <f t="shared" si="192"/>
        <v>#DIV/0!</v>
      </c>
      <c r="AG180" s="77" t="e">
        <f t="shared" si="193"/>
        <v>#DIV/0!</v>
      </c>
      <c r="AH180" s="77" t="e">
        <f t="shared" si="217"/>
        <v>#DIV/0!</v>
      </c>
      <c r="AI180" s="78" t="e">
        <f t="shared" si="218"/>
        <v>#DIV/0!</v>
      </c>
      <c r="AJ180" s="79" t="e">
        <f t="shared" ref="AJ180:AJ193" si="232">AI180*0.04</f>
        <v>#DIV/0!</v>
      </c>
      <c r="AN180" s="81">
        <f t="shared" si="178"/>
        <v>0</v>
      </c>
      <c r="AO180" s="82" t="e">
        <f t="shared" si="179"/>
        <v>#DIV/0!</v>
      </c>
      <c r="AP180" s="83" t="e">
        <f t="shared" si="194"/>
        <v>#DIV/0!</v>
      </c>
      <c r="AQ180" s="84" t="e">
        <f t="shared" ref="AQ180:AQ193" si="233">AP180*0.02</f>
        <v>#DIV/0!</v>
      </c>
      <c r="AS180" s="86">
        <f t="shared" si="180"/>
        <v>0.25</v>
      </c>
      <c r="AT180" s="87">
        <f t="shared" si="195"/>
        <v>0</v>
      </c>
      <c r="AU180" s="87">
        <f t="shared" si="196"/>
        <v>0</v>
      </c>
      <c r="AV180" s="88" t="e">
        <f t="shared" si="181"/>
        <v>#DIV/0!</v>
      </c>
      <c r="AW180" s="78" t="e">
        <f t="shared" si="197"/>
        <v>#DIV/0!</v>
      </c>
      <c r="AX180" s="89" t="e">
        <f t="shared" ref="AX180:AX193" si="234">AW180*0.01</f>
        <v>#DIV/0!</v>
      </c>
      <c r="BA180" s="91">
        <f t="shared" si="182"/>
        <v>0</v>
      </c>
      <c r="BB180" s="77" t="e">
        <f t="shared" si="198"/>
        <v>#DIV/0!</v>
      </c>
      <c r="BC180" s="78" t="e">
        <f t="shared" si="199"/>
        <v>#DIV/0!</v>
      </c>
      <c r="BD180" s="79" t="e">
        <f t="shared" ref="BD180:BD193" si="235">BC180*0.01</f>
        <v>#DIV/0!</v>
      </c>
      <c r="BE180" s="92"/>
      <c r="BF180" s="92"/>
      <c r="BG180" s="93">
        <v>0</v>
      </c>
      <c r="BH180" s="94">
        <f t="shared" si="183"/>
        <v>0</v>
      </c>
      <c r="BI180" s="77" t="e">
        <f t="shared" si="184"/>
        <v>#DIV/0!</v>
      </c>
      <c r="BJ180" s="95" t="str">
        <f t="shared" si="200"/>
        <v>비제조/서비스업</v>
      </c>
      <c r="BK180" s="96" t="e">
        <f t="shared" si="185"/>
        <v>#DIV/0!</v>
      </c>
      <c r="BL180" s="97" t="e">
        <f t="shared" si="201"/>
        <v>#DIV/0!</v>
      </c>
      <c r="BM180" s="98" t="e">
        <f t="shared" si="202"/>
        <v>#DIV/0!</v>
      </c>
      <c r="BN180" s="99" t="e">
        <f t="shared" si="203"/>
        <v>#DIV/0!</v>
      </c>
      <c r="BP180" s="101">
        <f t="shared" si="204"/>
        <v>0</v>
      </c>
      <c r="BQ180" s="78">
        <f t="shared" si="205"/>
        <v>25</v>
      </c>
      <c r="BR180" s="79">
        <f t="shared" ref="BR180:BR193" si="236">BQ180*0.02</f>
        <v>0.5</v>
      </c>
      <c r="BS180" s="102"/>
      <c r="BT180" s="102"/>
      <c r="BU180" s="103">
        <f t="shared" si="206"/>
        <v>0</v>
      </c>
      <c r="BV180" s="77">
        <f t="shared" si="186"/>
        <v>0</v>
      </c>
      <c r="BW180" s="96">
        <f t="shared" si="187"/>
        <v>0</v>
      </c>
      <c r="BX180" s="96">
        <f t="shared" si="207"/>
        <v>0</v>
      </c>
      <c r="BY180" s="96">
        <f t="shared" si="188"/>
        <v>0</v>
      </c>
      <c r="BZ180" s="96" t="e">
        <f t="shared" si="208"/>
        <v>#NUM!</v>
      </c>
      <c r="CA180" s="96" t="e">
        <f t="shared" si="189"/>
        <v>#NUM!</v>
      </c>
      <c r="CB180" s="104" t="e">
        <f t="shared" si="209"/>
        <v>#NUM!</v>
      </c>
      <c r="CC180" s="105">
        <f t="shared" ref="CC180:CC193" si="237">(M180/N180)*100</f>
        <v>86.68834072205118</v>
      </c>
      <c r="CD180" s="106">
        <f t="shared" ref="CD180:CD193" si="238">IF((100-(75*(CC180-1)/(200-1)))&gt;100, 100, IF((100-(75*(CC180-1)/(200-1)))&lt;25, 25, (100-(75*(CC180-1)/(200-1)))))</f>
        <v>67.705399225357596</v>
      </c>
      <c r="CE180" s="107">
        <f t="shared" ref="CE180:CE193" si="239">CD180*0.015</f>
        <v>1.0155809883803639</v>
      </c>
      <c r="CF180" s="108" t="s">
        <v>2189</v>
      </c>
      <c r="CG180" s="108" t="s">
        <v>2189</v>
      </c>
      <c r="CH180" s="108" t="s">
        <v>2189</v>
      </c>
      <c r="CI180" s="108" t="s">
        <v>2189</v>
      </c>
      <c r="CJ180" s="109"/>
      <c r="CM180" s="111">
        <f t="shared" si="210"/>
        <v>25</v>
      </c>
      <c r="CN180" s="107">
        <f t="shared" ref="CN180:CN193" si="240">CM180*0.015</f>
        <v>0.375</v>
      </c>
      <c r="CP180" s="88">
        <f t="shared" si="211"/>
        <v>0</v>
      </c>
      <c r="CQ180" s="78">
        <f t="shared" si="212"/>
        <v>100</v>
      </c>
      <c r="CR180" s="79">
        <f t="shared" ref="CR180:CR193" si="241">CQ180*0.03</f>
        <v>3</v>
      </c>
      <c r="CS180" s="92"/>
      <c r="CT180" s="77">
        <f t="shared" si="190"/>
        <v>0</v>
      </c>
      <c r="CU180" s="78">
        <f t="shared" si="213"/>
        <v>100</v>
      </c>
      <c r="CV180" s="79">
        <f t="shared" ref="CV180:CV193" si="242">CU180*0.02</f>
        <v>2</v>
      </c>
      <c r="CW180" s="112" t="e">
        <f t="shared" si="214"/>
        <v>#DIV/0!</v>
      </c>
    </row>
    <row r="181" spans="1:101" x14ac:dyDescent="0.35">
      <c r="A181" s="7" t="s">
        <v>1178</v>
      </c>
      <c r="B181" s="8" t="s">
        <v>1179</v>
      </c>
      <c r="C181" s="21" t="s">
        <v>1180</v>
      </c>
      <c r="D181" s="10" t="s">
        <v>21</v>
      </c>
      <c r="E181" s="11" t="s">
        <v>1174</v>
      </c>
      <c r="F181" s="11" t="s">
        <v>1181</v>
      </c>
      <c r="G181" s="12">
        <v>33277</v>
      </c>
      <c r="H181" s="11" t="s">
        <v>24</v>
      </c>
      <c r="I181" s="11" t="s">
        <v>1182</v>
      </c>
      <c r="J181" s="11" t="s">
        <v>1183</v>
      </c>
      <c r="K181" s="11" t="s">
        <v>27</v>
      </c>
      <c r="L181" s="23">
        <v>131824972</v>
      </c>
      <c r="M181" s="14">
        <v>27592356</v>
      </c>
      <c r="N181" s="14">
        <v>104232616</v>
      </c>
      <c r="O181" s="14">
        <v>117958170</v>
      </c>
      <c r="P181" s="14">
        <v>9678013</v>
      </c>
      <c r="Q181" s="14">
        <v>10111802</v>
      </c>
      <c r="R181" s="14">
        <v>8289001</v>
      </c>
      <c r="AB181" s="74">
        <f t="shared" si="215"/>
        <v>0</v>
      </c>
      <c r="AC181" s="75" t="e">
        <f t="shared" si="191"/>
        <v>#DIV/0!</v>
      </c>
      <c r="AD181" s="75" t="e">
        <f t="shared" si="216"/>
        <v>#DIV/0!</v>
      </c>
      <c r="AE181" s="76" t="e">
        <f t="shared" si="231"/>
        <v>#DIV/0!</v>
      </c>
      <c r="AF181" s="77" t="e">
        <f t="shared" si="192"/>
        <v>#DIV/0!</v>
      </c>
      <c r="AG181" s="77" t="e">
        <f t="shared" si="193"/>
        <v>#DIV/0!</v>
      </c>
      <c r="AH181" s="77" t="e">
        <f t="shared" si="217"/>
        <v>#DIV/0!</v>
      </c>
      <c r="AI181" s="78" t="e">
        <f t="shared" si="218"/>
        <v>#DIV/0!</v>
      </c>
      <c r="AJ181" s="79" t="e">
        <f t="shared" si="232"/>
        <v>#DIV/0!</v>
      </c>
      <c r="AN181" s="81">
        <f t="shared" si="178"/>
        <v>0</v>
      </c>
      <c r="AO181" s="82" t="e">
        <f t="shared" si="179"/>
        <v>#DIV/0!</v>
      </c>
      <c r="AP181" s="83" t="e">
        <f t="shared" si="194"/>
        <v>#DIV/0!</v>
      </c>
      <c r="AQ181" s="84" t="e">
        <f t="shared" si="233"/>
        <v>#DIV/0!</v>
      </c>
      <c r="AS181" s="86">
        <f t="shared" si="180"/>
        <v>0.25</v>
      </c>
      <c r="AT181" s="87">
        <f t="shared" si="195"/>
        <v>0</v>
      </c>
      <c r="AU181" s="87">
        <f t="shared" si="196"/>
        <v>0</v>
      </c>
      <c r="AV181" s="88" t="e">
        <f t="shared" si="181"/>
        <v>#DIV/0!</v>
      </c>
      <c r="AW181" s="78" t="e">
        <f t="shared" si="197"/>
        <v>#DIV/0!</v>
      </c>
      <c r="AX181" s="89" t="e">
        <f t="shared" si="234"/>
        <v>#DIV/0!</v>
      </c>
      <c r="BA181" s="91">
        <f t="shared" si="182"/>
        <v>0</v>
      </c>
      <c r="BB181" s="77" t="e">
        <f t="shared" si="198"/>
        <v>#DIV/0!</v>
      </c>
      <c r="BC181" s="78" t="e">
        <f t="shared" si="199"/>
        <v>#DIV/0!</v>
      </c>
      <c r="BD181" s="79" t="e">
        <f t="shared" si="235"/>
        <v>#DIV/0!</v>
      </c>
      <c r="BE181" s="92"/>
      <c r="BF181" s="92"/>
      <c r="BG181" s="93">
        <v>0</v>
      </c>
      <c r="BH181" s="94">
        <f t="shared" si="183"/>
        <v>0</v>
      </c>
      <c r="BI181" s="77" t="e">
        <f t="shared" si="184"/>
        <v>#DIV/0!</v>
      </c>
      <c r="BJ181" s="95" t="str">
        <f t="shared" si="200"/>
        <v>비제조/서비스업</v>
      </c>
      <c r="BK181" s="96" t="e">
        <f t="shared" si="185"/>
        <v>#DIV/0!</v>
      </c>
      <c r="BL181" s="97" t="e">
        <f t="shared" si="201"/>
        <v>#DIV/0!</v>
      </c>
      <c r="BM181" s="98" t="e">
        <f t="shared" si="202"/>
        <v>#DIV/0!</v>
      </c>
      <c r="BN181" s="99" t="e">
        <f t="shared" si="203"/>
        <v>#DIV/0!</v>
      </c>
      <c r="BP181" s="101">
        <f t="shared" si="204"/>
        <v>0</v>
      </c>
      <c r="BQ181" s="78">
        <f t="shared" si="205"/>
        <v>25</v>
      </c>
      <c r="BR181" s="79">
        <f t="shared" si="236"/>
        <v>0.5</v>
      </c>
      <c r="BS181" s="102"/>
      <c r="BT181" s="102"/>
      <c r="BU181" s="103">
        <f t="shared" si="206"/>
        <v>0</v>
      </c>
      <c r="BV181" s="77">
        <f t="shared" si="186"/>
        <v>0</v>
      </c>
      <c r="BW181" s="96">
        <f t="shared" si="187"/>
        <v>0</v>
      </c>
      <c r="BX181" s="96">
        <f t="shared" si="207"/>
        <v>0</v>
      </c>
      <c r="BY181" s="96">
        <f t="shared" si="188"/>
        <v>0</v>
      </c>
      <c r="BZ181" s="96" t="e">
        <f t="shared" si="208"/>
        <v>#NUM!</v>
      </c>
      <c r="CA181" s="96" t="e">
        <f t="shared" si="189"/>
        <v>#NUM!</v>
      </c>
      <c r="CB181" s="104" t="e">
        <f t="shared" si="209"/>
        <v>#NUM!</v>
      </c>
      <c r="CC181" s="105">
        <f t="shared" si="237"/>
        <v>26.471902038801364</v>
      </c>
      <c r="CD181" s="106">
        <f t="shared" si="238"/>
        <v>90.400036920049743</v>
      </c>
      <c r="CE181" s="107">
        <f t="shared" si="239"/>
        <v>1.356000553800746</v>
      </c>
      <c r="CF181" s="108" t="s">
        <v>2189</v>
      </c>
      <c r="CG181" s="108" t="s">
        <v>2189</v>
      </c>
      <c r="CH181" s="108" t="s">
        <v>2189</v>
      </c>
      <c r="CI181" s="108" t="s">
        <v>2189</v>
      </c>
      <c r="CJ181" s="109"/>
      <c r="CM181" s="111">
        <f t="shared" si="210"/>
        <v>25</v>
      </c>
      <c r="CN181" s="107">
        <f t="shared" si="240"/>
        <v>0.375</v>
      </c>
      <c r="CP181" s="88">
        <f t="shared" si="211"/>
        <v>0</v>
      </c>
      <c r="CQ181" s="78">
        <f t="shared" si="212"/>
        <v>100</v>
      </c>
      <c r="CR181" s="79">
        <f t="shared" si="241"/>
        <v>3</v>
      </c>
      <c r="CS181" s="92"/>
      <c r="CT181" s="77">
        <f t="shared" si="190"/>
        <v>0</v>
      </c>
      <c r="CU181" s="78">
        <f t="shared" si="213"/>
        <v>100</v>
      </c>
      <c r="CV181" s="79">
        <f t="shared" si="242"/>
        <v>2</v>
      </c>
      <c r="CW181" s="112" t="e">
        <f t="shared" si="214"/>
        <v>#DIV/0!</v>
      </c>
    </row>
    <row r="182" spans="1:101" x14ac:dyDescent="0.35">
      <c r="A182" s="7" t="s">
        <v>1184</v>
      </c>
      <c r="B182" s="8" t="s">
        <v>1185</v>
      </c>
      <c r="C182" s="21" t="s">
        <v>1186</v>
      </c>
      <c r="D182" s="10" t="s">
        <v>75</v>
      </c>
      <c r="E182" s="11" t="s">
        <v>1187</v>
      </c>
      <c r="F182" s="11" t="s">
        <v>1188</v>
      </c>
      <c r="G182" s="12">
        <v>27517</v>
      </c>
      <c r="H182" s="11" t="s">
        <v>24</v>
      </c>
      <c r="I182" s="11" t="s">
        <v>1189</v>
      </c>
      <c r="J182" s="11" t="s">
        <v>1190</v>
      </c>
      <c r="K182" s="11" t="s">
        <v>27</v>
      </c>
      <c r="L182" s="23">
        <v>3324252824</v>
      </c>
      <c r="M182" s="14">
        <v>1744378392</v>
      </c>
      <c r="N182" s="14">
        <v>1579874432</v>
      </c>
      <c r="O182" s="14">
        <v>1329446841</v>
      </c>
      <c r="P182" s="14">
        <v>132736708</v>
      </c>
      <c r="Q182" s="14">
        <v>169634745</v>
      </c>
      <c r="R182" s="14">
        <v>144326674</v>
      </c>
      <c r="AB182" s="74">
        <f t="shared" si="215"/>
        <v>0</v>
      </c>
      <c r="AC182" s="75" t="e">
        <f t="shared" si="191"/>
        <v>#DIV/0!</v>
      </c>
      <c r="AD182" s="75" t="e">
        <f t="shared" si="216"/>
        <v>#DIV/0!</v>
      </c>
      <c r="AE182" s="76" t="e">
        <f t="shared" si="231"/>
        <v>#DIV/0!</v>
      </c>
      <c r="AF182" s="77" t="e">
        <f t="shared" si="192"/>
        <v>#DIV/0!</v>
      </c>
      <c r="AG182" s="77" t="e">
        <f t="shared" si="193"/>
        <v>#DIV/0!</v>
      </c>
      <c r="AH182" s="77" t="e">
        <f t="shared" si="217"/>
        <v>#DIV/0!</v>
      </c>
      <c r="AI182" s="78" t="e">
        <f t="shared" si="218"/>
        <v>#DIV/0!</v>
      </c>
      <c r="AJ182" s="79" t="e">
        <f t="shared" si="232"/>
        <v>#DIV/0!</v>
      </c>
      <c r="AM182" s="80"/>
      <c r="AN182" s="81">
        <f t="shared" si="178"/>
        <v>0</v>
      </c>
      <c r="AO182" s="82" t="e">
        <f t="shared" si="179"/>
        <v>#DIV/0!</v>
      </c>
      <c r="AP182" s="83" t="e">
        <f t="shared" si="194"/>
        <v>#DIV/0!</v>
      </c>
      <c r="AQ182" s="84" t="e">
        <f t="shared" si="233"/>
        <v>#DIV/0!</v>
      </c>
      <c r="AS182" s="86">
        <f t="shared" si="180"/>
        <v>0.5</v>
      </c>
      <c r="AT182" s="87">
        <f t="shared" si="195"/>
        <v>0</v>
      </c>
      <c r="AU182" s="87">
        <f t="shared" si="196"/>
        <v>0</v>
      </c>
      <c r="AV182" s="88" t="e">
        <f t="shared" si="181"/>
        <v>#DIV/0!</v>
      </c>
      <c r="AW182" s="78" t="e">
        <f t="shared" si="197"/>
        <v>#DIV/0!</v>
      </c>
      <c r="AX182" s="89" t="e">
        <f t="shared" si="234"/>
        <v>#DIV/0!</v>
      </c>
      <c r="BA182" s="91">
        <f t="shared" si="182"/>
        <v>0</v>
      </c>
      <c r="BB182" s="77" t="e">
        <f t="shared" si="198"/>
        <v>#DIV/0!</v>
      </c>
      <c r="BC182" s="78" t="e">
        <f t="shared" si="199"/>
        <v>#DIV/0!</v>
      </c>
      <c r="BD182" s="79" t="e">
        <f t="shared" si="235"/>
        <v>#DIV/0!</v>
      </c>
      <c r="BE182" s="92"/>
      <c r="BF182" s="92"/>
      <c r="BG182" s="114">
        <v>1826921</v>
      </c>
      <c r="BH182" s="94">
        <f t="shared" si="183"/>
        <v>0</v>
      </c>
      <c r="BI182" s="77" t="e">
        <f t="shared" si="184"/>
        <v>#DIV/0!</v>
      </c>
      <c r="BJ182" s="95" t="str">
        <f t="shared" si="200"/>
        <v>금속/비금속/화학업</v>
      </c>
      <c r="BK182" s="96" t="e">
        <f t="shared" si="185"/>
        <v>#DIV/0!</v>
      </c>
      <c r="BL182" s="97" t="e">
        <f t="shared" si="201"/>
        <v>#DIV/0!</v>
      </c>
      <c r="BM182" s="98" t="e">
        <f t="shared" si="202"/>
        <v>#DIV/0!</v>
      </c>
      <c r="BN182" s="99" t="e">
        <f t="shared" si="203"/>
        <v>#DIV/0!</v>
      </c>
      <c r="BP182" s="101">
        <f t="shared" si="204"/>
        <v>0</v>
      </c>
      <c r="BQ182" s="78">
        <f t="shared" si="205"/>
        <v>25</v>
      </c>
      <c r="BR182" s="79">
        <f t="shared" si="236"/>
        <v>0.5</v>
      </c>
      <c r="BS182" s="102"/>
      <c r="BT182" s="102"/>
      <c r="BU182" s="103">
        <f t="shared" si="206"/>
        <v>0</v>
      </c>
      <c r="BV182" s="77">
        <f t="shared" si="186"/>
        <v>0</v>
      </c>
      <c r="BW182" s="96">
        <f t="shared" si="187"/>
        <v>0</v>
      </c>
      <c r="BX182" s="96">
        <f t="shared" si="207"/>
        <v>0</v>
      </c>
      <c r="BY182" s="96">
        <f t="shared" si="188"/>
        <v>0</v>
      </c>
      <c r="BZ182" s="96" t="e">
        <f t="shared" si="208"/>
        <v>#NUM!</v>
      </c>
      <c r="CA182" s="96" t="e">
        <f t="shared" si="189"/>
        <v>#NUM!</v>
      </c>
      <c r="CB182" s="104" t="e">
        <f t="shared" si="209"/>
        <v>#NUM!</v>
      </c>
      <c r="CC182" s="105">
        <f t="shared" si="237"/>
        <v>110.41247055259642</v>
      </c>
      <c r="CD182" s="106">
        <f t="shared" si="238"/>
        <v>58.764144264096828</v>
      </c>
      <c r="CE182" s="107">
        <f t="shared" si="239"/>
        <v>0.88146216396145238</v>
      </c>
      <c r="CF182" s="108" t="s">
        <v>2189</v>
      </c>
      <c r="CG182" s="108" t="s">
        <v>2189</v>
      </c>
      <c r="CH182" s="108" t="s">
        <v>2189</v>
      </c>
      <c r="CI182" s="108" t="s">
        <v>2189</v>
      </c>
      <c r="CJ182" s="109"/>
      <c r="CM182" s="111">
        <f t="shared" si="210"/>
        <v>25</v>
      </c>
      <c r="CN182" s="107">
        <f t="shared" si="240"/>
        <v>0.375</v>
      </c>
      <c r="CP182" s="88">
        <f t="shared" si="211"/>
        <v>0</v>
      </c>
      <c r="CQ182" s="78">
        <f t="shared" si="212"/>
        <v>100</v>
      </c>
      <c r="CR182" s="79">
        <f t="shared" si="241"/>
        <v>3</v>
      </c>
      <c r="CS182" s="92"/>
      <c r="CT182" s="77">
        <f t="shared" si="190"/>
        <v>0</v>
      </c>
      <c r="CU182" s="78">
        <f t="shared" si="213"/>
        <v>100</v>
      </c>
      <c r="CV182" s="79">
        <f t="shared" si="242"/>
        <v>2</v>
      </c>
      <c r="CW182" s="112" t="e">
        <f t="shared" si="214"/>
        <v>#DIV/0!</v>
      </c>
    </row>
    <row r="183" spans="1:101" x14ac:dyDescent="0.35">
      <c r="A183" s="7" t="s">
        <v>1191</v>
      </c>
      <c r="B183" s="8" t="s">
        <v>1192</v>
      </c>
      <c r="C183" s="21" t="s">
        <v>1193</v>
      </c>
      <c r="D183" s="10" t="s">
        <v>141</v>
      </c>
      <c r="E183" s="11" t="s">
        <v>241</v>
      </c>
      <c r="F183" s="11" t="s">
        <v>1194</v>
      </c>
      <c r="G183" s="12">
        <v>31889</v>
      </c>
      <c r="H183" s="11" t="s">
        <v>24</v>
      </c>
      <c r="I183" s="11" t="s">
        <v>1195</v>
      </c>
      <c r="J183" s="11" t="s">
        <v>1196</v>
      </c>
      <c r="K183" s="11" t="s">
        <v>280</v>
      </c>
      <c r="L183" s="23">
        <v>75722188</v>
      </c>
      <c r="M183" s="14">
        <v>2498635</v>
      </c>
      <c r="N183" s="14">
        <v>73223553</v>
      </c>
      <c r="O183" s="14">
        <v>17441063</v>
      </c>
      <c r="P183" s="14">
        <v>2055789</v>
      </c>
      <c r="Q183" s="14">
        <v>4418292</v>
      </c>
      <c r="R183" s="14">
        <v>5632855</v>
      </c>
      <c r="AB183" s="74">
        <f t="shared" si="215"/>
        <v>0</v>
      </c>
      <c r="AC183" s="75" t="e">
        <f t="shared" si="191"/>
        <v>#DIV/0!</v>
      </c>
      <c r="AD183" s="75" t="e">
        <f t="shared" si="216"/>
        <v>#DIV/0!</v>
      </c>
      <c r="AE183" s="76" t="e">
        <f t="shared" si="231"/>
        <v>#DIV/0!</v>
      </c>
      <c r="AF183" s="77" t="e">
        <f t="shared" si="192"/>
        <v>#DIV/0!</v>
      </c>
      <c r="AG183" s="77" t="e">
        <f t="shared" si="193"/>
        <v>#DIV/0!</v>
      </c>
      <c r="AH183" s="77" t="e">
        <f t="shared" si="217"/>
        <v>#DIV/0!</v>
      </c>
      <c r="AI183" s="78" t="e">
        <f t="shared" si="218"/>
        <v>#DIV/0!</v>
      </c>
      <c r="AJ183" s="79" t="e">
        <f t="shared" si="232"/>
        <v>#DIV/0!</v>
      </c>
      <c r="AN183" s="81">
        <f t="shared" si="178"/>
        <v>0</v>
      </c>
      <c r="AO183" s="82" t="e">
        <f t="shared" si="179"/>
        <v>#DIV/0!</v>
      </c>
      <c r="AP183" s="83" t="e">
        <f t="shared" si="194"/>
        <v>#DIV/0!</v>
      </c>
      <c r="AQ183" s="84" t="e">
        <f t="shared" si="233"/>
        <v>#DIV/0!</v>
      </c>
      <c r="AS183" s="86">
        <f t="shared" si="180"/>
        <v>0.25</v>
      </c>
      <c r="AT183" s="87">
        <f t="shared" si="195"/>
        <v>0</v>
      </c>
      <c r="AU183" s="87">
        <f t="shared" si="196"/>
        <v>0</v>
      </c>
      <c r="AV183" s="88" t="e">
        <f t="shared" si="181"/>
        <v>#DIV/0!</v>
      </c>
      <c r="AW183" s="78" t="e">
        <f t="shared" si="197"/>
        <v>#DIV/0!</v>
      </c>
      <c r="AX183" s="89" t="e">
        <f t="shared" si="234"/>
        <v>#DIV/0!</v>
      </c>
      <c r="BA183" s="91">
        <f t="shared" si="182"/>
        <v>0</v>
      </c>
      <c r="BB183" s="77" t="e">
        <f t="shared" si="198"/>
        <v>#DIV/0!</v>
      </c>
      <c r="BC183" s="78" t="e">
        <f t="shared" si="199"/>
        <v>#DIV/0!</v>
      </c>
      <c r="BD183" s="79" t="e">
        <f t="shared" si="235"/>
        <v>#DIV/0!</v>
      </c>
      <c r="BE183" s="92"/>
      <c r="BF183" s="92"/>
      <c r="BG183" s="114">
        <v>18855</v>
      </c>
      <c r="BH183" s="94">
        <f t="shared" si="183"/>
        <v>0</v>
      </c>
      <c r="BI183" s="77" t="e">
        <f t="shared" si="184"/>
        <v>#DIV/0!</v>
      </c>
      <c r="BJ183" s="95" t="str">
        <f t="shared" si="200"/>
        <v>전기전자/기계업</v>
      </c>
      <c r="BK183" s="96" t="e">
        <f t="shared" si="185"/>
        <v>#DIV/0!</v>
      </c>
      <c r="BL183" s="97" t="e">
        <f t="shared" si="201"/>
        <v>#DIV/0!</v>
      </c>
      <c r="BM183" s="98" t="e">
        <f t="shared" si="202"/>
        <v>#DIV/0!</v>
      </c>
      <c r="BN183" s="99" t="e">
        <f t="shared" si="203"/>
        <v>#DIV/0!</v>
      </c>
      <c r="BP183" s="101">
        <f t="shared" si="204"/>
        <v>0</v>
      </c>
      <c r="BQ183" s="78">
        <f t="shared" si="205"/>
        <v>25</v>
      </c>
      <c r="BR183" s="79">
        <f t="shared" si="236"/>
        <v>0.5</v>
      </c>
      <c r="BS183" s="102"/>
      <c r="BT183" s="102"/>
      <c r="BU183" s="103">
        <f t="shared" si="206"/>
        <v>0</v>
      </c>
      <c r="BV183" s="77">
        <f t="shared" si="186"/>
        <v>0</v>
      </c>
      <c r="BW183" s="96">
        <f t="shared" si="187"/>
        <v>0</v>
      </c>
      <c r="BX183" s="96">
        <f t="shared" si="207"/>
        <v>0</v>
      </c>
      <c r="BY183" s="96">
        <f t="shared" si="188"/>
        <v>0</v>
      </c>
      <c r="BZ183" s="96" t="e">
        <f t="shared" si="208"/>
        <v>#NUM!</v>
      </c>
      <c r="CA183" s="96" t="e">
        <f t="shared" si="189"/>
        <v>#NUM!</v>
      </c>
      <c r="CB183" s="104" t="e">
        <f t="shared" si="209"/>
        <v>#NUM!</v>
      </c>
      <c r="CC183" s="105">
        <f t="shared" si="237"/>
        <v>3.4123378306977266</v>
      </c>
      <c r="CD183" s="106">
        <f t="shared" si="238"/>
        <v>99.090827450742069</v>
      </c>
      <c r="CE183" s="107">
        <f t="shared" si="239"/>
        <v>1.4863624117611309</v>
      </c>
      <c r="CF183" s="108" t="s">
        <v>2189</v>
      </c>
      <c r="CG183" s="108" t="s">
        <v>2189</v>
      </c>
      <c r="CH183" s="108" t="s">
        <v>2189</v>
      </c>
      <c r="CI183" s="108" t="s">
        <v>2189</v>
      </c>
      <c r="CJ183" s="109"/>
      <c r="CM183" s="111">
        <f t="shared" si="210"/>
        <v>25</v>
      </c>
      <c r="CN183" s="107">
        <f t="shared" si="240"/>
        <v>0.375</v>
      </c>
      <c r="CP183" s="88">
        <f t="shared" si="211"/>
        <v>0</v>
      </c>
      <c r="CQ183" s="78">
        <f t="shared" si="212"/>
        <v>100</v>
      </c>
      <c r="CR183" s="79">
        <f t="shared" si="241"/>
        <v>3</v>
      </c>
      <c r="CS183" s="92"/>
      <c r="CT183" s="77">
        <f t="shared" si="190"/>
        <v>0</v>
      </c>
      <c r="CU183" s="78">
        <f t="shared" si="213"/>
        <v>100</v>
      </c>
      <c r="CV183" s="79">
        <f t="shared" si="242"/>
        <v>2</v>
      </c>
      <c r="CW183" s="112" t="e">
        <f t="shared" si="214"/>
        <v>#DIV/0!</v>
      </c>
    </row>
    <row r="184" spans="1:101" x14ac:dyDescent="0.35">
      <c r="A184" s="43" t="s">
        <v>1197</v>
      </c>
      <c r="B184" s="8" t="s">
        <v>1198</v>
      </c>
      <c r="C184" s="21" t="s">
        <v>1199</v>
      </c>
      <c r="D184" s="10" t="s">
        <v>141</v>
      </c>
      <c r="E184" s="11" t="s">
        <v>1200</v>
      </c>
      <c r="F184" s="11" t="s">
        <v>1201</v>
      </c>
      <c r="G184" s="12">
        <v>30905</v>
      </c>
      <c r="H184" s="11" t="s">
        <v>24</v>
      </c>
      <c r="I184" s="11" t="s">
        <v>1202</v>
      </c>
      <c r="J184" s="11" t="s">
        <v>1203</v>
      </c>
      <c r="K184" s="11" t="s">
        <v>27</v>
      </c>
      <c r="L184" s="23">
        <v>150922633</v>
      </c>
      <c r="M184" s="14">
        <v>52979361</v>
      </c>
      <c r="N184" s="14">
        <v>97943272</v>
      </c>
      <c r="O184" s="14">
        <v>457295501</v>
      </c>
      <c r="P184" s="14">
        <v>13985109</v>
      </c>
      <c r="Q184" s="14">
        <v>16291509</v>
      </c>
      <c r="R184" s="14">
        <v>13892645</v>
      </c>
      <c r="AB184" s="74">
        <f t="shared" si="215"/>
        <v>0</v>
      </c>
      <c r="AC184" s="75" t="e">
        <f t="shared" si="191"/>
        <v>#DIV/0!</v>
      </c>
      <c r="AD184" s="75" t="e">
        <f t="shared" si="216"/>
        <v>#DIV/0!</v>
      </c>
      <c r="AE184" s="76" t="e">
        <f t="shared" si="231"/>
        <v>#DIV/0!</v>
      </c>
      <c r="AF184" s="77" t="e">
        <f t="shared" si="192"/>
        <v>#DIV/0!</v>
      </c>
      <c r="AG184" s="77" t="e">
        <f t="shared" si="193"/>
        <v>#DIV/0!</v>
      </c>
      <c r="AH184" s="77" t="e">
        <f t="shared" si="217"/>
        <v>#DIV/0!</v>
      </c>
      <c r="AI184" s="78" t="e">
        <f t="shared" si="218"/>
        <v>#DIV/0!</v>
      </c>
      <c r="AJ184" s="79" t="e">
        <f t="shared" si="232"/>
        <v>#DIV/0!</v>
      </c>
      <c r="AN184" s="81">
        <f t="shared" si="178"/>
        <v>0</v>
      </c>
      <c r="AO184" s="82" t="e">
        <f t="shared" si="179"/>
        <v>#DIV/0!</v>
      </c>
      <c r="AP184" s="83" t="e">
        <f t="shared" si="194"/>
        <v>#DIV/0!</v>
      </c>
      <c r="AQ184" s="84" t="e">
        <f t="shared" si="233"/>
        <v>#DIV/0!</v>
      </c>
      <c r="AS184" s="86">
        <f t="shared" si="180"/>
        <v>0.25</v>
      </c>
      <c r="AT184" s="87">
        <f t="shared" si="195"/>
        <v>0</v>
      </c>
      <c r="AU184" s="87">
        <f t="shared" si="196"/>
        <v>0</v>
      </c>
      <c r="AV184" s="88" t="e">
        <f t="shared" si="181"/>
        <v>#DIV/0!</v>
      </c>
      <c r="AW184" s="78" t="e">
        <f t="shared" si="197"/>
        <v>#DIV/0!</v>
      </c>
      <c r="AX184" s="89" t="e">
        <f t="shared" si="234"/>
        <v>#DIV/0!</v>
      </c>
      <c r="BA184" s="91">
        <f t="shared" si="182"/>
        <v>0</v>
      </c>
      <c r="BB184" s="77" t="e">
        <f t="shared" si="198"/>
        <v>#DIV/0!</v>
      </c>
      <c r="BC184" s="78" t="e">
        <f t="shared" si="199"/>
        <v>#DIV/0!</v>
      </c>
      <c r="BD184" s="79" t="e">
        <f t="shared" si="235"/>
        <v>#DIV/0!</v>
      </c>
      <c r="BE184" s="132"/>
      <c r="BF184" s="132"/>
      <c r="BG184" s="133">
        <f>247015*'[1]1-1. 관계사체무보증금액 (환율 등)'!B4/1000</f>
        <v>312677.21518987342</v>
      </c>
      <c r="BH184" s="94">
        <f t="shared" si="183"/>
        <v>0</v>
      </c>
      <c r="BI184" s="77" t="e">
        <f t="shared" si="184"/>
        <v>#DIV/0!</v>
      </c>
      <c r="BJ184" s="95" t="str">
        <f t="shared" si="200"/>
        <v>전기전자/기계업</v>
      </c>
      <c r="BK184" s="96" t="e">
        <f t="shared" si="185"/>
        <v>#DIV/0!</v>
      </c>
      <c r="BL184" s="97" t="e">
        <f t="shared" si="201"/>
        <v>#DIV/0!</v>
      </c>
      <c r="BM184" s="98" t="e">
        <f t="shared" si="202"/>
        <v>#DIV/0!</v>
      </c>
      <c r="BN184" s="99" t="e">
        <f t="shared" si="203"/>
        <v>#DIV/0!</v>
      </c>
      <c r="BO184" s="133"/>
      <c r="BP184" s="101">
        <f t="shared" si="204"/>
        <v>0</v>
      </c>
      <c r="BQ184" s="78">
        <f t="shared" si="205"/>
        <v>25</v>
      </c>
      <c r="BR184" s="79">
        <f t="shared" si="236"/>
        <v>0.5</v>
      </c>
      <c r="BS184" s="134"/>
      <c r="BT184" s="134"/>
      <c r="BU184" s="103">
        <f t="shared" si="206"/>
        <v>0</v>
      </c>
      <c r="BV184" s="77">
        <f t="shared" si="186"/>
        <v>0</v>
      </c>
      <c r="BW184" s="96">
        <f t="shared" si="187"/>
        <v>0</v>
      </c>
      <c r="BX184" s="96">
        <f t="shared" si="207"/>
        <v>0</v>
      </c>
      <c r="BY184" s="96">
        <f t="shared" si="188"/>
        <v>0</v>
      </c>
      <c r="BZ184" s="96" t="e">
        <f t="shared" si="208"/>
        <v>#NUM!</v>
      </c>
      <c r="CA184" s="96" t="e">
        <f t="shared" si="189"/>
        <v>#NUM!</v>
      </c>
      <c r="CB184" s="104" t="e">
        <f t="shared" si="209"/>
        <v>#NUM!</v>
      </c>
      <c r="CC184" s="105">
        <f t="shared" si="237"/>
        <v>54.091883922358655</v>
      </c>
      <c r="CD184" s="106">
        <f t="shared" si="238"/>
        <v>79.990496009161319</v>
      </c>
      <c r="CE184" s="107">
        <f t="shared" si="239"/>
        <v>1.1998574401374198</v>
      </c>
      <c r="CF184" s="108" t="s">
        <v>2189</v>
      </c>
      <c r="CG184" s="108" t="s">
        <v>2189</v>
      </c>
      <c r="CH184" s="108" t="s">
        <v>2189</v>
      </c>
      <c r="CI184" s="108" t="s">
        <v>2189</v>
      </c>
      <c r="CJ184" s="109"/>
      <c r="CM184" s="111">
        <f t="shared" si="210"/>
        <v>25</v>
      </c>
      <c r="CN184" s="107">
        <f t="shared" si="240"/>
        <v>0.375</v>
      </c>
      <c r="CP184" s="88">
        <f t="shared" si="211"/>
        <v>0</v>
      </c>
      <c r="CQ184" s="78">
        <f t="shared" si="212"/>
        <v>100</v>
      </c>
      <c r="CR184" s="79">
        <f t="shared" si="241"/>
        <v>3</v>
      </c>
      <c r="CS184" s="92"/>
      <c r="CT184" s="77">
        <f t="shared" si="190"/>
        <v>0</v>
      </c>
      <c r="CU184" s="78">
        <f t="shared" si="213"/>
        <v>100</v>
      </c>
      <c r="CV184" s="79">
        <f t="shared" si="242"/>
        <v>2</v>
      </c>
      <c r="CW184" s="112" t="e">
        <f t="shared" si="214"/>
        <v>#DIV/0!</v>
      </c>
    </row>
    <row r="185" spans="1:101" x14ac:dyDescent="0.35">
      <c r="A185" s="7" t="s">
        <v>1204</v>
      </c>
      <c r="B185" s="8" t="s">
        <v>1205</v>
      </c>
      <c r="C185" s="21" t="s">
        <v>1206</v>
      </c>
      <c r="D185" s="10" t="s">
        <v>75</v>
      </c>
      <c r="E185" s="11" t="s">
        <v>1187</v>
      </c>
      <c r="F185" s="11" t="s">
        <v>1207</v>
      </c>
      <c r="G185" s="12">
        <v>41584</v>
      </c>
      <c r="H185" s="11" t="s">
        <v>24</v>
      </c>
      <c r="I185" s="11" t="s">
        <v>1208</v>
      </c>
      <c r="J185" s="11" t="s">
        <v>1209</v>
      </c>
      <c r="K185" s="11" t="s">
        <v>27</v>
      </c>
      <c r="L185" s="23">
        <v>1177294529</v>
      </c>
      <c r="M185" s="14">
        <v>334705711</v>
      </c>
      <c r="N185" s="14">
        <v>842588818</v>
      </c>
      <c r="O185" s="14">
        <v>479630807</v>
      </c>
      <c r="P185" s="14">
        <v>74104110</v>
      </c>
      <c r="Q185" s="14">
        <v>65510324</v>
      </c>
      <c r="R185" s="14">
        <v>49527867</v>
      </c>
      <c r="AB185" s="74">
        <f t="shared" si="215"/>
        <v>0</v>
      </c>
      <c r="AC185" s="75" t="e">
        <f t="shared" si="191"/>
        <v>#DIV/0!</v>
      </c>
      <c r="AD185" s="75" t="e">
        <f t="shared" si="216"/>
        <v>#DIV/0!</v>
      </c>
      <c r="AE185" s="76" t="e">
        <f t="shared" si="231"/>
        <v>#DIV/0!</v>
      </c>
      <c r="AF185" s="77" t="e">
        <f t="shared" si="192"/>
        <v>#DIV/0!</v>
      </c>
      <c r="AG185" s="77" t="e">
        <f t="shared" si="193"/>
        <v>#DIV/0!</v>
      </c>
      <c r="AH185" s="77" t="e">
        <f t="shared" si="217"/>
        <v>#DIV/0!</v>
      </c>
      <c r="AI185" s="78" t="e">
        <f t="shared" si="218"/>
        <v>#DIV/0!</v>
      </c>
      <c r="AJ185" s="79" t="e">
        <f t="shared" si="232"/>
        <v>#DIV/0!</v>
      </c>
      <c r="AN185" s="81">
        <f t="shared" si="178"/>
        <v>0</v>
      </c>
      <c r="AO185" s="82" t="e">
        <f t="shared" si="179"/>
        <v>#DIV/0!</v>
      </c>
      <c r="AP185" s="83" t="e">
        <f t="shared" si="194"/>
        <v>#DIV/0!</v>
      </c>
      <c r="AQ185" s="84" t="e">
        <f t="shared" si="233"/>
        <v>#DIV/0!</v>
      </c>
      <c r="AS185" s="86">
        <f t="shared" si="180"/>
        <v>0.25</v>
      </c>
      <c r="AT185" s="87">
        <f t="shared" si="195"/>
        <v>0</v>
      </c>
      <c r="AU185" s="87">
        <f t="shared" si="196"/>
        <v>0</v>
      </c>
      <c r="AV185" s="88" t="e">
        <f t="shared" si="181"/>
        <v>#DIV/0!</v>
      </c>
      <c r="AW185" s="78" t="e">
        <f t="shared" si="197"/>
        <v>#DIV/0!</v>
      </c>
      <c r="AX185" s="89" t="e">
        <f t="shared" si="234"/>
        <v>#DIV/0!</v>
      </c>
      <c r="BA185" s="91">
        <f t="shared" si="182"/>
        <v>0</v>
      </c>
      <c r="BB185" s="77" t="e">
        <f t="shared" si="198"/>
        <v>#DIV/0!</v>
      </c>
      <c r="BC185" s="78" t="e">
        <f t="shared" si="199"/>
        <v>#DIV/0!</v>
      </c>
      <c r="BD185" s="79" t="e">
        <f t="shared" si="235"/>
        <v>#DIV/0!</v>
      </c>
      <c r="BE185" s="92"/>
      <c r="BF185" s="92"/>
      <c r="BG185" s="114">
        <v>1244363</v>
      </c>
      <c r="BH185" s="94">
        <f t="shared" si="183"/>
        <v>0</v>
      </c>
      <c r="BI185" s="77" t="e">
        <f t="shared" si="184"/>
        <v>#DIV/0!</v>
      </c>
      <c r="BJ185" s="95" t="str">
        <f t="shared" si="200"/>
        <v>금속/비금속/화학업</v>
      </c>
      <c r="BK185" s="96" t="e">
        <f t="shared" si="185"/>
        <v>#DIV/0!</v>
      </c>
      <c r="BL185" s="97" t="e">
        <f t="shared" si="201"/>
        <v>#DIV/0!</v>
      </c>
      <c r="BM185" s="98" t="e">
        <f t="shared" si="202"/>
        <v>#DIV/0!</v>
      </c>
      <c r="BN185" s="99" t="e">
        <f t="shared" si="203"/>
        <v>#DIV/0!</v>
      </c>
      <c r="BP185" s="101">
        <f t="shared" si="204"/>
        <v>0</v>
      </c>
      <c r="BQ185" s="78">
        <f t="shared" si="205"/>
        <v>25</v>
      </c>
      <c r="BR185" s="79">
        <f t="shared" si="236"/>
        <v>0.5</v>
      </c>
      <c r="BS185" s="102"/>
      <c r="BT185" s="102"/>
      <c r="BU185" s="103">
        <f t="shared" si="206"/>
        <v>0</v>
      </c>
      <c r="BV185" s="77">
        <f t="shared" si="186"/>
        <v>0</v>
      </c>
      <c r="BW185" s="96">
        <f t="shared" si="187"/>
        <v>0</v>
      </c>
      <c r="BX185" s="96">
        <f t="shared" si="207"/>
        <v>0</v>
      </c>
      <c r="BY185" s="96">
        <f t="shared" si="188"/>
        <v>0</v>
      </c>
      <c r="BZ185" s="96" t="e">
        <f t="shared" si="208"/>
        <v>#NUM!</v>
      </c>
      <c r="CA185" s="96" t="e">
        <f t="shared" si="189"/>
        <v>#NUM!</v>
      </c>
      <c r="CB185" s="104" t="e">
        <f t="shared" si="209"/>
        <v>#NUM!</v>
      </c>
      <c r="CC185" s="105">
        <f t="shared" si="237"/>
        <v>39.723493102420925</v>
      </c>
      <c r="CD185" s="106">
        <f t="shared" si="238"/>
        <v>85.40571867999212</v>
      </c>
      <c r="CE185" s="107">
        <f t="shared" si="239"/>
        <v>1.2810857801998818</v>
      </c>
      <c r="CF185" s="108" t="s">
        <v>2189</v>
      </c>
      <c r="CG185" s="108" t="s">
        <v>2189</v>
      </c>
      <c r="CH185" s="108" t="s">
        <v>2189</v>
      </c>
      <c r="CI185" s="108" t="s">
        <v>2189</v>
      </c>
      <c r="CJ185" s="109"/>
      <c r="CM185" s="111">
        <f t="shared" si="210"/>
        <v>25</v>
      </c>
      <c r="CN185" s="107">
        <f t="shared" si="240"/>
        <v>0.375</v>
      </c>
      <c r="CP185" s="88">
        <f t="shared" si="211"/>
        <v>0</v>
      </c>
      <c r="CQ185" s="78">
        <f t="shared" si="212"/>
        <v>100</v>
      </c>
      <c r="CR185" s="79">
        <f t="shared" si="241"/>
        <v>3</v>
      </c>
      <c r="CS185" s="92"/>
      <c r="CT185" s="77">
        <f t="shared" si="190"/>
        <v>0</v>
      </c>
      <c r="CU185" s="78">
        <f t="shared" si="213"/>
        <v>100</v>
      </c>
      <c r="CV185" s="79">
        <f t="shared" si="242"/>
        <v>2</v>
      </c>
      <c r="CW185" s="112" t="e">
        <f t="shared" si="214"/>
        <v>#DIV/0!</v>
      </c>
    </row>
    <row r="186" spans="1:101" x14ac:dyDescent="0.35">
      <c r="A186" s="7" t="s">
        <v>1210</v>
      </c>
      <c r="B186" s="8" t="s">
        <v>1211</v>
      </c>
      <c r="C186" s="21" t="s">
        <v>1212</v>
      </c>
      <c r="D186" s="10" t="s">
        <v>31</v>
      </c>
      <c r="E186" s="11" t="s">
        <v>1129</v>
      </c>
      <c r="F186" s="11" t="s">
        <v>1213</v>
      </c>
      <c r="G186" s="12">
        <v>32492</v>
      </c>
      <c r="H186" s="11" t="s">
        <v>24</v>
      </c>
      <c r="I186" s="11" t="s">
        <v>1214</v>
      </c>
      <c r="J186" s="11" t="s">
        <v>1215</v>
      </c>
      <c r="K186" s="11" t="s">
        <v>27</v>
      </c>
      <c r="L186" s="23">
        <v>790607841</v>
      </c>
      <c r="M186" s="14">
        <v>88403731</v>
      </c>
      <c r="N186" s="14">
        <v>702204110</v>
      </c>
      <c r="O186" s="14">
        <v>598684604</v>
      </c>
      <c r="P186" s="14">
        <v>76947409</v>
      </c>
      <c r="Q186" s="14">
        <v>87571953</v>
      </c>
      <c r="R186" s="14">
        <v>64953978</v>
      </c>
      <c r="AB186" s="74">
        <f t="shared" si="215"/>
        <v>0</v>
      </c>
      <c r="AC186" s="75" t="e">
        <f t="shared" si="191"/>
        <v>#DIV/0!</v>
      </c>
      <c r="AD186" s="75" t="e">
        <f t="shared" si="216"/>
        <v>#DIV/0!</v>
      </c>
      <c r="AE186" s="76" t="e">
        <f t="shared" si="231"/>
        <v>#DIV/0!</v>
      </c>
      <c r="AF186" s="77" t="e">
        <f t="shared" si="192"/>
        <v>#DIV/0!</v>
      </c>
      <c r="AG186" s="77" t="e">
        <f t="shared" si="193"/>
        <v>#DIV/0!</v>
      </c>
      <c r="AH186" s="77" t="e">
        <f t="shared" si="217"/>
        <v>#DIV/0!</v>
      </c>
      <c r="AI186" s="78" t="e">
        <f t="shared" si="218"/>
        <v>#DIV/0!</v>
      </c>
      <c r="AJ186" s="79" t="e">
        <f t="shared" si="232"/>
        <v>#DIV/0!</v>
      </c>
      <c r="AM186" s="80"/>
      <c r="AN186" s="81">
        <f t="shared" si="178"/>
        <v>0</v>
      </c>
      <c r="AO186" s="82" t="e">
        <f t="shared" si="179"/>
        <v>#DIV/0!</v>
      </c>
      <c r="AP186" s="83" t="e">
        <f t="shared" si="194"/>
        <v>#DIV/0!</v>
      </c>
      <c r="AQ186" s="84" t="e">
        <f t="shared" si="233"/>
        <v>#DIV/0!</v>
      </c>
      <c r="AS186" s="86">
        <f t="shared" si="180"/>
        <v>0.25</v>
      </c>
      <c r="AT186" s="87">
        <f t="shared" si="195"/>
        <v>0</v>
      </c>
      <c r="AU186" s="87">
        <f t="shared" si="196"/>
        <v>0</v>
      </c>
      <c r="AV186" s="88" t="e">
        <f t="shared" si="181"/>
        <v>#DIV/0!</v>
      </c>
      <c r="AW186" s="78" t="e">
        <f t="shared" si="197"/>
        <v>#DIV/0!</v>
      </c>
      <c r="AX186" s="89" t="e">
        <f t="shared" si="234"/>
        <v>#DIV/0!</v>
      </c>
      <c r="BA186" s="91">
        <f t="shared" si="182"/>
        <v>0</v>
      </c>
      <c r="BB186" s="77" t="e">
        <f t="shared" si="198"/>
        <v>#DIV/0!</v>
      </c>
      <c r="BC186" s="78" t="e">
        <f t="shared" si="199"/>
        <v>#DIV/0!</v>
      </c>
      <c r="BD186" s="79" t="e">
        <f t="shared" si="235"/>
        <v>#DIV/0!</v>
      </c>
      <c r="BE186" s="92"/>
      <c r="BF186" s="92"/>
      <c r="BG186" s="114">
        <v>176974.041</v>
      </c>
      <c r="BH186" s="94">
        <f t="shared" si="183"/>
        <v>0</v>
      </c>
      <c r="BI186" s="77" t="e">
        <f t="shared" si="184"/>
        <v>#DIV/0!</v>
      </c>
      <c r="BJ186" s="95" t="str">
        <f t="shared" si="200"/>
        <v>식약/섬유/종이업</v>
      </c>
      <c r="BK186" s="96" t="e">
        <f t="shared" si="185"/>
        <v>#DIV/0!</v>
      </c>
      <c r="BL186" s="97" t="e">
        <f t="shared" si="201"/>
        <v>#DIV/0!</v>
      </c>
      <c r="BM186" s="98" t="e">
        <f t="shared" si="202"/>
        <v>#DIV/0!</v>
      </c>
      <c r="BN186" s="99" t="e">
        <f t="shared" si="203"/>
        <v>#DIV/0!</v>
      </c>
      <c r="BP186" s="101">
        <f t="shared" si="204"/>
        <v>0</v>
      </c>
      <c r="BQ186" s="78">
        <f t="shared" si="205"/>
        <v>25</v>
      </c>
      <c r="BR186" s="79">
        <f t="shared" si="236"/>
        <v>0.5</v>
      </c>
      <c r="BS186" s="102"/>
      <c r="BT186" s="102"/>
      <c r="BU186" s="103">
        <f t="shared" si="206"/>
        <v>0</v>
      </c>
      <c r="BV186" s="77">
        <f t="shared" si="186"/>
        <v>0</v>
      </c>
      <c r="BW186" s="96">
        <f t="shared" si="187"/>
        <v>0</v>
      </c>
      <c r="BX186" s="96">
        <f t="shared" si="207"/>
        <v>0</v>
      </c>
      <c r="BY186" s="96">
        <f t="shared" si="188"/>
        <v>0</v>
      </c>
      <c r="BZ186" s="96" t="e">
        <f t="shared" si="208"/>
        <v>#NUM!</v>
      </c>
      <c r="CA186" s="96" t="e">
        <f t="shared" si="189"/>
        <v>#NUM!</v>
      </c>
      <c r="CB186" s="104" t="e">
        <f t="shared" si="209"/>
        <v>#NUM!</v>
      </c>
      <c r="CC186" s="105">
        <f t="shared" si="237"/>
        <v>12.589463624757194</v>
      </c>
      <c r="CD186" s="106">
        <f t="shared" si="238"/>
        <v>95.632111699212118</v>
      </c>
      <c r="CE186" s="107">
        <f t="shared" si="239"/>
        <v>1.4344816754881817</v>
      </c>
      <c r="CF186" s="108" t="s">
        <v>2189</v>
      </c>
      <c r="CG186" s="108" t="s">
        <v>2189</v>
      </c>
      <c r="CH186" s="108" t="s">
        <v>2189</v>
      </c>
      <c r="CI186" s="108" t="s">
        <v>2189</v>
      </c>
      <c r="CJ186" s="109"/>
      <c r="CM186" s="111">
        <f t="shared" si="210"/>
        <v>25</v>
      </c>
      <c r="CN186" s="107">
        <f t="shared" si="240"/>
        <v>0.375</v>
      </c>
      <c r="CP186" s="88">
        <f t="shared" si="211"/>
        <v>0</v>
      </c>
      <c r="CQ186" s="78">
        <f t="shared" si="212"/>
        <v>100</v>
      </c>
      <c r="CR186" s="79">
        <f t="shared" si="241"/>
        <v>3</v>
      </c>
      <c r="CS186" s="92"/>
      <c r="CT186" s="77">
        <f t="shared" si="190"/>
        <v>0</v>
      </c>
      <c r="CU186" s="78">
        <f t="shared" si="213"/>
        <v>100</v>
      </c>
      <c r="CV186" s="79">
        <f t="shared" si="242"/>
        <v>2</v>
      </c>
      <c r="CW186" s="112" t="e">
        <f t="shared" si="214"/>
        <v>#DIV/0!</v>
      </c>
    </row>
    <row r="187" spans="1:101" x14ac:dyDescent="0.35">
      <c r="A187" s="7" t="s">
        <v>1216</v>
      </c>
      <c r="B187" s="8" t="s">
        <v>1217</v>
      </c>
      <c r="C187" s="21" t="s">
        <v>1218</v>
      </c>
      <c r="D187" s="10" t="s">
        <v>21</v>
      </c>
      <c r="E187" s="11" t="s">
        <v>134</v>
      </c>
      <c r="F187" s="11" t="s">
        <v>1219</v>
      </c>
      <c r="G187" s="12">
        <v>40389</v>
      </c>
      <c r="H187" s="11" t="s">
        <v>24</v>
      </c>
      <c r="I187" s="11" t="s">
        <v>1220</v>
      </c>
      <c r="J187" s="11" t="s">
        <v>1221</v>
      </c>
      <c r="K187" s="11" t="s">
        <v>27</v>
      </c>
      <c r="L187" s="23">
        <v>825178689</v>
      </c>
      <c r="M187" s="14">
        <v>439685810</v>
      </c>
      <c r="N187" s="14">
        <v>385492879</v>
      </c>
      <c r="O187" s="14">
        <v>2678991235</v>
      </c>
      <c r="P187" s="14">
        <v>35714794</v>
      </c>
      <c r="Q187" s="14">
        <v>39761445</v>
      </c>
      <c r="R187" s="14">
        <v>36294420</v>
      </c>
      <c r="AB187" s="74">
        <f t="shared" si="215"/>
        <v>0</v>
      </c>
      <c r="AC187" s="75" t="e">
        <f t="shared" si="191"/>
        <v>#DIV/0!</v>
      </c>
      <c r="AD187" s="75" t="e">
        <f t="shared" si="216"/>
        <v>#DIV/0!</v>
      </c>
      <c r="AE187" s="76" t="e">
        <f t="shared" si="231"/>
        <v>#DIV/0!</v>
      </c>
      <c r="AF187" s="77" t="e">
        <f t="shared" si="192"/>
        <v>#DIV/0!</v>
      </c>
      <c r="AG187" s="77" t="e">
        <f t="shared" si="193"/>
        <v>#DIV/0!</v>
      </c>
      <c r="AH187" s="77" t="e">
        <f t="shared" si="217"/>
        <v>#DIV/0!</v>
      </c>
      <c r="AI187" s="78" t="e">
        <f t="shared" si="218"/>
        <v>#DIV/0!</v>
      </c>
      <c r="AJ187" s="79" t="e">
        <f t="shared" si="232"/>
        <v>#DIV/0!</v>
      </c>
      <c r="AM187" s="80"/>
      <c r="AN187" s="81">
        <f t="shared" si="178"/>
        <v>0</v>
      </c>
      <c r="AO187" s="82" t="e">
        <f t="shared" si="179"/>
        <v>#DIV/0!</v>
      </c>
      <c r="AP187" s="83" t="e">
        <f t="shared" si="194"/>
        <v>#DIV/0!</v>
      </c>
      <c r="AQ187" s="84" t="e">
        <f t="shared" si="233"/>
        <v>#DIV/0!</v>
      </c>
      <c r="AS187" s="86">
        <f t="shared" si="180"/>
        <v>0.25</v>
      </c>
      <c r="AT187" s="87">
        <f t="shared" si="195"/>
        <v>0</v>
      </c>
      <c r="AU187" s="87">
        <f t="shared" si="196"/>
        <v>0</v>
      </c>
      <c r="AV187" s="88" t="e">
        <f t="shared" si="181"/>
        <v>#DIV/0!</v>
      </c>
      <c r="AW187" s="78" t="e">
        <f t="shared" si="197"/>
        <v>#DIV/0!</v>
      </c>
      <c r="AX187" s="89" t="e">
        <f t="shared" si="234"/>
        <v>#DIV/0!</v>
      </c>
      <c r="BA187" s="91">
        <f t="shared" si="182"/>
        <v>0</v>
      </c>
      <c r="BB187" s="77" t="e">
        <f t="shared" si="198"/>
        <v>#DIV/0!</v>
      </c>
      <c r="BC187" s="78" t="e">
        <f t="shared" si="199"/>
        <v>#DIV/0!</v>
      </c>
      <c r="BD187" s="79" t="e">
        <f t="shared" si="235"/>
        <v>#DIV/0!</v>
      </c>
      <c r="BE187" s="92"/>
      <c r="BF187" s="92"/>
      <c r="BG187" s="114">
        <v>718512</v>
      </c>
      <c r="BH187" s="94">
        <f t="shared" si="183"/>
        <v>0</v>
      </c>
      <c r="BI187" s="77" t="e">
        <f t="shared" si="184"/>
        <v>#DIV/0!</v>
      </c>
      <c r="BJ187" s="95" t="str">
        <f t="shared" si="200"/>
        <v>비제조/서비스업</v>
      </c>
      <c r="BK187" s="96" t="e">
        <f t="shared" si="185"/>
        <v>#DIV/0!</v>
      </c>
      <c r="BL187" s="97" t="e">
        <f t="shared" si="201"/>
        <v>#DIV/0!</v>
      </c>
      <c r="BM187" s="98" t="e">
        <f t="shared" si="202"/>
        <v>#DIV/0!</v>
      </c>
      <c r="BN187" s="99" t="e">
        <f t="shared" si="203"/>
        <v>#DIV/0!</v>
      </c>
      <c r="BP187" s="101">
        <f t="shared" si="204"/>
        <v>0</v>
      </c>
      <c r="BQ187" s="78">
        <f t="shared" si="205"/>
        <v>25</v>
      </c>
      <c r="BR187" s="79">
        <f t="shared" si="236"/>
        <v>0.5</v>
      </c>
      <c r="BS187" s="102"/>
      <c r="BT187" s="102"/>
      <c r="BU187" s="103">
        <f t="shared" si="206"/>
        <v>0</v>
      </c>
      <c r="BV187" s="77">
        <f t="shared" si="186"/>
        <v>0</v>
      </c>
      <c r="BW187" s="96">
        <f t="shared" si="187"/>
        <v>0</v>
      </c>
      <c r="BX187" s="96">
        <f t="shared" si="207"/>
        <v>0</v>
      </c>
      <c r="BY187" s="96">
        <f t="shared" si="188"/>
        <v>0</v>
      </c>
      <c r="BZ187" s="96" t="e">
        <f t="shared" si="208"/>
        <v>#NUM!</v>
      </c>
      <c r="CA187" s="96" t="e">
        <f t="shared" si="189"/>
        <v>#NUM!</v>
      </c>
      <c r="CB187" s="104" t="e">
        <f t="shared" si="209"/>
        <v>#NUM!</v>
      </c>
      <c r="CC187" s="105">
        <f t="shared" si="237"/>
        <v>114.05808873579737</v>
      </c>
      <c r="CD187" s="106">
        <f t="shared" si="238"/>
        <v>57.390167561885413</v>
      </c>
      <c r="CE187" s="107">
        <f t="shared" si="239"/>
        <v>0.86085251342828117</v>
      </c>
      <c r="CF187" s="108" t="s">
        <v>2189</v>
      </c>
      <c r="CG187" s="108" t="s">
        <v>2189</v>
      </c>
      <c r="CH187" s="108" t="s">
        <v>2189</v>
      </c>
      <c r="CI187" s="108" t="s">
        <v>2189</v>
      </c>
      <c r="CJ187" s="109"/>
      <c r="CM187" s="111">
        <f t="shared" si="210"/>
        <v>25</v>
      </c>
      <c r="CN187" s="107">
        <f t="shared" si="240"/>
        <v>0.375</v>
      </c>
      <c r="CP187" s="88">
        <f t="shared" si="211"/>
        <v>0</v>
      </c>
      <c r="CQ187" s="78">
        <f t="shared" si="212"/>
        <v>100</v>
      </c>
      <c r="CR187" s="79">
        <f t="shared" si="241"/>
        <v>3</v>
      </c>
      <c r="CS187" s="92"/>
      <c r="CT187" s="77">
        <f t="shared" si="190"/>
        <v>0</v>
      </c>
      <c r="CU187" s="78">
        <f t="shared" si="213"/>
        <v>100</v>
      </c>
      <c r="CV187" s="79">
        <f t="shared" si="242"/>
        <v>2</v>
      </c>
      <c r="CW187" s="112" t="e">
        <f t="shared" si="214"/>
        <v>#DIV/0!</v>
      </c>
    </row>
    <row r="188" spans="1:101" x14ac:dyDescent="0.35">
      <c r="A188" s="7" t="s">
        <v>1222</v>
      </c>
      <c r="B188" s="8" t="s">
        <v>1223</v>
      </c>
      <c r="C188" s="21" t="s">
        <v>1224</v>
      </c>
      <c r="D188" s="22" t="s">
        <v>75</v>
      </c>
      <c r="E188" s="11" t="s">
        <v>1187</v>
      </c>
      <c r="F188" s="11" t="s">
        <v>1225</v>
      </c>
      <c r="G188" s="12">
        <v>31439</v>
      </c>
      <c r="H188" s="11" t="s">
        <v>24</v>
      </c>
      <c r="I188" s="11" t="s">
        <v>1226</v>
      </c>
      <c r="J188" s="11" t="s">
        <v>1227</v>
      </c>
      <c r="K188" s="11" t="s">
        <v>27</v>
      </c>
      <c r="L188" s="23">
        <v>3153017076</v>
      </c>
      <c r="M188" s="14">
        <v>1770069189</v>
      </c>
      <c r="N188" s="14">
        <v>1382947887</v>
      </c>
      <c r="O188" s="14">
        <v>1806485573</v>
      </c>
      <c r="P188" s="14">
        <v>305824732</v>
      </c>
      <c r="Q188" s="14">
        <v>260984230</v>
      </c>
      <c r="R188" s="14">
        <v>190493378</v>
      </c>
      <c r="AB188" s="74">
        <f t="shared" si="215"/>
        <v>0</v>
      </c>
      <c r="AC188" s="75" t="e">
        <f t="shared" si="191"/>
        <v>#DIV/0!</v>
      </c>
      <c r="AD188" s="75" t="e">
        <f t="shared" si="216"/>
        <v>#DIV/0!</v>
      </c>
      <c r="AE188" s="76" t="e">
        <f t="shared" si="231"/>
        <v>#DIV/0!</v>
      </c>
      <c r="AF188" s="77" t="e">
        <f t="shared" si="192"/>
        <v>#DIV/0!</v>
      </c>
      <c r="AG188" s="77" t="e">
        <f t="shared" si="193"/>
        <v>#DIV/0!</v>
      </c>
      <c r="AH188" s="77" t="e">
        <f t="shared" si="217"/>
        <v>#DIV/0!</v>
      </c>
      <c r="AI188" s="78" t="e">
        <f t="shared" si="218"/>
        <v>#DIV/0!</v>
      </c>
      <c r="AJ188" s="79" t="e">
        <f t="shared" si="232"/>
        <v>#DIV/0!</v>
      </c>
      <c r="AN188" s="81">
        <f t="shared" si="178"/>
        <v>0</v>
      </c>
      <c r="AO188" s="82" t="e">
        <f t="shared" si="179"/>
        <v>#DIV/0!</v>
      </c>
      <c r="AP188" s="83" t="e">
        <f t="shared" si="194"/>
        <v>#DIV/0!</v>
      </c>
      <c r="AQ188" s="84" t="e">
        <f t="shared" si="233"/>
        <v>#DIV/0!</v>
      </c>
      <c r="AS188" s="86">
        <f t="shared" si="180"/>
        <v>0.5</v>
      </c>
      <c r="AT188" s="87">
        <f t="shared" si="195"/>
        <v>0</v>
      </c>
      <c r="AU188" s="87">
        <f t="shared" si="196"/>
        <v>0</v>
      </c>
      <c r="AV188" s="88" t="e">
        <f t="shared" si="181"/>
        <v>#DIV/0!</v>
      </c>
      <c r="AW188" s="78" t="e">
        <f t="shared" si="197"/>
        <v>#DIV/0!</v>
      </c>
      <c r="AX188" s="89" t="e">
        <f t="shared" si="234"/>
        <v>#DIV/0!</v>
      </c>
      <c r="BA188" s="91">
        <f t="shared" si="182"/>
        <v>0</v>
      </c>
      <c r="BB188" s="77" t="e">
        <f t="shared" si="198"/>
        <v>#DIV/0!</v>
      </c>
      <c r="BC188" s="78" t="e">
        <f t="shared" si="199"/>
        <v>#DIV/0!</v>
      </c>
      <c r="BD188" s="79" t="e">
        <f t="shared" si="235"/>
        <v>#DIV/0!</v>
      </c>
      <c r="BE188" s="92"/>
      <c r="BF188" s="92"/>
      <c r="BG188" s="114">
        <v>2096664</v>
      </c>
      <c r="BH188" s="94">
        <f t="shared" si="183"/>
        <v>0</v>
      </c>
      <c r="BI188" s="77" t="e">
        <f t="shared" si="184"/>
        <v>#DIV/0!</v>
      </c>
      <c r="BJ188" s="95" t="str">
        <f t="shared" si="200"/>
        <v>금속/비금속/화학업</v>
      </c>
      <c r="BK188" s="96" t="e">
        <f t="shared" si="185"/>
        <v>#DIV/0!</v>
      </c>
      <c r="BL188" s="97" t="e">
        <f t="shared" si="201"/>
        <v>#DIV/0!</v>
      </c>
      <c r="BM188" s="98" t="e">
        <f t="shared" si="202"/>
        <v>#DIV/0!</v>
      </c>
      <c r="BN188" s="99" t="e">
        <f t="shared" si="203"/>
        <v>#DIV/0!</v>
      </c>
      <c r="BP188" s="101">
        <f t="shared" si="204"/>
        <v>0</v>
      </c>
      <c r="BQ188" s="78">
        <f t="shared" si="205"/>
        <v>25</v>
      </c>
      <c r="BR188" s="79">
        <f t="shared" si="236"/>
        <v>0.5</v>
      </c>
      <c r="BS188" s="102"/>
      <c r="BT188" s="102"/>
      <c r="BU188" s="103">
        <f t="shared" si="206"/>
        <v>0</v>
      </c>
      <c r="BV188" s="77">
        <f t="shared" si="186"/>
        <v>0</v>
      </c>
      <c r="BW188" s="96">
        <f t="shared" si="187"/>
        <v>0</v>
      </c>
      <c r="BX188" s="96">
        <f t="shared" si="207"/>
        <v>0</v>
      </c>
      <c r="BY188" s="96">
        <f t="shared" si="188"/>
        <v>0</v>
      </c>
      <c r="BZ188" s="96" t="e">
        <f t="shared" si="208"/>
        <v>#NUM!</v>
      </c>
      <c r="CA188" s="96" t="e">
        <f t="shared" si="189"/>
        <v>#NUM!</v>
      </c>
      <c r="CB188" s="104" t="e">
        <f t="shared" si="209"/>
        <v>#NUM!</v>
      </c>
      <c r="CC188" s="105">
        <f t="shared" si="237"/>
        <v>127.99247214150449</v>
      </c>
      <c r="CD188" s="106">
        <f t="shared" si="238"/>
        <v>52.138515524558606</v>
      </c>
      <c r="CE188" s="107">
        <f t="shared" si="239"/>
        <v>0.78207773286837912</v>
      </c>
      <c r="CF188" s="108" t="s">
        <v>2189</v>
      </c>
      <c r="CG188" s="108" t="s">
        <v>2189</v>
      </c>
      <c r="CH188" s="108" t="s">
        <v>2189</v>
      </c>
      <c r="CI188" s="108" t="s">
        <v>2189</v>
      </c>
      <c r="CJ188" s="109"/>
      <c r="CM188" s="111">
        <f t="shared" si="210"/>
        <v>25</v>
      </c>
      <c r="CN188" s="107">
        <f t="shared" si="240"/>
        <v>0.375</v>
      </c>
      <c r="CP188" s="88">
        <f t="shared" si="211"/>
        <v>0</v>
      </c>
      <c r="CQ188" s="78">
        <f t="shared" si="212"/>
        <v>100</v>
      </c>
      <c r="CR188" s="79">
        <f t="shared" si="241"/>
        <v>3</v>
      </c>
      <c r="CS188" s="92"/>
      <c r="CT188" s="77">
        <f t="shared" si="190"/>
        <v>0</v>
      </c>
      <c r="CU188" s="78">
        <f t="shared" si="213"/>
        <v>100</v>
      </c>
      <c r="CV188" s="79">
        <f t="shared" si="242"/>
        <v>2</v>
      </c>
      <c r="CW188" s="112" t="e">
        <f t="shared" si="214"/>
        <v>#DIV/0!</v>
      </c>
    </row>
    <row r="189" spans="1:101" x14ac:dyDescent="0.35">
      <c r="A189" s="7" t="s">
        <v>1228</v>
      </c>
      <c r="B189" s="8" t="s">
        <v>1229</v>
      </c>
      <c r="C189" s="21" t="s">
        <v>1230</v>
      </c>
      <c r="D189" s="10" t="s">
        <v>75</v>
      </c>
      <c r="E189" s="11" t="s">
        <v>149</v>
      </c>
      <c r="F189" s="11" t="s">
        <v>1231</v>
      </c>
      <c r="G189" s="12">
        <v>43181</v>
      </c>
      <c r="H189" s="11" t="s">
        <v>24</v>
      </c>
      <c r="I189" s="11" t="s">
        <v>1232</v>
      </c>
      <c r="J189" s="11" t="s">
        <v>1233</v>
      </c>
      <c r="K189" s="11" t="s">
        <v>27</v>
      </c>
      <c r="L189" s="23">
        <v>477316913</v>
      </c>
      <c r="M189" s="14">
        <v>117171080</v>
      </c>
      <c r="N189" s="14">
        <v>360145833</v>
      </c>
      <c r="O189" s="14">
        <v>589759237</v>
      </c>
      <c r="P189" s="14">
        <v>37545912</v>
      </c>
      <c r="Q189" s="14">
        <v>22571287</v>
      </c>
      <c r="R189" s="14">
        <v>16498602</v>
      </c>
      <c r="AB189" s="74">
        <f t="shared" si="215"/>
        <v>0</v>
      </c>
      <c r="AC189" s="75" t="e">
        <f t="shared" si="191"/>
        <v>#DIV/0!</v>
      </c>
      <c r="AD189" s="75" t="e">
        <f t="shared" si="216"/>
        <v>#DIV/0!</v>
      </c>
      <c r="AE189" s="76" t="e">
        <f t="shared" si="231"/>
        <v>#DIV/0!</v>
      </c>
      <c r="AF189" s="77" t="e">
        <f t="shared" si="192"/>
        <v>#DIV/0!</v>
      </c>
      <c r="AG189" s="77" t="e">
        <f t="shared" si="193"/>
        <v>#DIV/0!</v>
      </c>
      <c r="AH189" s="77" t="e">
        <f t="shared" si="217"/>
        <v>#DIV/0!</v>
      </c>
      <c r="AI189" s="78" t="e">
        <f t="shared" si="218"/>
        <v>#DIV/0!</v>
      </c>
      <c r="AJ189" s="79" t="e">
        <f t="shared" si="232"/>
        <v>#DIV/0!</v>
      </c>
      <c r="AN189" s="81">
        <f t="shared" si="178"/>
        <v>0</v>
      </c>
      <c r="AO189" s="82" t="e">
        <f t="shared" si="179"/>
        <v>#DIV/0!</v>
      </c>
      <c r="AP189" s="83" t="e">
        <f t="shared" si="194"/>
        <v>#DIV/0!</v>
      </c>
      <c r="AQ189" s="84" t="e">
        <f t="shared" si="233"/>
        <v>#DIV/0!</v>
      </c>
      <c r="AS189" s="86">
        <f t="shared" si="180"/>
        <v>0.25</v>
      </c>
      <c r="AT189" s="87">
        <f t="shared" si="195"/>
        <v>0</v>
      </c>
      <c r="AU189" s="87">
        <f t="shared" si="196"/>
        <v>0</v>
      </c>
      <c r="AV189" s="88" t="e">
        <f t="shared" si="181"/>
        <v>#DIV/0!</v>
      </c>
      <c r="AW189" s="78" t="e">
        <f t="shared" si="197"/>
        <v>#DIV/0!</v>
      </c>
      <c r="AX189" s="89" t="e">
        <f t="shared" si="234"/>
        <v>#DIV/0!</v>
      </c>
      <c r="BA189" s="91">
        <f t="shared" si="182"/>
        <v>0</v>
      </c>
      <c r="BB189" s="77" t="e">
        <f t="shared" si="198"/>
        <v>#DIV/0!</v>
      </c>
      <c r="BC189" s="78" t="e">
        <f t="shared" si="199"/>
        <v>#DIV/0!</v>
      </c>
      <c r="BD189" s="79" t="e">
        <f t="shared" si="235"/>
        <v>#DIV/0!</v>
      </c>
      <c r="BE189" s="92"/>
      <c r="BF189" s="92"/>
      <c r="BG189" s="114">
        <v>331019</v>
      </c>
      <c r="BH189" s="94">
        <f t="shared" si="183"/>
        <v>0</v>
      </c>
      <c r="BI189" s="77" t="e">
        <f t="shared" si="184"/>
        <v>#DIV/0!</v>
      </c>
      <c r="BJ189" s="95" t="str">
        <f t="shared" si="200"/>
        <v>금속/비금속/화학업</v>
      </c>
      <c r="BK189" s="96" t="e">
        <f t="shared" si="185"/>
        <v>#DIV/0!</v>
      </c>
      <c r="BL189" s="97" t="e">
        <f t="shared" si="201"/>
        <v>#DIV/0!</v>
      </c>
      <c r="BM189" s="98" t="e">
        <f t="shared" si="202"/>
        <v>#DIV/0!</v>
      </c>
      <c r="BN189" s="99" t="e">
        <f t="shared" si="203"/>
        <v>#DIV/0!</v>
      </c>
      <c r="BP189" s="101">
        <f t="shared" si="204"/>
        <v>0</v>
      </c>
      <c r="BQ189" s="78">
        <f t="shared" si="205"/>
        <v>25</v>
      </c>
      <c r="BR189" s="79">
        <f t="shared" si="236"/>
        <v>0.5</v>
      </c>
      <c r="BS189" s="102"/>
      <c r="BT189" s="102"/>
      <c r="BU189" s="103">
        <f t="shared" si="206"/>
        <v>0</v>
      </c>
      <c r="BV189" s="77">
        <f t="shared" si="186"/>
        <v>0</v>
      </c>
      <c r="BW189" s="96">
        <f t="shared" si="187"/>
        <v>0</v>
      </c>
      <c r="BX189" s="96">
        <f t="shared" si="207"/>
        <v>0</v>
      </c>
      <c r="BY189" s="96">
        <f t="shared" si="188"/>
        <v>0</v>
      </c>
      <c r="BZ189" s="96" t="e">
        <f t="shared" si="208"/>
        <v>#NUM!</v>
      </c>
      <c r="CA189" s="96" t="e">
        <f t="shared" si="189"/>
        <v>#NUM!</v>
      </c>
      <c r="CB189" s="104" t="e">
        <f t="shared" si="209"/>
        <v>#NUM!</v>
      </c>
      <c r="CC189" s="105">
        <f t="shared" si="237"/>
        <v>32.534342831060883</v>
      </c>
      <c r="CD189" s="106">
        <f t="shared" si="238"/>
        <v>88.115197425479565</v>
      </c>
      <c r="CE189" s="107">
        <f t="shared" si="239"/>
        <v>1.3217279613821935</v>
      </c>
      <c r="CF189" s="108" t="s">
        <v>2189</v>
      </c>
      <c r="CG189" s="108" t="s">
        <v>2189</v>
      </c>
      <c r="CH189" s="108" t="s">
        <v>2189</v>
      </c>
      <c r="CI189" s="108" t="s">
        <v>2189</v>
      </c>
      <c r="CJ189" s="109"/>
      <c r="CM189" s="111">
        <f t="shared" si="210"/>
        <v>25</v>
      </c>
      <c r="CN189" s="107">
        <f t="shared" si="240"/>
        <v>0.375</v>
      </c>
      <c r="CP189" s="88">
        <f t="shared" si="211"/>
        <v>0</v>
      </c>
      <c r="CQ189" s="78">
        <f t="shared" si="212"/>
        <v>100</v>
      </c>
      <c r="CR189" s="79">
        <f t="shared" si="241"/>
        <v>3</v>
      </c>
      <c r="CS189" s="92"/>
      <c r="CT189" s="77">
        <f t="shared" si="190"/>
        <v>0</v>
      </c>
      <c r="CU189" s="78">
        <f t="shared" si="213"/>
        <v>100</v>
      </c>
      <c r="CV189" s="79">
        <f t="shared" si="242"/>
        <v>2</v>
      </c>
      <c r="CW189" s="112" t="e">
        <f t="shared" si="214"/>
        <v>#DIV/0!</v>
      </c>
    </row>
    <row r="190" spans="1:101" x14ac:dyDescent="0.35">
      <c r="A190" s="7" t="s">
        <v>1234</v>
      </c>
      <c r="B190" s="8" t="s">
        <v>1235</v>
      </c>
      <c r="C190" s="21" t="s">
        <v>1236</v>
      </c>
      <c r="D190" s="10" t="s">
        <v>75</v>
      </c>
      <c r="E190" s="11" t="s">
        <v>76</v>
      </c>
      <c r="F190" s="11" t="s">
        <v>1237</v>
      </c>
      <c r="G190" s="12">
        <v>41169</v>
      </c>
      <c r="H190" s="11" t="s">
        <v>24</v>
      </c>
      <c r="I190" s="11" t="s">
        <v>1238</v>
      </c>
      <c r="J190" s="11" t="s">
        <v>1239</v>
      </c>
      <c r="K190" s="11" t="s">
        <v>27</v>
      </c>
      <c r="L190" s="23">
        <v>1062980988</v>
      </c>
      <c r="M190" s="14">
        <v>365498356</v>
      </c>
      <c r="N190" s="14">
        <v>697482632</v>
      </c>
      <c r="O190" s="14">
        <v>1712779790</v>
      </c>
      <c r="P190" s="14">
        <v>90523569</v>
      </c>
      <c r="Q190" s="14">
        <v>88392901</v>
      </c>
      <c r="R190" s="14">
        <v>56304809</v>
      </c>
      <c r="AB190" s="74">
        <f t="shared" si="215"/>
        <v>0</v>
      </c>
      <c r="AC190" s="75" t="e">
        <f t="shared" si="191"/>
        <v>#DIV/0!</v>
      </c>
      <c r="AD190" s="75" t="e">
        <f t="shared" si="216"/>
        <v>#DIV/0!</v>
      </c>
      <c r="AE190" s="76" t="e">
        <f t="shared" si="231"/>
        <v>#DIV/0!</v>
      </c>
      <c r="AF190" s="77" t="e">
        <f t="shared" si="192"/>
        <v>#DIV/0!</v>
      </c>
      <c r="AG190" s="77" t="e">
        <f t="shared" si="193"/>
        <v>#DIV/0!</v>
      </c>
      <c r="AH190" s="77" t="e">
        <f t="shared" si="217"/>
        <v>#DIV/0!</v>
      </c>
      <c r="AI190" s="78" t="e">
        <f t="shared" si="218"/>
        <v>#DIV/0!</v>
      </c>
      <c r="AJ190" s="79" t="e">
        <f t="shared" si="232"/>
        <v>#DIV/0!</v>
      </c>
      <c r="AN190" s="81">
        <f t="shared" si="178"/>
        <v>0</v>
      </c>
      <c r="AO190" s="82" t="e">
        <f t="shared" si="179"/>
        <v>#DIV/0!</v>
      </c>
      <c r="AP190" s="83" t="e">
        <f t="shared" si="194"/>
        <v>#DIV/0!</v>
      </c>
      <c r="AQ190" s="84" t="e">
        <f t="shared" si="233"/>
        <v>#DIV/0!</v>
      </c>
      <c r="AS190" s="86">
        <f t="shared" si="180"/>
        <v>0.25</v>
      </c>
      <c r="AT190" s="87">
        <f t="shared" si="195"/>
        <v>0</v>
      </c>
      <c r="AU190" s="87">
        <f t="shared" si="196"/>
        <v>0</v>
      </c>
      <c r="AV190" s="88" t="e">
        <f t="shared" si="181"/>
        <v>#DIV/0!</v>
      </c>
      <c r="AW190" s="78" t="e">
        <f t="shared" si="197"/>
        <v>#DIV/0!</v>
      </c>
      <c r="AX190" s="89" t="e">
        <f t="shared" si="234"/>
        <v>#DIV/0!</v>
      </c>
      <c r="BA190" s="91">
        <f t="shared" si="182"/>
        <v>0</v>
      </c>
      <c r="BB190" s="77" t="e">
        <f t="shared" si="198"/>
        <v>#DIV/0!</v>
      </c>
      <c r="BC190" s="78" t="e">
        <f t="shared" si="199"/>
        <v>#DIV/0!</v>
      </c>
      <c r="BD190" s="79" t="e">
        <f t="shared" si="235"/>
        <v>#DIV/0!</v>
      </c>
      <c r="BE190" s="92"/>
      <c r="BF190" s="92"/>
      <c r="BG190" s="114">
        <v>587789</v>
      </c>
      <c r="BH190" s="94">
        <f t="shared" si="183"/>
        <v>0</v>
      </c>
      <c r="BI190" s="77" t="e">
        <f t="shared" si="184"/>
        <v>#DIV/0!</v>
      </c>
      <c r="BJ190" s="95" t="str">
        <f t="shared" si="200"/>
        <v>금속/비금속/화학업</v>
      </c>
      <c r="BK190" s="96" t="e">
        <f t="shared" si="185"/>
        <v>#DIV/0!</v>
      </c>
      <c r="BL190" s="97" t="e">
        <f t="shared" si="201"/>
        <v>#DIV/0!</v>
      </c>
      <c r="BM190" s="98" t="e">
        <f t="shared" si="202"/>
        <v>#DIV/0!</v>
      </c>
      <c r="BN190" s="99" t="e">
        <f t="shared" si="203"/>
        <v>#DIV/0!</v>
      </c>
      <c r="BP190" s="101">
        <f t="shared" si="204"/>
        <v>0</v>
      </c>
      <c r="BQ190" s="78">
        <f t="shared" si="205"/>
        <v>25</v>
      </c>
      <c r="BR190" s="79">
        <f t="shared" si="236"/>
        <v>0.5</v>
      </c>
      <c r="BS190" s="102"/>
      <c r="BT190" s="102"/>
      <c r="BU190" s="103">
        <f t="shared" si="206"/>
        <v>0</v>
      </c>
      <c r="BV190" s="77">
        <f t="shared" si="186"/>
        <v>0</v>
      </c>
      <c r="BW190" s="96">
        <f t="shared" si="187"/>
        <v>0</v>
      </c>
      <c r="BX190" s="96">
        <f t="shared" si="207"/>
        <v>0</v>
      </c>
      <c r="BY190" s="96">
        <f t="shared" si="188"/>
        <v>0</v>
      </c>
      <c r="BZ190" s="96" t="e">
        <f t="shared" si="208"/>
        <v>#NUM!</v>
      </c>
      <c r="CA190" s="96" t="e">
        <f t="shared" si="189"/>
        <v>#NUM!</v>
      </c>
      <c r="CB190" s="104" t="e">
        <f t="shared" si="209"/>
        <v>#NUM!</v>
      </c>
      <c r="CC190" s="105">
        <f t="shared" si="237"/>
        <v>52.402502833934363</v>
      </c>
      <c r="CD190" s="106">
        <f t="shared" si="238"/>
        <v>80.627197424396599</v>
      </c>
      <c r="CE190" s="107">
        <f t="shared" si="239"/>
        <v>1.209407961365949</v>
      </c>
      <c r="CF190" s="108" t="s">
        <v>2189</v>
      </c>
      <c r="CG190" s="108" t="s">
        <v>2189</v>
      </c>
      <c r="CH190" s="108" t="s">
        <v>2189</v>
      </c>
      <c r="CI190" s="108" t="s">
        <v>2189</v>
      </c>
      <c r="CJ190" s="109"/>
      <c r="CM190" s="111">
        <f t="shared" si="210"/>
        <v>25</v>
      </c>
      <c r="CN190" s="107">
        <f t="shared" si="240"/>
        <v>0.375</v>
      </c>
      <c r="CP190" s="88">
        <f t="shared" si="211"/>
        <v>0</v>
      </c>
      <c r="CQ190" s="78">
        <f t="shared" si="212"/>
        <v>100</v>
      </c>
      <c r="CR190" s="79">
        <f t="shared" si="241"/>
        <v>3</v>
      </c>
      <c r="CS190" s="92"/>
      <c r="CT190" s="77">
        <f t="shared" si="190"/>
        <v>0</v>
      </c>
      <c r="CU190" s="78">
        <f t="shared" si="213"/>
        <v>100</v>
      </c>
      <c r="CV190" s="79">
        <f t="shared" si="242"/>
        <v>2</v>
      </c>
      <c r="CW190" s="112" t="e">
        <f t="shared" si="214"/>
        <v>#DIV/0!</v>
      </c>
    </row>
    <row r="191" spans="1:101" x14ac:dyDescent="0.35">
      <c r="A191" s="7" t="s">
        <v>1240</v>
      </c>
      <c r="B191" s="8" t="s">
        <v>1241</v>
      </c>
      <c r="C191" s="21" t="s">
        <v>1242</v>
      </c>
      <c r="D191" s="22" t="s">
        <v>141</v>
      </c>
      <c r="E191" s="11" t="s">
        <v>639</v>
      </c>
      <c r="F191" s="11" t="s">
        <v>1243</v>
      </c>
      <c r="G191" s="12">
        <v>44393</v>
      </c>
      <c r="H191" s="11" t="s">
        <v>24</v>
      </c>
      <c r="I191" s="11" t="s">
        <v>1244</v>
      </c>
      <c r="J191" s="11" t="s">
        <v>1245</v>
      </c>
      <c r="K191" s="11" t="s">
        <v>50</v>
      </c>
      <c r="L191" s="23">
        <v>3184712423</v>
      </c>
      <c r="M191" s="14">
        <v>268563685</v>
      </c>
      <c r="N191" s="14">
        <v>2916148739</v>
      </c>
      <c r="O191" s="14">
        <v>2820638098</v>
      </c>
      <c r="P191" s="14">
        <v>1115338664</v>
      </c>
      <c r="Q191" s="14">
        <v>1224820701</v>
      </c>
      <c r="R191" s="14">
        <v>903927973</v>
      </c>
      <c r="AB191" s="74">
        <f t="shared" si="215"/>
        <v>0</v>
      </c>
      <c r="AC191" s="75" t="e">
        <f t="shared" si="191"/>
        <v>#DIV/0!</v>
      </c>
      <c r="AD191" s="75" t="e">
        <f t="shared" si="216"/>
        <v>#DIV/0!</v>
      </c>
      <c r="AE191" s="76" t="e">
        <f t="shared" si="231"/>
        <v>#DIV/0!</v>
      </c>
      <c r="AF191" s="77" t="e">
        <f t="shared" si="192"/>
        <v>#DIV/0!</v>
      </c>
      <c r="AG191" s="77" t="e">
        <f t="shared" si="193"/>
        <v>#DIV/0!</v>
      </c>
      <c r="AH191" s="77" t="e">
        <f t="shared" si="217"/>
        <v>#DIV/0!</v>
      </c>
      <c r="AI191" s="78" t="e">
        <f t="shared" si="218"/>
        <v>#DIV/0!</v>
      </c>
      <c r="AJ191" s="79" t="e">
        <f t="shared" si="232"/>
        <v>#DIV/0!</v>
      </c>
      <c r="AN191" s="81">
        <f t="shared" si="178"/>
        <v>0</v>
      </c>
      <c r="AO191" s="82" t="e">
        <f t="shared" si="179"/>
        <v>#DIV/0!</v>
      </c>
      <c r="AP191" s="83" t="e">
        <f t="shared" si="194"/>
        <v>#DIV/0!</v>
      </c>
      <c r="AQ191" s="84" t="e">
        <f t="shared" si="233"/>
        <v>#DIV/0!</v>
      </c>
      <c r="AS191" s="86">
        <f t="shared" si="180"/>
        <v>0.5</v>
      </c>
      <c r="AT191" s="87">
        <f t="shared" si="195"/>
        <v>0</v>
      </c>
      <c r="AU191" s="87">
        <f t="shared" si="196"/>
        <v>0</v>
      </c>
      <c r="AV191" s="88" t="e">
        <f t="shared" si="181"/>
        <v>#DIV/0!</v>
      </c>
      <c r="AW191" s="78" t="e">
        <f t="shared" si="197"/>
        <v>#DIV/0!</v>
      </c>
      <c r="AX191" s="89" t="e">
        <f t="shared" si="234"/>
        <v>#DIV/0!</v>
      </c>
      <c r="BA191" s="91">
        <f t="shared" si="182"/>
        <v>0</v>
      </c>
      <c r="BB191" s="77" t="e">
        <f t="shared" si="198"/>
        <v>#DIV/0!</v>
      </c>
      <c r="BC191" s="78" t="e">
        <f t="shared" si="199"/>
        <v>#DIV/0!</v>
      </c>
      <c r="BD191" s="79" t="e">
        <f t="shared" si="235"/>
        <v>#DIV/0!</v>
      </c>
      <c r="BE191" s="92"/>
      <c r="BF191" s="92"/>
      <c r="BG191" s="114">
        <v>597225</v>
      </c>
      <c r="BH191" s="94">
        <f t="shared" si="183"/>
        <v>0</v>
      </c>
      <c r="BI191" s="77" t="e">
        <f t="shared" si="184"/>
        <v>#DIV/0!</v>
      </c>
      <c r="BJ191" s="95" t="str">
        <f t="shared" si="200"/>
        <v>전기전자/기계업</v>
      </c>
      <c r="BK191" s="96" t="e">
        <f t="shared" si="185"/>
        <v>#DIV/0!</v>
      </c>
      <c r="BL191" s="97" t="e">
        <f t="shared" si="201"/>
        <v>#DIV/0!</v>
      </c>
      <c r="BM191" s="98" t="e">
        <f t="shared" si="202"/>
        <v>#DIV/0!</v>
      </c>
      <c r="BN191" s="99" t="e">
        <f t="shared" si="203"/>
        <v>#DIV/0!</v>
      </c>
      <c r="BP191" s="101">
        <f t="shared" si="204"/>
        <v>0</v>
      </c>
      <c r="BQ191" s="78">
        <f t="shared" si="205"/>
        <v>25</v>
      </c>
      <c r="BR191" s="79">
        <f t="shared" si="236"/>
        <v>0.5</v>
      </c>
      <c r="BS191" s="102"/>
      <c r="BT191" s="102"/>
      <c r="BU191" s="103">
        <f t="shared" si="206"/>
        <v>0</v>
      </c>
      <c r="BV191" s="77">
        <f t="shared" si="186"/>
        <v>0</v>
      </c>
      <c r="BW191" s="96">
        <f t="shared" si="187"/>
        <v>0</v>
      </c>
      <c r="BX191" s="96">
        <f t="shared" si="207"/>
        <v>0</v>
      </c>
      <c r="BY191" s="96">
        <f t="shared" si="188"/>
        <v>0</v>
      </c>
      <c r="BZ191" s="96" t="e">
        <f t="shared" si="208"/>
        <v>#NUM!</v>
      </c>
      <c r="CA191" s="96" t="e">
        <f t="shared" si="189"/>
        <v>#NUM!</v>
      </c>
      <c r="CB191" s="104" t="e">
        <f t="shared" si="209"/>
        <v>#NUM!</v>
      </c>
      <c r="CC191" s="105">
        <f t="shared" si="237"/>
        <v>9.2095331561206759</v>
      </c>
      <c r="CD191" s="106">
        <f t="shared" si="238"/>
        <v>96.90595484065804</v>
      </c>
      <c r="CE191" s="107">
        <f t="shared" si="239"/>
        <v>1.4535893226098706</v>
      </c>
      <c r="CF191" s="108" t="s">
        <v>2189</v>
      </c>
      <c r="CG191" s="108" t="s">
        <v>2189</v>
      </c>
      <c r="CH191" s="108" t="s">
        <v>2189</v>
      </c>
      <c r="CI191" s="108" t="s">
        <v>2189</v>
      </c>
      <c r="CJ191" s="109"/>
      <c r="CM191" s="111">
        <f t="shared" si="210"/>
        <v>25</v>
      </c>
      <c r="CN191" s="107">
        <f t="shared" si="240"/>
        <v>0.375</v>
      </c>
      <c r="CP191" s="88">
        <f t="shared" si="211"/>
        <v>0</v>
      </c>
      <c r="CQ191" s="78">
        <f t="shared" si="212"/>
        <v>100</v>
      </c>
      <c r="CR191" s="79">
        <f t="shared" si="241"/>
        <v>3</v>
      </c>
      <c r="CS191" s="92"/>
      <c r="CT191" s="77">
        <f t="shared" si="190"/>
        <v>0</v>
      </c>
      <c r="CU191" s="78">
        <f t="shared" si="213"/>
        <v>100</v>
      </c>
      <c r="CV191" s="79">
        <f t="shared" si="242"/>
        <v>2</v>
      </c>
      <c r="CW191" s="112" t="e">
        <f t="shared" si="214"/>
        <v>#DIV/0!</v>
      </c>
    </row>
    <row r="192" spans="1:101" x14ac:dyDescent="0.35">
      <c r="A192" s="7" t="s">
        <v>1246</v>
      </c>
      <c r="B192" s="8" t="s">
        <v>1247</v>
      </c>
      <c r="C192" s="21" t="s">
        <v>1248</v>
      </c>
      <c r="D192" s="22" t="s">
        <v>141</v>
      </c>
      <c r="E192" s="11" t="s">
        <v>356</v>
      </c>
      <c r="F192" s="11" t="s">
        <v>1249</v>
      </c>
      <c r="G192" s="12">
        <v>32455</v>
      </c>
      <c r="H192" s="11" t="s">
        <v>24</v>
      </c>
      <c r="I192" s="11" t="s">
        <v>1250</v>
      </c>
      <c r="J192" s="11" t="s">
        <v>1251</v>
      </c>
      <c r="K192" s="11" t="s">
        <v>536</v>
      </c>
      <c r="L192" s="23">
        <v>1914532174</v>
      </c>
      <c r="M192" s="14">
        <v>433489874</v>
      </c>
      <c r="N192" s="14">
        <v>1481042299</v>
      </c>
      <c r="O192" s="14">
        <v>2351608869</v>
      </c>
      <c r="P192" s="14">
        <v>172143218</v>
      </c>
      <c r="Q192" s="14">
        <v>206431272</v>
      </c>
      <c r="R192" s="14">
        <v>163552128</v>
      </c>
      <c r="AB192" s="74">
        <f t="shared" si="215"/>
        <v>0</v>
      </c>
      <c r="AC192" s="75" t="e">
        <f t="shared" si="191"/>
        <v>#DIV/0!</v>
      </c>
      <c r="AD192" s="75" t="e">
        <f t="shared" si="216"/>
        <v>#DIV/0!</v>
      </c>
      <c r="AE192" s="76" t="e">
        <f t="shared" si="231"/>
        <v>#DIV/0!</v>
      </c>
      <c r="AF192" s="77" t="e">
        <f t="shared" si="192"/>
        <v>#DIV/0!</v>
      </c>
      <c r="AG192" s="77" t="e">
        <f t="shared" si="193"/>
        <v>#DIV/0!</v>
      </c>
      <c r="AH192" s="77" t="e">
        <f t="shared" si="217"/>
        <v>#DIV/0!</v>
      </c>
      <c r="AI192" s="78" t="e">
        <f t="shared" si="218"/>
        <v>#DIV/0!</v>
      </c>
      <c r="AJ192" s="79" t="e">
        <f t="shared" si="232"/>
        <v>#DIV/0!</v>
      </c>
      <c r="AN192" s="81">
        <f t="shared" si="178"/>
        <v>0</v>
      </c>
      <c r="AO192" s="82" t="e">
        <f t="shared" si="179"/>
        <v>#DIV/0!</v>
      </c>
      <c r="AP192" s="83" t="e">
        <f t="shared" si="194"/>
        <v>#DIV/0!</v>
      </c>
      <c r="AQ192" s="84" t="e">
        <f t="shared" si="233"/>
        <v>#DIV/0!</v>
      </c>
      <c r="AS192" s="86">
        <f t="shared" si="180"/>
        <v>0.25</v>
      </c>
      <c r="AT192" s="87">
        <f t="shared" si="195"/>
        <v>0</v>
      </c>
      <c r="AU192" s="87">
        <f t="shared" si="196"/>
        <v>0</v>
      </c>
      <c r="AV192" s="88" t="e">
        <f t="shared" si="181"/>
        <v>#DIV/0!</v>
      </c>
      <c r="AW192" s="78" t="e">
        <f t="shared" si="197"/>
        <v>#DIV/0!</v>
      </c>
      <c r="AX192" s="89" t="e">
        <f t="shared" si="234"/>
        <v>#DIV/0!</v>
      </c>
      <c r="BA192" s="91">
        <f t="shared" si="182"/>
        <v>0</v>
      </c>
      <c r="BB192" s="77" t="e">
        <f t="shared" si="198"/>
        <v>#DIV/0!</v>
      </c>
      <c r="BC192" s="78" t="e">
        <f t="shared" si="199"/>
        <v>#DIV/0!</v>
      </c>
      <c r="BD192" s="79" t="e">
        <f t="shared" si="235"/>
        <v>#DIV/0!</v>
      </c>
      <c r="BE192" s="92"/>
      <c r="BF192" s="92"/>
      <c r="BG192" s="114">
        <v>141990</v>
      </c>
      <c r="BH192" s="94">
        <f t="shared" si="183"/>
        <v>0</v>
      </c>
      <c r="BI192" s="77" t="e">
        <f t="shared" si="184"/>
        <v>#DIV/0!</v>
      </c>
      <c r="BJ192" s="95" t="str">
        <f t="shared" si="200"/>
        <v>전기전자/기계업</v>
      </c>
      <c r="BK192" s="96" t="e">
        <f t="shared" si="185"/>
        <v>#DIV/0!</v>
      </c>
      <c r="BL192" s="97" t="e">
        <f t="shared" si="201"/>
        <v>#DIV/0!</v>
      </c>
      <c r="BM192" s="98" t="e">
        <f t="shared" si="202"/>
        <v>#DIV/0!</v>
      </c>
      <c r="BN192" s="99" t="e">
        <f t="shared" si="203"/>
        <v>#DIV/0!</v>
      </c>
      <c r="BP192" s="101">
        <f t="shared" si="204"/>
        <v>0</v>
      </c>
      <c r="BQ192" s="78">
        <f t="shared" si="205"/>
        <v>25</v>
      </c>
      <c r="BR192" s="79">
        <f t="shared" si="236"/>
        <v>0.5</v>
      </c>
      <c r="BS192" s="102"/>
      <c r="BT192" s="102"/>
      <c r="BU192" s="103">
        <f t="shared" si="206"/>
        <v>0</v>
      </c>
      <c r="BV192" s="77">
        <f t="shared" si="186"/>
        <v>0</v>
      </c>
      <c r="BW192" s="96">
        <f t="shared" si="187"/>
        <v>0</v>
      </c>
      <c r="BX192" s="96">
        <f t="shared" si="207"/>
        <v>0</v>
      </c>
      <c r="BY192" s="96">
        <f t="shared" si="188"/>
        <v>0</v>
      </c>
      <c r="BZ192" s="96" t="e">
        <f t="shared" si="208"/>
        <v>#NUM!</v>
      </c>
      <c r="CA192" s="96" t="e">
        <f t="shared" si="189"/>
        <v>#NUM!</v>
      </c>
      <c r="CB192" s="104" t="e">
        <f t="shared" si="209"/>
        <v>#NUM!</v>
      </c>
      <c r="CC192" s="105">
        <f t="shared" si="237"/>
        <v>29.269243308762515</v>
      </c>
      <c r="CD192" s="106">
        <f t="shared" si="238"/>
        <v>89.345762572074435</v>
      </c>
      <c r="CE192" s="107">
        <f t="shared" si="239"/>
        <v>1.3401864385811164</v>
      </c>
      <c r="CF192" s="108" t="s">
        <v>2189</v>
      </c>
      <c r="CG192" s="108" t="s">
        <v>2189</v>
      </c>
      <c r="CH192" s="108" t="s">
        <v>2189</v>
      </c>
      <c r="CI192" s="108" t="s">
        <v>2189</v>
      </c>
      <c r="CJ192" s="109"/>
      <c r="CM192" s="111">
        <f t="shared" si="210"/>
        <v>25</v>
      </c>
      <c r="CN192" s="107">
        <f t="shared" si="240"/>
        <v>0.375</v>
      </c>
      <c r="CP192" s="88">
        <f t="shared" si="211"/>
        <v>0</v>
      </c>
      <c r="CQ192" s="78">
        <f t="shared" si="212"/>
        <v>100</v>
      </c>
      <c r="CR192" s="79">
        <f t="shared" si="241"/>
        <v>3</v>
      </c>
      <c r="CS192" s="92"/>
      <c r="CT192" s="77">
        <f t="shared" si="190"/>
        <v>0</v>
      </c>
      <c r="CU192" s="78">
        <f t="shared" si="213"/>
        <v>100</v>
      </c>
      <c r="CV192" s="79">
        <f t="shared" si="242"/>
        <v>2</v>
      </c>
      <c r="CW192" s="112" t="e">
        <f t="shared" si="214"/>
        <v>#DIV/0!</v>
      </c>
    </row>
    <row r="193" spans="1:101" x14ac:dyDescent="0.35">
      <c r="A193" s="7" t="s">
        <v>1252</v>
      </c>
      <c r="B193" s="8" t="s">
        <v>1253</v>
      </c>
      <c r="C193" s="21" t="s">
        <v>1254</v>
      </c>
      <c r="D193" s="10" t="s">
        <v>21</v>
      </c>
      <c r="E193" s="11" t="s">
        <v>1255</v>
      </c>
      <c r="F193" s="11" t="s">
        <v>1256</v>
      </c>
      <c r="G193" s="12">
        <v>35094</v>
      </c>
      <c r="H193" s="11" t="s">
        <v>24</v>
      </c>
      <c r="I193" s="11" t="s">
        <v>1257</v>
      </c>
      <c r="J193" s="11" t="s">
        <v>1258</v>
      </c>
      <c r="K193" s="11" t="s">
        <v>27</v>
      </c>
      <c r="L193" s="23">
        <v>1985699161</v>
      </c>
      <c r="M193" s="14">
        <v>512258282</v>
      </c>
      <c r="N193" s="14">
        <v>1473440879</v>
      </c>
      <c r="O193" s="14">
        <v>2427260264</v>
      </c>
      <c r="P193" s="14">
        <v>192825146</v>
      </c>
      <c r="Q193" s="14">
        <v>188400341</v>
      </c>
      <c r="R193" s="14">
        <v>141531341</v>
      </c>
      <c r="AB193" s="74">
        <f t="shared" si="215"/>
        <v>0</v>
      </c>
      <c r="AC193" s="75" t="e">
        <f t="shared" si="191"/>
        <v>#DIV/0!</v>
      </c>
      <c r="AD193" s="75" t="e">
        <f t="shared" si="216"/>
        <v>#DIV/0!</v>
      </c>
      <c r="AE193" s="76" t="e">
        <f t="shared" si="231"/>
        <v>#DIV/0!</v>
      </c>
      <c r="AF193" s="77" t="e">
        <f t="shared" si="192"/>
        <v>#DIV/0!</v>
      </c>
      <c r="AG193" s="77" t="e">
        <f t="shared" si="193"/>
        <v>#DIV/0!</v>
      </c>
      <c r="AH193" s="77" t="e">
        <f t="shared" si="217"/>
        <v>#DIV/0!</v>
      </c>
      <c r="AI193" s="78" t="e">
        <f t="shared" si="218"/>
        <v>#DIV/0!</v>
      </c>
      <c r="AJ193" s="79" t="e">
        <f t="shared" si="232"/>
        <v>#DIV/0!</v>
      </c>
      <c r="AN193" s="81">
        <f t="shared" ref="AN193:AN256" si="243">SUM(AK193:AL193)</f>
        <v>0</v>
      </c>
      <c r="AO193" s="82" t="e">
        <f t="shared" si="179"/>
        <v>#DIV/0!</v>
      </c>
      <c r="AP193" s="83" t="e">
        <f t="shared" si="194"/>
        <v>#DIV/0!</v>
      </c>
      <c r="AQ193" s="84" t="e">
        <f t="shared" si="233"/>
        <v>#DIV/0!</v>
      </c>
      <c r="AS193" s="86">
        <f t="shared" si="180"/>
        <v>0.25</v>
      </c>
      <c r="AT193" s="87">
        <f t="shared" si="195"/>
        <v>0</v>
      </c>
      <c r="AU193" s="87">
        <f t="shared" si="196"/>
        <v>0</v>
      </c>
      <c r="AV193" s="88" t="e">
        <f t="shared" si="181"/>
        <v>#DIV/0!</v>
      </c>
      <c r="AW193" s="78" t="e">
        <f t="shared" si="197"/>
        <v>#DIV/0!</v>
      </c>
      <c r="AX193" s="89" t="e">
        <f t="shared" si="234"/>
        <v>#DIV/0!</v>
      </c>
      <c r="BA193" s="91">
        <f t="shared" si="182"/>
        <v>0</v>
      </c>
      <c r="BB193" s="77" t="e">
        <f t="shared" si="198"/>
        <v>#DIV/0!</v>
      </c>
      <c r="BC193" s="78" t="e">
        <f t="shared" si="199"/>
        <v>#DIV/0!</v>
      </c>
      <c r="BD193" s="79" t="e">
        <f t="shared" si="235"/>
        <v>#DIV/0!</v>
      </c>
      <c r="BE193" s="92"/>
      <c r="BF193" s="92"/>
      <c r="BG193" s="93">
        <v>0</v>
      </c>
      <c r="BH193" s="94">
        <f t="shared" si="183"/>
        <v>0</v>
      </c>
      <c r="BI193" s="77" t="e">
        <f t="shared" si="184"/>
        <v>#DIV/0!</v>
      </c>
      <c r="BJ193" s="95" t="str">
        <f t="shared" si="200"/>
        <v>비제조/서비스업</v>
      </c>
      <c r="BK193" s="96" t="e">
        <f t="shared" si="185"/>
        <v>#DIV/0!</v>
      </c>
      <c r="BL193" s="97" t="e">
        <f t="shared" si="201"/>
        <v>#DIV/0!</v>
      </c>
      <c r="BM193" s="98" t="e">
        <f t="shared" si="202"/>
        <v>#DIV/0!</v>
      </c>
      <c r="BN193" s="99" t="e">
        <f t="shared" si="203"/>
        <v>#DIV/0!</v>
      </c>
      <c r="BP193" s="101">
        <f t="shared" si="204"/>
        <v>0</v>
      </c>
      <c r="BQ193" s="78">
        <f t="shared" si="205"/>
        <v>25</v>
      </c>
      <c r="BR193" s="79">
        <f t="shared" si="236"/>
        <v>0.5</v>
      </c>
      <c r="BS193" s="102"/>
      <c r="BT193" s="102"/>
      <c r="BU193" s="103">
        <f t="shared" si="206"/>
        <v>0</v>
      </c>
      <c r="BV193" s="77">
        <f t="shared" si="186"/>
        <v>0</v>
      </c>
      <c r="BW193" s="96">
        <f t="shared" si="187"/>
        <v>0</v>
      </c>
      <c r="BX193" s="96">
        <f t="shared" si="207"/>
        <v>0</v>
      </c>
      <c r="BY193" s="96">
        <f t="shared" si="188"/>
        <v>0</v>
      </c>
      <c r="BZ193" s="96" t="e">
        <f t="shared" si="208"/>
        <v>#NUM!</v>
      </c>
      <c r="CA193" s="96" t="e">
        <f t="shared" si="189"/>
        <v>#NUM!</v>
      </c>
      <c r="CB193" s="104" t="e">
        <f t="shared" si="209"/>
        <v>#NUM!</v>
      </c>
      <c r="CC193" s="105">
        <f t="shared" si="237"/>
        <v>34.766123928071089</v>
      </c>
      <c r="CD193" s="106">
        <f t="shared" si="238"/>
        <v>87.274073896455619</v>
      </c>
      <c r="CE193" s="107">
        <f t="shared" si="239"/>
        <v>1.3091111084468343</v>
      </c>
      <c r="CF193" s="108" t="s">
        <v>2189</v>
      </c>
      <c r="CG193" s="108" t="s">
        <v>2189</v>
      </c>
      <c r="CH193" s="108" t="s">
        <v>2189</v>
      </c>
      <c r="CI193" s="108" t="s">
        <v>2189</v>
      </c>
      <c r="CJ193" s="109"/>
      <c r="CM193" s="111">
        <f t="shared" si="210"/>
        <v>25</v>
      </c>
      <c r="CN193" s="107">
        <f t="shared" si="240"/>
        <v>0.375</v>
      </c>
      <c r="CP193" s="88">
        <f t="shared" si="211"/>
        <v>0</v>
      </c>
      <c r="CQ193" s="78">
        <f t="shared" si="212"/>
        <v>100</v>
      </c>
      <c r="CR193" s="79">
        <f t="shared" si="241"/>
        <v>3</v>
      </c>
      <c r="CS193" s="92"/>
      <c r="CT193" s="77">
        <f t="shared" si="190"/>
        <v>0</v>
      </c>
      <c r="CU193" s="78">
        <f t="shared" si="213"/>
        <v>100</v>
      </c>
      <c r="CV193" s="79">
        <f t="shared" si="242"/>
        <v>2</v>
      </c>
      <c r="CW193" s="112" t="e">
        <f t="shared" si="214"/>
        <v>#DIV/0!</v>
      </c>
    </row>
    <row r="194" spans="1:101" x14ac:dyDescent="0.35">
      <c r="A194" s="7" t="s">
        <v>1259</v>
      </c>
      <c r="B194" s="8" t="s">
        <v>1260</v>
      </c>
      <c r="C194" s="21" t="s">
        <v>1261</v>
      </c>
      <c r="D194" s="25" t="s">
        <v>67</v>
      </c>
      <c r="E194" s="11" t="s">
        <v>1262</v>
      </c>
      <c r="F194" s="11" t="s">
        <v>1263</v>
      </c>
      <c r="G194" s="12">
        <v>44155</v>
      </c>
      <c r="H194" s="11" t="s">
        <v>24</v>
      </c>
      <c r="I194" s="11" t="s">
        <v>1264</v>
      </c>
      <c r="J194" s="28" t="s">
        <v>1265</v>
      </c>
      <c r="K194" s="11" t="s">
        <v>27</v>
      </c>
      <c r="L194" s="23">
        <v>204362337</v>
      </c>
      <c r="M194" s="14">
        <v>77627222</v>
      </c>
      <c r="N194" s="14">
        <v>126735115</v>
      </c>
      <c r="O194" s="14">
        <v>230018279</v>
      </c>
      <c r="P194" s="14">
        <v>3054336</v>
      </c>
      <c r="Q194" s="14">
        <v>41586408</v>
      </c>
      <c r="R194" s="14">
        <v>32212761</v>
      </c>
      <c r="AB194" s="74">
        <f t="shared" si="215"/>
        <v>0</v>
      </c>
      <c r="AC194" s="75" t="e">
        <f t="shared" si="191"/>
        <v>#DIV/0!</v>
      </c>
      <c r="AD194" s="75" t="e">
        <f t="shared" si="216"/>
        <v>#DIV/0!</v>
      </c>
      <c r="AE194" s="119" t="e">
        <f>AD194*0.04</f>
        <v>#DIV/0!</v>
      </c>
      <c r="AF194" s="77" t="e">
        <f t="shared" si="192"/>
        <v>#DIV/0!</v>
      </c>
      <c r="AG194" s="77" t="e">
        <f t="shared" si="193"/>
        <v>#DIV/0!</v>
      </c>
      <c r="AH194" s="77" t="e">
        <f t="shared" si="217"/>
        <v>#DIV/0!</v>
      </c>
      <c r="AI194" s="78" t="e">
        <f t="shared" si="218"/>
        <v>#DIV/0!</v>
      </c>
      <c r="AJ194" s="120" t="e">
        <f>AI194*0.05</f>
        <v>#DIV/0!</v>
      </c>
      <c r="AN194" s="81">
        <f t="shared" si="243"/>
        <v>0</v>
      </c>
      <c r="AO194" s="82" t="e">
        <f t="shared" ref="AO194:AO257" si="244">(AM194/AN194)*100</f>
        <v>#DIV/0!</v>
      </c>
      <c r="AP194" s="83" t="e">
        <f t="shared" si="194"/>
        <v>#DIV/0!</v>
      </c>
      <c r="AQ194" s="121" t="e">
        <f>AP194*0.03</f>
        <v>#DIV/0!</v>
      </c>
      <c r="AS194" s="86">
        <f t="shared" ref="AS194:AS257" si="245">IF(L194&gt;=2000000000, 0.5, IF(L194&lt;2000000000, 0.25))</f>
        <v>0.25</v>
      </c>
      <c r="AT194" s="87">
        <f t="shared" si="195"/>
        <v>0</v>
      </c>
      <c r="AU194" s="87">
        <f t="shared" si="196"/>
        <v>0</v>
      </c>
      <c r="AV194" s="88" t="e">
        <f t="shared" ref="AV194:AV257" si="246">(AR194-AU194)/AK194*100</f>
        <v>#DIV/0!</v>
      </c>
      <c r="AW194" s="78" t="e">
        <f t="shared" si="197"/>
        <v>#DIV/0!</v>
      </c>
      <c r="AX194" s="122" t="e">
        <f>AW194*0.02</f>
        <v>#DIV/0!</v>
      </c>
      <c r="BA194" s="91">
        <f t="shared" ref="BA194:BA257" si="247">AR194*AY194</f>
        <v>0</v>
      </c>
      <c r="BB194" s="77" t="e">
        <f t="shared" si="198"/>
        <v>#DIV/0!</v>
      </c>
      <c r="BC194" s="78" t="e">
        <f t="shared" si="199"/>
        <v>#DIV/0!</v>
      </c>
      <c r="BD194" s="120" t="e">
        <f>BC194*0.02</f>
        <v>#DIV/0!</v>
      </c>
      <c r="BE194" s="92"/>
      <c r="BF194" s="92"/>
      <c r="BG194" s="114">
        <v>367698</v>
      </c>
      <c r="BH194" s="94">
        <f t="shared" ref="BH194:BH257" si="248">SUM(BE194:BF194)</f>
        <v>0</v>
      </c>
      <c r="BI194" s="77" t="e">
        <f t="shared" ref="BI194:BI257" si="249">(BG194/BH194)*100</f>
        <v>#DIV/0!</v>
      </c>
      <c r="BJ194" s="95" t="str">
        <f t="shared" si="200"/>
        <v>금융업</v>
      </c>
      <c r="BK194" s="96" t="e">
        <f t="shared" ref="BK194:BK257" si="250">AVERAGEIF(BJ:BJ, BJ194, BI:BI)</f>
        <v>#DIV/0!</v>
      </c>
      <c r="BL194" s="97" t="e">
        <f t="shared" si="201"/>
        <v>#DIV/0!</v>
      </c>
      <c r="BM194" s="98" t="e">
        <f t="shared" si="202"/>
        <v>#DIV/0!</v>
      </c>
      <c r="BN194" s="99" t="e">
        <f t="shared" si="203"/>
        <v>#DIV/0!</v>
      </c>
      <c r="BO194" s="93"/>
      <c r="BP194" s="101">
        <f t="shared" si="204"/>
        <v>0</v>
      </c>
      <c r="BQ194" s="78">
        <f t="shared" si="205"/>
        <v>25</v>
      </c>
      <c r="BR194" s="120">
        <f>BQ194*0.01</f>
        <v>0.25</v>
      </c>
      <c r="BS194" s="102"/>
      <c r="BT194" s="102"/>
      <c r="BU194" s="103">
        <f t="shared" si="206"/>
        <v>0</v>
      </c>
      <c r="BV194" s="77">
        <f t="shared" ref="BV194:BV257" si="251">BU194/O194*100</f>
        <v>0</v>
      </c>
      <c r="BW194" s="96">
        <f t="shared" ref="BW194:BW257" si="252">AVERAGEIF(BJ:BJ, BJ194, BV:BV)</f>
        <v>0</v>
      </c>
      <c r="BX194" s="96">
        <f t="shared" si="207"/>
        <v>0</v>
      </c>
      <c r="BY194" s="96">
        <f t="shared" ref="BY194:BY257" si="253">SQRT(SUMIF(BJ:BJ, BJ194, BX:BX)/COUNTIF(BJ:BJ, BJ194))</f>
        <v>0</v>
      </c>
      <c r="BZ194" s="96" t="e">
        <f t="shared" si="208"/>
        <v>#NUM!</v>
      </c>
      <c r="CA194" s="96" t="e">
        <f t="shared" ref="CA194:CA257" si="254">IF(BZ194&lt;=5, 100, IF(BZ194&lt;=15, 85, IF(BZ194&lt;=35, 70, IF(BZ194&lt;=60, 55, IF(BZ194&lt;=90, 40, 25)))))</f>
        <v>#NUM!</v>
      </c>
      <c r="CB194" s="104" t="e">
        <f t="shared" si="209"/>
        <v>#NUM!</v>
      </c>
      <c r="CC194" s="123" t="s">
        <v>2200</v>
      </c>
      <c r="CD194" s="124" t="s">
        <v>2200</v>
      </c>
      <c r="CE194" s="125"/>
      <c r="CF194" s="126" t="s">
        <v>2201</v>
      </c>
      <c r="CG194" s="126" t="s">
        <v>2201</v>
      </c>
      <c r="CH194" s="135">
        <f>(968618+5648837)/L194*100</f>
        <v>3.2380991023801022</v>
      </c>
      <c r="CI194" s="128">
        <f>IF((100-(75*(CH194-10)/40))&gt;100, 100, IF((100-(75*(CH194-10)/40))&lt;25, 25, (100-(75*(CH194-10)/40))))</f>
        <v>100</v>
      </c>
      <c r="CJ194" s="129">
        <f>CI194*0.04</f>
        <v>4</v>
      </c>
      <c r="CM194" s="111">
        <f t="shared" si="210"/>
        <v>25</v>
      </c>
      <c r="CN194" s="130">
        <f>CM194*0.03</f>
        <v>0.75</v>
      </c>
      <c r="CP194" s="88">
        <f t="shared" si="211"/>
        <v>0</v>
      </c>
      <c r="CQ194" s="78">
        <f t="shared" si="212"/>
        <v>100</v>
      </c>
      <c r="CR194" s="120">
        <f>CQ194*0.04</f>
        <v>4</v>
      </c>
      <c r="CS194" s="92"/>
      <c r="CT194" s="77">
        <f t="shared" ref="CT194:CT257" si="255">(CS194/N194)*100</f>
        <v>0</v>
      </c>
      <c r="CU194" s="78">
        <f t="shared" si="213"/>
        <v>100</v>
      </c>
      <c r="CV194" s="131">
        <f>CU194*0.03</f>
        <v>3</v>
      </c>
      <c r="CW194" s="112" t="e">
        <f t="shared" si="214"/>
        <v>#DIV/0!</v>
      </c>
    </row>
    <row r="195" spans="1:101" x14ac:dyDescent="0.35">
      <c r="A195" s="7" t="s">
        <v>1266</v>
      </c>
      <c r="B195" s="8" t="s">
        <v>1267</v>
      </c>
      <c r="C195" s="21" t="s">
        <v>1268</v>
      </c>
      <c r="D195" s="10" t="s">
        <v>75</v>
      </c>
      <c r="E195" s="11" t="s">
        <v>276</v>
      </c>
      <c r="F195" s="11" t="s">
        <v>1269</v>
      </c>
      <c r="G195" s="12">
        <v>25454</v>
      </c>
      <c r="H195" s="11" t="s">
        <v>24</v>
      </c>
      <c r="I195" s="11" t="s">
        <v>1270</v>
      </c>
      <c r="J195" s="11" t="s">
        <v>1271</v>
      </c>
      <c r="K195" s="11" t="s">
        <v>50</v>
      </c>
      <c r="L195" s="23">
        <v>436729659</v>
      </c>
      <c r="M195" s="14">
        <v>131134120</v>
      </c>
      <c r="N195" s="14">
        <v>305595540</v>
      </c>
      <c r="O195" s="14">
        <v>388455876</v>
      </c>
      <c r="P195" s="14">
        <v>16230918</v>
      </c>
      <c r="Q195" s="14">
        <v>19676309</v>
      </c>
      <c r="R195" s="14">
        <v>17916229</v>
      </c>
      <c r="AB195" s="74">
        <f t="shared" si="215"/>
        <v>0</v>
      </c>
      <c r="AC195" s="75" t="e">
        <f t="shared" ref="AC195:AC258" si="256">(AB195/S195)*100</f>
        <v>#DIV/0!</v>
      </c>
      <c r="AD195" s="75" t="e">
        <f t="shared" si="216"/>
        <v>#DIV/0!</v>
      </c>
      <c r="AE195" s="76" t="e">
        <f t="shared" ref="AE195:AE206" si="257">AD195*0.03</f>
        <v>#DIV/0!</v>
      </c>
      <c r="AF195" s="77" t="e">
        <f t="shared" ref="AF195:AF258" si="258">(U195+V195)/(S195-T195-AA195)*100</f>
        <v>#DIV/0!</v>
      </c>
      <c r="AG195" s="77" t="e">
        <f t="shared" ref="AG195:AG258" si="259">(U195+V195+Z195+W195+X195-AA195)/(S195-T195-AA195)*100</f>
        <v>#DIV/0!</v>
      </c>
      <c r="AH195" s="77" t="e">
        <f t="shared" si="217"/>
        <v>#DIV/0!</v>
      </c>
      <c r="AI195" s="78" t="e">
        <f t="shared" si="218"/>
        <v>#DIV/0!</v>
      </c>
      <c r="AJ195" s="79" t="e">
        <f t="shared" ref="AJ195:AJ206" si="260">AI195*0.04</f>
        <v>#DIV/0!</v>
      </c>
      <c r="AN195" s="81">
        <f t="shared" si="243"/>
        <v>0</v>
      </c>
      <c r="AO195" s="82" t="e">
        <f t="shared" si="244"/>
        <v>#DIV/0!</v>
      </c>
      <c r="AP195" s="83" t="e">
        <f t="shared" ref="AP195:AP258" si="261">IF(AO195&lt;10, 100, IF(AO195&lt;20, 80, IF(AO195&lt;30, 60, IF(AO195&lt;50, 40, IF(AO195&gt;=50, 20)))))</f>
        <v>#DIV/0!</v>
      </c>
      <c r="AQ195" s="84" t="e">
        <f t="shared" ref="AQ195:AQ206" si="262">AP195*0.02</f>
        <v>#DIV/0!</v>
      </c>
      <c r="AS195" s="86">
        <f t="shared" si="245"/>
        <v>0.25</v>
      </c>
      <c r="AT195" s="87">
        <f t="shared" ref="AT195:AT258" si="263">AK195*AS195</f>
        <v>0</v>
      </c>
      <c r="AU195" s="87">
        <f t="shared" ref="AU195:AU258" si="264">ROUNDDOWN(AT195,0)</f>
        <v>0</v>
      </c>
      <c r="AV195" s="88" t="e">
        <f t="shared" si="246"/>
        <v>#DIV/0!</v>
      </c>
      <c r="AW195" s="78" t="e">
        <f t="shared" ref="AW195:AW258" si="265">IF(AV195&lt;0, 20, IF(AV195=0, 40, IF(AV195&lt;20, 60, IF(AV195&lt;40, 80, IF(AV195&gt;=40, 100)))))</f>
        <v>#DIV/0!</v>
      </c>
      <c r="AX195" s="89" t="e">
        <f t="shared" ref="AX195:AX206" si="266">AW195*0.01</f>
        <v>#DIV/0!</v>
      </c>
      <c r="BA195" s="91">
        <f t="shared" si="247"/>
        <v>0</v>
      </c>
      <c r="BB195" s="77" t="e">
        <f t="shared" ref="BB195:BB258" si="267">(AZ195/BA195)*100</f>
        <v>#DIV/0!</v>
      </c>
      <c r="BC195" s="78" t="e">
        <f t="shared" ref="BC195:BC258" si="268">IF(BB195&lt;70, 25, IF(BB195&lt;80, 50, IF(BB195&lt;90, 75, IF(BB195&gt;=90, 100))))</f>
        <v>#DIV/0!</v>
      </c>
      <c r="BD195" s="79" t="e">
        <f t="shared" ref="BD195:BD206" si="269">BC195*0.01</f>
        <v>#DIV/0!</v>
      </c>
      <c r="BE195" s="92"/>
      <c r="BF195" s="92"/>
      <c r="BG195" s="114">
        <v>59347</v>
      </c>
      <c r="BH195" s="94">
        <f t="shared" si="248"/>
        <v>0</v>
      </c>
      <c r="BI195" s="77" t="e">
        <f t="shared" si="249"/>
        <v>#DIV/0!</v>
      </c>
      <c r="BJ195" s="95" t="str">
        <f t="shared" ref="BJ195:BJ258" si="270">IF(D195="금융업(보험)", "금융업", IF(D195="금융업(증권)", "금융업", IF(D195="금융업(종금)", "금융업", D195)))</f>
        <v>금속/비금속/화학업</v>
      </c>
      <c r="BK195" s="96" t="e">
        <f t="shared" si="250"/>
        <v>#DIV/0!</v>
      </c>
      <c r="BL195" s="97" t="e">
        <f t="shared" ref="BL195:BL258" si="271">BI195-BK195</f>
        <v>#DIV/0!</v>
      </c>
      <c r="BM195" s="98" t="e">
        <f t="shared" ref="BM195:BM258" si="272">IF(BL195&lt;-2, 100, IF(BL195&lt;0, 80, IF(BL195&lt;2, 60, IF(BL195&lt;10, 40, 20))))</f>
        <v>#DIV/0!</v>
      </c>
      <c r="BN195" s="99" t="e">
        <f t="shared" ref="BN195:BN258" si="273">BM195*0.02</f>
        <v>#DIV/0!</v>
      </c>
      <c r="BP195" s="101">
        <f t="shared" ref="BP195:BP258" si="274">(BO195/O195)*100</f>
        <v>0</v>
      </c>
      <c r="BQ195" s="78">
        <f t="shared" ref="BQ195:BQ258" si="275">IF(BP195=0, 25, IF(BP195&lt;0.1, 40, IF(BP195&lt;0.5, 55, IF(BP195&lt;2, 70, IF(BP195&lt;4, 85, IF(BP195&gt;=4, 100))))))</f>
        <v>25</v>
      </c>
      <c r="BR195" s="79">
        <f t="shared" ref="BR195:BR206" si="276">BQ195*0.02</f>
        <v>0.5</v>
      </c>
      <c r="BS195" s="102"/>
      <c r="BT195" s="102"/>
      <c r="BU195" s="103">
        <f t="shared" ref="BU195:BU258" si="277">BS195-BT195</f>
        <v>0</v>
      </c>
      <c r="BV195" s="77">
        <f t="shared" si="251"/>
        <v>0</v>
      </c>
      <c r="BW195" s="96">
        <f t="shared" si="252"/>
        <v>0</v>
      </c>
      <c r="BX195" s="96">
        <f t="shared" ref="BX195:BX258" si="278">(BV195-BW195)^2</f>
        <v>0</v>
      </c>
      <c r="BY195" s="96">
        <f t="shared" si="253"/>
        <v>0</v>
      </c>
      <c r="BZ195" s="96" t="e">
        <f t="shared" ref="BZ195:BZ258" si="279">(1-_xlfn.NORM.DIST(BV195, BW195, BY195, TRUE))*100</f>
        <v>#NUM!</v>
      </c>
      <c r="CA195" s="96" t="e">
        <f t="shared" si="254"/>
        <v>#NUM!</v>
      </c>
      <c r="CB195" s="104" t="e">
        <f t="shared" ref="CB195:CB258" si="280">CA195*0.02</f>
        <v>#NUM!</v>
      </c>
      <c r="CC195" s="105">
        <f t="shared" ref="CC195:CC206" si="281">(M195/N195)*100</f>
        <v>42.911005834705577</v>
      </c>
      <c r="CD195" s="106">
        <f t="shared" ref="CD195:CD206" si="282">IF((100-(75*(CC195-1)/(200-1)))&gt;100, 100, IF((100-(75*(CC195-1)/(200-1)))&lt;25, 25, (100-(75*(CC195-1)/(200-1)))))</f>
        <v>84.204394785914985</v>
      </c>
      <c r="CE195" s="107">
        <f t="shared" ref="CE195:CE206" si="283">CD195*0.015</f>
        <v>1.2630659217887248</v>
      </c>
      <c r="CF195" s="108" t="s">
        <v>2189</v>
      </c>
      <c r="CG195" s="108" t="s">
        <v>2189</v>
      </c>
      <c r="CH195" s="108" t="s">
        <v>2189</v>
      </c>
      <c r="CI195" s="108" t="s">
        <v>2189</v>
      </c>
      <c r="CJ195" s="109"/>
      <c r="CM195" s="111">
        <f t="shared" ref="CM195:CM258" si="284">IF(CL195="A", 100, IF(CL195="B", 85, IF(CL195="C", 70, IF(CL195="D", 55, IF(CL195="E", 40, 25)))))</f>
        <v>25</v>
      </c>
      <c r="CN195" s="107">
        <f t="shared" ref="CN195:CN206" si="285">CM195*0.015</f>
        <v>0.375</v>
      </c>
      <c r="CP195" s="88">
        <f t="shared" ref="CP195:CP258" si="286">(CO195/N195)*100</f>
        <v>0</v>
      </c>
      <c r="CQ195" s="78">
        <f t="shared" ref="CQ195:CQ258" si="287">IF(CP195&lt;3, 100, IF(CP195&lt;10, 80, IF(CP195&lt;35, 60, IF(CP195&lt;100, 40, IF(CP195&gt;=100, 20)))))</f>
        <v>100</v>
      </c>
      <c r="CR195" s="79">
        <f t="shared" ref="CR195:CR206" si="288">CQ195*0.03</f>
        <v>3</v>
      </c>
      <c r="CS195" s="92"/>
      <c r="CT195" s="77">
        <f t="shared" si="255"/>
        <v>0</v>
      </c>
      <c r="CU195" s="78">
        <f t="shared" ref="CU195:CU258" si="289">IF(CT195&lt;3, 100, IF(CT195&lt;10, 80, IF(CT195&lt;35, 60, IF(CT195&lt;100, 40, 20))))</f>
        <v>100</v>
      </c>
      <c r="CV195" s="79">
        <f t="shared" ref="CV195:CV206" si="290">CU195*0.02</f>
        <v>2</v>
      </c>
      <c r="CW195" s="112" t="e">
        <f t="shared" ref="CW195:CW258" si="291">AE195+AJ195+AQ195+AX195+BD195+BN195+BR195+CB195+CE195+CJ195+CN195+CR195+CV195</f>
        <v>#DIV/0!</v>
      </c>
    </row>
    <row r="196" spans="1:101" x14ac:dyDescent="0.35">
      <c r="A196" s="7" t="s">
        <v>1272</v>
      </c>
      <c r="B196" s="8" t="s">
        <v>1273</v>
      </c>
      <c r="C196" s="21" t="s">
        <v>1274</v>
      </c>
      <c r="D196" s="22" t="s">
        <v>141</v>
      </c>
      <c r="E196" s="11" t="s">
        <v>1200</v>
      </c>
      <c r="F196" s="11" t="s">
        <v>1275</v>
      </c>
      <c r="G196" s="12">
        <v>44383</v>
      </c>
      <c r="H196" s="11" t="s">
        <v>24</v>
      </c>
      <c r="I196" s="11" t="s">
        <v>1276</v>
      </c>
      <c r="J196" s="11" t="s">
        <v>1277</v>
      </c>
      <c r="K196" s="11" t="s">
        <v>87</v>
      </c>
      <c r="L196" s="23">
        <v>490185292</v>
      </c>
      <c r="M196" s="14">
        <v>160877015</v>
      </c>
      <c r="N196" s="14">
        <v>329308277</v>
      </c>
      <c r="O196" s="14">
        <v>853045926</v>
      </c>
      <c r="P196" s="14">
        <v>11254172</v>
      </c>
      <c r="Q196" s="14">
        <v>25536401</v>
      </c>
      <c r="R196" s="14">
        <v>19988516</v>
      </c>
      <c r="AB196" s="74">
        <f t="shared" ref="AB196:AB259" si="292">SUM(U196,V196,Z196,W196,X196)</f>
        <v>0</v>
      </c>
      <c r="AC196" s="75" t="e">
        <f t="shared" si="256"/>
        <v>#DIV/0!</v>
      </c>
      <c r="AD196" s="75" t="e">
        <f t="shared" ref="AD196:AD259" si="293">100-(75*(AC196-0.1))/(87-0.1)</f>
        <v>#DIV/0!</v>
      </c>
      <c r="AE196" s="76" t="e">
        <f t="shared" si="257"/>
        <v>#DIV/0!</v>
      </c>
      <c r="AF196" s="77" t="e">
        <f t="shared" si="258"/>
        <v>#DIV/0!</v>
      </c>
      <c r="AG196" s="77" t="e">
        <f t="shared" si="259"/>
        <v>#DIV/0!</v>
      </c>
      <c r="AH196" s="77" t="e">
        <f t="shared" ref="AH196:AH259" si="294">AG196-AF196</f>
        <v>#DIV/0!</v>
      </c>
      <c r="AI196" s="78" t="e">
        <f t="shared" ref="AI196:AI259" si="295">IF(AH196&lt;10, 100, IF(AH196&lt;30, 80, IF(AH196&lt;50, 60, IF(AH196&lt;80, 40, IF(AH196&lt;=100, 20)))))</f>
        <v>#DIV/0!</v>
      </c>
      <c r="AJ196" s="79" t="e">
        <f t="shared" si="260"/>
        <v>#DIV/0!</v>
      </c>
      <c r="AN196" s="81">
        <f t="shared" si="243"/>
        <v>0</v>
      </c>
      <c r="AO196" s="82" t="e">
        <f t="shared" si="244"/>
        <v>#DIV/0!</v>
      </c>
      <c r="AP196" s="83" t="e">
        <f t="shared" si="261"/>
        <v>#DIV/0!</v>
      </c>
      <c r="AQ196" s="84" t="e">
        <f t="shared" si="262"/>
        <v>#DIV/0!</v>
      </c>
      <c r="AS196" s="86">
        <f t="shared" si="245"/>
        <v>0.25</v>
      </c>
      <c r="AT196" s="87">
        <f t="shared" si="263"/>
        <v>0</v>
      </c>
      <c r="AU196" s="87">
        <f t="shared" si="264"/>
        <v>0</v>
      </c>
      <c r="AV196" s="88" t="e">
        <f t="shared" si="246"/>
        <v>#DIV/0!</v>
      </c>
      <c r="AW196" s="78" t="e">
        <f t="shared" si="265"/>
        <v>#DIV/0!</v>
      </c>
      <c r="AX196" s="89" t="e">
        <f t="shared" si="266"/>
        <v>#DIV/0!</v>
      </c>
      <c r="BA196" s="91">
        <f t="shared" si="247"/>
        <v>0</v>
      </c>
      <c r="BB196" s="77" t="e">
        <f t="shared" si="267"/>
        <v>#DIV/0!</v>
      </c>
      <c r="BC196" s="78" t="e">
        <f t="shared" si="268"/>
        <v>#DIV/0!</v>
      </c>
      <c r="BD196" s="79" t="e">
        <f t="shared" si="269"/>
        <v>#DIV/0!</v>
      </c>
      <c r="BE196" s="92"/>
      <c r="BF196" s="92"/>
      <c r="BG196" s="114">
        <v>529195</v>
      </c>
      <c r="BH196" s="94">
        <f t="shared" si="248"/>
        <v>0</v>
      </c>
      <c r="BI196" s="77" t="e">
        <f t="shared" si="249"/>
        <v>#DIV/0!</v>
      </c>
      <c r="BJ196" s="95" t="str">
        <f t="shared" si="270"/>
        <v>전기전자/기계업</v>
      </c>
      <c r="BK196" s="96" t="e">
        <f t="shared" si="250"/>
        <v>#DIV/0!</v>
      </c>
      <c r="BL196" s="97" t="e">
        <f t="shared" si="271"/>
        <v>#DIV/0!</v>
      </c>
      <c r="BM196" s="98" t="e">
        <f t="shared" si="272"/>
        <v>#DIV/0!</v>
      </c>
      <c r="BN196" s="99" t="e">
        <f t="shared" si="273"/>
        <v>#DIV/0!</v>
      </c>
      <c r="BP196" s="101">
        <f t="shared" si="274"/>
        <v>0</v>
      </c>
      <c r="BQ196" s="78">
        <f t="shared" si="275"/>
        <v>25</v>
      </c>
      <c r="BR196" s="79">
        <f t="shared" si="276"/>
        <v>0.5</v>
      </c>
      <c r="BS196" s="102"/>
      <c r="BT196" s="102"/>
      <c r="BU196" s="103">
        <f t="shared" si="277"/>
        <v>0</v>
      </c>
      <c r="BV196" s="77">
        <f t="shared" si="251"/>
        <v>0</v>
      </c>
      <c r="BW196" s="96">
        <f t="shared" si="252"/>
        <v>0</v>
      </c>
      <c r="BX196" s="96">
        <f t="shared" si="278"/>
        <v>0</v>
      </c>
      <c r="BY196" s="96">
        <f t="shared" si="253"/>
        <v>0</v>
      </c>
      <c r="BZ196" s="96" t="e">
        <f t="shared" si="279"/>
        <v>#NUM!</v>
      </c>
      <c r="CA196" s="96" t="e">
        <f t="shared" si="254"/>
        <v>#NUM!</v>
      </c>
      <c r="CB196" s="104" t="e">
        <f t="shared" si="280"/>
        <v>#NUM!</v>
      </c>
      <c r="CC196" s="105">
        <f t="shared" si="281"/>
        <v>48.853012886766891</v>
      </c>
      <c r="CD196" s="106">
        <f t="shared" si="282"/>
        <v>81.96494489192203</v>
      </c>
      <c r="CE196" s="107">
        <f t="shared" si="283"/>
        <v>1.2294741733788304</v>
      </c>
      <c r="CF196" s="108" t="s">
        <v>2189</v>
      </c>
      <c r="CG196" s="108" t="s">
        <v>2189</v>
      </c>
      <c r="CH196" s="108" t="s">
        <v>2189</v>
      </c>
      <c r="CI196" s="108" t="s">
        <v>2189</v>
      </c>
      <c r="CJ196" s="109"/>
      <c r="CM196" s="111">
        <f t="shared" si="284"/>
        <v>25</v>
      </c>
      <c r="CN196" s="107">
        <f t="shared" si="285"/>
        <v>0.375</v>
      </c>
      <c r="CP196" s="88">
        <f t="shared" si="286"/>
        <v>0</v>
      </c>
      <c r="CQ196" s="78">
        <f t="shared" si="287"/>
        <v>100</v>
      </c>
      <c r="CR196" s="79">
        <f t="shared" si="288"/>
        <v>3</v>
      </c>
      <c r="CS196" s="92"/>
      <c r="CT196" s="77">
        <f t="shared" si="255"/>
        <v>0</v>
      </c>
      <c r="CU196" s="78">
        <f t="shared" si="289"/>
        <v>100</v>
      </c>
      <c r="CV196" s="79">
        <f t="shared" si="290"/>
        <v>2</v>
      </c>
      <c r="CW196" s="112" t="e">
        <f t="shared" si="291"/>
        <v>#DIV/0!</v>
      </c>
    </row>
    <row r="197" spans="1:101" x14ac:dyDescent="0.35">
      <c r="A197" s="7" t="s">
        <v>1278</v>
      </c>
      <c r="B197" s="8" t="s">
        <v>1279</v>
      </c>
      <c r="C197" s="21" t="s">
        <v>1280</v>
      </c>
      <c r="D197" s="10" t="s">
        <v>75</v>
      </c>
      <c r="E197" s="11" t="s">
        <v>276</v>
      </c>
      <c r="F197" s="11" t="s">
        <v>1281</v>
      </c>
      <c r="G197" s="12">
        <v>35669</v>
      </c>
      <c r="H197" s="11" t="s">
        <v>24</v>
      </c>
      <c r="I197" s="11" t="s">
        <v>1282</v>
      </c>
      <c r="J197" s="11" t="s">
        <v>1283</v>
      </c>
      <c r="K197" s="11" t="s">
        <v>280</v>
      </c>
      <c r="L197" s="23">
        <v>169880794</v>
      </c>
      <c r="M197" s="14">
        <v>10753658</v>
      </c>
      <c r="N197" s="14">
        <v>159127136</v>
      </c>
      <c r="O197" s="14">
        <v>80968867</v>
      </c>
      <c r="P197" s="14">
        <v>2227640</v>
      </c>
      <c r="Q197" s="14">
        <v>2895711</v>
      </c>
      <c r="R197" s="14">
        <v>2402054</v>
      </c>
      <c r="AB197" s="74">
        <f t="shared" si="292"/>
        <v>0</v>
      </c>
      <c r="AC197" s="75" t="e">
        <f t="shared" si="256"/>
        <v>#DIV/0!</v>
      </c>
      <c r="AD197" s="75" t="e">
        <f t="shared" si="293"/>
        <v>#DIV/0!</v>
      </c>
      <c r="AE197" s="76" t="e">
        <f t="shared" si="257"/>
        <v>#DIV/0!</v>
      </c>
      <c r="AF197" s="77" t="e">
        <f t="shared" si="258"/>
        <v>#DIV/0!</v>
      </c>
      <c r="AG197" s="77" t="e">
        <f t="shared" si="259"/>
        <v>#DIV/0!</v>
      </c>
      <c r="AH197" s="77" t="e">
        <f t="shared" si="294"/>
        <v>#DIV/0!</v>
      </c>
      <c r="AI197" s="78" t="e">
        <f t="shared" si="295"/>
        <v>#DIV/0!</v>
      </c>
      <c r="AJ197" s="79" t="e">
        <f t="shared" si="260"/>
        <v>#DIV/0!</v>
      </c>
      <c r="AN197" s="81">
        <f t="shared" si="243"/>
        <v>0</v>
      </c>
      <c r="AO197" s="82" t="e">
        <f t="shared" si="244"/>
        <v>#DIV/0!</v>
      </c>
      <c r="AP197" s="83" t="e">
        <f t="shared" si="261"/>
        <v>#DIV/0!</v>
      </c>
      <c r="AQ197" s="84" t="e">
        <f t="shared" si="262"/>
        <v>#DIV/0!</v>
      </c>
      <c r="AS197" s="86">
        <f t="shared" si="245"/>
        <v>0.25</v>
      </c>
      <c r="AT197" s="87">
        <f t="shared" si="263"/>
        <v>0</v>
      </c>
      <c r="AU197" s="87">
        <f t="shared" si="264"/>
        <v>0</v>
      </c>
      <c r="AV197" s="88" t="e">
        <f t="shared" si="246"/>
        <v>#DIV/0!</v>
      </c>
      <c r="AW197" s="78" t="e">
        <f t="shared" si="265"/>
        <v>#DIV/0!</v>
      </c>
      <c r="AX197" s="89" t="e">
        <f t="shared" si="266"/>
        <v>#DIV/0!</v>
      </c>
      <c r="BA197" s="91">
        <f t="shared" si="247"/>
        <v>0</v>
      </c>
      <c r="BB197" s="77" t="e">
        <f t="shared" si="267"/>
        <v>#DIV/0!</v>
      </c>
      <c r="BC197" s="78" t="e">
        <f t="shared" si="268"/>
        <v>#DIV/0!</v>
      </c>
      <c r="BD197" s="79" t="e">
        <f t="shared" si="269"/>
        <v>#DIV/0!</v>
      </c>
      <c r="BE197" s="92"/>
      <c r="BF197" s="92"/>
      <c r="BG197" s="114">
        <v>313408</v>
      </c>
      <c r="BH197" s="94">
        <f t="shared" si="248"/>
        <v>0</v>
      </c>
      <c r="BI197" s="77" t="e">
        <f t="shared" si="249"/>
        <v>#DIV/0!</v>
      </c>
      <c r="BJ197" s="95" t="str">
        <f t="shared" si="270"/>
        <v>금속/비금속/화학업</v>
      </c>
      <c r="BK197" s="96" t="e">
        <f t="shared" si="250"/>
        <v>#DIV/0!</v>
      </c>
      <c r="BL197" s="97" t="e">
        <f t="shared" si="271"/>
        <v>#DIV/0!</v>
      </c>
      <c r="BM197" s="98" t="e">
        <f t="shared" si="272"/>
        <v>#DIV/0!</v>
      </c>
      <c r="BN197" s="99" t="e">
        <f t="shared" si="273"/>
        <v>#DIV/0!</v>
      </c>
      <c r="BP197" s="101">
        <f t="shared" si="274"/>
        <v>0</v>
      </c>
      <c r="BQ197" s="78">
        <f t="shared" si="275"/>
        <v>25</v>
      </c>
      <c r="BR197" s="79">
        <f t="shared" si="276"/>
        <v>0.5</v>
      </c>
      <c r="BS197" s="102"/>
      <c r="BT197" s="102"/>
      <c r="BU197" s="103">
        <f t="shared" si="277"/>
        <v>0</v>
      </c>
      <c r="BV197" s="77">
        <f t="shared" si="251"/>
        <v>0</v>
      </c>
      <c r="BW197" s="96">
        <f t="shared" si="252"/>
        <v>0</v>
      </c>
      <c r="BX197" s="96">
        <f t="shared" si="278"/>
        <v>0</v>
      </c>
      <c r="BY197" s="96">
        <f t="shared" si="253"/>
        <v>0</v>
      </c>
      <c r="BZ197" s="96" t="e">
        <f t="shared" si="279"/>
        <v>#NUM!</v>
      </c>
      <c r="CA197" s="96" t="e">
        <f t="shared" si="254"/>
        <v>#NUM!</v>
      </c>
      <c r="CB197" s="104" t="e">
        <f t="shared" si="280"/>
        <v>#NUM!</v>
      </c>
      <c r="CC197" s="105">
        <f t="shared" si="281"/>
        <v>6.7579033157487354</v>
      </c>
      <c r="CD197" s="106">
        <f t="shared" si="282"/>
        <v>97.829935936275604</v>
      </c>
      <c r="CE197" s="107">
        <f t="shared" si="283"/>
        <v>1.4674490390441339</v>
      </c>
      <c r="CF197" s="108" t="s">
        <v>2189</v>
      </c>
      <c r="CG197" s="108" t="s">
        <v>2189</v>
      </c>
      <c r="CH197" s="108" t="s">
        <v>2189</v>
      </c>
      <c r="CI197" s="108" t="s">
        <v>2189</v>
      </c>
      <c r="CJ197" s="109"/>
      <c r="CM197" s="111">
        <f t="shared" si="284"/>
        <v>25</v>
      </c>
      <c r="CN197" s="107">
        <f t="shared" si="285"/>
        <v>0.375</v>
      </c>
      <c r="CP197" s="88">
        <f t="shared" si="286"/>
        <v>0</v>
      </c>
      <c r="CQ197" s="78">
        <f t="shared" si="287"/>
        <v>100</v>
      </c>
      <c r="CR197" s="79">
        <f t="shared" si="288"/>
        <v>3</v>
      </c>
      <c r="CS197" s="92"/>
      <c r="CT197" s="77">
        <f t="shared" si="255"/>
        <v>0</v>
      </c>
      <c r="CU197" s="78">
        <f t="shared" si="289"/>
        <v>100</v>
      </c>
      <c r="CV197" s="79">
        <f t="shared" si="290"/>
        <v>2</v>
      </c>
      <c r="CW197" s="112" t="e">
        <f t="shared" si="291"/>
        <v>#DIV/0!</v>
      </c>
    </row>
    <row r="198" spans="1:101" x14ac:dyDescent="0.35">
      <c r="A198" s="7" t="s">
        <v>1284</v>
      </c>
      <c r="B198" s="8" t="s">
        <v>1285</v>
      </c>
      <c r="C198" s="21" t="s">
        <v>1286</v>
      </c>
      <c r="D198" s="10" t="s">
        <v>21</v>
      </c>
      <c r="E198" s="11" t="s">
        <v>134</v>
      </c>
      <c r="F198" s="11" t="s">
        <v>1287</v>
      </c>
      <c r="G198" s="12">
        <v>40024</v>
      </c>
      <c r="H198" s="11" t="s">
        <v>24</v>
      </c>
      <c r="I198" s="11" t="s">
        <v>1288</v>
      </c>
      <c r="J198" s="28" t="s">
        <v>1289</v>
      </c>
      <c r="K198" s="11" t="s">
        <v>27</v>
      </c>
      <c r="L198" s="23">
        <v>1895028518</v>
      </c>
      <c r="M198" s="14">
        <v>309482206</v>
      </c>
      <c r="N198" s="14">
        <v>1585546312</v>
      </c>
      <c r="O198" s="14">
        <v>2130649097</v>
      </c>
      <c r="P198" s="14">
        <v>241563536</v>
      </c>
      <c r="Q198" s="14">
        <v>256945444</v>
      </c>
      <c r="R198" s="14">
        <v>204214530</v>
      </c>
      <c r="AB198" s="74">
        <f t="shared" si="292"/>
        <v>0</v>
      </c>
      <c r="AC198" s="75" t="e">
        <f t="shared" si="256"/>
        <v>#DIV/0!</v>
      </c>
      <c r="AD198" s="75" t="e">
        <f t="shared" si="293"/>
        <v>#DIV/0!</v>
      </c>
      <c r="AE198" s="76" t="e">
        <f t="shared" si="257"/>
        <v>#DIV/0!</v>
      </c>
      <c r="AF198" s="77" t="e">
        <f t="shared" si="258"/>
        <v>#DIV/0!</v>
      </c>
      <c r="AG198" s="77" t="e">
        <f t="shared" si="259"/>
        <v>#DIV/0!</v>
      </c>
      <c r="AH198" s="77" t="e">
        <f t="shared" si="294"/>
        <v>#DIV/0!</v>
      </c>
      <c r="AI198" s="78" t="e">
        <f t="shared" si="295"/>
        <v>#DIV/0!</v>
      </c>
      <c r="AJ198" s="79" t="e">
        <f t="shared" si="260"/>
        <v>#DIV/0!</v>
      </c>
      <c r="AM198" s="80"/>
      <c r="AN198" s="81">
        <f t="shared" si="243"/>
        <v>0</v>
      </c>
      <c r="AO198" s="82" t="e">
        <f t="shared" si="244"/>
        <v>#DIV/0!</v>
      </c>
      <c r="AP198" s="83" t="e">
        <f t="shared" si="261"/>
        <v>#DIV/0!</v>
      </c>
      <c r="AQ198" s="84" t="e">
        <f t="shared" si="262"/>
        <v>#DIV/0!</v>
      </c>
      <c r="AS198" s="86">
        <f t="shared" si="245"/>
        <v>0.25</v>
      </c>
      <c r="AT198" s="87">
        <f t="shared" si="263"/>
        <v>0</v>
      </c>
      <c r="AU198" s="87">
        <f t="shared" si="264"/>
        <v>0</v>
      </c>
      <c r="AV198" s="88" t="e">
        <f t="shared" si="246"/>
        <v>#DIV/0!</v>
      </c>
      <c r="AW198" s="78" t="e">
        <f t="shared" si="265"/>
        <v>#DIV/0!</v>
      </c>
      <c r="AX198" s="89" t="e">
        <f t="shared" si="266"/>
        <v>#DIV/0!</v>
      </c>
      <c r="BA198" s="91">
        <f t="shared" si="247"/>
        <v>0</v>
      </c>
      <c r="BB198" s="77" t="e">
        <f t="shared" si="267"/>
        <v>#DIV/0!</v>
      </c>
      <c r="BC198" s="78" t="e">
        <f t="shared" si="268"/>
        <v>#DIV/0!</v>
      </c>
      <c r="BD198" s="79" t="e">
        <f t="shared" si="269"/>
        <v>#DIV/0!</v>
      </c>
      <c r="BE198" s="92"/>
      <c r="BF198" s="92"/>
      <c r="BG198" s="114">
        <v>489093</v>
      </c>
      <c r="BH198" s="94">
        <f t="shared" si="248"/>
        <v>0</v>
      </c>
      <c r="BI198" s="77" t="e">
        <f t="shared" si="249"/>
        <v>#DIV/0!</v>
      </c>
      <c r="BJ198" s="95" t="str">
        <f t="shared" si="270"/>
        <v>비제조/서비스업</v>
      </c>
      <c r="BK198" s="96" t="e">
        <f t="shared" si="250"/>
        <v>#DIV/0!</v>
      </c>
      <c r="BL198" s="97" t="e">
        <f t="shared" si="271"/>
        <v>#DIV/0!</v>
      </c>
      <c r="BM198" s="98" t="e">
        <f t="shared" si="272"/>
        <v>#DIV/0!</v>
      </c>
      <c r="BN198" s="99" t="e">
        <f t="shared" si="273"/>
        <v>#DIV/0!</v>
      </c>
      <c r="BP198" s="101">
        <f t="shared" si="274"/>
        <v>0</v>
      </c>
      <c r="BQ198" s="78">
        <f t="shared" si="275"/>
        <v>25</v>
      </c>
      <c r="BR198" s="79">
        <f t="shared" si="276"/>
        <v>0.5</v>
      </c>
      <c r="BS198" s="102"/>
      <c r="BT198" s="102"/>
      <c r="BU198" s="103">
        <f t="shared" si="277"/>
        <v>0</v>
      </c>
      <c r="BV198" s="77">
        <f t="shared" si="251"/>
        <v>0</v>
      </c>
      <c r="BW198" s="96">
        <f t="shared" si="252"/>
        <v>0</v>
      </c>
      <c r="BX198" s="96">
        <f t="shared" si="278"/>
        <v>0</v>
      </c>
      <c r="BY198" s="96">
        <f t="shared" si="253"/>
        <v>0</v>
      </c>
      <c r="BZ198" s="96" t="e">
        <f t="shared" si="279"/>
        <v>#NUM!</v>
      </c>
      <c r="CA198" s="96" t="e">
        <f t="shared" si="254"/>
        <v>#NUM!</v>
      </c>
      <c r="CB198" s="104" t="e">
        <f t="shared" si="280"/>
        <v>#NUM!</v>
      </c>
      <c r="CC198" s="105">
        <f t="shared" si="281"/>
        <v>19.518963505368742</v>
      </c>
      <c r="CD198" s="106">
        <f t="shared" si="282"/>
        <v>93.020491141192679</v>
      </c>
      <c r="CE198" s="107">
        <f t="shared" si="283"/>
        <v>1.3953073671178902</v>
      </c>
      <c r="CF198" s="108" t="s">
        <v>2189</v>
      </c>
      <c r="CG198" s="108" t="s">
        <v>2189</v>
      </c>
      <c r="CH198" s="108" t="s">
        <v>2189</v>
      </c>
      <c r="CI198" s="108" t="s">
        <v>2189</v>
      </c>
      <c r="CJ198" s="109"/>
      <c r="CM198" s="111">
        <f t="shared" si="284"/>
        <v>25</v>
      </c>
      <c r="CN198" s="107">
        <f t="shared" si="285"/>
        <v>0.375</v>
      </c>
      <c r="CP198" s="88">
        <f t="shared" si="286"/>
        <v>0</v>
      </c>
      <c r="CQ198" s="78">
        <f t="shared" si="287"/>
        <v>100</v>
      </c>
      <c r="CR198" s="79">
        <f t="shared" si="288"/>
        <v>3</v>
      </c>
      <c r="CS198" s="92"/>
      <c r="CT198" s="77">
        <f t="shared" si="255"/>
        <v>0</v>
      </c>
      <c r="CU198" s="78">
        <f t="shared" si="289"/>
        <v>100</v>
      </c>
      <c r="CV198" s="79">
        <f t="shared" si="290"/>
        <v>2</v>
      </c>
      <c r="CW198" s="112" t="e">
        <f t="shared" si="291"/>
        <v>#DIV/0!</v>
      </c>
    </row>
    <row r="199" spans="1:101" x14ac:dyDescent="0.35">
      <c r="A199" s="7" t="s">
        <v>1290</v>
      </c>
      <c r="B199" s="8" t="s">
        <v>1291</v>
      </c>
      <c r="C199" s="21" t="s">
        <v>1292</v>
      </c>
      <c r="D199" s="10" t="s">
        <v>31</v>
      </c>
      <c r="E199" s="11" t="s">
        <v>1129</v>
      </c>
      <c r="F199" s="11" t="s">
        <v>1293</v>
      </c>
      <c r="G199" s="12">
        <v>35249</v>
      </c>
      <c r="H199" s="11" t="s">
        <v>24</v>
      </c>
      <c r="I199" s="11" t="s">
        <v>1294</v>
      </c>
      <c r="J199" s="11" t="s">
        <v>1295</v>
      </c>
      <c r="K199" s="11" t="s">
        <v>50</v>
      </c>
      <c r="L199" s="23">
        <v>203654155</v>
      </c>
      <c r="M199" s="14">
        <v>67128963</v>
      </c>
      <c r="N199" s="14">
        <v>136525192</v>
      </c>
      <c r="O199" s="14">
        <v>105452639</v>
      </c>
      <c r="P199" s="14">
        <v>7856944</v>
      </c>
      <c r="Q199" s="14">
        <v>10061299</v>
      </c>
      <c r="R199" s="14">
        <v>7970141</v>
      </c>
      <c r="AB199" s="74">
        <f t="shared" si="292"/>
        <v>0</v>
      </c>
      <c r="AC199" s="75" t="e">
        <f t="shared" si="256"/>
        <v>#DIV/0!</v>
      </c>
      <c r="AD199" s="75" t="e">
        <f t="shared" si="293"/>
        <v>#DIV/0!</v>
      </c>
      <c r="AE199" s="76" t="e">
        <f t="shared" si="257"/>
        <v>#DIV/0!</v>
      </c>
      <c r="AF199" s="77" t="e">
        <f t="shared" si="258"/>
        <v>#DIV/0!</v>
      </c>
      <c r="AG199" s="77" t="e">
        <f t="shared" si="259"/>
        <v>#DIV/0!</v>
      </c>
      <c r="AH199" s="77" t="e">
        <f t="shared" si="294"/>
        <v>#DIV/0!</v>
      </c>
      <c r="AI199" s="78" t="e">
        <f t="shared" si="295"/>
        <v>#DIV/0!</v>
      </c>
      <c r="AJ199" s="79" t="e">
        <f t="shared" si="260"/>
        <v>#DIV/0!</v>
      </c>
      <c r="AN199" s="81">
        <f t="shared" si="243"/>
        <v>0</v>
      </c>
      <c r="AO199" s="82" t="e">
        <f t="shared" si="244"/>
        <v>#DIV/0!</v>
      </c>
      <c r="AP199" s="83" t="e">
        <f t="shared" si="261"/>
        <v>#DIV/0!</v>
      </c>
      <c r="AQ199" s="84" t="e">
        <f t="shared" si="262"/>
        <v>#DIV/0!</v>
      </c>
      <c r="AS199" s="86">
        <f t="shared" si="245"/>
        <v>0.25</v>
      </c>
      <c r="AT199" s="87">
        <f t="shared" si="263"/>
        <v>0</v>
      </c>
      <c r="AU199" s="87">
        <f t="shared" si="264"/>
        <v>0</v>
      </c>
      <c r="AV199" s="88" t="e">
        <f t="shared" si="246"/>
        <v>#DIV/0!</v>
      </c>
      <c r="AW199" s="78" t="e">
        <f t="shared" si="265"/>
        <v>#DIV/0!</v>
      </c>
      <c r="AX199" s="89" t="e">
        <f t="shared" si="266"/>
        <v>#DIV/0!</v>
      </c>
      <c r="BA199" s="91">
        <f t="shared" si="247"/>
        <v>0</v>
      </c>
      <c r="BB199" s="77" t="e">
        <f t="shared" si="267"/>
        <v>#DIV/0!</v>
      </c>
      <c r="BC199" s="78" t="e">
        <f t="shared" si="268"/>
        <v>#DIV/0!</v>
      </c>
      <c r="BD199" s="79" t="e">
        <f t="shared" si="269"/>
        <v>#DIV/0!</v>
      </c>
      <c r="BE199" s="92"/>
      <c r="BF199" s="92"/>
      <c r="BG199" s="93">
        <v>0</v>
      </c>
      <c r="BH199" s="94">
        <f t="shared" si="248"/>
        <v>0</v>
      </c>
      <c r="BI199" s="77" t="e">
        <f t="shared" si="249"/>
        <v>#DIV/0!</v>
      </c>
      <c r="BJ199" s="95" t="str">
        <f t="shared" si="270"/>
        <v>식약/섬유/종이업</v>
      </c>
      <c r="BK199" s="96" t="e">
        <f t="shared" si="250"/>
        <v>#DIV/0!</v>
      </c>
      <c r="BL199" s="97" t="e">
        <f t="shared" si="271"/>
        <v>#DIV/0!</v>
      </c>
      <c r="BM199" s="98" t="e">
        <f t="shared" si="272"/>
        <v>#DIV/0!</v>
      </c>
      <c r="BN199" s="99" t="e">
        <f t="shared" si="273"/>
        <v>#DIV/0!</v>
      </c>
      <c r="BP199" s="101">
        <f t="shared" si="274"/>
        <v>0</v>
      </c>
      <c r="BQ199" s="78">
        <f t="shared" si="275"/>
        <v>25</v>
      </c>
      <c r="BR199" s="79">
        <f t="shared" si="276"/>
        <v>0.5</v>
      </c>
      <c r="BS199" s="102"/>
      <c r="BT199" s="102"/>
      <c r="BU199" s="103">
        <f t="shared" si="277"/>
        <v>0</v>
      </c>
      <c r="BV199" s="77">
        <f t="shared" si="251"/>
        <v>0</v>
      </c>
      <c r="BW199" s="96">
        <f t="shared" si="252"/>
        <v>0</v>
      </c>
      <c r="BX199" s="96">
        <f t="shared" si="278"/>
        <v>0</v>
      </c>
      <c r="BY199" s="96">
        <f t="shared" si="253"/>
        <v>0</v>
      </c>
      <c r="BZ199" s="96" t="e">
        <f t="shared" si="279"/>
        <v>#NUM!</v>
      </c>
      <c r="CA199" s="96" t="e">
        <f t="shared" si="254"/>
        <v>#NUM!</v>
      </c>
      <c r="CB199" s="104" t="e">
        <f t="shared" si="280"/>
        <v>#NUM!</v>
      </c>
      <c r="CC199" s="105">
        <f t="shared" si="281"/>
        <v>49.169652879887543</v>
      </c>
      <c r="CD199" s="106">
        <f t="shared" si="282"/>
        <v>81.845608211097655</v>
      </c>
      <c r="CE199" s="107">
        <f t="shared" si="283"/>
        <v>1.2276841231664648</v>
      </c>
      <c r="CF199" s="108" t="s">
        <v>2189</v>
      </c>
      <c r="CG199" s="108" t="s">
        <v>2189</v>
      </c>
      <c r="CH199" s="108" t="s">
        <v>2189</v>
      </c>
      <c r="CI199" s="108" t="s">
        <v>2189</v>
      </c>
      <c r="CJ199" s="109"/>
      <c r="CM199" s="111">
        <f t="shared" si="284"/>
        <v>25</v>
      </c>
      <c r="CN199" s="107">
        <f t="shared" si="285"/>
        <v>0.375</v>
      </c>
      <c r="CP199" s="88">
        <f t="shared" si="286"/>
        <v>0</v>
      </c>
      <c r="CQ199" s="78">
        <f t="shared" si="287"/>
        <v>100</v>
      </c>
      <c r="CR199" s="79">
        <f t="shared" si="288"/>
        <v>3</v>
      </c>
      <c r="CS199" s="92"/>
      <c r="CT199" s="77">
        <f t="shared" si="255"/>
        <v>0</v>
      </c>
      <c r="CU199" s="78">
        <f t="shared" si="289"/>
        <v>100</v>
      </c>
      <c r="CV199" s="79">
        <f t="shared" si="290"/>
        <v>2</v>
      </c>
      <c r="CW199" s="112" t="e">
        <f t="shared" si="291"/>
        <v>#DIV/0!</v>
      </c>
    </row>
    <row r="200" spans="1:101" x14ac:dyDescent="0.35">
      <c r="A200" s="7" t="s">
        <v>1296</v>
      </c>
      <c r="B200" s="8" t="s">
        <v>1297</v>
      </c>
      <c r="C200" s="21" t="s">
        <v>1298</v>
      </c>
      <c r="D200" s="10" t="s">
        <v>31</v>
      </c>
      <c r="E200" s="11" t="s">
        <v>46</v>
      </c>
      <c r="F200" s="11" t="s">
        <v>1299</v>
      </c>
      <c r="G200" s="12">
        <v>42923</v>
      </c>
      <c r="H200" s="11" t="s">
        <v>24</v>
      </c>
      <c r="I200" s="11" t="s">
        <v>1300</v>
      </c>
      <c r="J200" s="11" t="s">
        <v>1301</v>
      </c>
      <c r="K200" s="11" t="s">
        <v>27</v>
      </c>
      <c r="L200" s="23">
        <v>1228500766</v>
      </c>
      <c r="M200" s="14">
        <v>276810740</v>
      </c>
      <c r="N200" s="14">
        <v>951690026</v>
      </c>
      <c r="O200" s="14">
        <v>939112572</v>
      </c>
      <c r="P200" s="14">
        <v>140231959</v>
      </c>
      <c r="Q200" s="14">
        <v>140016468</v>
      </c>
      <c r="R200" s="14">
        <v>104657276</v>
      </c>
      <c r="AB200" s="74">
        <f t="shared" si="292"/>
        <v>0</v>
      </c>
      <c r="AC200" s="75" t="e">
        <f t="shared" si="256"/>
        <v>#DIV/0!</v>
      </c>
      <c r="AD200" s="75" t="e">
        <f t="shared" si="293"/>
        <v>#DIV/0!</v>
      </c>
      <c r="AE200" s="76" t="e">
        <f t="shared" si="257"/>
        <v>#DIV/0!</v>
      </c>
      <c r="AF200" s="77" t="e">
        <f t="shared" si="258"/>
        <v>#DIV/0!</v>
      </c>
      <c r="AG200" s="77" t="e">
        <f t="shared" si="259"/>
        <v>#DIV/0!</v>
      </c>
      <c r="AH200" s="77" t="e">
        <f t="shared" si="294"/>
        <v>#DIV/0!</v>
      </c>
      <c r="AI200" s="78" t="e">
        <f t="shared" si="295"/>
        <v>#DIV/0!</v>
      </c>
      <c r="AJ200" s="79" t="e">
        <f t="shared" si="260"/>
        <v>#DIV/0!</v>
      </c>
      <c r="AN200" s="81">
        <f t="shared" si="243"/>
        <v>0</v>
      </c>
      <c r="AO200" s="82" t="e">
        <f t="shared" si="244"/>
        <v>#DIV/0!</v>
      </c>
      <c r="AP200" s="83" t="e">
        <f t="shared" si="261"/>
        <v>#DIV/0!</v>
      </c>
      <c r="AQ200" s="84" t="e">
        <f t="shared" si="262"/>
        <v>#DIV/0!</v>
      </c>
      <c r="AS200" s="86">
        <f t="shared" si="245"/>
        <v>0.25</v>
      </c>
      <c r="AT200" s="87">
        <f t="shared" si="263"/>
        <v>0</v>
      </c>
      <c r="AU200" s="87">
        <f t="shared" si="264"/>
        <v>0</v>
      </c>
      <c r="AV200" s="88" t="e">
        <f t="shared" si="246"/>
        <v>#DIV/0!</v>
      </c>
      <c r="AW200" s="78" t="e">
        <f t="shared" si="265"/>
        <v>#DIV/0!</v>
      </c>
      <c r="AX200" s="89" t="e">
        <f t="shared" si="266"/>
        <v>#DIV/0!</v>
      </c>
      <c r="BA200" s="91">
        <f t="shared" si="247"/>
        <v>0</v>
      </c>
      <c r="BB200" s="77" t="e">
        <f t="shared" si="267"/>
        <v>#DIV/0!</v>
      </c>
      <c r="BC200" s="78" t="e">
        <f t="shared" si="268"/>
        <v>#DIV/0!</v>
      </c>
      <c r="BD200" s="79" t="e">
        <f t="shared" si="269"/>
        <v>#DIV/0!</v>
      </c>
      <c r="BE200" s="92"/>
      <c r="BF200" s="92"/>
      <c r="BG200" s="93">
        <v>0</v>
      </c>
      <c r="BH200" s="94">
        <f t="shared" si="248"/>
        <v>0</v>
      </c>
      <c r="BI200" s="77" t="e">
        <f t="shared" si="249"/>
        <v>#DIV/0!</v>
      </c>
      <c r="BJ200" s="95" t="str">
        <f t="shared" si="270"/>
        <v>식약/섬유/종이업</v>
      </c>
      <c r="BK200" s="96" t="e">
        <f t="shared" si="250"/>
        <v>#DIV/0!</v>
      </c>
      <c r="BL200" s="97" t="e">
        <f t="shared" si="271"/>
        <v>#DIV/0!</v>
      </c>
      <c r="BM200" s="98" t="e">
        <f t="shared" si="272"/>
        <v>#DIV/0!</v>
      </c>
      <c r="BN200" s="99" t="e">
        <f t="shared" si="273"/>
        <v>#DIV/0!</v>
      </c>
      <c r="BP200" s="101">
        <f t="shared" si="274"/>
        <v>0</v>
      </c>
      <c r="BQ200" s="78">
        <f t="shared" si="275"/>
        <v>25</v>
      </c>
      <c r="BR200" s="79">
        <f t="shared" si="276"/>
        <v>0.5</v>
      </c>
      <c r="BS200" s="102"/>
      <c r="BT200" s="102"/>
      <c r="BU200" s="103">
        <f t="shared" si="277"/>
        <v>0</v>
      </c>
      <c r="BV200" s="77">
        <f t="shared" si="251"/>
        <v>0</v>
      </c>
      <c r="BW200" s="96">
        <f t="shared" si="252"/>
        <v>0</v>
      </c>
      <c r="BX200" s="96">
        <f t="shared" si="278"/>
        <v>0</v>
      </c>
      <c r="BY200" s="96">
        <f t="shared" si="253"/>
        <v>0</v>
      </c>
      <c r="BZ200" s="96" t="e">
        <f t="shared" si="279"/>
        <v>#NUM!</v>
      </c>
      <c r="CA200" s="96" t="e">
        <f t="shared" si="254"/>
        <v>#NUM!</v>
      </c>
      <c r="CB200" s="104" t="e">
        <f t="shared" si="280"/>
        <v>#NUM!</v>
      </c>
      <c r="CC200" s="105">
        <f t="shared" si="281"/>
        <v>29.086228965060101</v>
      </c>
      <c r="CD200" s="106">
        <f t="shared" si="282"/>
        <v>89.414737827238653</v>
      </c>
      <c r="CE200" s="107">
        <f t="shared" si="283"/>
        <v>1.3412210674085798</v>
      </c>
      <c r="CF200" s="108" t="s">
        <v>2189</v>
      </c>
      <c r="CG200" s="108" t="s">
        <v>2189</v>
      </c>
      <c r="CH200" s="108" t="s">
        <v>2189</v>
      </c>
      <c r="CI200" s="108" t="s">
        <v>2189</v>
      </c>
      <c r="CJ200" s="109"/>
      <c r="CM200" s="111">
        <f t="shared" si="284"/>
        <v>25</v>
      </c>
      <c r="CN200" s="107">
        <f t="shared" si="285"/>
        <v>0.375</v>
      </c>
      <c r="CP200" s="88">
        <f t="shared" si="286"/>
        <v>0</v>
      </c>
      <c r="CQ200" s="78">
        <f t="shared" si="287"/>
        <v>100</v>
      </c>
      <c r="CR200" s="79">
        <f t="shared" si="288"/>
        <v>3</v>
      </c>
      <c r="CS200" s="92"/>
      <c r="CT200" s="77">
        <f t="shared" si="255"/>
        <v>0</v>
      </c>
      <c r="CU200" s="78">
        <f t="shared" si="289"/>
        <v>100</v>
      </c>
      <c r="CV200" s="79">
        <f t="shared" si="290"/>
        <v>2</v>
      </c>
      <c r="CW200" s="112" t="e">
        <f t="shared" si="291"/>
        <v>#DIV/0!</v>
      </c>
    </row>
    <row r="201" spans="1:101" x14ac:dyDescent="0.35">
      <c r="A201" s="7" t="s">
        <v>1302</v>
      </c>
      <c r="B201" s="8" t="s">
        <v>1303</v>
      </c>
      <c r="C201" s="21" t="s">
        <v>1304</v>
      </c>
      <c r="D201" s="22" t="s">
        <v>141</v>
      </c>
      <c r="E201" s="11" t="s">
        <v>481</v>
      </c>
      <c r="F201" s="11" t="s">
        <v>1305</v>
      </c>
      <c r="G201" s="12">
        <v>38861</v>
      </c>
      <c r="H201" s="11" t="s">
        <v>24</v>
      </c>
      <c r="I201" s="11" t="s">
        <v>1306</v>
      </c>
      <c r="J201" s="11" t="s">
        <v>1307</v>
      </c>
      <c r="K201" s="11" t="s">
        <v>280</v>
      </c>
      <c r="L201" s="23">
        <v>285172713</v>
      </c>
      <c r="M201" s="14">
        <v>183290683</v>
      </c>
      <c r="N201" s="14">
        <v>101882030</v>
      </c>
      <c r="O201" s="14">
        <v>252909508</v>
      </c>
      <c r="P201" s="14">
        <v>22627714</v>
      </c>
      <c r="Q201" s="14">
        <v>24143944</v>
      </c>
      <c r="R201" s="14">
        <v>20922790</v>
      </c>
      <c r="AB201" s="74">
        <f t="shared" si="292"/>
        <v>0</v>
      </c>
      <c r="AC201" s="75" t="e">
        <f t="shared" si="256"/>
        <v>#DIV/0!</v>
      </c>
      <c r="AD201" s="75" t="e">
        <f t="shared" si="293"/>
        <v>#DIV/0!</v>
      </c>
      <c r="AE201" s="76" t="e">
        <f t="shared" si="257"/>
        <v>#DIV/0!</v>
      </c>
      <c r="AF201" s="77" t="e">
        <f t="shared" si="258"/>
        <v>#DIV/0!</v>
      </c>
      <c r="AG201" s="77" t="e">
        <f t="shared" si="259"/>
        <v>#DIV/0!</v>
      </c>
      <c r="AH201" s="77" t="e">
        <f t="shared" si="294"/>
        <v>#DIV/0!</v>
      </c>
      <c r="AI201" s="78" t="e">
        <f t="shared" si="295"/>
        <v>#DIV/0!</v>
      </c>
      <c r="AJ201" s="79" t="e">
        <f t="shared" si="260"/>
        <v>#DIV/0!</v>
      </c>
      <c r="AN201" s="81">
        <f t="shared" si="243"/>
        <v>0</v>
      </c>
      <c r="AO201" s="82" t="e">
        <f t="shared" si="244"/>
        <v>#DIV/0!</v>
      </c>
      <c r="AP201" s="83" t="e">
        <f t="shared" si="261"/>
        <v>#DIV/0!</v>
      </c>
      <c r="AQ201" s="84" t="e">
        <f t="shared" si="262"/>
        <v>#DIV/0!</v>
      </c>
      <c r="AS201" s="86">
        <f t="shared" si="245"/>
        <v>0.25</v>
      </c>
      <c r="AT201" s="87">
        <f t="shared" si="263"/>
        <v>0</v>
      </c>
      <c r="AU201" s="87">
        <f t="shared" si="264"/>
        <v>0</v>
      </c>
      <c r="AV201" s="88" t="e">
        <f t="shared" si="246"/>
        <v>#DIV/0!</v>
      </c>
      <c r="AW201" s="78" t="e">
        <f t="shared" si="265"/>
        <v>#DIV/0!</v>
      </c>
      <c r="AX201" s="89" t="e">
        <f t="shared" si="266"/>
        <v>#DIV/0!</v>
      </c>
      <c r="BA201" s="91">
        <f t="shared" si="247"/>
        <v>0</v>
      </c>
      <c r="BB201" s="77" t="e">
        <f t="shared" si="267"/>
        <v>#DIV/0!</v>
      </c>
      <c r="BC201" s="78" t="e">
        <f t="shared" si="268"/>
        <v>#DIV/0!</v>
      </c>
      <c r="BD201" s="79" t="e">
        <f t="shared" si="269"/>
        <v>#DIV/0!</v>
      </c>
      <c r="BE201" s="92"/>
      <c r="BF201" s="92"/>
      <c r="BG201" s="114">
        <v>1102825</v>
      </c>
      <c r="BH201" s="94">
        <f t="shared" si="248"/>
        <v>0</v>
      </c>
      <c r="BI201" s="77" t="e">
        <f t="shared" si="249"/>
        <v>#DIV/0!</v>
      </c>
      <c r="BJ201" s="95" t="str">
        <f t="shared" si="270"/>
        <v>전기전자/기계업</v>
      </c>
      <c r="BK201" s="96" t="e">
        <f t="shared" si="250"/>
        <v>#DIV/0!</v>
      </c>
      <c r="BL201" s="97" t="e">
        <f t="shared" si="271"/>
        <v>#DIV/0!</v>
      </c>
      <c r="BM201" s="98" t="e">
        <f t="shared" si="272"/>
        <v>#DIV/0!</v>
      </c>
      <c r="BN201" s="99" t="e">
        <f t="shared" si="273"/>
        <v>#DIV/0!</v>
      </c>
      <c r="BP201" s="101">
        <f t="shared" si="274"/>
        <v>0</v>
      </c>
      <c r="BQ201" s="78">
        <f t="shared" si="275"/>
        <v>25</v>
      </c>
      <c r="BR201" s="79">
        <f t="shared" si="276"/>
        <v>0.5</v>
      </c>
      <c r="BS201" s="102"/>
      <c r="BT201" s="102"/>
      <c r="BU201" s="103">
        <f t="shared" si="277"/>
        <v>0</v>
      </c>
      <c r="BV201" s="77">
        <f t="shared" si="251"/>
        <v>0</v>
      </c>
      <c r="BW201" s="96">
        <f t="shared" si="252"/>
        <v>0</v>
      </c>
      <c r="BX201" s="96">
        <f t="shared" si="278"/>
        <v>0</v>
      </c>
      <c r="BY201" s="96">
        <f t="shared" si="253"/>
        <v>0</v>
      </c>
      <c r="BZ201" s="96" t="e">
        <f t="shared" si="279"/>
        <v>#NUM!</v>
      </c>
      <c r="CA201" s="96" t="e">
        <f t="shared" si="254"/>
        <v>#NUM!</v>
      </c>
      <c r="CB201" s="104" t="e">
        <f t="shared" si="280"/>
        <v>#NUM!</v>
      </c>
      <c r="CC201" s="105">
        <f t="shared" si="281"/>
        <v>179.9048203103138</v>
      </c>
      <c r="CD201" s="106">
        <f t="shared" si="282"/>
        <v>32.573560184555106</v>
      </c>
      <c r="CE201" s="107">
        <f t="shared" si="283"/>
        <v>0.48860340276832659</v>
      </c>
      <c r="CF201" s="108" t="s">
        <v>2189</v>
      </c>
      <c r="CG201" s="108" t="s">
        <v>2189</v>
      </c>
      <c r="CH201" s="108" t="s">
        <v>2189</v>
      </c>
      <c r="CI201" s="108" t="s">
        <v>2189</v>
      </c>
      <c r="CJ201" s="109"/>
      <c r="CM201" s="111">
        <f t="shared" si="284"/>
        <v>25</v>
      </c>
      <c r="CN201" s="107">
        <f t="shared" si="285"/>
        <v>0.375</v>
      </c>
      <c r="CP201" s="88">
        <f t="shared" si="286"/>
        <v>0</v>
      </c>
      <c r="CQ201" s="78">
        <f t="shared" si="287"/>
        <v>100</v>
      </c>
      <c r="CR201" s="79">
        <f t="shared" si="288"/>
        <v>3</v>
      </c>
      <c r="CS201" s="92"/>
      <c r="CT201" s="77">
        <f t="shared" si="255"/>
        <v>0</v>
      </c>
      <c r="CU201" s="78">
        <f t="shared" si="289"/>
        <v>100</v>
      </c>
      <c r="CV201" s="79">
        <f t="shared" si="290"/>
        <v>2</v>
      </c>
      <c r="CW201" s="112" t="e">
        <f t="shared" si="291"/>
        <v>#DIV/0!</v>
      </c>
    </row>
    <row r="202" spans="1:101" x14ac:dyDescent="0.35">
      <c r="A202" s="7" t="s">
        <v>1308</v>
      </c>
      <c r="B202" s="8" t="s">
        <v>1309</v>
      </c>
      <c r="C202" s="21" t="s">
        <v>1310</v>
      </c>
      <c r="D202" s="22" t="s">
        <v>21</v>
      </c>
      <c r="E202" s="11" t="s">
        <v>1311</v>
      </c>
      <c r="F202" s="11" t="s">
        <v>1312</v>
      </c>
      <c r="G202" s="12">
        <v>39233</v>
      </c>
      <c r="H202" s="11" t="s">
        <v>24</v>
      </c>
      <c r="I202" s="11" t="s">
        <v>1313</v>
      </c>
      <c r="J202" s="11" t="s">
        <v>1314</v>
      </c>
      <c r="K202" s="11" t="s">
        <v>50</v>
      </c>
      <c r="L202" s="23">
        <v>675351513</v>
      </c>
      <c r="M202" s="14">
        <v>277354565</v>
      </c>
      <c r="N202" s="14">
        <v>397996948</v>
      </c>
      <c r="O202" s="14">
        <v>731149922</v>
      </c>
      <c r="P202" s="14">
        <v>30772712</v>
      </c>
      <c r="Q202" s="14">
        <v>12835237</v>
      </c>
      <c r="R202" s="14">
        <v>6907900</v>
      </c>
      <c r="AB202" s="74">
        <f t="shared" si="292"/>
        <v>0</v>
      </c>
      <c r="AC202" s="75" t="e">
        <f t="shared" si="256"/>
        <v>#DIV/0!</v>
      </c>
      <c r="AD202" s="75" t="e">
        <f t="shared" si="293"/>
        <v>#DIV/0!</v>
      </c>
      <c r="AE202" s="76" t="e">
        <f t="shared" si="257"/>
        <v>#DIV/0!</v>
      </c>
      <c r="AF202" s="77" t="e">
        <f t="shared" si="258"/>
        <v>#DIV/0!</v>
      </c>
      <c r="AG202" s="77" t="e">
        <f t="shared" si="259"/>
        <v>#DIV/0!</v>
      </c>
      <c r="AH202" s="77" t="e">
        <f t="shared" si="294"/>
        <v>#DIV/0!</v>
      </c>
      <c r="AI202" s="78" t="e">
        <f t="shared" si="295"/>
        <v>#DIV/0!</v>
      </c>
      <c r="AJ202" s="79" t="e">
        <f t="shared" si="260"/>
        <v>#DIV/0!</v>
      </c>
      <c r="AN202" s="81">
        <f t="shared" si="243"/>
        <v>0</v>
      </c>
      <c r="AO202" s="82" t="e">
        <f t="shared" si="244"/>
        <v>#DIV/0!</v>
      </c>
      <c r="AP202" s="83" t="e">
        <f t="shared" si="261"/>
        <v>#DIV/0!</v>
      </c>
      <c r="AQ202" s="84" t="e">
        <f t="shared" si="262"/>
        <v>#DIV/0!</v>
      </c>
      <c r="AS202" s="86">
        <f t="shared" si="245"/>
        <v>0.25</v>
      </c>
      <c r="AT202" s="87">
        <f t="shared" si="263"/>
        <v>0</v>
      </c>
      <c r="AU202" s="87">
        <f t="shared" si="264"/>
        <v>0</v>
      </c>
      <c r="AV202" s="88" t="e">
        <f t="shared" si="246"/>
        <v>#DIV/0!</v>
      </c>
      <c r="AW202" s="78" t="e">
        <f t="shared" si="265"/>
        <v>#DIV/0!</v>
      </c>
      <c r="AX202" s="89" t="e">
        <f t="shared" si="266"/>
        <v>#DIV/0!</v>
      </c>
      <c r="BA202" s="91">
        <f t="shared" si="247"/>
        <v>0</v>
      </c>
      <c r="BB202" s="77" t="e">
        <f t="shared" si="267"/>
        <v>#DIV/0!</v>
      </c>
      <c r="BC202" s="78" t="e">
        <f t="shared" si="268"/>
        <v>#DIV/0!</v>
      </c>
      <c r="BD202" s="79" t="e">
        <f t="shared" si="269"/>
        <v>#DIV/0!</v>
      </c>
      <c r="BE202" s="92"/>
      <c r="BF202" s="92"/>
      <c r="BG202" s="114">
        <v>884217</v>
      </c>
      <c r="BH202" s="94">
        <f t="shared" si="248"/>
        <v>0</v>
      </c>
      <c r="BI202" s="77" t="e">
        <f t="shared" si="249"/>
        <v>#DIV/0!</v>
      </c>
      <c r="BJ202" s="95" t="str">
        <f t="shared" si="270"/>
        <v>비제조/서비스업</v>
      </c>
      <c r="BK202" s="96" t="e">
        <f t="shared" si="250"/>
        <v>#DIV/0!</v>
      </c>
      <c r="BL202" s="97" t="e">
        <f t="shared" si="271"/>
        <v>#DIV/0!</v>
      </c>
      <c r="BM202" s="98" t="e">
        <f t="shared" si="272"/>
        <v>#DIV/0!</v>
      </c>
      <c r="BN202" s="99" t="e">
        <f t="shared" si="273"/>
        <v>#DIV/0!</v>
      </c>
      <c r="BP202" s="101">
        <f t="shared" si="274"/>
        <v>0</v>
      </c>
      <c r="BQ202" s="78">
        <f t="shared" si="275"/>
        <v>25</v>
      </c>
      <c r="BR202" s="79">
        <f t="shared" si="276"/>
        <v>0.5</v>
      </c>
      <c r="BS202" s="102"/>
      <c r="BT202" s="102"/>
      <c r="BU202" s="103">
        <f t="shared" si="277"/>
        <v>0</v>
      </c>
      <c r="BV202" s="77">
        <f t="shared" si="251"/>
        <v>0</v>
      </c>
      <c r="BW202" s="96">
        <f t="shared" si="252"/>
        <v>0</v>
      </c>
      <c r="BX202" s="96">
        <f t="shared" si="278"/>
        <v>0</v>
      </c>
      <c r="BY202" s="96">
        <f t="shared" si="253"/>
        <v>0</v>
      </c>
      <c r="BZ202" s="96" t="e">
        <f t="shared" si="279"/>
        <v>#NUM!</v>
      </c>
      <c r="CA202" s="96" t="e">
        <f t="shared" si="254"/>
        <v>#NUM!</v>
      </c>
      <c r="CB202" s="104" t="e">
        <f t="shared" si="280"/>
        <v>#NUM!</v>
      </c>
      <c r="CC202" s="105">
        <f t="shared" si="281"/>
        <v>69.687611021579997</v>
      </c>
      <c r="CD202" s="106">
        <f t="shared" si="282"/>
        <v>74.112709413977385</v>
      </c>
      <c r="CE202" s="107">
        <f t="shared" si="283"/>
        <v>1.1116906412096608</v>
      </c>
      <c r="CF202" s="108" t="s">
        <v>2189</v>
      </c>
      <c r="CG202" s="108" t="s">
        <v>2189</v>
      </c>
      <c r="CH202" s="108" t="s">
        <v>2189</v>
      </c>
      <c r="CI202" s="108" t="s">
        <v>2189</v>
      </c>
      <c r="CJ202" s="109"/>
      <c r="CM202" s="111">
        <f t="shared" si="284"/>
        <v>25</v>
      </c>
      <c r="CN202" s="107">
        <f t="shared" si="285"/>
        <v>0.375</v>
      </c>
      <c r="CP202" s="88">
        <f t="shared" si="286"/>
        <v>0</v>
      </c>
      <c r="CQ202" s="78">
        <f t="shared" si="287"/>
        <v>100</v>
      </c>
      <c r="CR202" s="79">
        <f t="shared" si="288"/>
        <v>3</v>
      </c>
      <c r="CS202" s="92"/>
      <c r="CT202" s="77">
        <f t="shared" si="255"/>
        <v>0</v>
      </c>
      <c r="CU202" s="78">
        <f t="shared" si="289"/>
        <v>100</v>
      </c>
      <c r="CV202" s="79">
        <f t="shared" si="290"/>
        <v>2</v>
      </c>
      <c r="CW202" s="112" t="e">
        <f t="shared" si="291"/>
        <v>#DIV/0!</v>
      </c>
    </row>
    <row r="203" spans="1:101" x14ac:dyDescent="0.35">
      <c r="A203" s="7" t="s">
        <v>1315</v>
      </c>
      <c r="B203" s="8" t="s">
        <v>1316</v>
      </c>
      <c r="C203" s="21" t="s">
        <v>1317</v>
      </c>
      <c r="D203" s="10" t="s">
        <v>31</v>
      </c>
      <c r="E203" s="11" t="s">
        <v>183</v>
      </c>
      <c r="F203" s="11" t="s">
        <v>1318</v>
      </c>
      <c r="G203" s="12">
        <v>39378</v>
      </c>
      <c r="H203" s="11" t="s">
        <v>24</v>
      </c>
      <c r="I203" s="11" t="s">
        <v>1319</v>
      </c>
      <c r="J203" s="11" t="s">
        <v>1320</v>
      </c>
      <c r="K203" s="11" t="s">
        <v>1321</v>
      </c>
      <c r="L203" s="23">
        <v>417890867</v>
      </c>
      <c r="M203" s="14">
        <v>80034380</v>
      </c>
      <c r="N203" s="14">
        <v>337856486</v>
      </c>
      <c r="O203" s="14">
        <v>262522023</v>
      </c>
      <c r="P203" s="14">
        <v>48213162</v>
      </c>
      <c r="Q203" s="14">
        <v>53424815</v>
      </c>
      <c r="R203" s="14">
        <v>45275094</v>
      </c>
      <c r="AB203" s="74">
        <f t="shared" si="292"/>
        <v>0</v>
      </c>
      <c r="AC203" s="75" t="e">
        <f t="shared" si="256"/>
        <v>#DIV/0!</v>
      </c>
      <c r="AD203" s="75" t="e">
        <f t="shared" si="293"/>
        <v>#DIV/0!</v>
      </c>
      <c r="AE203" s="76" t="e">
        <f t="shared" si="257"/>
        <v>#DIV/0!</v>
      </c>
      <c r="AF203" s="77" t="e">
        <f t="shared" si="258"/>
        <v>#DIV/0!</v>
      </c>
      <c r="AG203" s="77" t="e">
        <f t="shared" si="259"/>
        <v>#DIV/0!</v>
      </c>
      <c r="AH203" s="77" t="e">
        <f t="shared" si="294"/>
        <v>#DIV/0!</v>
      </c>
      <c r="AI203" s="78" t="e">
        <f t="shared" si="295"/>
        <v>#DIV/0!</v>
      </c>
      <c r="AJ203" s="79" t="e">
        <f t="shared" si="260"/>
        <v>#DIV/0!</v>
      </c>
      <c r="AN203" s="81">
        <f t="shared" si="243"/>
        <v>0</v>
      </c>
      <c r="AO203" s="82" t="e">
        <f t="shared" si="244"/>
        <v>#DIV/0!</v>
      </c>
      <c r="AP203" s="83" t="e">
        <f t="shared" si="261"/>
        <v>#DIV/0!</v>
      </c>
      <c r="AQ203" s="84" t="e">
        <f t="shared" si="262"/>
        <v>#DIV/0!</v>
      </c>
      <c r="AS203" s="86">
        <f t="shared" si="245"/>
        <v>0.25</v>
      </c>
      <c r="AT203" s="87">
        <f t="shared" si="263"/>
        <v>0</v>
      </c>
      <c r="AU203" s="87">
        <f t="shared" si="264"/>
        <v>0</v>
      </c>
      <c r="AV203" s="88" t="e">
        <f t="shared" si="246"/>
        <v>#DIV/0!</v>
      </c>
      <c r="AW203" s="78" t="e">
        <f t="shared" si="265"/>
        <v>#DIV/0!</v>
      </c>
      <c r="AX203" s="89" t="e">
        <f t="shared" si="266"/>
        <v>#DIV/0!</v>
      </c>
      <c r="BA203" s="91">
        <f t="shared" si="247"/>
        <v>0</v>
      </c>
      <c r="BB203" s="77" t="e">
        <f t="shared" si="267"/>
        <v>#DIV/0!</v>
      </c>
      <c r="BC203" s="78" t="e">
        <f t="shared" si="268"/>
        <v>#DIV/0!</v>
      </c>
      <c r="BD203" s="79" t="e">
        <f t="shared" si="269"/>
        <v>#DIV/0!</v>
      </c>
      <c r="BE203" s="92"/>
      <c r="BF203" s="92"/>
      <c r="BG203" s="114">
        <v>1028455</v>
      </c>
      <c r="BH203" s="94">
        <f t="shared" si="248"/>
        <v>0</v>
      </c>
      <c r="BI203" s="77" t="e">
        <f t="shared" si="249"/>
        <v>#DIV/0!</v>
      </c>
      <c r="BJ203" s="95" t="str">
        <f t="shared" si="270"/>
        <v>식약/섬유/종이업</v>
      </c>
      <c r="BK203" s="96" t="e">
        <f t="shared" si="250"/>
        <v>#DIV/0!</v>
      </c>
      <c r="BL203" s="97" t="e">
        <f t="shared" si="271"/>
        <v>#DIV/0!</v>
      </c>
      <c r="BM203" s="98" t="e">
        <f t="shared" si="272"/>
        <v>#DIV/0!</v>
      </c>
      <c r="BN203" s="99" t="e">
        <f t="shared" si="273"/>
        <v>#DIV/0!</v>
      </c>
      <c r="BP203" s="101">
        <f t="shared" si="274"/>
        <v>0</v>
      </c>
      <c r="BQ203" s="78">
        <f t="shared" si="275"/>
        <v>25</v>
      </c>
      <c r="BR203" s="79">
        <f t="shared" si="276"/>
        <v>0.5</v>
      </c>
      <c r="BS203" s="102"/>
      <c r="BT203" s="102"/>
      <c r="BU203" s="103">
        <f t="shared" si="277"/>
        <v>0</v>
      </c>
      <c r="BV203" s="77">
        <f t="shared" si="251"/>
        <v>0</v>
      </c>
      <c r="BW203" s="96">
        <f t="shared" si="252"/>
        <v>0</v>
      </c>
      <c r="BX203" s="96">
        <f t="shared" si="278"/>
        <v>0</v>
      </c>
      <c r="BY203" s="96">
        <f t="shared" si="253"/>
        <v>0</v>
      </c>
      <c r="BZ203" s="96" t="e">
        <f t="shared" si="279"/>
        <v>#NUM!</v>
      </c>
      <c r="CA203" s="96" t="e">
        <f t="shared" si="254"/>
        <v>#NUM!</v>
      </c>
      <c r="CB203" s="104" t="e">
        <f t="shared" si="280"/>
        <v>#NUM!</v>
      </c>
      <c r="CC203" s="105">
        <f t="shared" si="281"/>
        <v>23.688868888549322</v>
      </c>
      <c r="CD203" s="106">
        <f t="shared" si="282"/>
        <v>91.448918760596996</v>
      </c>
      <c r="CE203" s="107">
        <f t="shared" si="283"/>
        <v>1.371733781408955</v>
      </c>
      <c r="CF203" s="108" t="s">
        <v>2189</v>
      </c>
      <c r="CG203" s="108" t="s">
        <v>2189</v>
      </c>
      <c r="CH203" s="108" t="s">
        <v>2189</v>
      </c>
      <c r="CI203" s="108" t="s">
        <v>2189</v>
      </c>
      <c r="CJ203" s="109"/>
      <c r="CM203" s="111">
        <f t="shared" si="284"/>
        <v>25</v>
      </c>
      <c r="CN203" s="107">
        <f t="shared" si="285"/>
        <v>0.375</v>
      </c>
      <c r="CP203" s="88">
        <f t="shared" si="286"/>
        <v>0</v>
      </c>
      <c r="CQ203" s="78">
        <f t="shared" si="287"/>
        <v>100</v>
      </c>
      <c r="CR203" s="79">
        <f t="shared" si="288"/>
        <v>3</v>
      </c>
      <c r="CS203" s="92"/>
      <c r="CT203" s="77">
        <f t="shared" si="255"/>
        <v>0</v>
      </c>
      <c r="CU203" s="78">
        <f t="shared" si="289"/>
        <v>100</v>
      </c>
      <c r="CV203" s="79">
        <f t="shared" si="290"/>
        <v>2</v>
      </c>
      <c r="CW203" s="112" t="e">
        <f t="shared" si="291"/>
        <v>#DIV/0!</v>
      </c>
    </row>
    <row r="204" spans="1:101" x14ac:dyDescent="0.35">
      <c r="A204" s="7" t="s">
        <v>1322</v>
      </c>
      <c r="B204" s="8" t="s">
        <v>1323</v>
      </c>
      <c r="C204" s="21" t="s">
        <v>1324</v>
      </c>
      <c r="D204" s="10" t="s">
        <v>75</v>
      </c>
      <c r="E204" s="11" t="s">
        <v>76</v>
      </c>
      <c r="F204" s="11" t="s">
        <v>1325</v>
      </c>
      <c r="G204" s="12">
        <v>38324</v>
      </c>
      <c r="H204" s="11" t="s">
        <v>24</v>
      </c>
      <c r="I204" s="11" t="s">
        <v>1326</v>
      </c>
      <c r="J204" s="11" t="s">
        <v>1327</v>
      </c>
      <c r="K204" s="11" t="s">
        <v>27</v>
      </c>
      <c r="L204" s="23">
        <v>1081099768</v>
      </c>
      <c r="M204" s="14">
        <v>439582782</v>
      </c>
      <c r="N204" s="14">
        <v>641516987</v>
      </c>
      <c r="O204" s="14">
        <v>792569992</v>
      </c>
      <c r="P204" s="14">
        <v>95951025</v>
      </c>
      <c r="Q204" s="14">
        <v>117596454</v>
      </c>
      <c r="R204" s="14">
        <v>117383163</v>
      </c>
      <c r="AB204" s="74">
        <f t="shared" si="292"/>
        <v>0</v>
      </c>
      <c r="AC204" s="75" t="e">
        <f t="shared" si="256"/>
        <v>#DIV/0!</v>
      </c>
      <c r="AD204" s="75" t="e">
        <f t="shared" si="293"/>
        <v>#DIV/0!</v>
      </c>
      <c r="AE204" s="76" t="e">
        <f t="shared" si="257"/>
        <v>#DIV/0!</v>
      </c>
      <c r="AF204" s="77" t="e">
        <f t="shared" si="258"/>
        <v>#DIV/0!</v>
      </c>
      <c r="AG204" s="77" t="e">
        <f t="shared" si="259"/>
        <v>#DIV/0!</v>
      </c>
      <c r="AH204" s="77" t="e">
        <f t="shared" si="294"/>
        <v>#DIV/0!</v>
      </c>
      <c r="AI204" s="78" t="e">
        <f t="shared" si="295"/>
        <v>#DIV/0!</v>
      </c>
      <c r="AJ204" s="79" t="e">
        <f t="shared" si="260"/>
        <v>#DIV/0!</v>
      </c>
      <c r="AN204" s="81">
        <f t="shared" si="243"/>
        <v>0</v>
      </c>
      <c r="AO204" s="82" t="e">
        <f t="shared" si="244"/>
        <v>#DIV/0!</v>
      </c>
      <c r="AP204" s="83" t="e">
        <f t="shared" si="261"/>
        <v>#DIV/0!</v>
      </c>
      <c r="AQ204" s="84" t="e">
        <f t="shared" si="262"/>
        <v>#DIV/0!</v>
      </c>
      <c r="AS204" s="86">
        <f t="shared" si="245"/>
        <v>0.25</v>
      </c>
      <c r="AT204" s="87">
        <f t="shared" si="263"/>
        <v>0</v>
      </c>
      <c r="AU204" s="87">
        <f t="shared" si="264"/>
        <v>0</v>
      </c>
      <c r="AV204" s="88" t="e">
        <f t="shared" si="246"/>
        <v>#DIV/0!</v>
      </c>
      <c r="AW204" s="78" t="e">
        <f t="shared" si="265"/>
        <v>#DIV/0!</v>
      </c>
      <c r="AX204" s="89" t="e">
        <f t="shared" si="266"/>
        <v>#DIV/0!</v>
      </c>
      <c r="BA204" s="91">
        <f t="shared" si="247"/>
        <v>0</v>
      </c>
      <c r="BB204" s="77" t="e">
        <f t="shared" si="267"/>
        <v>#DIV/0!</v>
      </c>
      <c r="BC204" s="78" t="e">
        <f t="shared" si="268"/>
        <v>#DIV/0!</v>
      </c>
      <c r="BD204" s="79" t="e">
        <f t="shared" si="269"/>
        <v>#DIV/0!</v>
      </c>
      <c r="BE204" s="92"/>
      <c r="BF204" s="92"/>
      <c r="BG204" s="114">
        <v>481627</v>
      </c>
      <c r="BH204" s="94">
        <f t="shared" si="248"/>
        <v>0</v>
      </c>
      <c r="BI204" s="77" t="e">
        <f t="shared" si="249"/>
        <v>#DIV/0!</v>
      </c>
      <c r="BJ204" s="95" t="str">
        <f t="shared" si="270"/>
        <v>금속/비금속/화학업</v>
      </c>
      <c r="BK204" s="96" t="e">
        <f t="shared" si="250"/>
        <v>#DIV/0!</v>
      </c>
      <c r="BL204" s="97" t="e">
        <f t="shared" si="271"/>
        <v>#DIV/0!</v>
      </c>
      <c r="BM204" s="98" t="e">
        <f t="shared" si="272"/>
        <v>#DIV/0!</v>
      </c>
      <c r="BN204" s="99" t="e">
        <f t="shared" si="273"/>
        <v>#DIV/0!</v>
      </c>
      <c r="BP204" s="101">
        <f t="shared" si="274"/>
        <v>0</v>
      </c>
      <c r="BQ204" s="78">
        <f t="shared" si="275"/>
        <v>25</v>
      </c>
      <c r="BR204" s="79">
        <f t="shared" si="276"/>
        <v>0.5</v>
      </c>
      <c r="BS204" s="102"/>
      <c r="BT204" s="102"/>
      <c r="BU204" s="103">
        <f t="shared" si="277"/>
        <v>0</v>
      </c>
      <c r="BV204" s="77">
        <f t="shared" si="251"/>
        <v>0</v>
      </c>
      <c r="BW204" s="96">
        <f t="shared" si="252"/>
        <v>0</v>
      </c>
      <c r="BX204" s="96">
        <f t="shared" si="278"/>
        <v>0</v>
      </c>
      <c r="BY204" s="96">
        <f t="shared" si="253"/>
        <v>0</v>
      </c>
      <c r="BZ204" s="96" t="e">
        <f t="shared" si="279"/>
        <v>#NUM!</v>
      </c>
      <c r="CA204" s="96" t="e">
        <f t="shared" si="254"/>
        <v>#NUM!</v>
      </c>
      <c r="CB204" s="104" t="e">
        <f t="shared" si="280"/>
        <v>#NUM!</v>
      </c>
      <c r="CC204" s="105">
        <f t="shared" si="281"/>
        <v>68.522391598026374</v>
      </c>
      <c r="CD204" s="106">
        <f t="shared" si="282"/>
        <v>74.551862463055386</v>
      </c>
      <c r="CE204" s="107">
        <f t="shared" si="283"/>
        <v>1.1182779369458307</v>
      </c>
      <c r="CF204" s="108" t="s">
        <v>2189</v>
      </c>
      <c r="CG204" s="108" t="s">
        <v>2189</v>
      </c>
      <c r="CH204" s="108" t="s">
        <v>2189</v>
      </c>
      <c r="CI204" s="108" t="s">
        <v>2189</v>
      </c>
      <c r="CJ204" s="109"/>
      <c r="CM204" s="111">
        <f t="shared" si="284"/>
        <v>25</v>
      </c>
      <c r="CN204" s="107">
        <f t="shared" si="285"/>
        <v>0.375</v>
      </c>
      <c r="CP204" s="88">
        <f t="shared" si="286"/>
        <v>0</v>
      </c>
      <c r="CQ204" s="78">
        <f t="shared" si="287"/>
        <v>100</v>
      </c>
      <c r="CR204" s="79">
        <f t="shared" si="288"/>
        <v>3</v>
      </c>
      <c r="CS204" s="92"/>
      <c r="CT204" s="77">
        <f t="shared" si="255"/>
        <v>0</v>
      </c>
      <c r="CU204" s="78">
        <f t="shared" si="289"/>
        <v>100</v>
      </c>
      <c r="CV204" s="79">
        <f t="shared" si="290"/>
        <v>2</v>
      </c>
      <c r="CW204" s="112" t="e">
        <f t="shared" si="291"/>
        <v>#DIV/0!</v>
      </c>
    </row>
    <row r="205" spans="1:101" x14ac:dyDescent="0.35">
      <c r="A205" s="7" t="s">
        <v>1328</v>
      </c>
      <c r="B205" s="8" t="s">
        <v>1329</v>
      </c>
      <c r="C205" s="21" t="s">
        <v>1330</v>
      </c>
      <c r="D205" s="10" t="s">
        <v>31</v>
      </c>
      <c r="E205" s="11" t="s">
        <v>967</v>
      </c>
      <c r="F205" s="11" t="s">
        <v>1331</v>
      </c>
      <c r="G205" s="12">
        <v>32856</v>
      </c>
      <c r="H205" s="11" t="s">
        <v>24</v>
      </c>
      <c r="I205" s="11" t="s">
        <v>1332</v>
      </c>
      <c r="J205" s="11" t="s">
        <v>1333</v>
      </c>
      <c r="K205" s="11" t="s">
        <v>50</v>
      </c>
      <c r="L205" s="23">
        <v>219850861</v>
      </c>
      <c r="M205" s="14">
        <v>106769427</v>
      </c>
      <c r="N205" s="14">
        <v>113081434</v>
      </c>
      <c r="O205" s="14">
        <v>103067188</v>
      </c>
      <c r="P205" s="14">
        <v>4420274</v>
      </c>
      <c r="Q205" s="14">
        <v>926544</v>
      </c>
      <c r="R205" s="14">
        <v>3447674</v>
      </c>
      <c r="AB205" s="74">
        <f t="shared" si="292"/>
        <v>0</v>
      </c>
      <c r="AC205" s="75" t="e">
        <f t="shared" si="256"/>
        <v>#DIV/0!</v>
      </c>
      <c r="AD205" s="75" t="e">
        <f t="shared" si="293"/>
        <v>#DIV/0!</v>
      </c>
      <c r="AE205" s="76" t="e">
        <f t="shared" si="257"/>
        <v>#DIV/0!</v>
      </c>
      <c r="AF205" s="77" t="e">
        <f t="shared" si="258"/>
        <v>#DIV/0!</v>
      </c>
      <c r="AG205" s="77" t="e">
        <f t="shared" si="259"/>
        <v>#DIV/0!</v>
      </c>
      <c r="AH205" s="77" t="e">
        <f t="shared" si="294"/>
        <v>#DIV/0!</v>
      </c>
      <c r="AI205" s="78" t="e">
        <f t="shared" si="295"/>
        <v>#DIV/0!</v>
      </c>
      <c r="AJ205" s="79" t="e">
        <f t="shared" si="260"/>
        <v>#DIV/0!</v>
      </c>
      <c r="AN205" s="81">
        <f t="shared" si="243"/>
        <v>0</v>
      </c>
      <c r="AO205" s="82" t="e">
        <f t="shared" si="244"/>
        <v>#DIV/0!</v>
      </c>
      <c r="AP205" s="83" t="e">
        <f t="shared" si="261"/>
        <v>#DIV/0!</v>
      </c>
      <c r="AQ205" s="84" t="e">
        <f t="shared" si="262"/>
        <v>#DIV/0!</v>
      </c>
      <c r="AS205" s="86">
        <f t="shared" si="245"/>
        <v>0.25</v>
      </c>
      <c r="AT205" s="87">
        <f t="shared" si="263"/>
        <v>0</v>
      </c>
      <c r="AU205" s="87">
        <f t="shared" si="264"/>
        <v>0</v>
      </c>
      <c r="AV205" s="88" t="e">
        <f t="shared" si="246"/>
        <v>#DIV/0!</v>
      </c>
      <c r="AW205" s="78" t="e">
        <f t="shared" si="265"/>
        <v>#DIV/0!</v>
      </c>
      <c r="AX205" s="89" t="e">
        <f t="shared" si="266"/>
        <v>#DIV/0!</v>
      </c>
      <c r="BA205" s="91">
        <f t="shared" si="247"/>
        <v>0</v>
      </c>
      <c r="BB205" s="77" t="e">
        <f t="shared" si="267"/>
        <v>#DIV/0!</v>
      </c>
      <c r="BC205" s="78" t="e">
        <f t="shared" si="268"/>
        <v>#DIV/0!</v>
      </c>
      <c r="BD205" s="79" t="e">
        <f t="shared" si="269"/>
        <v>#DIV/0!</v>
      </c>
      <c r="BE205" s="92"/>
      <c r="BF205" s="92"/>
      <c r="BG205" s="114">
        <v>183755</v>
      </c>
      <c r="BH205" s="94">
        <f t="shared" si="248"/>
        <v>0</v>
      </c>
      <c r="BI205" s="77" t="e">
        <f t="shared" si="249"/>
        <v>#DIV/0!</v>
      </c>
      <c r="BJ205" s="95" t="str">
        <f t="shared" si="270"/>
        <v>식약/섬유/종이업</v>
      </c>
      <c r="BK205" s="96" t="e">
        <f t="shared" si="250"/>
        <v>#DIV/0!</v>
      </c>
      <c r="BL205" s="97" t="e">
        <f t="shared" si="271"/>
        <v>#DIV/0!</v>
      </c>
      <c r="BM205" s="98" t="e">
        <f t="shared" si="272"/>
        <v>#DIV/0!</v>
      </c>
      <c r="BN205" s="99" t="e">
        <f t="shared" si="273"/>
        <v>#DIV/0!</v>
      </c>
      <c r="BP205" s="101">
        <f t="shared" si="274"/>
        <v>0</v>
      </c>
      <c r="BQ205" s="78">
        <f t="shared" si="275"/>
        <v>25</v>
      </c>
      <c r="BR205" s="79">
        <f t="shared" si="276"/>
        <v>0.5</v>
      </c>
      <c r="BS205" s="102"/>
      <c r="BT205" s="102"/>
      <c r="BU205" s="103">
        <f t="shared" si="277"/>
        <v>0</v>
      </c>
      <c r="BV205" s="77">
        <f t="shared" si="251"/>
        <v>0</v>
      </c>
      <c r="BW205" s="96">
        <f t="shared" si="252"/>
        <v>0</v>
      </c>
      <c r="BX205" s="96">
        <f t="shared" si="278"/>
        <v>0</v>
      </c>
      <c r="BY205" s="96">
        <f t="shared" si="253"/>
        <v>0</v>
      </c>
      <c r="BZ205" s="96" t="e">
        <f t="shared" si="279"/>
        <v>#NUM!</v>
      </c>
      <c r="CA205" s="96" t="e">
        <f t="shared" si="254"/>
        <v>#NUM!</v>
      </c>
      <c r="CB205" s="104" t="e">
        <f t="shared" si="280"/>
        <v>#NUM!</v>
      </c>
      <c r="CC205" s="105">
        <f t="shared" si="281"/>
        <v>94.41817566621944</v>
      </c>
      <c r="CD205" s="106">
        <f t="shared" si="282"/>
        <v>64.792144849414782</v>
      </c>
      <c r="CE205" s="107">
        <f t="shared" si="283"/>
        <v>0.97188217274122168</v>
      </c>
      <c r="CF205" s="108" t="s">
        <v>2189</v>
      </c>
      <c r="CG205" s="108" t="s">
        <v>2189</v>
      </c>
      <c r="CH205" s="108" t="s">
        <v>2189</v>
      </c>
      <c r="CI205" s="108" t="s">
        <v>2189</v>
      </c>
      <c r="CJ205" s="109"/>
      <c r="CM205" s="111">
        <f t="shared" si="284"/>
        <v>25</v>
      </c>
      <c r="CN205" s="107">
        <f t="shared" si="285"/>
        <v>0.375</v>
      </c>
      <c r="CP205" s="88">
        <f t="shared" si="286"/>
        <v>0</v>
      </c>
      <c r="CQ205" s="78">
        <f t="shared" si="287"/>
        <v>100</v>
      </c>
      <c r="CR205" s="79">
        <f t="shared" si="288"/>
        <v>3</v>
      </c>
      <c r="CS205" s="92"/>
      <c r="CT205" s="77">
        <f t="shared" si="255"/>
        <v>0</v>
      </c>
      <c r="CU205" s="78">
        <f t="shared" si="289"/>
        <v>100</v>
      </c>
      <c r="CV205" s="79">
        <f t="shared" si="290"/>
        <v>2</v>
      </c>
      <c r="CW205" s="112" t="e">
        <f t="shared" si="291"/>
        <v>#DIV/0!</v>
      </c>
    </row>
    <row r="206" spans="1:101" x14ac:dyDescent="0.35">
      <c r="A206" s="7" t="s">
        <v>1334</v>
      </c>
      <c r="B206" s="28" t="s">
        <v>1335</v>
      </c>
      <c r="C206" s="21" t="s">
        <v>1336</v>
      </c>
      <c r="D206" s="10" t="s">
        <v>21</v>
      </c>
      <c r="E206" s="11" t="s">
        <v>1174</v>
      </c>
      <c r="F206" s="11" t="s">
        <v>1337</v>
      </c>
      <c r="G206" s="12">
        <v>38204</v>
      </c>
      <c r="H206" s="11" t="s">
        <v>24</v>
      </c>
      <c r="I206" s="11" t="s">
        <v>1338</v>
      </c>
      <c r="J206" s="11" t="s">
        <v>1339</v>
      </c>
      <c r="K206" s="11" t="s">
        <v>50</v>
      </c>
      <c r="L206" s="23">
        <v>475552210</v>
      </c>
      <c r="M206" s="14">
        <v>243500167</v>
      </c>
      <c r="N206" s="14">
        <v>232052043</v>
      </c>
      <c r="O206" s="14">
        <v>729811429</v>
      </c>
      <c r="P206" s="14">
        <v>47569618</v>
      </c>
      <c r="Q206" s="14">
        <v>37906414</v>
      </c>
      <c r="R206" s="14">
        <v>29707608</v>
      </c>
      <c r="AB206" s="74">
        <f t="shared" si="292"/>
        <v>0</v>
      </c>
      <c r="AC206" s="75" t="e">
        <f t="shared" si="256"/>
        <v>#DIV/0!</v>
      </c>
      <c r="AD206" s="75" t="e">
        <f t="shared" si="293"/>
        <v>#DIV/0!</v>
      </c>
      <c r="AE206" s="76" t="e">
        <f t="shared" si="257"/>
        <v>#DIV/0!</v>
      </c>
      <c r="AF206" s="77" t="e">
        <f t="shared" si="258"/>
        <v>#DIV/0!</v>
      </c>
      <c r="AG206" s="77" t="e">
        <f t="shared" si="259"/>
        <v>#DIV/0!</v>
      </c>
      <c r="AH206" s="77" t="e">
        <f t="shared" si="294"/>
        <v>#DIV/0!</v>
      </c>
      <c r="AI206" s="78" t="e">
        <f t="shared" si="295"/>
        <v>#DIV/0!</v>
      </c>
      <c r="AJ206" s="79" t="e">
        <f t="shared" si="260"/>
        <v>#DIV/0!</v>
      </c>
      <c r="AN206" s="81">
        <f t="shared" si="243"/>
        <v>0</v>
      </c>
      <c r="AO206" s="82" t="e">
        <f t="shared" si="244"/>
        <v>#DIV/0!</v>
      </c>
      <c r="AP206" s="83" t="e">
        <f t="shared" si="261"/>
        <v>#DIV/0!</v>
      </c>
      <c r="AQ206" s="84" t="e">
        <f t="shared" si="262"/>
        <v>#DIV/0!</v>
      </c>
      <c r="AS206" s="86">
        <f t="shared" si="245"/>
        <v>0.25</v>
      </c>
      <c r="AT206" s="87">
        <f t="shared" si="263"/>
        <v>0</v>
      </c>
      <c r="AU206" s="87">
        <f t="shared" si="264"/>
        <v>0</v>
      </c>
      <c r="AV206" s="88" t="e">
        <f t="shared" si="246"/>
        <v>#DIV/0!</v>
      </c>
      <c r="AW206" s="78" t="e">
        <f t="shared" si="265"/>
        <v>#DIV/0!</v>
      </c>
      <c r="AX206" s="89" t="e">
        <f t="shared" si="266"/>
        <v>#DIV/0!</v>
      </c>
      <c r="BA206" s="91">
        <f t="shared" si="247"/>
        <v>0</v>
      </c>
      <c r="BB206" s="77" t="e">
        <f t="shared" si="267"/>
        <v>#DIV/0!</v>
      </c>
      <c r="BC206" s="78" t="e">
        <f t="shared" si="268"/>
        <v>#DIV/0!</v>
      </c>
      <c r="BD206" s="79" t="e">
        <f t="shared" si="269"/>
        <v>#DIV/0!</v>
      </c>
      <c r="BE206" s="92"/>
      <c r="BF206" s="92"/>
      <c r="BG206" s="114">
        <v>1012604</v>
      </c>
      <c r="BH206" s="94">
        <f t="shared" si="248"/>
        <v>0</v>
      </c>
      <c r="BI206" s="77" t="e">
        <f t="shared" si="249"/>
        <v>#DIV/0!</v>
      </c>
      <c r="BJ206" s="95" t="str">
        <f t="shared" si="270"/>
        <v>비제조/서비스업</v>
      </c>
      <c r="BK206" s="96" t="e">
        <f t="shared" si="250"/>
        <v>#DIV/0!</v>
      </c>
      <c r="BL206" s="97" t="e">
        <f t="shared" si="271"/>
        <v>#DIV/0!</v>
      </c>
      <c r="BM206" s="98" t="e">
        <f t="shared" si="272"/>
        <v>#DIV/0!</v>
      </c>
      <c r="BN206" s="99" t="e">
        <f t="shared" si="273"/>
        <v>#DIV/0!</v>
      </c>
      <c r="BP206" s="101">
        <f t="shared" si="274"/>
        <v>0</v>
      </c>
      <c r="BQ206" s="78">
        <f t="shared" si="275"/>
        <v>25</v>
      </c>
      <c r="BR206" s="79">
        <f t="shared" si="276"/>
        <v>0.5</v>
      </c>
      <c r="BS206" s="102"/>
      <c r="BT206" s="102"/>
      <c r="BU206" s="103">
        <f t="shared" si="277"/>
        <v>0</v>
      </c>
      <c r="BV206" s="77">
        <f t="shared" si="251"/>
        <v>0</v>
      </c>
      <c r="BW206" s="96">
        <f t="shared" si="252"/>
        <v>0</v>
      </c>
      <c r="BX206" s="96">
        <f t="shared" si="278"/>
        <v>0</v>
      </c>
      <c r="BY206" s="96">
        <f t="shared" si="253"/>
        <v>0</v>
      </c>
      <c r="BZ206" s="96" t="e">
        <f t="shared" si="279"/>
        <v>#NUM!</v>
      </c>
      <c r="CA206" s="96" t="e">
        <f t="shared" si="254"/>
        <v>#NUM!</v>
      </c>
      <c r="CB206" s="104" t="e">
        <f t="shared" si="280"/>
        <v>#NUM!</v>
      </c>
      <c r="CC206" s="105">
        <f t="shared" si="281"/>
        <v>104.93342952382454</v>
      </c>
      <c r="CD206" s="106">
        <f t="shared" si="282"/>
        <v>60.829109475945522</v>
      </c>
      <c r="CE206" s="107">
        <f t="shared" si="283"/>
        <v>0.91243664213918274</v>
      </c>
      <c r="CF206" s="108" t="s">
        <v>2189</v>
      </c>
      <c r="CG206" s="108" t="s">
        <v>2189</v>
      </c>
      <c r="CH206" s="108" t="s">
        <v>2189</v>
      </c>
      <c r="CI206" s="108" t="s">
        <v>2189</v>
      </c>
      <c r="CJ206" s="109"/>
      <c r="CM206" s="111">
        <f t="shared" si="284"/>
        <v>25</v>
      </c>
      <c r="CN206" s="107">
        <f t="shared" si="285"/>
        <v>0.375</v>
      </c>
      <c r="CP206" s="88">
        <f t="shared" si="286"/>
        <v>0</v>
      </c>
      <c r="CQ206" s="78">
        <f t="shared" si="287"/>
        <v>100</v>
      </c>
      <c r="CR206" s="79">
        <f t="shared" si="288"/>
        <v>3</v>
      </c>
      <c r="CS206" s="92"/>
      <c r="CT206" s="77">
        <f t="shared" si="255"/>
        <v>0</v>
      </c>
      <c r="CU206" s="78">
        <f t="shared" si="289"/>
        <v>100</v>
      </c>
      <c r="CV206" s="79">
        <f t="shared" si="290"/>
        <v>2</v>
      </c>
      <c r="CW206" s="112" t="e">
        <f t="shared" si="291"/>
        <v>#DIV/0!</v>
      </c>
    </row>
    <row r="207" spans="1:101" x14ac:dyDescent="0.35">
      <c r="A207" s="7" t="s">
        <v>1340</v>
      </c>
      <c r="B207" s="8" t="s">
        <v>1341</v>
      </c>
      <c r="C207" s="21" t="s">
        <v>1342</v>
      </c>
      <c r="D207" s="25" t="s">
        <v>262</v>
      </c>
      <c r="E207" s="11" t="s">
        <v>263</v>
      </c>
      <c r="F207" s="11" t="s">
        <v>443</v>
      </c>
      <c r="G207" s="12">
        <v>32163</v>
      </c>
      <c r="H207" s="11" t="s">
        <v>24</v>
      </c>
      <c r="I207" s="11" t="s">
        <v>1343</v>
      </c>
      <c r="J207" s="11" t="s">
        <v>1344</v>
      </c>
      <c r="K207" s="11" t="s">
        <v>27</v>
      </c>
      <c r="L207" s="23">
        <v>12900025445</v>
      </c>
      <c r="M207" s="14">
        <v>11393545083</v>
      </c>
      <c r="N207" s="14">
        <v>1506480362</v>
      </c>
      <c r="O207" s="14">
        <v>2449590915</v>
      </c>
      <c r="P207" s="14">
        <v>49619816</v>
      </c>
      <c r="Q207" s="14">
        <v>61425265</v>
      </c>
      <c r="R207" s="14">
        <v>38657881</v>
      </c>
      <c r="AB207" s="74">
        <f t="shared" si="292"/>
        <v>0</v>
      </c>
      <c r="AC207" s="75" t="e">
        <f t="shared" si="256"/>
        <v>#DIV/0!</v>
      </c>
      <c r="AD207" s="75" t="e">
        <f t="shared" si="293"/>
        <v>#DIV/0!</v>
      </c>
      <c r="AE207" s="119" t="e">
        <f>AD207*0.04</f>
        <v>#DIV/0!</v>
      </c>
      <c r="AF207" s="77" t="e">
        <f t="shared" si="258"/>
        <v>#DIV/0!</v>
      </c>
      <c r="AG207" s="77" t="e">
        <f t="shared" si="259"/>
        <v>#DIV/0!</v>
      </c>
      <c r="AH207" s="77" t="e">
        <f t="shared" si="294"/>
        <v>#DIV/0!</v>
      </c>
      <c r="AI207" s="78" t="e">
        <f t="shared" si="295"/>
        <v>#DIV/0!</v>
      </c>
      <c r="AJ207" s="120" t="e">
        <f>AI207*0.05</f>
        <v>#DIV/0!</v>
      </c>
      <c r="AN207" s="81">
        <f t="shared" si="243"/>
        <v>0</v>
      </c>
      <c r="AO207" s="82" t="e">
        <f t="shared" si="244"/>
        <v>#DIV/0!</v>
      </c>
      <c r="AP207" s="83" t="e">
        <f t="shared" si="261"/>
        <v>#DIV/0!</v>
      </c>
      <c r="AQ207" s="121" t="e">
        <f>AP207*0.03</f>
        <v>#DIV/0!</v>
      </c>
      <c r="AS207" s="86">
        <f t="shared" si="245"/>
        <v>0.5</v>
      </c>
      <c r="AT207" s="87">
        <f t="shared" si="263"/>
        <v>0</v>
      </c>
      <c r="AU207" s="87">
        <f t="shared" si="264"/>
        <v>0</v>
      </c>
      <c r="AV207" s="88" t="e">
        <f t="shared" si="246"/>
        <v>#DIV/0!</v>
      </c>
      <c r="AW207" s="78" t="e">
        <f t="shared" si="265"/>
        <v>#DIV/0!</v>
      </c>
      <c r="AX207" s="122" t="e">
        <f>AW207*0.02</f>
        <v>#DIV/0!</v>
      </c>
      <c r="BA207" s="91">
        <f t="shared" si="247"/>
        <v>0</v>
      </c>
      <c r="BB207" s="77" t="e">
        <f t="shared" si="267"/>
        <v>#DIV/0!</v>
      </c>
      <c r="BC207" s="78" t="e">
        <f t="shared" si="268"/>
        <v>#DIV/0!</v>
      </c>
      <c r="BD207" s="120" t="e">
        <f>BC207*0.02</f>
        <v>#DIV/0!</v>
      </c>
      <c r="BE207" s="92"/>
      <c r="BF207" s="92"/>
      <c r="BG207" s="114">
        <v>5023210</v>
      </c>
      <c r="BH207" s="94">
        <f t="shared" si="248"/>
        <v>0</v>
      </c>
      <c r="BI207" s="77" t="e">
        <f t="shared" si="249"/>
        <v>#DIV/0!</v>
      </c>
      <c r="BJ207" s="95" t="str">
        <f t="shared" si="270"/>
        <v>금융업</v>
      </c>
      <c r="BK207" s="96" t="e">
        <f t="shared" si="250"/>
        <v>#DIV/0!</v>
      </c>
      <c r="BL207" s="97" t="e">
        <f t="shared" si="271"/>
        <v>#DIV/0!</v>
      </c>
      <c r="BM207" s="98" t="e">
        <f t="shared" si="272"/>
        <v>#DIV/0!</v>
      </c>
      <c r="BN207" s="99" t="e">
        <f t="shared" si="273"/>
        <v>#DIV/0!</v>
      </c>
      <c r="BP207" s="101">
        <f t="shared" si="274"/>
        <v>0</v>
      </c>
      <c r="BQ207" s="78">
        <f t="shared" si="275"/>
        <v>25</v>
      </c>
      <c r="BR207" s="120">
        <f>BQ207*0.01</f>
        <v>0.25</v>
      </c>
      <c r="BS207" s="102"/>
      <c r="BT207" s="102"/>
      <c r="BU207" s="103">
        <f t="shared" si="277"/>
        <v>0</v>
      </c>
      <c r="BV207" s="77">
        <f t="shared" si="251"/>
        <v>0</v>
      </c>
      <c r="BW207" s="96">
        <f t="shared" si="252"/>
        <v>0</v>
      </c>
      <c r="BX207" s="96">
        <f t="shared" si="278"/>
        <v>0</v>
      </c>
      <c r="BY207" s="96">
        <f t="shared" si="253"/>
        <v>0</v>
      </c>
      <c r="BZ207" s="96" t="e">
        <f t="shared" si="279"/>
        <v>#NUM!</v>
      </c>
      <c r="CA207" s="96" t="e">
        <f t="shared" si="254"/>
        <v>#NUM!</v>
      </c>
      <c r="CB207" s="104" t="e">
        <f t="shared" si="280"/>
        <v>#NUM!</v>
      </c>
      <c r="CC207" s="123" t="s">
        <v>2200</v>
      </c>
      <c r="CD207" s="124" t="s">
        <v>2200</v>
      </c>
      <c r="CE207" s="125"/>
      <c r="CF207" s="126" t="s">
        <v>2201</v>
      </c>
      <c r="CG207" s="127">
        <v>2.04</v>
      </c>
      <c r="CH207" s="126" t="s">
        <v>2201</v>
      </c>
      <c r="CI207" s="128">
        <f>IF((100-(75*(CG207-1)/9))&gt;100,100,IF((100-(75*(CG207-1)/9))&lt;25,25,(100-(75*(CG207-1)/9))))</f>
        <v>91.333333333333329</v>
      </c>
      <c r="CJ207" s="129">
        <f>CI207*0.04</f>
        <v>3.6533333333333333</v>
      </c>
      <c r="CM207" s="111">
        <f t="shared" si="284"/>
        <v>25</v>
      </c>
      <c r="CN207" s="130">
        <f>CM207*0.03</f>
        <v>0.75</v>
      </c>
      <c r="CP207" s="88">
        <f t="shared" si="286"/>
        <v>0</v>
      </c>
      <c r="CQ207" s="78">
        <f t="shared" si="287"/>
        <v>100</v>
      </c>
      <c r="CR207" s="120">
        <f>CQ207*0.04</f>
        <v>4</v>
      </c>
      <c r="CS207" s="92"/>
      <c r="CT207" s="77">
        <f t="shared" si="255"/>
        <v>0</v>
      </c>
      <c r="CU207" s="78">
        <f t="shared" si="289"/>
        <v>100</v>
      </c>
      <c r="CV207" s="131">
        <f>CU207*0.03</f>
        <v>3</v>
      </c>
      <c r="CW207" s="112" t="e">
        <f t="shared" si="291"/>
        <v>#DIV/0!</v>
      </c>
    </row>
    <row r="208" spans="1:101" x14ac:dyDescent="0.35">
      <c r="A208" s="7" t="s">
        <v>1345</v>
      </c>
      <c r="B208" s="8" t="s">
        <v>1346</v>
      </c>
      <c r="C208" s="21" t="s">
        <v>1347</v>
      </c>
      <c r="D208" s="25" t="s">
        <v>262</v>
      </c>
      <c r="E208" s="11" t="s">
        <v>263</v>
      </c>
      <c r="F208" s="11" t="s">
        <v>1348</v>
      </c>
      <c r="G208" s="12">
        <v>32013</v>
      </c>
      <c r="H208" s="11" t="s">
        <v>24</v>
      </c>
      <c r="I208" s="11" t="s">
        <v>1349</v>
      </c>
      <c r="J208" s="11" t="s">
        <v>1350</v>
      </c>
      <c r="K208" s="11" t="s">
        <v>27</v>
      </c>
      <c r="L208" s="23">
        <v>7518981791</v>
      </c>
      <c r="M208" s="14">
        <v>6570247685</v>
      </c>
      <c r="N208" s="14">
        <v>948734106</v>
      </c>
      <c r="O208" s="14">
        <v>1456503449</v>
      </c>
      <c r="P208" s="14">
        <v>11313859</v>
      </c>
      <c r="Q208" s="14">
        <v>9393410</v>
      </c>
      <c r="R208" s="14">
        <v>3677466</v>
      </c>
      <c r="AB208" s="74">
        <f t="shared" si="292"/>
        <v>0</v>
      </c>
      <c r="AC208" s="75" t="e">
        <f t="shared" si="256"/>
        <v>#DIV/0!</v>
      </c>
      <c r="AD208" s="75" t="e">
        <f t="shared" si="293"/>
        <v>#DIV/0!</v>
      </c>
      <c r="AE208" s="119" t="e">
        <f>AD208*0.04</f>
        <v>#DIV/0!</v>
      </c>
      <c r="AF208" s="77" t="e">
        <f t="shared" si="258"/>
        <v>#DIV/0!</v>
      </c>
      <c r="AG208" s="77" t="e">
        <f t="shared" si="259"/>
        <v>#DIV/0!</v>
      </c>
      <c r="AH208" s="77" t="e">
        <f t="shared" si="294"/>
        <v>#DIV/0!</v>
      </c>
      <c r="AI208" s="78" t="e">
        <f t="shared" si="295"/>
        <v>#DIV/0!</v>
      </c>
      <c r="AJ208" s="120" t="e">
        <f>AI208*0.05</f>
        <v>#DIV/0!</v>
      </c>
      <c r="AN208" s="81">
        <f t="shared" si="243"/>
        <v>0</v>
      </c>
      <c r="AO208" s="82" t="e">
        <f t="shared" si="244"/>
        <v>#DIV/0!</v>
      </c>
      <c r="AP208" s="83" t="e">
        <f t="shared" si="261"/>
        <v>#DIV/0!</v>
      </c>
      <c r="AQ208" s="121" t="e">
        <f>AP208*0.03</f>
        <v>#DIV/0!</v>
      </c>
      <c r="AS208" s="86">
        <f t="shared" si="245"/>
        <v>0.5</v>
      </c>
      <c r="AT208" s="87">
        <f t="shared" si="263"/>
        <v>0</v>
      </c>
      <c r="AU208" s="87">
        <f t="shared" si="264"/>
        <v>0</v>
      </c>
      <c r="AV208" s="88" t="e">
        <f t="shared" si="246"/>
        <v>#DIV/0!</v>
      </c>
      <c r="AW208" s="78" t="e">
        <f t="shared" si="265"/>
        <v>#DIV/0!</v>
      </c>
      <c r="AX208" s="122" t="e">
        <f>AW208*0.02</f>
        <v>#DIV/0!</v>
      </c>
      <c r="BA208" s="91">
        <f t="shared" si="247"/>
        <v>0</v>
      </c>
      <c r="BB208" s="77" t="e">
        <f t="shared" si="267"/>
        <v>#DIV/0!</v>
      </c>
      <c r="BC208" s="78" t="e">
        <f t="shared" si="268"/>
        <v>#DIV/0!</v>
      </c>
      <c r="BD208" s="120" t="e">
        <f>BC208*0.02</f>
        <v>#DIV/0!</v>
      </c>
      <c r="BE208" s="92"/>
      <c r="BF208" s="92"/>
      <c r="BG208" s="114">
        <v>4493531</v>
      </c>
      <c r="BH208" s="94">
        <f t="shared" si="248"/>
        <v>0</v>
      </c>
      <c r="BI208" s="77" t="e">
        <f t="shared" si="249"/>
        <v>#DIV/0!</v>
      </c>
      <c r="BJ208" s="95" t="str">
        <f t="shared" si="270"/>
        <v>금융업</v>
      </c>
      <c r="BK208" s="96" t="e">
        <f t="shared" si="250"/>
        <v>#DIV/0!</v>
      </c>
      <c r="BL208" s="97" t="e">
        <f t="shared" si="271"/>
        <v>#DIV/0!</v>
      </c>
      <c r="BM208" s="98" t="e">
        <f t="shared" si="272"/>
        <v>#DIV/0!</v>
      </c>
      <c r="BN208" s="99" t="e">
        <f t="shared" si="273"/>
        <v>#DIV/0!</v>
      </c>
      <c r="BP208" s="101">
        <f t="shared" si="274"/>
        <v>0</v>
      </c>
      <c r="BQ208" s="78">
        <f t="shared" si="275"/>
        <v>25</v>
      </c>
      <c r="BR208" s="120">
        <f>BQ208*0.01</f>
        <v>0.25</v>
      </c>
      <c r="BS208" s="102"/>
      <c r="BT208" s="102"/>
      <c r="BU208" s="103">
        <f t="shared" si="277"/>
        <v>0</v>
      </c>
      <c r="BV208" s="77">
        <f t="shared" si="251"/>
        <v>0</v>
      </c>
      <c r="BW208" s="96">
        <f t="shared" si="252"/>
        <v>0</v>
      </c>
      <c r="BX208" s="96">
        <f t="shared" si="278"/>
        <v>0</v>
      </c>
      <c r="BY208" s="96">
        <f t="shared" si="253"/>
        <v>0</v>
      </c>
      <c r="BZ208" s="96" t="e">
        <f t="shared" si="279"/>
        <v>#NUM!</v>
      </c>
      <c r="CA208" s="96" t="e">
        <f t="shared" si="254"/>
        <v>#NUM!</v>
      </c>
      <c r="CB208" s="104" t="e">
        <f t="shared" si="280"/>
        <v>#NUM!</v>
      </c>
      <c r="CC208" s="123" t="s">
        <v>2200</v>
      </c>
      <c r="CD208" s="124" t="s">
        <v>2200</v>
      </c>
      <c r="CE208" s="125"/>
      <c r="CF208" s="126" t="s">
        <v>2201</v>
      </c>
      <c r="CG208" s="127">
        <v>7.69</v>
      </c>
      <c r="CH208" s="126" t="s">
        <v>2201</v>
      </c>
      <c r="CI208" s="128">
        <f>IF((100-(75*(CG208-1)/9))&gt;100,100,IF((100-(75*(CG208-1)/9))&lt;25,25,(100-(75*(CG208-1)/9))))</f>
        <v>44.249999999999993</v>
      </c>
      <c r="CJ208" s="129">
        <f>CI208*0.04</f>
        <v>1.7699999999999998</v>
      </c>
      <c r="CM208" s="111">
        <f t="shared" si="284"/>
        <v>25</v>
      </c>
      <c r="CN208" s="130">
        <f>CM208*0.03</f>
        <v>0.75</v>
      </c>
      <c r="CP208" s="88">
        <f t="shared" si="286"/>
        <v>0</v>
      </c>
      <c r="CQ208" s="78">
        <f t="shared" si="287"/>
        <v>100</v>
      </c>
      <c r="CR208" s="120">
        <f>CQ208*0.04</f>
        <v>4</v>
      </c>
      <c r="CS208" s="92"/>
      <c r="CT208" s="77">
        <f t="shared" si="255"/>
        <v>0</v>
      </c>
      <c r="CU208" s="78">
        <f t="shared" si="289"/>
        <v>100</v>
      </c>
      <c r="CV208" s="131">
        <f>CU208*0.03</f>
        <v>3</v>
      </c>
      <c r="CW208" s="112" t="e">
        <f t="shared" si="291"/>
        <v>#DIV/0!</v>
      </c>
    </row>
    <row r="209" spans="1:101" x14ac:dyDescent="0.35">
      <c r="A209" s="7" t="s">
        <v>1351</v>
      </c>
      <c r="B209" s="8" t="s">
        <v>1352</v>
      </c>
      <c r="C209" s="21" t="s">
        <v>1353</v>
      </c>
      <c r="D209" s="10" t="s">
        <v>31</v>
      </c>
      <c r="E209" s="11" t="s">
        <v>183</v>
      </c>
      <c r="F209" s="11" t="s">
        <v>1354</v>
      </c>
      <c r="G209" s="12">
        <v>22951</v>
      </c>
      <c r="H209" s="11" t="s">
        <v>24</v>
      </c>
      <c r="I209" s="11" t="s">
        <v>1355</v>
      </c>
      <c r="J209" s="11" t="s">
        <v>1356</v>
      </c>
      <c r="K209" s="11" t="s">
        <v>27</v>
      </c>
      <c r="L209" s="23">
        <v>2274482334</v>
      </c>
      <c r="M209" s="14">
        <v>333634565</v>
      </c>
      <c r="N209" s="14">
        <v>1940847769</v>
      </c>
      <c r="O209" s="14">
        <v>1726364617</v>
      </c>
      <c r="P209" s="14">
        <v>41119507</v>
      </c>
      <c r="Q209" s="14">
        <v>153965942</v>
      </c>
      <c r="R209" s="14">
        <v>130274124</v>
      </c>
      <c r="AB209" s="74">
        <f t="shared" si="292"/>
        <v>0</v>
      </c>
      <c r="AC209" s="75" t="e">
        <f t="shared" si="256"/>
        <v>#DIV/0!</v>
      </c>
      <c r="AD209" s="75" t="e">
        <f t="shared" si="293"/>
        <v>#DIV/0!</v>
      </c>
      <c r="AE209" s="76" t="e">
        <f t="shared" ref="AE209:AE225" si="296">AD209*0.03</f>
        <v>#DIV/0!</v>
      </c>
      <c r="AF209" s="77" t="e">
        <f t="shared" si="258"/>
        <v>#DIV/0!</v>
      </c>
      <c r="AG209" s="77" t="e">
        <f t="shared" si="259"/>
        <v>#DIV/0!</v>
      </c>
      <c r="AH209" s="77" t="e">
        <f t="shared" si="294"/>
        <v>#DIV/0!</v>
      </c>
      <c r="AI209" s="78" t="e">
        <f t="shared" si="295"/>
        <v>#DIV/0!</v>
      </c>
      <c r="AJ209" s="79" t="e">
        <f t="shared" ref="AJ209:AJ225" si="297">AI209*0.04</f>
        <v>#DIV/0!</v>
      </c>
      <c r="AN209" s="81">
        <f t="shared" si="243"/>
        <v>0</v>
      </c>
      <c r="AO209" s="82" t="e">
        <f t="shared" si="244"/>
        <v>#DIV/0!</v>
      </c>
      <c r="AP209" s="83" t="e">
        <f t="shared" si="261"/>
        <v>#DIV/0!</v>
      </c>
      <c r="AQ209" s="84" t="e">
        <f t="shared" ref="AQ209:AQ225" si="298">AP209*0.02</f>
        <v>#DIV/0!</v>
      </c>
      <c r="AS209" s="86">
        <f t="shared" si="245"/>
        <v>0.5</v>
      </c>
      <c r="AT209" s="87">
        <f t="shared" si="263"/>
        <v>0</v>
      </c>
      <c r="AU209" s="87">
        <f t="shared" si="264"/>
        <v>0</v>
      </c>
      <c r="AV209" s="88" t="e">
        <f t="shared" si="246"/>
        <v>#DIV/0!</v>
      </c>
      <c r="AW209" s="78" t="e">
        <f t="shared" si="265"/>
        <v>#DIV/0!</v>
      </c>
      <c r="AX209" s="89" t="e">
        <f t="shared" ref="AX209:AX225" si="299">AW209*0.01</f>
        <v>#DIV/0!</v>
      </c>
      <c r="BA209" s="91">
        <f t="shared" si="247"/>
        <v>0</v>
      </c>
      <c r="BB209" s="77" t="e">
        <f t="shared" si="267"/>
        <v>#DIV/0!</v>
      </c>
      <c r="BC209" s="78" t="e">
        <f t="shared" si="268"/>
        <v>#DIV/0!</v>
      </c>
      <c r="BD209" s="79" t="e">
        <f t="shared" ref="BD209:BD225" si="300">BC209*0.01</f>
        <v>#DIV/0!</v>
      </c>
      <c r="BE209" s="92"/>
      <c r="BF209" s="92"/>
      <c r="BG209" s="114">
        <v>490623</v>
      </c>
      <c r="BH209" s="94">
        <f t="shared" si="248"/>
        <v>0</v>
      </c>
      <c r="BI209" s="77" t="e">
        <f t="shared" si="249"/>
        <v>#DIV/0!</v>
      </c>
      <c r="BJ209" s="95" t="str">
        <f t="shared" si="270"/>
        <v>식약/섬유/종이업</v>
      </c>
      <c r="BK209" s="96" t="e">
        <f t="shared" si="250"/>
        <v>#DIV/0!</v>
      </c>
      <c r="BL209" s="97" t="e">
        <f t="shared" si="271"/>
        <v>#DIV/0!</v>
      </c>
      <c r="BM209" s="98" t="e">
        <f t="shared" si="272"/>
        <v>#DIV/0!</v>
      </c>
      <c r="BN209" s="99" t="e">
        <f t="shared" si="273"/>
        <v>#DIV/0!</v>
      </c>
      <c r="BP209" s="101">
        <f t="shared" si="274"/>
        <v>0</v>
      </c>
      <c r="BQ209" s="78">
        <f t="shared" si="275"/>
        <v>25</v>
      </c>
      <c r="BR209" s="79">
        <f t="shared" ref="BR209:BR225" si="301">BQ209*0.02</f>
        <v>0.5</v>
      </c>
      <c r="BS209" s="102"/>
      <c r="BT209" s="102"/>
      <c r="BU209" s="103">
        <f t="shared" si="277"/>
        <v>0</v>
      </c>
      <c r="BV209" s="77">
        <f t="shared" si="251"/>
        <v>0</v>
      </c>
      <c r="BW209" s="96">
        <f t="shared" si="252"/>
        <v>0</v>
      </c>
      <c r="BX209" s="96">
        <f t="shared" si="278"/>
        <v>0</v>
      </c>
      <c r="BY209" s="96">
        <f t="shared" si="253"/>
        <v>0</v>
      </c>
      <c r="BZ209" s="96" t="e">
        <f t="shared" si="279"/>
        <v>#NUM!</v>
      </c>
      <c r="CA209" s="96" t="e">
        <f t="shared" si="254"/>
        <v>#NUM!</v>
      </c>
      <c r="CB209" s="104" t="e">
        <f t="shared" si="280"/>
        <v>#NUM!</v>
      </c>
      <c r="CC209" s="105">
        <f t="shared" ref="CC209:CC225" si="302">(M209/N209)*100</f>
        <v>17.190145993361522</v>
      </c>
      <c r="CD209" s="106">
        <f t="shared" ref="CD209:CD225" si="303">IF((100-(75*(CC209-1)/(200-1)))&gt;100, 100, IF((100-(75*(CC209-1)/(200-1)))&lt;25, 25, (100-(75*(CC209-1)/(200-1)))))</f>
        <v>93.898186183406466</v>
      </c>
      <c r="CE209" s="107">
        <f t="shared" ref="CE209:CE225" si="304">CD209*0.015</f>
        <v>1.4084727927510969</v>
      </c>
      <c r="CF209" s="108" t="s">
        <v>2189</v>
      </c>
      <c r="CG209" s="108" t="s">
        <v>2189</v>
      </c>
      <c r="CH209" s="108" t="s">
        <v>2189</v>
      </c>
      <c r="CI209" s="108" t="s">
        <v>2189</v>
      </c>
      <c r="CJ209" s="109"/>
      <c r="CM209" s="111">
        <f t="shared" si="284"/>
        <v>25</v>
      </c>
      <c r="CN209" s="107">
        <f t="shared" ref="CN209:CN225" si="305">CM209*0.015</f>
        <v>0.375</v>
      </c>
      <c r="CP209" s="88">
        <f t="shared" si="286"/>
        <v>0</v>
      </c>
      <c r="CQ209" s="78">
        <f t="shared" si="287"/>
        <v>100</v>
      </c>
      <c r="CR209" s="79">
        <f t="shared" ref="CR209:CR225" si="306">CQ209*0.03</f>
        <v>3</v>
      </c>
      <c r="CS209" s="92"/>
      <c r="CT209" s="77">
        <f t="shared" si="255"/>
        <v>0</v>
      </c>
      <c r="CU209" s="78">
        <f t="shared" si="289"/>
        <v>100</v>
      </c>
      <c r="CV209" s="79">
        <f t="shared" ref="CV209:CV225" si="307">CU209*0.02</f>
        <v>2</v>
      </c>
      <c r="CW209" s="112" t="e">
        <f t="shared" si="291"/>
        <v>#DIV/0!</v>
      </c>
    </row>
    <row r="210" spans="1:101" x14ac:dyDescent="0.35">
      <c r="A210" s="7" t="s">
        <v>1357</v>
      </c>
      <c r="B210" s="8" t="s">
        <v>1358</v>
      </c>
      <c r="C210" s="21" t="s">
        <v>1359</v>
      </c>
      <c r="D210" s="10" t="s">
        <v>75</v>
      </c>
      <c r="E210" s="11" t="s">
        <v>106</v>
      </c>
      <c r="F210" s="11" t="s">
        <v>1360</v>
      </c>
      <c r="G210" s="12">
        <v>34929</v>
      </c>
      <c r="H210" s="11" t="s">
        <v>24</v>
      </c>
      <c r="I210" s="11" t="s">
        <v>1361</v>
      </c>
      <c r="J210" s="11" t="s">
        <v>1362</v>
      </c>
      <c r="K210" s="11" t="s">
        <v>50</v>
      </c>
      <c r="L210" s="23">
        <v>337212432</v>
      </c>
      <c r="M210" s="14">
        <v>209999598</v>
      </c>
      <c r="N210" s="14">
        <v>127212835</v>
      </c>
      <c r="O210" s="14">
        <v>429618752</v>
      </c>
      <c r="P210" s="14">
        <v>13690371</v>
      </c>
      <c r="Q210" s="14">
        <v>5164140</v>
      </c>
      <c r="R210" s="14">
        <v>5720773</v>
      </c>
      <c r="AB210" s="74">
        <f t="shared" si="292"/>
        <v>0</v>
      </c>
      <c r="AC210" s="75" t="e">
        <f t="shared" si="256"/>
        <v>#DIV/0!</v>
      </c>
      <c r="AD210" s="75" t="e">
        <f t="shared" si="293"/>
        <v>#DIV/0!</v>
      </c>
      <c r="AE210" s="76" t="e">
        <f t="shared" si="296"/>
        <v>#DIV/0!</v>
      </c>
      <c r="AF210" s="77" t="e">
        <f t="shared" si="258"/>
        <v>#DIV/0!</v>
      </c>
      <c r="AG210" s="77" t="e">
        <f t="shared" si="259"/>
        <v>#DIV/0!</v>
      </c>
      <c r="AH210" s="77" t="e">
        <f t="shared" si="294"/>
        <v>#DIV/0!</v>
      </c>
      <c r="AI210" s="78" t="e">
        <f t="shared" si="295"/>
        <v>#DIV/0!</v>
      </c>
      <c r="AJ210" s="79" t="e">
        <f t="shared" si="297"/>
        <v>#DIV/0!</v>
      </c>
      <c r="AN210" s="81">
        <f t="shared" si="243"/>
        <v>0</v>
      </c>
      <c r="AO210" s="82" t="e">
        <f t="shared" si="244"/>
        <v>#DIV/0!</v>
      </c>
      <c r="AP210" s="83" t="e">
        <f t="shared" si="261"/>
        <v>#DIV/0!</v>
      </c>
      <c r="AQ210" s="84" t="e">
        <f t="shared" si="298"/>
        <v>#DIV/0!</v>
      </c>
      <c r="AS210" s="86">
        <f t="shared" si="245"/>
        <v>0.25</v>
      </c>
      <c r="AT210" s="87">
        <f t="shared" si="263"/>
        <v>0</v>
      </c>
      <c r="AU210" s="87">
        <f t="shared" si="264"/>
        <v>0</v>
      </c>
      <c r="AV210" s="88" t="e">
        <f t="shared" si="246"/>
        <v>#DIV/0!</v>
      </c>
      <c r="AW210" s="78" t="e">
        <f t="shared" si="265"/>
        <v>#DIV/0!</v>
      </c>
      <c r="AX210" s="89" t="e">
        <f t="shared" si="299"/>
        <v>#DIV/0!</v>
      </c>
      <c r="BA210" s="91">
        <f t="shared" si="247"/>
        <v>0</v>
      </c>
      <c r="BB210" s="77" t="e">
        <f t="shared" si="267"/>
        <v>#DIV/0!</v>
      </c>
      <c r="BC210" s="78" t="e">
        <f t="shared" si="268"/>
        <v>#DIV/0!</v>
      </c>
      <c r="BD210" s="79" t="e">
        <f t="shared" si="300"/>
        <v>#DIV/0!</v>
      </c>
      <c r="BE210" s="92"/>
      <c r="BF210" s="92"/>
      <c r="BG210" s="114">
        <v>237422</v>
      </c>
      <c r="BH210" s="94">
        <f t="shared" si="248"/>
        <v>0</v>
      </c>
      <c r="BI210" s="77" t="e">
        <f t="shared" si="249"/>
        <v>#DIV/0!</v>
      </c>
      <c r="BJ210" s="95" t="str">
        <f t="shared" si="270"/>
        <v>금속/비금속/화학업</v>
      </c>
      <c r="BK210" s="96" t="e">
        <f t="shared" si="250"/>
        <v>#DIV/0!</v>
      </c>
      <c r="BL210" s="97" t="e">
        <f t="shared" si="271"/>
        <v>#DIV/0!</v>
      </c>
      <c r="BM210" s="98" t="e">
        <f t="shared" si="272"/>
        <v>#DIV/0!</v>
      </c>
      <c r="BN210" s="99" t="e">
        <f t="shared" si="273"/>
        <v>#DIV/0!</v>
      </c>
      <c r="BP210" s="101">
        <f t="shared" si="274"/>
        <v>0</v>
      </c>
      <c r="BQ210" s="78">
        <f t="shared" si="275"/>
        <v>25</v>
      </c>
      <c r="BR210" s="79">
        <f t="shared" si="301"/>
        <v>0.5</v>
      </c>
      <c r="BS210" s="102"/>
      <c r="BT210" s="102"/>
      <c r="BU210" s="103">
        <f t="shared" si="277"/>
        <v>0</v>
      </c>
      <c r="BV210" s="77">
        <f t="shared" si="251"/>
        <v>0</v>
      </c>
      <c r="BW210" s="96">
        <f t="shared" si="252"/>
        <v>0</v>
      </c>
      <c r="BX210" s="96">
        <f t="shared" si="278"/>
        <v>0</v>
      </c>
      <c r="BY210" s="96">
        <f t="shared" si="253"/>
        <v>0</v>
      </c>
      <c r="BZ210" s="96" t="e">
        <f t="shared" si="279"/>
        <v>#NUM!</v>
      </c>
      <c r="CA210" s="96" t="e">
        <f t="shared" si="254"/>
        <v>#NUM!</v>
      </c>
      <c r="CB210" s="104" t="e">
        <f t="shared" si="280"/>
        <v>#NUM!</v>
      </c>
      <c r="CC210" s="105">
        <f t="shared" si="302"/>
        <v>165.07736660377077</v>
      </c>
      <c r="CD210" s="106">
        <f t="shared" si="303"/>
        <v>38.161796506116545</v>
      </c>
      <c r="CE210" s="107">
        <f t="shared" si="304"/>
        <v>0.57242694759174817</v>
      </c>
      <c r="CF210" s="108" t="s">
        <v>2189</v>
      </c>
      <c r="CG210" s="108" t="s">
        <v>2189</v>
      </c>
      <c r="CH210" s="108" t="s">
        <v>2189</v>
      </c>
      <c r="CI210" s="108" t="s">
        <v>2189</v>
      </c>
      <c r="CJ210" s="109"/>
      <c r="CM210" s="111">
        <f t="shared" si="284"/>
        <v>25</v>
      </c>
      <c r="CN210" s="107">
        <f t="shared" si="305"/>
        <v>0.375</v>
      </c>
      <c r="CP210" s="88">
        <f t="shared" si="286"/>
        <v>0</v>
      </c>
      <c r="CQ210" s="78">
        <f t="shared" si="287"/>
        <v>100</v>
      </c>
      <c r="CR210" s="79">
        <f t="shared" si="306"/>
        <v>3</v>
      </c>
      <c r="CS210" s="92"/>
      <c r="CT210" s="77">
        <f t="shared" si="255"/>
        <v>0</v>
      </c>
      <c r="CU210" s="78">
        <f t="shared" si="289"/>
        <v>100</v>
      </c>
      <c r="CV210" s="79">
        <f t="shared" si="307"/>
        <v>2</v>
      </c>
      <c r="CW210" s="112" t="e">
        <f t="shared" si="291"/>
        <v>#DIV/0!</v>
      </c>
    </row>
    <row r="211" spans="1:101" x14ac:dyDescent="0.35">
      <c r="A211" s="7" t="s">
        <v>1363</v>
      </c>
      <c r="B211" s="8" t="s">
        <v>1364</v>
      </c>
      <c r="C211" s="21" t="s">
        <v>1365</v>
      </c>
      <c r="D211" s="10" t="s">
        <v>21</v>
      </c>
      <c r="E211" s="11" t="s">
        <v>1366</v>
      </c>
      <c r="F211" s="11" t="s">
        <v>1367</v>
      </c>
      <c r="G211" s="12">
        <v>42202</v>
      </c>
      <c r="H211" s="11" t="s">
        <v>24</v>
      </c>
      <c r="I211" s="11" t="s">
        <v>1368</v>
      </c>
      <c r="J211" s="11" t="s">
        <v>1369</v>
      </c>
      <c r="K211" s="11" t="s">
        <v>27</v>
      </c>
      <c r="L211" s="23">
        <v>1090534674</v>
      </c>
      <c r="M211" s="14">
        <v>385964079</v>
      </c>
      <c r="N211" s="14">
        <v>704570595</v>
      </c>
      <c r="O211" s="14">
        <v>487630665</v>
      </c>
      <c r="P211" s="14">
        <v>26670913</v>
      </c>
      <c r="Q211" s="14">
        <v>152059469</v>
      </c>
      <c r="R211" s="14">
        <v>126398998</v>
      </c>
      <c r="AB211" s="74">
        <f t="shared" si="292"/>
        <v>0</v>
      </c>
      <c r="AC211" s="75" t="e">
        <f t="shared" si="256"/>
        <v>#DIV/0!</v>
      </c>
      <c r="AD211" s="75" t="e">
        <f t="shared" si="293"/>
        <v>#DIV/0!</v>
      </c>
      <c r="AE211" s="76" t="e">
        <f t="shared" si="296"/>
        <v>#DIV/0!</v>
      </c>
      <c r="AF211" s="77" t="e">
        <f t="shared" si="258"/>
        <v>#DIV/0!</v>
      </c>
      <c r="AG211" s="77" t="e">
        <f t="shared" si="259"/>
        <v>#DIV/0!</v>
      </c>
      <c r="AH211" s="77" t="e">
        <f t="shared" si="294"/>
        <v>#DIV/0!</v>
      </c>
      <c r="AI211" s="78" t="e">
        <f t="shared" si="295"/>
        <v>#DIV/0!</v>
      </c>
      <c r="AJ211" s="79" t="e">
        <f t="shared" si="297"/>
        <v>#DIV/0!</v>
      </c>
      <c r="AN211" s="81">
        <f t="shared" si="243"/>
        <v>0</v>
      </c>
      <c r="AO211" s="82" t="e">
        <f t="shared" si="244"/>
        <v>#DIV/0!</v>
      </c>
      <c r="AP211" s="83" t="e">
        <f t="shared" si="261"/>
        <v>#DIV/0!</v>
      </c>
      <c r="AQ211" s="84" t="e">
        <f t="shared" si="298"/>
        <v>#DIV/0!</v>
      </c>
      <c r="AS211" s="86">
        <f t="shared" si="245"/>
        <v>0.25</v>
      </c>
      <c r="AT211" s="87">
        <f t="shared" si="263"/>
        <v>0</v>
      </c>
      <c r="AU211" s="87">
        <f t="shared" si="264"/>
        <v>0</v>
      </c>
      <c r="AV211" s="88" t="e">
        <f t="shared" si="246"/>
        <v>#DIV/0!</v>
      </c>
      <c r="AW211" s="78" t="e">
        <f t="shared" si="265"/>
        <v>#DIV/0!</v>
      </c>
      <c r="AX211" s="89" t="e">
        <f t="shared" si="299"/>
        <v>#DIV/0!</v>
      </c>
      <c r="BA211" s="91">
        <f t="shared" si="247"/>
        <v>0</v>
      </c>
      <c r="BB211" s="77" t="e">
        <f t="shared" si="267"/>
        <v>#DIV/0!</v>
      </c>
      <c r="BC211" s="78" t="e">
        <f t="shared" si="268"/>
        <v>#DIV/0!</v>
      </c>
      <c r="BD211" s="79" t="e">
        <f t="shared" si="300"/>
        <v>#DIV/0!</v>
      </c>
      <c r="BE211" s="92"/>
      <c r="BF211" s="92"/>
      <c r="BG211" s="114">
        <v>1490181</v>
      </c>
      <c r="BH211" s="94">
        <f t="shared" si="248"/>
        <v>0</v>
      </c>
      <c r="BI211" s="77" t="e">
        <f t="shared" si="249"/>
        <v>#DIV/0!</v>
      </c>
      <c r="BJ211" s="95" t="str">
        <f t="shared" si="270"/>
        <v>비제조/서비스업</v>
      </c>
      <c r="BK211" s="96" t="e">
        <f t="shared" si="250"/>
        <v>#DIV/0!</v>
      </c>
      <c r="BL211" s="97" t="e">
        <f t="shared" si="271"/>
        <v>#DIV/0!</v>
      </c>
      <c r="BM211" s="98" t="e">
        <f t="shared" si="272"/>
        <v>#DIV/0!</v>
      </c>
      <c r="BN211" s="99" t="e">
        <f t="shared" si="273"/>
        <v>#DIV/0!</v>
      </c>
      <c r="BP211" s="101">
        <f t="shared" si="274"/>
        <v>0</v>
      </c>
      <c r="BQ211" s="78">
        <f t="shared" si="275"/>
        <v>25</v>
      </c>
      <c r="BR211" s="79">
        <f t="shared" si="301"/>
        <v>0.5</v>
      </c>
      <c r="BS211" s="102"/>
      <c r="BT211" s="102"/>
      <c r="BU211" s="103">
        <f t="shared" si="277"/>
        <v>0</v>
      </c>
      <c r="BV211" s="77">
        <f t="shared" si="251"/>
        <v>0</v>
      </c>
      <c r="BW211" s="96">
        <f t="shared" si="252"/>
        <v>0</v>
      </c>
      <c r="BX211" s="96">
        <f t="shared" si="278"/>
        <v>0</v>
      </c>
      <c r="BY211" s="96">
        <f t="shared" si="253"/>
        <v>0</v>
      </c>
      <c r="BZ211" s="96" t="e">
        <f t="shared" si="279"/>
        <v>#NUM!</v>
      </c>
      <c r="CA211" s="96" t="e">
        <f t="shared" si="254"/>
        <v>#NUM!</v>
      </c>
      <c r="CB211" s="104" t="e">
        <f t="shared" si="280"/>
        <v>#NUM!</v>
      </c>
      <c r="CC211" s="105">
        <f t="shared" si="302"/>
        <v>54.780043581012627</v>
      </c>
      <c r="CD211" s="106">
        <f t="shared" si="303"/>
        <v>79.731139353889716</v>
      </c>
      <c r="CE211" s="107">
        <f t="shared" si="304"/>
        <v>1.1959670903083457</v>
      </c>
      <c r="CF211" s="108" t="s">
        <v>2189</v>
      </c>
      <c r="CG211" s="108" t="s">
        <v>2189</v>
      </c>
      <c r="CH211" s="108" t="s">
        <v>2189</v>
      </c>
      <c r="CI211" s="108" t="s">
        <v>2189</v>
      </c>
      <c r="CJ211" s="109"/>
      <c r="CM211" s="111">
        <f t="shared" si="284"/>
        <v>25</v>
      </c>
      <c r="CN211" s="107">
        <f t="shared" si="305"/>
        <v>0.375</v>
      </c>
      <c r="CP211" s="88">
        <f t="shared" si="286"/>
        <v>0</v>
      </c>
      <c r="CQ211" s="78">
        <f t="shared" si="287"/>
        <v>100</v>
      </c>
      <c r="CR211" s="79">
        <f t="shared" si="306"/>
        <v>3</v>
      </c>
      <c r="CS211" s="92"/>
      <c r="CT211" s="77">
        <f t="shared" si="255"/>
        <v>0</v>
      </c>
      <c r="CU211" s="78">
        <f t="shared" si="289"/>
        <v>100</v>
      </c>
      <c r="CV211" s="79">
        <f t="shared" si="307"/>
        <v>2</v>
      </c>
      <c r="CW211" s="112" t="e">
        <f t="shared" si="291"/>
        <v>#DIV/0!</v>
      </c>
    </row>
    <row r="212" spans="1:101" x14ac:dyDescent="0.35">
      <c r="A212" s="7" t="s">
        <v>1370</v>
      </c>
      <c r="B212" s="8" t="s">
        <v>1371</v>
      </c>
      <c r="C212" s="21" t="s">
        <v>1372</v>
      </c>
      <c r="D212" s="10" t="s">
        <v>21</v>
      </c>
      <c r="E212" s="11" t="s">
        <v>22</v>
      </c>
      <c r="F212" s="11" t="s">
        <v>1373</v>
      </c>
      <c r="G212" s="12">
        <v>40704</v>
      </c>
      <c r="H212" s="11" t="s">
        <v>24</v>
      </c>
      <c r="I212" s="11" t="s">
        <v>1374</v>
      </c>
      <c r="J212" s="11" t="s">
        <v>1375</v>
      </c>
      <c r="K212" s="11" t="s">
        <v>27</v>
      </c>
      <c r="L212" s="23">
        <v>20129787392</v>
      </c>
      <c r="M212" s="14">
        <v>9708728742</v>
      </c>
      <c r="N212" s="14">
        <v>10421058650</v>
      </c>
      <c r="O212" s="14">
        <v>15486823899</v>
      </c>
      <c r="P212" s="14">
        <v>258855639</v>
      </c>
      <c r="Q212" s="14">
        <v>1381769677</v>
      </c>
      <c r="R212" s="14">
        <v>1050709937</v>
      </c>
      <c r="AB212" s="74">
        <f t="shared" si="292"/>
        <v>0</v>
      </c>
      <c r="AC212" s="75" t="e">
        <f t="shared" si="256"/>
        <v>#DIV/0!</v>
      </c>
      <c r="AD212" s="75" t="e">
        <f t="shared" si="293"/>
        <v>#DIV/0!</v>
      </c>
      <c r="AE212" s="76" t="e">
        <f t="shared" si="296"/>
        <v>#DIV/0!</v>
      </c>
      <c r="AF212" s="77" t="e">
        <f t="shared" si="258"/>
        <v>#DIV/0!</v>
      </c>
      <c r="AG212" s="77" t="e">
        <f t="shared" si="259"/>
        <v>#DIV/0!</v>
      </c>
      <c r="AH212" s="77" t="e">
        <f t="shared" si="294"/>
        <v>#DIV/0!</v>
      </c>
      <c r="AI212" s="78" t="e">
        <f t="shared" si="295"/>
        <v>#DIV/0!</v>
      </c>
      <c r="AJ212" s="79" t="e">
        <f t="shared" si="297"/>
        <v>#DIV/0!</v>
      </c>
      <c r="AN212" s="81">
        <f t="shared" si="243"/>
        <v>0</v>
      </c>
      <c r="AO212" s="82" t="e">
        <f t="shared" si="244"/>
        <v>#DIV/0!</v>
      </c>
      <c r="AP212" s="83" t="e">
        <f t="shared" si="261"/>
        <v>#DIV/0!</v>
      </c>
      <c r="AQ212" s="84" t="e">
        <f t="shared" si="298"/>
        <v>#DIV/0!</v>
      </c>
      <c r="AS212" s="86">
        <f t="shared" si="245"/>
        <v>0.5</v>
      </c>
      <c r="AT212" s="87">
        <f t="shared" si="263"/>
        <v>0</v>
      </c>
      <c r="AU212" s="87">
        <f t="shared" si="264"/>
        <v>0</v>
      </c>
      <c r="AV212" s="88" t="e">
        <f t="shared" si="246"/>
        <v>#DIV/0!</v>
      </c>
      <c r="AW212" s="78" t="e">
        <f t="shared" si="265"/>
        <v>#DIV/0!</v>
      </c>
      <c r="AX212" s="89" t="e">
        <f t="shared" si="299"/>
        <v>#DIV/0!</v>
      </c>
      <c r="BA212" s="91">
        <f t="shared" si="247"/>
        <v>0</v>
      </c>
      <c r="BB212" s="77" t="e">
        <f t="shared" si="267"/>
        <v>#DIV/0!</v>
      </c>
      <c r="BC212" s="78" t="e">
        <f t="shared" si="268"/>
        <v>#DIV/0!</v>
      </c>
      <c r="BD212" s="79" t="e">
        <f t="shared" si="300"/>
        <v>#DIV/0!</v>
      </c>
      <c r="BE212" s="92"/>
      <c r="BF212" s="92"/>
      <c r="BG212" s="93">
        <v>0</v>
      </c>
      <c r="BH212" s="94">
        <f t="shared" si="248"/>
        <v>0</v>
      </c>
      <c r="BI212" s="77" t="e">
        <f t="shared" si="249"/>
        <v>#DIV/0!</v>
      </c>
      <c r="BJ212" s="95" t="str">
        <f t="shared" si="270"/>
        <v>비제조/서비스업</v>
      </c>
      <c r="BK212" s="96" t="e">
        <f t="shared" si="250"/>
        <v>#DIV/0!</v>
      </c>
      <c r="BL212" s="97" t="e">
        <f t="shared" si="271"/>
        <v>#DIV/0!</v>
      </c>
      <c r="BM212" s="98" t="e">
        <f t="shared" si="272"/>
        <v>#DIV/0!</v>
      </c>
      <c r="BN212" s="99" t="e">
        <f t="shared" si="273"/>
        <v>#DIV/0!</v>
      </c>
      <c r="BP212" s="101">
        <f t="shared" si="274"/>
        <v>0</v>
      </c>
      <c r="BQ212" s="78">
        <f t="shared" si="275"/>
        <v>25</v>
      </c>
      <c r="BR212" s="79">
        <f t="shared" si="301"/>
        <v>0.5</v>
      </c>
      <c r="BS212" s="102"/>
      <c r="BT212" s="102"/>
      <c r="BU212" s="103">
        <f t="shared" si="277"/>
        <v>0</v>
      </c>
      <c r="BV212" s="77">
        <f t="shared" si="251"/>
        <v>0</v>
      </c>
      <c r="BW212" s="96">
        <f t="shared" si="252"/>
        <v>0</v>
      </c>
      <c r="BX212" s="96">
        <f t="shared" si="278"/>
        <v>0</v>
      </c>
      <c r="BY212" s="96">
        <f t="shared" si="253"/>
        <v>0</v>
      </c>
      <c r="BZ212" s="96" t="e">
        <f t="shared" si="279"/>
        <v>#NUM!</v>
      </c>
      <c r="CA212" s="96" t="e">
        <f t="shared" si="254"/>
        <v>#NUM!</v>
      </c>
      <c r="CB212" s="104" t="e">
        <f t="shared" si="280"/>
        <v>#NUM!</v>
      </c>
      <c r="CC212" s="105">
        <f t="shared" si="302"/>
        <v>93.164514931503632</v>
      </c>
      <c r="CD212" s="106">
        <f t="shared" si="303"/>
        <v>65.264630050940838</v>
      </c>
      <c r="CE212" s="107">
        <f t="shared" si="304"/>
        <v>0.97896945076411257</v>
      </c>
      <c r="CF212" s="108" t="s">
        <v>2189</v>
      </c>
      <c r="CG212" s="108" t="s">
        <v>2189</v>
      </c>
      <c r="CH212" s="108" t="s">
        <v>2189</v>
      </c>
      <c r="CI212" s="108" t="s">
        <v>2189</v>
      </c>
      <c r="CJ212" s="109"/>
      <c r="CM212" s="111">
        <f t="shared" si="284"/>
        <v>25</v>
      </c>
      <c r="CN212" s="107">
        <f t="shared" si="305"/>
        <v>0.375</v>
      </c>
      <c r="CP212" s="88">
        <f t="shared" si="286"/>
        <v>0</v>
      </c>
      <c r="CQ212" s="78">
        <f t="shared" si="287"/>
        <v>100</v>
      </c>
      <c r="CR212" s="79">
        <f t="shared" si="306"/>
        <v>3</v>
      </c>
      <c r="CS212" s="92"/>
      <c r="CT212" s="77">
        <f t="shared" si="255"/>
        <v>0</v>
      </c>
      <c r="CU212" s="78">
        <f t="shared" si="289"/>
        <v>100</v>
      </c>
      <c r="CV212" s="79">
        <f t="shared" si="307"/>
        <v>2</v>
      </c>
      <c r="CW212" s="112" t="e">
        <f t="shared" si="291"/>
        <v>#DIV/0!</v>
      </c>
    </row>
    <row r="213" spans="1:101" x14ac:dyDescent="0.35">
      <c r="A213" s="7" t="s">
        <v>1376</v>
      </c>
      <c r="B213" s="8" t="s">
        <v>1377</v>
      </c>
      <c r="C213" s="21" t="s">
        <v>1378</v>
      </c>
      <c r="D213" s="22" t="s">
        <v>141</v>
      </c>
      <c r="E213" s="11" t="s">
        <v>241</v>
      </c>
      <c r="F213" s="11" t="s">
        <v>1379</v>
      </c>
      <c r="G213" s="12">
        <v>37901</v>
      </c>
      <c r="H213" s="11" t="s">
        <v>24</v>
      </c>
      <c r="I213" s="11" t="s">
        <v>1380</v>
      </c>
      <c r="J213" s="11" t="s">
        <v>1381</v>
      </c>
      <c r="K213" s="11" t="s">
        <v>536</v>
      </c>
      <c r="L213" s="23">
        <v>462207021</v>
      </c>
      <c r="M213" s="14">
        <v>210809722</v>
      </c>
      <c r="N213" s="14">
        <v>251397299</v>
      </c>
      <c r="O213" s="14">
        <v>497212502</v>
      </c>
      <c r="P213" s="14">
        <v>96368755</v>
      </c>
      <c r="Q213" s="14">
        <v>91241096</v>
      </c>
      <c r="R213" s="14">
        <v>85549247</v>
      </c>
      <c r="AB213" s="74">
        <f t="shared" si="292"/>
        <v>0</v>
      </c>
      <c r="AC213" s="75" t="e">
        <f t="shared" si="256"/>
        <v>#DIV/0!</v>
      </c>
      <c r="AD213" s="75" t="e">
        <f t="shared" si="293"/>
        <v>#DIV/0!</v>
      </c>
      <c r="AE213" s="76" t="e">
        <f t="shared" si="296"/>
        <v>#DIV/0!</v>
      </c>
      <c r="AF213" s="77" t="e">
        <f t="shared" si="258"/>
        <v>#DIV/0!</v>
      </c>
      <c r="AG213" s="77" t="e">
        <f t="shared" si="259"/>
        <v>#DIV/0!</v>
      </c>
      <c r="AH213" s="77" t="e">
        <f t="shared" si="294"/>
        <v>#DIV/0!</v>
      </c>
      <c r="AI213" s="78" t="e">
        <f t="shared" si="295"/>
        <v>#DIV/0!</v>
      </c>
      <c r="AJ213" s="79" t="e">
        <f t="shared" si="297"/>
        <v>#DIV/0!</v>
      </c>
      <c r="AN213" s="81">
        <f t="shared" si="243"/>
        <v>0</v>
      </c>
      <c r="AO213" s="82" t="e">
        <f t="shared" si="244"/>
        <v>#DIV/0!</v>
      </c>
      <c r="AP213" s="83" t="e">
        <f t="shared" si="261"/>
        <v>#DIV/0!</v>
      </c>
      <c r="AQ213" s="84" t="e">
        <f t="shared" si="298"/>
        <v>#DIV/0!</v>
      </c>
      <c r="AS213" s="86">
        <f t="shared" si="245"/>
        <v>0.25</v>
      </c>
      <c r="AT213" s="87">
        <f t="shared" si="263"/>
        <v>0</v>
      </c>
      <c r="AU213" s="87">
        <f t="shared" si="264"/>
        <v>0</v>
      </c>
      <c r="AV213" s="88" t="e">
        <f t="shared" si="246"/>
        <v>#DIV/0!</v>
      </c>
      <c r="AW213" s="78" t="e">
        <f t="shared" si="265"/>
        <v>#DIV/0!</v>
      </c>
      <c r="AX213" s="89" t="e">
        <f t="shared" si="299"/>
        <v>#DIV/0!</v>
      </c>
      <c r="BA213" s="91">
        <f t="shared" si="247"/>
        <v>0</v>
      </c>
      <c r="BB213" s="77" t="e">
        <f t="shared" si="267"/>
        <v>#DIV/0!</v>
      </c>
      <c r="BC213" s="78" t="e">
        <f t="shared" si="268"/>
        <v>#DIV/0!</v>
      </c>
      <c r="BD213" s="79" t="e">
        <f t="shared" si="300"/>
        <v>#DIV/0!</v>
      </c>
      <c r="BE213" s="92"/>
      <c r="BF213" s="92"/>
      <c r="BG213" s="114">
        <v>242485</v>
      </c>
      <c r="BH213" s="94">
        <f t="shared" si="248"/>
        <v>0</v>
      </c>
      <c r="BI213" s="77" t="e">
        <f t="shared" si="249"/>
        <v>#DIV/0!</v>
      </c>
      <c r="BJ213" s="95" t="str">
        <f t="shared" si="270"/>
        <v>전기전자/기계업</v>
      </c>
      <c r="BK213" s="96" t="e">
        <f t="shared" si="250"/>
        <v>#DIV/0!</v>
      </c>
      <c r="BL213" s="97" t="e">
        <f t="shared" si="271"/>
        <v>#DIV/0!</v>
      </c>
      <c r="BM213" s="98" t="e">
        <f t="shared" si="272"/>
        <v>#DIV/0!</v>
      </c>
      <c r="BN213" s="99" t="e">
        <f t="shared" si="273"/>
        <v>#DIV/0!</v>
      </c>
      <c r="BP213" s="101">
        <f t="shared" si="274"/>
        <v>0</v>
      </c>
      <c r="BQ213" s="78">
        <f t="shared" si="275"/>
        <v>25</v>
      </c>
      <c r="BR213" s="79">
        <f t="shared" si="301"/>
        <v>0.5</v>
      </c>
      <c r="BS213" s="102"/>
      <c r="BT213" s="102"/>
      <c r="BU213" s="103">
        <f t="shared" si="277"/>
        <v>0</v>
      </c>
      <c r="BV213" s="77">
        <f t="shared" si="251"/>
        <v>0</v>
      </c>
      <c r="BW213" s="96">
        <f t="shared" si="252"/>
        <v>0</v>
      </c>
      <c r="BX213" s="96">
        <f t="shared" si="278"/>
        <v>0</v>
      </c>
      <c r="BY213" s="96">
        <f t="shared" si="253"/>
        <v>0</v>
      </c>
      <c r="BZ213" s="96" t="e">
        <f t="shared" si="279"/>
        <v>#NUM!</v>
      </c>
      <c r="CA213" s="96" t="e">
        <f t="shared" si="254"/>
        <v>#NUM!</v>
      </c>
      <c r="CB213" s="104" t="e">
        <f t="shared" si="280"/>
        <v>#NUM!</v>
      </c>
      <c r="CC213" s="105">
        <f t="shared" si="302"/>
        <v>83.855205620168576</v>
      </c>
      <c r="CD213" s="106">
        <f t="shared" si="303"/>
        <v>68.773163710991739</v>
      </c>
      <c r="CE213" s="107">
        <f t="shared" si="304"/>
        <v>1.0315974556648762</v>
      </c>
      <c r="CF213" s="108" t="s">
        <v>2189</v>
      </c>
      <c r="CG213" s="108" t="s">
        <v>2189</v>
      </c>
      <c r="CH213" s="108" t="s">
        <v>2189</v>
      </c>
      <c r="CI213" s="108" t="s">
        <v>2189</v>
      </c>
      <c r="CJ213" s="109"/>
      <c r="CM213" s="111">
        <f t="shared" si="284"/>
        <v>25</v>
      </c>
      <c r="CN213" s="107">
        <f t="shared" si="305"/>
        <v>0.375</v>
      </c>
      <c r="CP213" s="88">
        <f t="shared" si="286"/>
        <v>0</v>
      </c>
      <c r="CQ213" s="78">
        <f t="shared" si="287"/>
        <v>100</v>
      </c>
      <c r="CR213" s="79">
        <f t="shared" si="306"/>
        <v>3</v>
      </c>
      <c r="CS213" s="92"/>
      <c r="CT213" s="77">
        <f t="shared" si="255"/>
        <v>0</v>
      </c>
      <c r="CU213" s="78">
        <f t="shared" si="289"/>
        <v>100</v>
      </c>
      <c r="CV213" s="79">
        <f t="shared" si="307"/>
        <v>2</v>
      </c>
      <c r="CW213" s="112" t="e">
        <f t="shared" si="291"/>
        <v>#DIV/0!</v>
      </c>
    </row>
    <row r="214" spans="1:101" x14ac:dyDescent="0.35">
      <c r="A214" s="7" t="s">
        <v>1382</v>
      </c>
      <c r="B214" s="8" t="s">
        <v>1383</v>
      </c>
      <c r="C214" s="21" t="s">
        <v>1384</v>
      </c>
      <c r="D214" s="10" t="s">
        <v>31</v>
      </c>
      <c r="E214" s="11" t="s">
        <v>183</v>
      </c>
      <c r="F214" s="11" t="s">
        <v>1385</v>
      </c>
      <c r="G214" s="12">
        <v>40339</v>
      </c>
      <c r="H214" s="11" t="s">
        <v>24</v>
      </c>
      <c r="I214" s="11" t="s">
        <v>1386</v>
      </c>
      <c r="J214" s="11" t="s">
        <v>1387</v>
      </c>
      <c r="K214" s="11" t="s">
        <v>27</v>
      </c>
      <c r="L214" s="23">
        <v>479981348</v>
      </c>
      <c r="M214" s="14">
        <v>232687116</v>
      </c>
      <c r="N214" s="14">
        <v>247294232</v>
      </c>
      <c r="O214" s="14">
        <v>154038839</v>
      </c>
      <c r="P214" s="14">
        <v>5567015</v>
      </c>
      <c r="Q214" s="14">
        <v>5998079</v>
      </c>
      <c r="R214" s="14">
        <v>7325400</v>
      </c>
      <c r="AB214" s="74">
        <f t="shared" si="292"/>
        <v>0</v>
      </c>
      <c r="AC214" s="75" t="e">
        <f t="shared" si="256"/>
        <v>#DIV/0!</v>
      </c>
      <c r="AD214" s="75" t="e">
        <f t="shared" si="293"/>
        <v>#DIV/0!</v>
      </c>
      <c r="AE214" s="76" t="e">
        <f t="shared" si="296"/>
        <v>#DIV/0!</v>
      </c>
      <c r="AF214" s="77" t="e">
        <f t="shared" si="258"/>
        <v>#DIV/0!</v>
      </c>
      <c r="AG214" s="77" t="e">
        <f t="shared" si="259"/>
        <v>#DIV/0!</v>
      </c>
      <c r="AH214" s="77" t="e">
        <f t="shared" si="294"/>
        <v>#DIV/0!</v>
      </c>
      <c r="AI214" s="78" t="e">
        <f t="shared" si="295"/>
        <v>#DIV/0!</v>
      </c>
      <c r="AJ214" s="79" t="e">
        <f t="shared" si="297"/>
        <v>#DIV/0!</v>
      </c>
      <c r="AN214" s="81">
        <f t="shared" si="243"/>
        <v>0</v>
      </c>
      <c r="AO214" s="82" t="e">
        <f t="shared" si="244"/>
        <v>#DIV/0!</v>
      </c>
      <c r="AP214" s="83" t="e">
        <f t="shared" si="261"/>
        <v>#DIV/0!</v>
      </c>
      <c r="AQ214" s="84" t="e">
        <f t="shared" si="298"/>
        <v>#DIV/0!</v>
      </c>
      <c r="AS214" s="86">
        <f t="shared" si="245"/>
        <v>0.25</v>
      </c>
      <c r="AT214" s="87">
        <f t="shared" si="263"/>
        <v>0</v>
      </c>
      <c r="AU214" s="87">
        <f t="shared" si="264"/>
        <v>0</v>
      </c>
      <c r="AV214" s="88" t="e">
        <f t="shared" si="246"/>
        <v>#DIV/0!</v>
      </c>
      <c r="AW214" s="78" t="e">
        <f t="shared" si="265"/>
        <v>#DIV/0!</v>
      </c>
      <c r="AX214" s="89" t="e">
        <f t="shared" si="299"/>
        <v>#DIV/0!</v>
      </c>
      <c r="BA214" s="91">
        <f t="shared" si="247"/>
        <v>0</v>
      </c>
      <c r="BB214" s="77" t="e">
        <f t="shared" si="267"/>
        <v>#DIV/0!</v>
      </c>
      <c r="BC214" s="78" t="e">
        <f t="shared" si="268"/>
        <v>#DIV/0!</v>
      </c>
      <c r="BD214" s="79" t="e">
        <f t="shared" si="300"/>
        <v>#DIV/0!</v>
      </c>
      <c r="BE214" s="92"/>
      <c r="BF214" s="92"/>
      <c r="BG214" s="93">
        <v>0</v>
      </c>
      <c r="BH214" s="94">
        <f t="shared" si="248"/>
        <v>0</v>
      </c>
      <c r="BI214" s="77" t="e">
        <f t="shared" si="249"/>
        <v>#DIV/0!</v>
      </c>
      <c r="BJ214" s="95" t="str">
        <f t="shared" si="270"/>
        <v>식약/섬유/종이업</v>
      </c>
      <c r="BK214" s="96" t="e">
        <f t="shared" si="250"/>
        <v>#DIV/0!</v>
      </c>
      <c r="BL214" s="97" t="e">
        <f t="shared" si="271"/>
        <v>#DIV/0!</v>
      </c>
      <c r="BM214" s="98" t="e">
        <f t="shared" si="272"/>
        <v>#DIV/0!</v>
      </c>
      <c r="BN214" s="99" t="e">
        <f t="shared" si="273"/>
        <v>#DIV/0!</v>
      </c>
      <c r="BP214" s="101">
        <f t="shared" si="274"/>
        <v>0</v>
      </c>
      <c r="BQ214" s="78">
        <f t="shared" si="275"/>
        <v>25</v>
      </c>
      <c r="BR214" s="79">
        <f t="shared" si="301"/>
        <v>0.5</v>
      </c>
      <c r="BS214" s="102"/>
      <c r="BT214" s="102"/>
      <c r="BU214" s="103">
        <f t="shared" si="277"/>
        <v>0</v>
      </c>
      <c r="BV214" s="77">
        <f t="shared" si="251"/>
        <v>0</v>
      </c>
      <c r="BW214" s="96">
        <f t="shared" si="252"/>
        <v>0</v>
      </c>
      <c r="BX214" s="96">
        <f t="shared" si="278"/>
        <v>0</v>
      </c>
      <c r="BY214" s="96">
        <f t="shared" si="253"/>
        <v>0</v>
      </c>
      <c r="BZ214" s="96" t="e">
        <f t="shared" si="279"/>
        <v>#NUM!</v>
      </c>
      <c r="CA214" s="96" t="e">
        <f t="shared" si="254"/>
        <v>#NUM!</v>
      </c>
      <c r="CB214" s="104" t="e">
        <f t="shared" si="280"/>
        <v>#NUM!</v>
      </c>
      <c r="CC214" s="105">
        <f t="shared" si="302"/>
        <v>94.093224139574758</v>
      </c>
      <c r="CD214" s="106">
        <f t="shared" si="303"/>
        <v>64.914614017748207</v>
      </c>
      <c r="CE214" s="107">
        <f t="shared" si="304"/>
        <v>0.9737192102662231</v>
      </c>
      <c r="CF214" s="108" t="s">
        <v>2189</v>
      </c>
      <c r="CG214" s="108" t="s">
        <v>2189</v>
      </c>
      <c r="CH214" s="108" t="s">
        <v>2189</v>
      </c>
      <c r="CI214" s="108" t="s">
        <v>2189</v>
      </c>
      <c r="CJ214" s="109"/>
      <c r="CM214" s="111">
        <f t="shared" si="284"/>
        <v>25</v>
      </c>
      <c r="CN214" s="107">
        <f t="shared" si="305"/>
        <v>0.375</v>
      </c>
      <c r="CP214" s="88">
        <f t="shared" si="286"/>
        <v>0</v>
      </c>
      <c r="CQ214" s="78">
        <f t="shared" si="287"/>
        <v>100</v>
      </c>
      <c r="CR214" s="79">
        <f t="shared" si="306"/>
        <v>3</v>
      </c>
      <c r="CS214" s="92"/>
      <c r="CT214" s="77">
        <f t="shared" si="255"/>
        <v>0</v>
      </c>
      <c r="CU214" s="78">
        <f t="shared" si="289"/>
        <v>100</v>
      </c>
      <c r="CV214" s="79">
        <f t="shared" si="307"/>
        <v>2</v>
      </c>
      <c r="CW214" s="112" t="e">
        <f t="shared" si="291"/>
        <v>#DIV/0!</v>
      </c>
    </row>
    <row r="215" spans="1:101" x14ac:dyDescent="0.35">
      <c r="A215" s="7" t="s">
        <v>1388</v>
      </c>
      <c r="B215" s="8" t="s">
        <v>1389</v>
      </c>
      <c r="C215" s="21" t="s">
        <v>1390</v>
      </c>
      <c r="D215" s="10" t="s">
        <v>21</v>
      </c>
      <c r="E215" s="11" t="s">
        <v>390</v>
      </c>
      <c r="F215" s="11" t="s">
        <v>1391</v>
      </c>
      <c r="G215" s="12">
        <v>39028</v>
      </c>
      <c r="H215" s="11" t="s">
        <v>24</v>
      </c>
      <c r="I215" s="11" t="s">
        <v>1392</v>
      </c>
      <c r="J215" s="11" t="s">
        <v>1393</v>
      </c>
      <c r="K215" s="11" t="s">
        <v>87</v>
      </c>
      <c r="L215" s="23">
        <v>425143163</v>
      </c>
      <c r="M215" s="14">
        <v>223549583</v>
      </c>
      <c r="N215" s="14">
        <v>201593580</v>
      </c>
      <c r="O215" s="14">
        <v>728356330</v>
      </c>
      <c r="P215" s="14">
        <v>8460657</v>
      </c>
      <c r="Q215" s="14">
        <v>15047784</v>
      </c>
      <c r="R215" s="14">
        <v>11942346</v>
      </c>
      <c r="AB215" s="74">
        <f t="shared" si="292"/>
        <v>0</v>
      </c>
      <c r="AC215" s="75" t="e">
        <f t="shared" si="256"/>
        <v>#DIV/0!</v>
      </c>
      <c r="AD215" s="75" t="e">
        <f t="shared" si="293"/>
        <v>#DIV/0!</v>
      </c>
      <c r="AE215" s="76" t="e">
        <f t="shared" si="296"/>
        <v>#DIV/0!</v>
      </c>
      <c r="AF215" s="77" t="e">
        <f t="shared" si="258"/>
        <v>#DIV/0!</v>
      </c>
      <c r="AG215" s="77" t="e">
        <f t="shared" si="259"/>
        <v>#DIV/0!</v>
      </c>
      <c r="AH215" s="77" t="e">
        <f t="shared" si="294"/>
        <v>#DIV/0!</v>
      </c>
      <c r="AI215" s="78" t="e">
        <f t="shared" si="295"/>
        <v>#DIV/0!</v>
      </c>
      <c r="AJ215" s="79" t="e">
        <f t="shared" si="297"/>
        <v>#DIV/0!</v>
      </c>
      <c r="AN215" s="81">
        <f t="shared" si="243"/>
        <v>0</v>
      </c>
      <c r="AO215" s="82" t="e">
        <f t="shared" si="244"/>
        <v>#DIV/0!</v>
      </c>
      <c r="AP215" s="83" t="e">
        <f t="shared" si="261"/>
        <v>#DIV/0!</v>
      </c>
      <c r="AQ215" s="84" t="e">
        <f t="shared" si="298"/>
        <v>#DIV/0!</v>
      </c>
      <c r="AS215" s="86">
        <f t="shared" si="245"/>
        <v>0.25</v>
      </c>
      <c r="AT215" s="87">
        <f t="shared" si="263"/>
        <v>0</v>
      </c>
      <c r="AU215" s="87">
        <f t="shared" si="264"/>
        <v>0</v>
      </c>
      <c r="AV215" s="88" t="e">
        <f t="shared" si="246"/>
        <v>#DIV/0!</v>
      </c>
      <c r="AW215" s="78" t="e">
        <f t="shared" si="265"/>
        <v>#DIV/0!</v>
      </c>
      <c r="AX215" s="89" t="e">
        <f t="shared" si="299"/>
        <v>#DIV/0!</v>
      </c>
      <c r="BA215" s="91">
        <f t="shared" si="247"/>
        <v>0</v>
      </c>
      <c r="BB215" s="77" t="e">
        <f t="shared" si="267"/>
        <v>#DIV/0!</v>
      </c>
      <c r="BC215" s="78" t="e">
        <f t="shared" si="268"/>
        <v>#DIV/0!</v>
      </c>
      <c r="BD215" s="79" t="e">
        <f t="shared" si="300"/>
        <v>#DIV/0!</v>
      </c>
      <c r="BE215" s="92"/>
      <c r="BF215" s="92"/>
      <c r="BG215" s="114">
        <v>78144</v>
      </c>
      <c r="BH215" s="94">
        <f t="shared" si="248"/>
        <v>0</v>
      </c>
      <c r="BI215" s="77" t="e">
        <f t="shared" si="249"/>
        <v>#DIV/0!</v>
      </c>
      <c r="BJ215" s="95" t="str">
        <f t="shared" si="270"/>
        <v>비제조/서비스업</v>
      </c>
      <c r="BK215" s="96" t="e">
        <f t="shared" si="250"/>
        <v>#DIV/0!</v>
      </c>
      <c r="BL215" s="97" t="e">
        <f t="shared" si="271"/>
        <v>#DIV/0!</v>
      </c>
      <c r="BM215" s="98" t="e">
        <f t="shared" si="272"/>
        <v>#DIV/0!</v>
      </c>
      <c r="BN215" s="99" t="e">
        <f t="shared" si="273"/>
        <v>#DIV/0!</v>
      </c>
      <c r="BP215" s="101">
        <f t="shared" si="274"/>
        <v>0</v>
      </c>
      <c r="BQ215" s="78">
        <f t="shared" si="275"/>
        <v>25</v>
      </c>
      <c r="BR215" s="79">
        <f t="shared" si="301"/>
        <v>0.5</v>
      </c>
      <c r="BS215" s="102"/>
      <c r="BT215" s="102"/>
      <c r="BU215" s="103">
        <f t="shared" si="277"/>
        <v>0</v>
      </c>
      <c r="BV215" s="77">
        <f t="shared" si="251"/>
        <v>0</v>
      </c>
      <c r="BW215" s="96">
        <f t="shared" si="252"/>
        <v>0</v>
      </c>
      <c r="BX215" s="96">
        <f t="shared" si="278"/>
        <v>0</v>
      </c>
      <c r="BY215" s="96">
        <f t="shared" si="253"/>
        <v>0</v>
      </c>
      <c r="BZ215" s="96" t="e">
        <f t="shared" si="279"/>
        <v>#NUM!</v>
      </c>
      <c r="CA215" s="96" t="e">
        <f t="shared" si="254"/>
        <v>#NUM!</v>
      </c>
      <c r="CB215" s="104" t="e">
        <f t="shared" si="280"/>
        <v>#NUM!</v>
      </c>
      <c r="CC215" s="105">
        <f t="shared" si="302"/>
        <v>110.89122133750489</v>
      </c>
      <c r="CD215" s="106">
        <f t="shared" si="303"/>
        <v>58.583710551191629</v>
      </c>
      <c r="CE215" s="107">
        <f t="shared" si="304"/>
        <v>0.87875565826787438</v>
      </c>
      <c r="CF215" s="108" t="s">
        <v>2189</v>
      </c>
      <c r="CG215" s="108" t="s">
        <v>2189</v>
      </c>
      <c r="CH215" s="108" t="s">
        <v>2189</v>
      </c>
      <c r="CI215" s="108" t="s">
        <v>2189</v>
      </c>
      <c r="CJ215" s="109"/>
      <c r="CM215" s="111">
        <f t="shared" si="284"/>
        <v>25</v>
      </c>
      <c r="CN215" s="107">
        <f t="shared" si="305"/>
        <v>0.375</v>
      </c>
      <c r="CP215" s="88">
        <f t="shared" si="286"/>
        <v>0</v>
      </c>
      <c r="CQ215" s="78">
        <f t="shared" si="287"/>
        <v>100</v>
      </c>
      <c r="CR215" s="79">
        <f t="shared" si="306"/>
        <v>3</v>
      </c>
      <c r="CS215" s="92"/>
      <c r="CT215" s="77">
        <f t="shared" si="255"/>
        <v>0</v>
      </c>
      <c r="CU215" s="78">
        <f t="shared" si="289"/>
        <v>100</v>
      </c>
      <c r="CV215" s="79">
        <f t="shared" si="307"/>
        <v>2</v>
      </c>
      <c r="CW215" s="112" t="e">
        <f t="shared" si="291"/>
        <v>#DIV/0!</v>
      </c>
    </row>
    <row r="216" spans="1:101" x14ac:dyDescent="0.35">
      <c r="A216" s="7" t="s">
        <v>1394</v>
      </c>
      <c r="B216" s="28" t="s">
        <v>1395</v>
      </c>
      <c r="C216" s="21" t="s">
        <v>1396</v>
      </c>
      <c r="D216" s="22" t="s">
        <v>21</v>
      </c>
      <c r="E216" s="11" t="s">
        <v>39</v>
      </c>
      <c r="F216" s="11" t="s">
        <v>1397</v>
      </c>
      <c r="G216" s="12">
        <v>40893</v>
      </c>
      <c r="H216" s="11" t="s">
        <v>24</v>
      </c>
      <c r="I216" s="11" t="s">
        <v>1398</v>
      </c>
      <c r="J216" s="11" t="s">
        <v>1399</v>
      </c>
      <c r="K216" s="11" t="s">
        <v>110</v>
      </c>
      <c r="L216" s="23">
        <v>385856608</v>
      </c>
      <c r="M216" s="14">
        <v>158877086</v>
      </c>
      <c r="N216" s="14">
        <v>226979522</v>
      </c>
      <c r="O216" s="14">
        <v>667448084</v>
      </c>
      <c r="P216" s="14">
        <v>26380166</v>
      </c>
      <c r="Q216" s="14">
        <v>27563574</v>
      </c>
      <c r="R216" s="14">
        <v>25353259</v>
      </c>
      <c r="AB216" s="74">
        <f t="shared" si="292"/>
        <v>0</v>
      </c>
      <c r="AC216" s="75" t="e">
        <f t="shared" si="256"/>
        <v>#DIV/0!</v>
      </c>
      <c r="AD216" s="75" t="e">
        <f t="shared" si="293"/>
        <v>#DIV/0!</v>
      </c>
      <c r="AE216" s="76" t="e">
        <f t="shared" si="296"/>
        <v>#DIV/0!</v>
      </c>
      <c r="AF216" s="77" t="e">
        <f t="shared" si="258"/>
        <v>#DIV/0!</v>
      </c>
      <c r="AG216" s="77" t="e">
        <f t="shared" si="259"/>
        <v>#DIV/0!</v>
      </c>
      <c r="AH216" s="77" t="e">
        <f t="shared" si="294"/>
        <v>#DIV/0!</v>
      </c>
      <c r="AI216" s="78" t="e">
        <f t="shared" si="295"/>
        <v>#DIV/0!</v>
      </c>
      <c r="AJ216" s="79" t="e">
        <f t="shared" si="297"/>
        <v>#DIV/0!</v>
      </c>
      <c r="AN216" s="81">
        <f t="shared" si="243"/>
        <v>0</v>
      </c>
      <c r="AO216" s="82" t="e">
        <f t="shared" si="244"/>
        <v>#DIV/0!</v>
      </c>
      <c r="AP216" s="83" t="e">
        <f t="shared" si="261"/>
        <v>#DIV/0!</v>
      </c>
      <c r="AQ216" s="84" t="e">
        <f t="shared" si="298"/>
        <v>#DIV/0!</v>
      </c>
      <c r="AS216" s="86">
        <f t="shared" si="245"/>
        <v>0.25</v>
      </c>
      <c r="AT216" s="87">
        <f t="shared" si="263"/>
        <v>0</v>
      </c>
      <c r="AU216" s="87">
        <f t="shared" si="264"/>
        <v>0</v>
      </c>
      <c r="AV216" s="88" t="e">
        <f t="shared" si="246"/>
        <v>#DIV/0!</v>
      </c>
      <c r="AW216" s="78" t="e">
        <f t="shared" si="265"/>
        <v>#DIV/0!</v>
      </c>
      <c r="AX216" s="89" t="e">
        <f t="shared" si="299"/>
        <v>#DIV/0!</v>
      </c>
      <c r="BA216" s="91">
        <f t="shared" si="247"/>
        <v>0</v>
      </c>
      <c r="BB216" s="77" t="e">
        <f t="shared" si="267"/>
        <v>#DIV/0!</v>
      </c>
      <c r="BC216" s="78" t="e">
        <f t="shared" si="268"/>
        <v>#DIV/0!</v>
      </c>
      <c r="BD216" s="79" t="e">
        <f t="shared" si="300"/>
        <v>#DIV/0!</v>
      </c>
      <c r="BE216" s="92"/>
      <c r="BF216" s="92"/>
      <c r="BG216" s="114">
        <v>223965</v>
      </c>
      <c r="BH216" s="94">
        <f t="shared" si="248"/>
        <v>0</v>
      </c>
      <c r="BI216" s="77" t="e">
        <f t="shared" si="249"/>
        <v>#DIV/0!</v>
      </c>
      <c r="BJ216" s="95" t="str">
        <f t="shared" si="270"/>
        <v>비제조/서비스업</v>
      </c>
      <c r="BK216" s="96" t="e">
        <f t="shared" si="250"/>
        <v>#DIV/0!</v>
      </c>
      <c r="BL216" s="97" t="e">
        <f t="shared" si="271"/>
        <v>#DIV/0!</v>
      </c>
      <c r="BM216" s="98" t="e">
        <f t="shared" si="272"/>
        <v>#DIV/0!</v>
      </c>
      <c r="BN216" s="99" t="e">
        <f t="shared" si="273"/>
        <v>#DIV/0!</v>
      </c>
      <c r="BP216" s="101">
        <f t="shared" si="274"/>
        <v>0</v>
      </c>
      <c r="BQ216" s="78">
        <f t="shared" si="275"/>
        <v>25</v>
      </c>
      <c r="BR216" s="79">
        <f t="shared" si="301"/>
        <v>0.5</v>
      </c>
      <c r="BS216" s="102"/>
      <c r="BT216" s="102"/>
      <c r="BU216" s="103">
        <f t="shared" si="277"/>
        <v>0</v>
      </c>
      <c r="BV216" s="77">
        <f t="shared" si="251"/>
        <v>0</v>
      </c>
      <c r="BW216" s="96">
        <f t="shared" si="252"/>
        <v>0</v>
      </c>
      <c r="BX216" s="96">
        <f t="shared" si="278"/>
        <v>0</v>
      </c>
      <c r="BY216" s="96">
        <f t="shared" si="253"/>
        <v>0</v>
      </c>
      <c r="BZ216" s="96" t="e">
        <f t="shared" si="279"/>
        <v>#NUM!</v>
      </c>
      <c r="CA216" s="96" t="e">
        <f t="shared" si="254"/>
        <v>#NUM!</v>
      </c>
      <c r="CB216" s="104" t="e">
        <f t="shared" si="280"/>
        <v>#NUM!</v>
      </c>
      <c r="CC216" s="105">
        <f t="shared" si="302"/>
        <v>69.996220187651986</v>
      </c>
      <c r="CD216" s="106">
        <f t="shared" si="303"/>
        <v>73.996399426764327</v>
      </c>
      <c r="CE216" s="107">
        <f t="shared" si="304"/>
        <v>1.1099459914014649</v>
      </c>
      <c r="CF216" s="108" t="s">
        <v>2189</v>
      </c>
      <c r="CG216" s="108" t="s">
        <v>2189</v>
      </c>
      <c r="CH216" s="108" t="s">
        <v>2189</v>
      </c>
      <c r="CI216" s="108" t="s">
        <v>2189</v>
      </c>
      <c r="CJ216" s="109"/>
      <c r="CM216" s="111">
        <f t="shared" si="284"/>
        <v>25</v>
      </c>
      <c r="CN216" s="107">
        <f t="shared" si="305"/>
        <v>0.375</v>
      </c>
      <c r="CP216" s="88">
        <f t="shared" si="286"/>
        <v>0</v>
      </c>
      <c r="CQ216" s="78">
        <f t="shared" si="287"/>
        <v>100</v>
      </c>
      <c r="CR216" s="79">
        <f t="shared" si="306"/>
        <v>3</v>
      </c>
      <c r="CS216" s="92"/>
      <c r="CT216" s="77">
        <f t="shared" si="255"/>
        <v>0</v>
      </c>
      <c r="CU216" s="78">
        <f t="shared" si="289"/>
        <v>100</v>
      </c>
      <c r="CV216" s="79">
        <f t="shared" si="307"/>
        <v>2</v>
      </c>
      <c r="CW216" s="112" t="e">
        <f t="shared" si="291"/>
        <v>#DIV/0!</v>
      </c>
    </row>
    <row r="217" spans="1:101" x14ac:dyDescent="0.35">
      <c r="A217" s="7" t="s">
        <v>1400</v>
      </c>
      <c r="B217" s="8" t="s">
        <v>1401</v>
      </c>
      <c r="C217" s="21" t="s">
        <v>1402</v>
      </c>
      <c r="D217" s="22" t="s">
        <v>141</v>
      </c>
      <c r="E217" s="11" t="s">
        <v>356</v>
      </c>
      <c r="F217" s="11" t="s">
        <v>1403</v>
      </c>
      <c r="G217" s="12">
        <v>38251</v>
      </c>
      <c r="H217" s="11" t="s">
        <v>24</v>
      </c>
      <c r="I217" s="11" t="s">
        <v>1404</v>
      </c>
      <c r="J217" s="11" t="s">
        <v>1405</v>
      </c>
      <c r="K217" s="11" t="s">
        <v>27</v>
      </c>
      <c r="L217" s="23">
        <v>233019596</v>
      </c>
      <c r="M217" s="14">
        <v>132560660</v>
      </c>
      <c r="N217" s="14">
        <v>100458936</v>
      </c>
      <c r="O217" s="14">
        <v>236142858</v>
      </c>
      <c r="P217" s="14">
        <v>7431623</v>
      </c>
      <c r="Q217" s="14">
        <v>7265559</v>
      </c>
      <c r="R217" s="14">
        <v>6211434</v>
      </c>
      <c r="AB217" s="74">
        <f>SUM(U217,V217,Z217,W217,X217)</f>
        <v>0</v>
      </c>
      <c r="AC217" s="75" t="e">
        <f t="shared" si="256"/>
        <v>#DIV/0!</v>
      </c>
      <c r="AD217" s="75" t="e">
        <f t="shared" si="293"/>
        <v>#DIV/0!</v>
      </c>
      <c r="AE217" s="76" t="e">
        <f t="shared" si="296"/>
        <v>#DIV/0!</v>
      </c>
      <c r="AF217" s="77" t="e">
        <f t="shared" si="258"/>
        <v>#DIV/0!</v>
      </c>
      <c r="AG217" s="77" t="e">
        <f t="shared" si="259"/>
        <v>#DIV/0!</v>
      </c>
      <c r="AH217" s="77" t="e">
        <f t="shared" si="294"/>
        <v>#DIV/0!</v>
      </c>
      <c r="AI217" s="78" t="e">
        <f t="shared" si="295"/>
        <v>#DIV/0!</v>
      </c>
      <c r="AJ217" s="79" t="e">
        <f t="shared" si="297"/>
        <v>#DIV/0!</v>
      </c>
      <c r="AN217" s="81">
        <f t="shared" si="243"/>
        <v>0</v>
      </c>
      <c r="AO217" s="82" t="e">
        <f t="shared" si="244"/>
        <v>#DIV/0!</v>
      </c>
      <c r="AP217" s="83" t="e">
        <f t="shared" si="261"/>
        <v>#DIV/0!</v>
      </c>
      <c r="AQ217" s="84" t="e">
        <f t="shared" si="298"/>
        <v>#DIV/0!</v>
      </c>
      <c r="AS217" s="86">
        <f t="shared" si="245"/>
        <v>0.25</v>
      </c>
      <c r="AT217" s="87">
        <f t="shared" si="263"/>
        <v>0</v>
      </c>
      <c r="AU217" s="87">
        <f t="shared" si="264"/>
        <v>0</v>
      </c>
      <c r="AV217" s="88" t="e">
        <f t="shared" si="246"/>
        <v>#DIV/0!</v>
      </c>
      <c r="AW217" s="78" t="e">
        <f t="shared" si="265"/>
        <v>#DIV/0!</v>
      </c>
      <c r="AX217" s="89" t="e">
        <f t="shared" si="299"/>
        <v>#DIV/0!</v>
      </c>
      <c r="BA217" s="91">
        <f t="shared" si="247"/>
        <v>0</v>
      </c>
      <c r="BB217" s="77" t="e">
        <f t="shared" si="267"/>
        <v>#DIV/0!</v>
      </c>
      <c r="BC217" s="78" t="e">
        <f t="shared" si="268"/>
        <v>#DIV/0!</v>
      </c>
      <c r="BD217" s="79" t="e">
        <f t="shared" si="300"/>
        <v>#DIV/0!</v>
      </c>
      <c r="BE217" s="92"/>
      <c r="BF217" s="92"/>
      <c r="BG217" s="114">
        <v>253958</v>
      </c>
      <c r="BH217" s="94">
        <f t="shared" si="248"/>
        <v>0</v>
      </c>
      <c r="BI217" s="77" t="e">
        <f t="shared" si="249"/>
        <v>#DIV/0!</v>
      </c>
      <c r="BJ217" s="95" t="str">
        <f t="shared" si="270"/>
        <v>전기전자/기계업</v>
      </c>
      <c r="BK217" s="96" t="e">
        <f t="shared" si="250"/>
        <v>#DIV/0!</v>
      </c>
      <c r="BL217" s="97" t="e">
        <f t="shared" si="271"/>
        <v>#DIV/0!</v>
      </c>
      <c r="BM217" s="98" t="e">
        <f t="shared" si="272"/>
        <v>#DIV/0!</v>
      </c>
      <c r="BN217" s="99" t="e">
        <f t="shared" si="273"/>
        <v>#DIV/0!</v>
      </c>
      <c r="BP217" s="101">
        <f t="shared" si="274"/>
        <v>0</v>
      </c>
      <c r="BQ217" s="78">
        <f t="shared" si="275"/>
        <v>25</v>
      </c>
      <c r="BR217" s="79">
        <f t="shared" si="301"/>
        <v>0.5</v>
      </c>
      <c r="BS217" s="102"/>
      <c r="BT217" s="102"/>
      <c r="BU217" s="103">
        <f t="shared" si="277"/>
        <v>0</v>
      </c>
      <c r="BV217" s="77">
        <f t="shared" si="251"/>
        <v>0</v>
      </c>
      <c r="BW217" s="96">
        <f t="shared" si="252"/>
        <v>0</v>
      </c>
      <c r="BX217" s="96">
        <f t="shared" si="278"/>
        <v>0</v>
      </c>
      <c r="BY217" s="96">
        <f t="shared" si="253"/>
        <v>0</v>
      </c>
      <c r="BZ217" s="96" t="e">
        <f t="shared" si="279"/>
        <v>#NUM!</v>
      </c>
      <c r="CA217" s="96" t="e">
        <f t="shared" si="254"/>
        <v>#NUM!</v>
      </c>
      <c r="CB217" s="104" t="e">
        <f t="shared" si="280"/>
        <v>#NUM!</v>
      </c>
      <c r="CC217" s="105">
        <f t="shared" si="302"/>
        <v>131.95507067683855</v>
      </c>
      <c r="CD217" s="106">
        <f t="shared" si="303"/>
        <v>50.645073865513112</v>
      </c>
      <c r="CE217" s="107">
        <f t="shared" si="304"/>
        <v>0.75967610798269669</v>
      </c>
      <c r="CF217" s="108" t="s">
        <v>2189</v>
      </c>
      <c r="CG217" s="108" t="s">
        <v>2189</v>
      </c>
      <c r="CH217" s="108" t="s">
        <v>2189</v>
      </c>
      <c r="CI217" s="108" t="s">
        <v>2189</v>
      </c>
      <c r="CJ217" s="109"/>
      <c r="CM217" s="111">
        <f t="shared" si="284"/>
        <v>25</v>
      </c>
      <c r="CN217" s="107">
        <f t="shared" si="305"/>
        <v>0.375</v>
      </c>
      <c r="CP217" s="88">
        <f t="shared" si="286"/>
        <v>0</v>
      </c>
      <c r="CQ217" s="78">
        <f t="shared" si="287"/>
        <v>100</v>
      </c>
      <c r="CR217" s="79">
        <f t="shared" si="306"/>
        <v>3</v>
      </c>
      <c r="CS217" s="92"/>
      <c r="CT217" s="77">
        <f t="shared" si="255"/>
        <v>0</v>
      </c>
      <c r="CU217" s="78">
        <f t="shared" si="289"/>
        <v>100</v>
      </c>
      <c r="CV217" s="79">
        <f t="shared" si="307"/>
        <v>2</v>
      </c>
      <c r="CW217" s="112" t="e">
        <f t="shared" si="291"/>
        <v>#DIV/0!</v>
      </c>
    </row>
    <row r="218" spans="1:101" x14ac:dyDescent="0.35">
      <c r="A218" s="7" t="s">
        <v>1406</v>
      </c>
      <c r="B218" s="8" t="s">
        <v>1407</v>
      </c>
      <c r="C218" s="21" t="s">
        <v>1408</v>
      </c>
      <c r="D218" s="10" t="s">
        <v>21</v>
      </c>
      <c r="E218" s="11" t="s">
        <v>91</v>
      </c>
      <c r="F218" s="11" t="s">
        <v>1409</v>
      </c>
      <c r="G218" s="12">
        <v>32844</v>
      </c>
      <c r="H218" s="11" t="s">
        <v>24</v>
      </c>
      <c r="I218" s="11" t="s">
        <v>1410</v>
      </c>
      <c r="J218" s="11" t="s">
        <v>1411</v>
      </c>
      <c r="K218" s="11" t="s">
        <v>87</v>
      </c>
      <c r="L218" s="23">
        <v>409776787</v>
      </c>
      <c r="M218" s="14">
        <v>290957356</v>
      </c>
      <c r="N218" s="14">
        <v>118819431</v>
      </c>
      <c r="O218" s="14">
        <v>462562008</v>
      </c>
      <c r="P218" s="14">
        <v>3161189</v>
      </c>
      <c r="Q218" s="14">
        <v>2974624</v>
      </c>
      <c r="R218" s="14">
        <v>6061078</v>
      </c>
      <c r="AB218" s="74">
        <f t="shared" si="292"/>
        <v>0</v>
      </c>
      <c r="AC218" s="75" t="e">
        <f t="shared" si="256"/>
        <v>#DIV/0!</v>
      </c>
      <c r="AD218" s="75" t="e">
        <f t="shared" si="293"/>
        <v>#DIV/0!</v>
      </c>
      <c r="AE218" s="76" t="e">
        <f t="shared" si="296"/>
        <v>#DIV/0!</v>
      </c>
      <c r="AF218" s="77" t="e">
        <f t="shared" si="258"/>
        <v>#DIV/0!</v>
      </c>
      <c r="AG218" s="77" t="e">
        <f t="shared" si="259"/>
        <v>#DIV/0!</v>
      </c>
      <c r="AH218" s="77" t="e">
        <f t="shared" si="294"/>
        <v>#DIV/0!</v>
      </c>
      <c r="AI218" s="78" t="e">
        <f t="shared" si="295"/>
        <v>#DIV/0!</v>
      </c>
      <c r="AJ218" s="79" t="e">
        <f t="shared" si="297"/>
        <v>#DIV/0!</v>
      </c>
      <c r="AN218" s="81">
        <f t="shared" si="243"/>
        <v>0</v>
      </c>
      <c r="AO218" s="82" t="e">
        <f t="shared" si="244"/>
        <v>#DIV/0!</v>
      </c>
      <c r="AP218" s="83" t="e">
        <f t="shared" si="261"/>
        <v>#DIV/0!</v>
      </c>
      <c r="AQ218" s="84" t="e">
        <f t="shared" si="298"/>
        <v>#DIV/0!</v>
      </c>
      <c r="AS218" s="86">
        <f t="shared" si="245"/>
        <v>0.25</v>
      </c>
      <c r="AT218" s="87">
        <f t="shared" si="263"/>
        <v>0</v>
      </c>
      <c r="AU218" s="87">
        <f t="shared" si="264"/>
        <v>0</v>
      </c>
      <c r="AV218" s="88" t="e">
        <f t="shared" si="246"/>
        <v>#DIV/0!</v>
      </c>
      <c r="AW218" s="78" t="e">
        <f t="shared" si="265"/>
        <v>#DIV/0!</v>
      </c>
      <c r="AX218" s="89" t="e">
        <f t="shared" si="299"/>
        <v>#DIV/0!</v>
      </c>
      <c r="BA218" s="91">
        <f t="shared" si="247"/>
        <v>0</v>
      </c>
      <c r="BB218" s="77" t="e">
        <f t="shared" si="267"/>
        <v>#DIV/0!</v>
      </c>
      <c r="BC218" s="78" t="e">
        <f t="shared" si="268"/>
        <v>#DIV/0!</v>
      </c>
      <c r="BD218" s="79" t="e">
        <f t="shared" si="300"/>
        <v>#DIV/0!</v>
      </c>
      <c r="BE218" s="92"/>
      <c r="BF218" s="92"/>
      <c r="BG218" s="114">
        <v>554185</v>
      </c>
      <c r="BH218" s="94">
        <f t="shared" si="248"/>
        <v>0</v>
      </c>
      <c r="BI218" s="77" t="e">
        <f t="shared" si="249"/>
        <v>#DIV/0!</v>
      </c>
      <c r="BJ218" s="95" t="str">
        <f t="shared" si="270"/>
        <v>비제조/서비스업</v>
      </c>
      <c r="BK218" s="96" t="e">
        <f t="shared" si="250"/>
        <v>#DIV/0!</v>
      </c>
      <c r="BL218" s="97" t="e">
        <f t="shared" si="271"/>
        <v>#DIV/0!</v>
      </c>
      <c r="BM218" s="98" t="e">
        <f t="shared" si="272"/>
        <v>#DIV/0!</v>
      </c>
      <c r="BN218" s="99" t="e">
        <f t="shared" si="273"/>
        <v>#DIV/0!</v>
      </c>
      <c r="BP218" s="101">
        <f t="shared" si="274"/>
        <v>0</v>
      </c>
      <c r="BQ218" s="78">
        <f t="shared" si="275"/>
        <v>25</v>
      </c>
      <c r="BR218" s="79">
        <f t="shared" si="301"/>
        <v>0.5</v>
      </c>
      <c r="BS218" s="102"/>
      <c r="BT218" s="102"/>
      <c r="BU218" s="103">
        <f t="shared" si="277"/>
        <v>0</v>
      </c>
      <c r="BV218" s="77">
        <f t="shared" si="251"/>
        <v>0</v>
      </c>
      <c r="BW218" s="96">
        <f t="shared" si="252"/>
        <v>0</v>
      </c>
      <c r="BX218" s="96">
        <f t="shared" si="278"/>
        <v>0</v>
      </c>
      <c r="BY218" s="96">
        <f t="shared" si="253"/>
        <v>0</v>
      </c>
      <c r="BZ218" s="96" t="e">
        <f t="shared" si="279"/>
        <v>#NUM!</v>
      </c>
      <c r="CA218" s="96" t="e">
        <f t="shared" si="254"/>
        <v>#NUM!</v>
      </c>
      <c r="CB218" s="104" t="e">
        <f t="shared" si="280"/>
        <v>#NUM!</v>
      </c>
      <c r="CC218" s="105">
        <f t="shared" si="302"/>
        <v>244.87354766073571</v>
      </c>
      <c r="CD218" s="106">
        <f t="shared" si="303"/>
        <v>25</v>
      </c>
      <c r="CE218" s="107">
        <f t="shared" si="304"/>
        <v>0.375</v>
      </c>
      <c r="CF218" s="108" t="s">
        <v>2189</v>
      </c>
      <c r="CG218" s="108" t="s">
        <v>2189</v>
      </c>
      <c r="CH218" s="108" t="s">
        <v>2189</v>
      </c>
      <c r="CI218" s="108" t="s">
        <v>2189</v>
      </c>
      <c r="CJ218" s="109"/>
      <c r="CM218" s="111">
        <f t="shared" si="284"/>
        <v>25</v>
      </c>
      <c r="CN218" s="107">
        <f t="shared" si="305"/>
        <v>0.375</v>
      </c>
      <c r="CP218" s="88">
        <f t="shared" si="286"/>
        <v>0</v>
      </c>
      <c r="CQ218" s="78">
        <f t="shared" si="287"/>
        <v>100</v>
      </c>
      <c r="CR218" s="79">
        <f t="shared" si="306"/>
        <v>3</v>
      </c>
      <c r="CS218" s="92"/>
      <c r="CT218" s="77">
        <f t="shared" si="255"/>
        <v>0</v>
      </c>
      <c r="CU218" s="78">
        <f t="shared" si="289"/>
        <v>100</v>
      </c>
      <c r="CV218" s="79">
        <f t="shared" si="307"/>
        <v>2</v>
      </c>
      <c r="CW218" s="112" t="e">
        <f t="shared" si="291"/>
        <v>#DIV/0!</v>
      </c>
    </row>
    <row r="219" spans="1:101" x14ac:dyDescent="0.35">
      <c r="A219" s="7" t="s">
        <v>1412</v>
      </c>
      <c r="B219" s="28" t="s">
        <v>1413</v>
      </c>
      <c r="C219" s="21" t="s">
        <v>1414</v>
      </c>
      <c r="D219" s="22" t="s">
        <v>75</v>
      </c>
      <c r="E219" s="11" t="s">
        <v>1415</v>
      </c>
      <c r="F219" s="11" t="s">
        <v>1416</v>
      </c>
      <c r="G219" s="12">
        <v>31475</v>
      </c>
      <c r="H219" s="11" t="s">
        <v>24</v>
      </c>
      <c r="I219" s="11" t="s">
        <v>1417</v>
      </c>
      <c r="J219" s="11" t="s">
        <v>1418</v>
      </c>
      <c r="K219" s="11" t="s">
        <v>27</v>
      </c>
      <c r="L219" s="23">
        <v>116167864</v>
      </c>
      <c r="M219" s="14">
        <v>60940447</v>
      </c>
      <c r="N219" s="14">
        <v>55227417</v>
      </c>
      <c r="O219" s="14">
        <v>137670991</v>
      </c>
      <c r="P219" s="14">
        <v>3899804</v>
      </c>
      <c r="Q219" s="14">
        <v>2802032</v>
      </c>
      <c r="R219" s="14">
        <v>2347584</v>
      </c>
      <c r="AB219" s="74">
        <f t="shared" si="292"/>
        <v>0</v>
      </c>
      <c r="AC219" s="75" t="e">
        <f t="shared" si="256"/>
        <v>#DIV/0!</v>
      </c>
      <c r="AD219" s="75" t="e">
        <f t="shared" si="293"/>
        <v>#DIV/0!</v>
      </c>
      <c r="AE219" s="76" t="e">
        <f t="shared" si="296"/>
        <v>#DIV/0!</v>
      </c>
      <c r="AF219" s="77" t="e">
        <f t="shared" si="258"/>
        <v>#DIV/0!</v>
      </c>
      <c r="AG219" s="77" t="e">
        <f t="shared" si="259"/>
        <v>#DIV/0!</v>
      </c>
      <c r="AH219" s="77" t="e">
        <f t="shared" si="294"/>
        <v>#DIV/0!</v>
      </c>
      <c r="AI219" s="78" t="e">
        <f t="shared" si="295"/>
        <v>#DIV/0!</v>
      </c>
      <c r="AJ219" s="79" t="e">
        <f t="shared" si="297"/>
        <v>#DIV/0!</v>
      </c>
      <c r="AN219" s="81">
        <f t="shared" si="243"/>
        <v>0</v>
      </c>
      <c r="AO219" s="82" t="e">
        <f t="shared" si="244"/>
        <v>#DIV/0!</v>
      </c>
      <c r="AP219" s="83" t="e">
        <f t="shared" si="261"/>
        <v>#DIV/0!</v>
      </c>
      <c r="AQ219" s="84" t="e">
        <f t="shared" si="298"/>
        <v>#DIV/0!</v>
      </c>
      <c r="AS219" s="86">
        <f t="shared" si="245"/>
        <v>0.25</v>
      </c>
      <c r="AT219" s="87">
        <f t="shared" si="263"/>
        <v>0</v>
      </c>
      <c r="AU219" s="87">
        <f t="shared" si="264"/>
        <v>0</v>
      </c>
      <c r="AV219" s="88" t="e">
        <f t="shared" si="246"/>
        <v>#DIV/0!</v>
      </c>
      <c r="AW219" s="78" t="e">
        <f t="shared" si="265"/>
        <v>#DIV/0!</v>
      </c>
      <c r="AX219" s="89" t="e">
        <f t="shared" si="299"/>
        <v>#DIV/0!</v>
      </c>
      <c r="BA219" s="91">
        <f t="shared" si="247"/>
        <v>0</v>
      </c>
      <c r="BB219" s="77" t="e">
        <f t="shared" si="267"/>
        <v>#DIV/0!</v>
      </c>
      <c r="BC219" s="78" t="e">
        <f t="shared" si="268"/>
        <v>#DIV/0!</v>
      </c>
      <c r="BD219" s="79" t="e">
        <f t="shared" si="300"/>
        <v>#DIV/0!</v>
      </c>
      <c r="BE219" s="92"/>
      <c r="BF219" s="92"/>
      <c r="BG219" s="114">
        <v>194113</v>
      </c>
      <c r="BH219" s="94">
        <f t="shared" si="248"/>
        <v>0</v>
      </c>
      <c r="BI219" s="77" t="e">
        <f t="shared" si="249"/>
        <v>#DIV/0!</v>
      </c>
      <c r="BJ219" s="95" t="str">
        <f t="shared" si="270"/>
        <v>금속/비금속/화학업</v>
      </c>
      <c r="BK219" s="96" t="e">
        <f t="shared" si="250"/>
        <v>#DIV/0!</v>
      </c>
      <c r="BL219" s="97" t="e">
        <f t="shared" si="271"/>
        <v>#DIV/0!</v>
      </c>
      <c r="BM219" s="98" t="e">
        <f t="shared" si="272"/>
        <v>#DIV/0!</v>
      </c>
      <c r="BN219" s="99" t="e">
        <f t="shared" si="273"/>
        <v>#DIV/0!</v>
      </c>
      <c r="BP219" s="101">
        <f t="shared" si="274"/>
        <v>0</v>
      </c>
      <c r="BQ219" s="78">
        <f t="shared" si="275"/>
        <v>25</v>
      </c>
      <c r="BR219" s="79">
        <f t="shared" si="301"/>
        <v>0.5</v>
      </c>
      <c r="BS219" s="102"/>
      <c r="BT219" s="102"/>
      <c r="BU219" s="103">
        <f t="shared" si="277"/>
        <v>0</v>
      </c>
      <c r="BV219" s="77">
        <f t="shared" si="251"/>
        <v>0</v>
      </c>
      <c r="BW219" s="96">
        <f t="shared" si="252"/>
        <v>0</v>
      </c>
      <c r="BX219" s="96">
        <f t="shared" si="278"/>
        <v>0</v>
      </c>
      <c r="BY219" s="96">
        <f t="shared" si="253"/>
        <v>0</v>
      </c>
      <c r="BZ219" s="96" t="e">
        <f t="shared" si="279"/>
        <v>#NUM!</v>
      </c>
      <c r="CA219" s="96" t="e">
        <f t="shared" si="254"/>
        <v>#NUM!</v>
      </c>
      <c r="CB219" s="104" t="e">
        <f t="shared" si="280"/>
        <v>#NUM!</v>
      </c>
      <c r="CC219" s="105">
        <f t="shared" si="302"/>
        <v>110.34455404640778</v>
      </c>
      <c r="CD219" s="106">
        <f t="shared" si="303"/>
        <v>58.789740937283504</v>
      </c>
      <c r="CE219" s="107">
        <f t="shared" si="304"/>
        <v>0.88184611405925251</v>
      </c>
      <c r="CF219" s="108" t="s">
        <v>2189</v>
      </c>
      <c r="CG219" s="108" t="s">
        <v>2189</v>
      </c>
      <c r="CH219" s="108" t="s">
        <v>2189</v>
      </c>
      <c r="CI219" s="108" t="s">
        <v>2189</v>
      </c>
      <c r="CJ219" s="109"/>
      <c r="CM219" s="111">
        <f t="shared" si="284"/>
        <v>25</v>
      </c>
      <c r="CN219" s="107">
        <f t="shared" si="305"/>
        <v>0.375</v>
      </c>
      <c r="CP219" s="88">
        <f t="shared" si="286"/>
        <v>0</v>
      </c>
      <c r="CQ219" s="78">
        <f t="shared" si="287"/>
        <v>100</v>
      </c>
      <c r="CR219" s="79">
        <f t="shared" si="306"/>
        <v>3</v>
      </c>
      <c r="CS219" s="92"/>
      <c r="CT219" s="77">
        <f t="shared" si="255"/>
        <v>0</v>
      </c>
      <c r="CU219" s="78">
        <f t="shared" si="289"/>
        <v>100</v>
      </c>
      <c r="CV219" s="79">
        <f t="shared" si="307"/>
        <v>2</v>
      </c>
      <c r="CW219" s="112" t="e">
        <f t="shared" si="291"/>
        <v>#DIV/0!</v>
      </c>
    </row>
    <row r="220" spans="1:101" x14ac:dyDescent="0.35">
      <c r="A220" s="7" t="s">
        <v>1419</v>
      </c>
      <c r="B220" s="8" t="s">
        <v>1420</v>
      </c>
      <c r="C220" s="21" t="s">
        <v>1421</v>
      </c>
      <c r="D220" s="10" t="s">
        <v>31</v>
      </c>
      <c r="E220" s="11" t="s">
        <v>183</v>
      </c>
      <c r="F220" s="11" t="s">
        <v>1422</v>
      </c>
      <c r="G220" s="12">
        <v>27269</v>
      </c>
      <c r="H220" s="11" t="s">
        <v>24</v>
      </c>
      <c r="I220" s="11" t="s">
        <v>1423</v>
      </c>
      <c r="J220" s="11" t="s">
        <v>1424</v>
      </c>
      <c r="K220" s="11" t="s">
        <v>50</v>
      </c>
      <c r="L220" s="23">
        <v>348763942</v>
      </c>
      <c r="M220" s="14">
        <v>159228662</v>
      </c>
      <c r="N220" s="14">
        <v>189535280</v>
      </c>
      <c r="O220" s="14">
        <v>235057199</v>
      </c>
      <c r="P220" s="14">
        <v>11763437</v>
      </c>
      <c r="Q220" s="14">
        <v>12291336</v>
      </c>
      <c r="R220" s="14">
        <v>9393997</v>
      </c>
      <c r="AB220" s="74">
        <f t="shared" si="292"/>
        <v>0</v>
      </c>
      <c r="AC220" s="75" t="e">
        <f t="shared" si="256"/>
        <v>#DIV/0!</v>
      </c>
      <c r="AD220" s="75" t="e">
        <f t="shared" si="293"/>
        <v>#DIV/0!</v>
      </c>
      <c r="AE220" s="76" t="e">
        <f t="shared" si="296"/>
        <v>#DIV/0!</v>
      </c>
      <c r="AF220" s="77" t="e">
        <f t="shared" si="258"/>
        <v>#DIV/0!</v>
      </c>
      <c r="AG220" s="77" t="e">
        <f t="shared" si="259"/>
        <v>#DIV/0!</v>
      </c>
      <c r="AH220" s="77" t="e">
        <f t="shared" si="294"/>
        <v>#DIV/0!</v>
      </c>
      <c r="AI220" s="78" t="e">
        <f t="shared" si="295"/>
        <v>#DIV/0!</v>
      </c>
      <c r="AJ220" s="79" t="e">
        <f t="shared" si="297"/>
        <v>#DIV/0!</v>
      </c>
      <c r="AN220" s="81">
        <f t="shared" si="243"/>
        <v>0</v>
      </c>
      <c r="AO220" s="82" t="e">
        <f t="shared" si="244"/>
        <v>#DIV/0!</v>
      </c>
      <c r="AP220" s="83" t="e">
        <f t="shared" si="261"/>
        <v>#DIV/0!</v>
      </c>
      <c r="AQ220" s="84" t="e">
        <f t="shared" si="298"/>
        <v>#DIV/0!</v>
      </c>
      <c r="AS220" s="86">
        <f t="shared" si="245"/>
        <v>0.25</v>
      </c>
      <c r="AT220" s="87">
        <f t="shared" si="263"/>
        <v>0</v>
      </c>
      <c r="AU220" s="87">
        <f t="shared" si="264"/>
        <v>0</v>
      </c>
      <c r="AV220" s="88" t="e">
        <f t="shared" si="246"/>
        <v>#DIV/0!</v>
      </c>
      <c r="AW220" s="78" t="e">
        <f t="shared" si="265"/>
        <v>#DIV/0!</v>
      </c>
      <c r="AX220" s="89" t="e">
        <f t="shared" si="299"/>
        <v>#DIV/0!</v>
      </c>
      <c r="BA220" s="91">
        <f t="shared" si="247"/>
        <v>0</v>
      </c>
      <c r="BB220" s="77" t="e">
        <f t="shared" si="267"/>
        <v>#DIV/0!</v>
      </c>
      <c r="BC220" s="78" t="e">
        <f t="shared" si="268"/>
        <v>#DIV/0!</v>
      </c>
      <c r="BD220" s="79" t="e">
        <f t="shared" si="300"/>
        <v>#DIV/0!</v>
      </c>
      <c r="BE220" s="92"/>
      <c r="BF220" s="92"/>
      <c r="BG220" s="114">
        <v>240319</v>
      </c>
      <c r="BH220" s="94">
        <f t="shared" si="248"/>
        <v>0</v>
      </c>
      <c r="BI220" s="77" t="e">
        <f t="shared" si="249"/>
        <v>#DIV/0!</v>
      </c>
      <c r="BJ220" s="95" t="str">
        <f t="shared" si="270"/>
        <v>식약/섬유/종이업</v>
      </c>
      <c r="BK220" s="96" t="e">
        <f t="shared" si="250"/>
        <v>#DIV/0!</v>
      </c>
      <c r="BL220" s="97" t="e">
        <f t="shared" si="271"/>
        <v>#DIV/0!</v>
      </c>
      <c r="BM220" s="98" t="e">
        <f t="shared" si="272"/>
        <v>#DIV/0!</v>
      </c>
      <c r="BN220" s="99" t="e">
        <f t="shared" si="273"/>
        <v>#DIV/0!</v>
      </c>
      <c r="BP220" s="101">
        <f t="shared" si="274"/>
        <v>0</v>
      </c>
      <c r="BQ220" s="78">
        <f t="shared" si="275"/>
        <v>25</v>
      </c>
      <c r="BR220" s="79">
        <f t="shared" si="301"/>
        <v>0.5</v>
      </c>
      <c r="BS220" s="102"/>
      <c r="BT220" s="102"/>
      <c r="BU220" s="103">
        <f t="shared" si="277"/>
        <v>0</v>
      </c>
      <c r="BV220" s="77">
        <f t="shared" si="251"/>
        <v>0</v>
      </c>
      <c r="BW220" s="96">
        <f t="shared" si="252"/>
        <v>0</v>
      </c>
      <c r="BX220" s="96">
        <f t="shared" si="278"/>
        <v>0</v>
      </c>
      <c r="BY220" s="96">
        <f t="shared" si="253"/>
        <v>0</v>
      </c>
      <c r="BZ220" s="96" t="e">
        <f t="shared" si="279"/>
        <v>#NUM!</v>
      </c>
      <c r="CA220" s="96" t="e">
        <f t="shared" si="254"/>
        <v>#NUM!</v>
      </c>
      <c r="CB220" s="104" t="e">
        <f t="shared" si="280"/>
        <v>#NUM!</v>
      </c>
      <c r="CC220" s="105">
        <f t="shared" si="302"/>
        <v>84.010038658765794</v>
      </c>
      <c r="CD220" s="106">
        <f t="shared" si="303"/>
        <v>68.71480955071641</v>
      </c>
      <c r="CE220" s="107">
        <f t="shared" si="304"/>
        <v>1.0307221432607461</v>
      </c>
      <c r="CF220" s="108" t="s">
        <v>2189</v>
      </c>
      <c r="CG220" s="108" t="s">
        <v>2189</v>
      </c>
      <c r="CH220" s="108" t="s">
        <v>2189</v>
      </c>
      <c r="CI220" s="108" t="s">
        <v>2189</v>
      </c>
      <c r="CJ220" s="109"/>
      <c r="CM220" s="111">
        <f t="shared" si="284"/>
        <v>25</v>
      </c>
      <c r="CN220" s="107">
        <f t="shared" si="305"/>
        <v>0.375</v>
      </c>
      <c r="CP220" s="88">
        <f t="shared" si="286"/>
        <v>0</v>
      </c>
      <c r="CQ220" s="78">
        <f t="shared" si="287"/>
        <v>100</v>
      </c>
      <c r="CR220" s="79">
        <f t="shared" si="306"/>
        <v>3</v>
      </c>
      <c r="CS220" s="92"/>
      <c r="CT220" s="77">
        <f t="shared" si="255"/>
        <v>0</v>
      </c>
      <c r="CU220" s="78">
        <f t="shared" si="289"/>
        <v>100</v>
      </c>
      <c r="CV220" s="79">
        <f t="shared" si="307"/>
        <v>2</v>
      </c>
      <c r="CW220" s="112" t="e">
        <f t="shared" si="291"/>
        <v>#DIV/0!</v>
      </c>
    </row>
    <row r="221" spans="1:101" x14ac:dyDescent="0.35">
      <c r="A221" s="7" t="s">
        <v>1425</v>
      </c>
      <c r="B221" s="8" t="s">
        <v>1426</v>
      </c>
      <c r="C221" s="21" t="s">
        <v>1427</v>
      </c>
      <c r="D221" s="10" t="s">
        <v>141</v>
      </c>
      <c r="E221" s="11" t="s">
        <v>369</v>
      </c>
      <c r="F221" s="11">
        <v>0</v>
      </c>
      <c r="G221" s="12">
        <v>39661</v>
      </c>
      <c r="H221" s="11" t="s">
        <v>24</v>
      </c>
      <c r="I221" s="11" t="s">
        <v>1428</v>
      </c>
      <c r="J221" s="28" t="s">
        <v>1429</v>
      </c>
      <c r="K221" s="11" t="s">
        <v>50</v>
      </c>
      <c r="L221" s="23">
        <v>818333453</v>
      </c>
      <c r="M221" s="14">
        <v>480040681</v>
      </c>
      <c r="N221" s="14">
        <v>338292772</v>
      </c>
      <c r="O221" s="14">
        <v>1132474477</v>
      </c>
      <c r="P221" s="14">
        <v>29176389</v>
      </c>
      <c r="Q221" s="14">
        <v>25221767</v>
      </c>
      <c r="R221" s="14">
        <v>22259261</v>
      </c>
      <c r="AB221" s="74">
        <f t="shared" si="292"/>
        <v>0</v>
      </c>
      <c r="AC221" s="75" t="e">
        <f t="shared" si="256"/>
        <v>#DIV/0!</v>
      </c>
      <c r="AD221" s="75" t="e">
        <f t="shared" si="293"/>
        <v>#DIV/0!</v>
      </c>
      <c r="AE221" s="76" t="e">
        <f t="shared" si="296"/>
        <v>#DIV/0!</v>
      </c>
      <c r="AF221" s="77" t="e">
        <f t="shared" si="258"/>
        <v>#DIV/0!</v>
      </c>
      <c r="AG221" s="77" t="e">
        <f t="shared" si="259"/>
        <v>#DIV/0!</v>
      </c>
      <c r="AH221" s="77" t="e">
        <f t="shared" si="294"/>
        <v>#DIV/0!</v>
      </c>
      <c r="AI221" s="78" t="e">
        <f t="shared" si="295"/>
        <v>#DIV/0!</v>
      </c>
      <c r="AJ221" s="79" t="e">
        <f t="shared" si="297"/>
        <v>#DIV/0!</v>
      </c>
      <c r="AN221" s="81">
        <f t="shared" si="243"/>
        <v>0</v>
      </c>
      <c r="AO221" s="82" t="e">
        <f t="shared" si="244"/>
        <v>#DIV/0!</v>
      </c>
      <c r="AP221" s="83" t="e">
        <f t="shared" si="261"/>
        <v>#DIV/0!</v>
      </c>
      <c r="AQ221" s="84" t="e">
        <f t="shared" si="298"/>
        <v>#DIV/0!</v>
      </c>
      <c r="AS221" s="86">
        <f t="shared" si="245"/>
        <v>0.25</v>
      </c>
      <c r="AT221" s="87">
        <f t="shared" si="263"/>
        <v>0</v>
      </c>
      <c r="AU221" s="87">
        <f t="shared" si="264"/>
        <v>0</v>
      </c>
      <c r="AV221" s="88" t="e">
        <f t="shared" si="246"/>
        <v>#DIV/0!</v>
      </c>
      <c r="AW221" s="78" t="e">
        <f t="shared" si="265"/>
        <v>#DIV/0!</v>
      </c>
      <c r="AX221" s="89" t="e">
        <f t="shared" si="299"/>
        <v>#DIV/0!</v>
      </c>
      <c r="BA221" s="91">
        <f t="shared" si="247"/>
        <v>0</v>
      </c>
      <c r="BB221" s="77" t="e">
        <f t="shared" si="267"/>
        <v>#DIV/0!</v>
      </c>
      <c r="BC221" s="78" t="e">
        <f t="shared" si="268"/>
        <v>#DIV/0!</v>
      </c>
      <c r="BD221" s="79" t="e">
        <f t="shared" si="300"/>
        <v>#DIV/0!</v>
      </c>
      <c r="BE221" s="92"/>
      <c r="BF221" s="92"/>
      <c r="BG221" s="93">
        <v>0</v>
      </c>
      <c r="BH221" s="94">
        <f t="shared" si="248"/>
        <v>0</v>
      </c>
      <c r="BI221" s="77" t="e">
        <f t="shared" si="249"/>
        <v>#DIV/0!</v>
      </c>
      <c r="BJ221" s="95" t="str">
        <f t="shared" si="270"/>
        <v>전기전자/기계업</v>
      </c>
      <c r="BK221" s="96" t="e">
        <f t="shared" si="250"/>
        <v>#DIV/0!</v>
      </c>
      <c r="BL221" s="97" t="e">
        <f t="shared" si="271"/>
        <v>#DIV/0!</v>
      </c>
      <c r="BM221" s="98" t="e">
        <f t="shared" si="272"/>
        <v>#DIV/0!</v>
      </c>
      <c r="BN221" s="99" t="e">
        <f t="shared" si="273"/>
        <v>#DIV/0!</v>
      </c>
      <c r="BP221" s="101">
        <f t="shared" si="274"/>
        <v>0</v>
      </c>
      <c r="BQ221" s="78">
        <f t="shared" si="275"/>
        <v>25</v>
      </c>
      <c r="BR221" s="79">
        <f t="shared" si="301"/>
        <v>0.5</v>
      </c>
      <c r="BS221" s="102"/>
      <c r="BT221" s="102"/>
      <c r="BU221" s="103">
        <f t="shared" si="277"/>
        <v>0</v>
      </c>
      <c r="BV221" s="77">
        <f t="shared" si="251"/>
        <v>0</v>
      </c>
      <c r="BW221" s="96">
        <f t="shared" si="252"/>
        <v>0</v>
      </c>
      <c r="BX221" s="96">
        <f t="shared" si="278"/>
        <v>0</v>
      </c>
      <c r="BY221" s="96">
        <f t="shared" si="253"/>
        <v>0</v>
      </c>
      <c r="BZ221" s="96" t="e">
        <f t="shared" si="279"/>
        <v>#NUM!</v>
      </c>
      <c r="CA221" s="96" t="e">
        <f t="shared" si="254"/>
        <v>#NUM!</v>
      </c>
      <c r="CB221" s="104" t="e">
        <f t="shared" si="280"/>
        <v>#NUM!</v>
      </c>
      <c r="CC221" s="105">
        <f t="shared" si="302"/>
        <v>141.90095702074296</v>
      </c>
      <c r="CD221" s="106">
        <f t="shared" si="303"/>
        <v>46.896624238413459</v>
      </c>
      <c r="CE221" s="107">
        <f t="shared" si="304"/>
        <v>0.7034493635762018</v>
      </c>
      <c r="CF221" s="108" t="s">
        <v>2189</v>
      </c>
      <c r="CG221" s="108" t="s">
        <v>2189</v>
      </c>
      <c r="CH221" s="108" t="s">
        <v>2189</v>
      </c>
      <c r="CI221" s="108" t="s">
        <v>2189</v>
      </c>
      <c r="CJ221" s="109"/>
      <c r="CM221" s="111">
        <f t="shared" si="284"/>
        <v>25</v>
      </c>
      <c r="CN221" s="107">
        <f t="shared" si="305"/>
        <v>0.375</v>
      </c>
      <c r="CP221" s="88">
        <f t="shared" si="286"/>
        <v>0</v>
      </c>
      <c r="CQ221" s="78">
        <f t="shared" si="287"/>
        <v>100</v>
      </c>
      <c r="CR221" s="79">
        <f t="shared" si="306"/>
        <v>3</v>
      </c>
      <c r="CS221" s="92"/>
      <c r="CT221" s="77">
        <f t="shared" si="255"/>
        <v>0</v>
      </c>
      <c r="CU221" s="78">
        <f t="shared" si="289"/>
        <v>100</v>
      </c>
      <c r="CV221" s="79">
        <f t="shared" si="307"/>
        <v>2</v>
      </c>
      <c r="CW221" s="112" t="e">
        <f t="shared" si="291"/>
        <v>#DIV/0!</v>
      </c>
    </row>
    <row r="222" spans="1:101" x14ac:dyDescent="0.35">
      <c r="A222" s="7" t="s">
        <v>1430</v>
      </c>
      <c r="B222" s="8" t="s">
        <v>1431</v>
      </c>
      <c r="C222" s="21" t="s">
        <v>1432</v>
      </c>
      <c r="D222" s="22" t="s">
        <v>21</v>
      </c>
      <c r="E222" s="11" t="s">
        <v>1433</v>
      </c>
      <c r="F222" s="11" t="s">
        <v>1434</v>
      </c>
      <c r="G222" s="12">
        <v>44440</v>
      </c>
      <c r="H222" s="11" t="s">
        <v>24</v>
      </c>
      <c r="I222" s="11" t="s">
        <v>1435</v>
      </c>
      <c r="J222" s="11" t="s">
        <v>1436</v>
      </c>
      <c r="K222" s="11" t="s">
        <v>734</v>
      </c>
      <c r="L222" s="23">
        <v>342505451</v>
      </c>
      <c r="M222" s="14">
        <v>27786558</v>
      </c>
      <c r="N222" s="14">
        <v>314718893</v>
      </c>
      <c r="O222" s="14">
        <v>109080826</v>
      </c>
      <c r="P222" s="14">
        <v>2772988</v>
      </c>
      <c r="Q222" s="14">
        <v>8635778</v>
      </c>
      <c r="R222" s="14">
        <v>7043345</v>
      </c>
      <c r="AB222" s="74">
        <f t="shared" si="292"/>
        <v>0</v>
      </c>
      <c r="AC222" s="75" t="e">
        <f t="shared" si="256"/>
        <v>#DIV/0!</v>
      </c>
      <c r="AD222" s="75" t="e">
        <f t="shared" si="293"/>
        <v>#DIV/0!</v>
      </c>
      <c r="AE222" s="76" t="e">
        <f t="shared" si="296"/>
        <v>#DIV/0!</v>
      </c>
      <c r="AF222" s="77" t="e">
        <f t="shared" si="258"/>
        <v>#DIV/0!</v>
      </c>
      <c r="AG222" s="77" t="e">
        <f t="shared" si="259"/>
        <v>#DIV/0!</v>
      </c>
      <c r="AH222" s="77" t="e">
        <f t="shared" si="294"/>
        <v>#DIV/0!</v>
      </c>
      <c r="AI222" s="78" t="e">
        <f t="shared" si="295"/>
        <v>#DIV/0!</v>
      </c>
      <c r="AJ222" s="79" t="e">
        <f t="shared" si="297"/>
        <v>#DIV/0!</v>
      </c>
      <c r="AN222" s="81">
        <f t="shared" si="243"/>
        <v>0</v>
      </c>
      <c r="AO222" s="82" t="e">
        <f t="shared" si="244"/>
        <v>#DIV/0!</v>
      </c>
      <c r="AP222" s="83" t="e">
        <f t="shared" si="261"/>
        <v>#DIV/0!</v>
      </c>
      <c r="AQ222" s="84" t="e">
        <f t="shared" si="298"/>
        <v>#DIV/0!</v>
      </c>
      <c r="AS222" s="86">
        <f t="shared" si="245"/>
        <v>0.25</v>
      </c>
      <c r="AT222" s="87">
        <f t="shared" si="263"/>
        <v>0</v>
      </c>
      <c r="AU222" s="87">
        <f t="shared" si="264"/>
        <v>0</v>
      </c>
      <c r="AV222" s="88" t="e">
        <f t="shared" si="246"/>
        <v>#DIV/0!</v>
      </c>
      <c r="AW222" s="78" t="e">
        <f t="shared" si="265"/>
        <v>#DIV/0!</v>
      </c>
      <c r="AX222" s="89" t="e">
        <f t="shared" si="299"/>
        <v>#DIV/0!</v>
      </c>
      <c r="BA222" s="91">
        <f t="shared" si="247"/>
        <v>0</v>
      </c>
      <c r="BB222" s="77" t="e">
        <f t="shared" si="267"/>
        <v>#DIV/0!</v>
      </c>
      <c r="BC222" s="78" t="e">
        <f t="shared" si="268"/>
        <v>#DIV/0!</v>
      </c>
      <c r="BD222" s="79" t="e">
        <f t="shared" si="300"/>
        <v>#DIV/0!</v>
      </c>
      <c r="BE222" s="92"/>
      <c r="BF222" s="92"/>
      <c r="BG222" s="93">
        <v>0</v>
      </c>
      <c r="BH222" s="94">
        <f t="shared" si="248"/>
        <v>0</v>
      </c>
      <c r="BI222" s="77" t="e">
        <f t="shared" si="249"/>
        <v>#DIV/0!</v>
      </c>
      <c r="BJ222" s="95" t="str">
        <f t="shared" si="270"/>
        <v>비제조/서비스업</v>
      </c>
      <c r="BK222" s="96" t="e">
        <f t="shared" si="250"/>
        <v>#DIV/0!</v>
      </c>
      <c r="BL222" s="97" t="e">
        <f t="shared" si="271"/>
        <v>#DIV/0!</v>
      </c>
      <c r="BM222" s="98" t="e">
        <f t="shared" si="272"/>
        <v>#DIV/0!</v>
      </c>
      <c r="BN222" s="99" t="e">
        <f t="shared" si="273"/>
        <v>#DIV/0!</v>
      </c>
      <c r="BP222" s="101">
        <f t="shared" si="274"/>
        <v>0</v>
      </c>
      <c r="BQ222" s="78">
        <f t="shared" si="275"/>
        <v>25</v>
      </c>
      <c r="BR222" s="79">
        <f t="shared" si="301"/>
        <v>0.5</v>
      </c>
      <c r="BS222" s="102"/>
      <c r="BT222" s="102"/>
      <c r="BU222" s="103">
        <f t="shared" si="277"/>
        <v>0</v>
      </c>
      <c r="BV222" s="77">
        <f t="shared" si="251"/>
        <v>0</v>
      </c>
      <c r="BW222" s="96">
        <f t="shared" si="252"/>
        <v>0</v>
      </c>
      <c r="BX222" s="96">
        <f t="shared" si="278"/>
        <v>0</v>
      </c>
      <c r="BY222" s="96">
        <f t="shared" si="253"/>
        <v>0</v>
      </c>
      <c r="BZ222" s="96" t="e">
        <f t="shared" si="279"/>
        <v>#NUM!</v>
      </c>
      <c r="CA222" s="96" t="e">
        <f t="shared" si="254"/>
        <v>#NUM!</v>
      </c>
      <c r="CB222" s="104" t="e">
        <f t="shared" si="280"/>
        <v>#NUM!</v>
      </c>
      <c r="CC222" s="105">
        <f t="shared" si="302"/>
        <v>8.8290085590762413</v>
      </c>
      <c r="CD222" s="106">
        <f t="shared" si="303"/>
        <v>97.049368633513978</v>
      </c>
      <c r="CE222" s="107">
        <f t="shared" si="304"/>
        <v>1.4557405295027097</v>
      </c>
      <c r="CF222" s="108" t="s">
        <v>2189</v>
      </c>
      <c r="CG222" s="108" t="s">
        <v>2189</v>
      </c>
      <c r="CH222" s="108" t="s">
        <v>2189</v>
      </c>
      <c r="CI222" s="108" t="s">
        <v>2189</v>
      </c>
      <c r="CJ222" s="109"/>
      <c r="CM222" s="111">
        <f t="shared" si="284"/>
        <v>25</v>
      </c>
      <c r="CN222" s="107">
        <f t="shared" si="305"/>
        <v>0.375</v>
      </c>
      <c r="CP222" s="88">
        <f t="shared" si="286"/>
        <v>0</v>
      </c>
      <c r="CQ222" s="78">
        <f t="shared" si="287"/>
        <v>100</v>
      </c>
      <c r="CR222" s="79">
        <f t="shared" si="306"/>
        <v>3</v>
      </c>
      <c r="CS222" s="92"/>
      <c r="CT222" s="77">
        <f t="shared" si="255"/>
        <v>0</v>
      </c>
      <c r="CU222" s="78">
        <f t="shared" si="289"/>
        <v>100</v>
      </c>
      <c r="CV222" s="79">
        <f t="shared" si="307"/>
        <v>2</v>
      </c>
      <c r="CW222" s="112" t="e">
        <f t="shared" si="291"/>
        <v>#DIV/0!</v>
      </c>
    </row>
    <row r="223" spans="1:101" x14ac:dyDescent="0.35">
      <c r="A223" s="7" t="s">
        <v>1437</v>
      </c>
      <c r="B223" s="8" t="s">
        <v>1438</v>
      </c>
      <c r="C223" s="21" t="s">
        <v>1439</v>
      </c>
      <c r="D223" s="10" t="s">
        <v>21</v>
      </c>
      <c r="E223" s="11" t="s">
        <v>1440</v>
      </c>
      <c r="F223" s="11" t="s">
        <v>1441</v>
      </c>
      <c r="G223" s="12">
        <v>43775</v>
      </c>
      <c r="H223" s="11" t="s">
        <v>24</v>
      </c>
      <c r="I223" s="11" t="s">
        <v>1442</v>
      </c>
      <c r="J223" s="11" t="s">
        <v>1443</v>
      </c>
      <c r="K223" s="11" t="s">
        <v>27</v>
      </c>
      <c r="L223" s="23">
        <v>753639957</v>
      </c>
      <c r="M223" s="14">
        <v>284239813</v>
      </c>
      <c r="N223" s="14">
        <v>469400144</v>
      </c>
      <c r="O223" s="14">
        <v>589689077</v>
      </c>
      <c r="P223" s="14">
        <v>92750362</v>
      </c>
      <c r="Q223" s="14">
        <v>95830158</v>
      </c>
      <c r="R223" s="14">
        <v>72515496</v>
      </c>
      <c r="AB223" s="74">
        <f t="shared" si="292"/>
        <v>0</v>
      </c>
      <c r="AC223" s="75" t="e">
        <f t="shared" si="256"/>
        <v>#DIV/0!</v>
      </c>
      <c r="AD223" s="75" t="e">
        <f t="shared" si="293"/>
        <v>#DIV/0!</v>
      </c>
      <c r="AE223" s="76" t="e">
        <f t="shared" si="296"/>
        <v>#DIV/0!</v>
      </c>
      <c r="AF223" s="77" t="e">
        <f t="shared" si="258"/>
        <v>#DIV/0!</v>
      </c>
      <c r="AG223" s="77" t="e">
        <f t="shared" si="259"/>
        <v>#DIV/0!</v>
      </c>
      <c r="AH223" s="77" t="e">
        <f t="shared" si="294"/>
        <v>#DIV/0!</v>
      </c>
      <c r="AI223" s="78" t="e">
        <f t="shared" si="295"/>
        <v>#DIV/0!</v>
      </c>
      <c r="AJ223" s="79" t="e">
        <f t="shared" si="297"/>
        <v>#DIV/0!</v>
      </c>
      <c r="AN223" s="81">
        <f t="shared" si="243"/>
        <v>0</v>
      </c>
      <c r="AO223" s="82" t="e">
        <f t="shared" si="244"/>
        <v>#DIV/0!</v>
      </c>
      <c r="AP223" s="83" t="e">
        <f t="shared" si="261"/>
        <v>#DIV/0!</v>
      </c>
      <c r="AQ223" s="84" t="e">
        <f t="shared" si="298"/>
        <v>#DIV/0!</v>
      </c>
      <c r="AS223" s="86">
        <f t="shared" si="245"/>
        <v>0.25</v>
      </c>
      <c r="AT223" s="87">
        <f t="shared" si="263"/>
        <v>0</v>
      </c>
      <c r="AU223" s="87">
        <f t="shared" si="264"/>
        <v>0</v>
      </c>
      <c r="AV223" s="88" t="e">
        <f t="shared" si="246"/>
        <v>#DIV/0!</v>
      </c>
      <c r="AW223" s="78" t="e">
        <f t="shared" si="265"/>
        <v>#DIV/0!</v>
      </c>
      <c r="AX223" s="89" t="e">
        <f t="shared" si="299"/>
        <v>#DIV/0!</v>
      </c>
      <c r="BA223" s="91">
        <f t="shared" si="247"/>
        <v>0</v>
      </c>
      <c r="BB223" s="77" t="e">
        <f t="shared" si="267"/>
        <v>#DIV/0!</v>
      </c>
      <c r="BC223" s="78" t="e">
        <f t="shared" si="268"/>
        <v>#DIV/0!</v>
      </c>
      <c r="BD223" s="79" t="e">
        <f t="shared" si="300"/>
        <v>#DIV/0!</v>
      </c>
      <c r="BE223" s="92"/>
      <c r="BF223" s="92"/>
      <c r="BG223" s="93">
        <v>0</v>
      </c>
      <c r="BH223" s="94">
        <f t="shared" si="248"/>
        <v>0</v>
      </c>
      <c r="BI223" s="77" t="e">
        <f t="shared" si="249"/>
        <v>#DIV/0!</v>
      </c>
      <c r="BJ223" s="95" t="str">
        <f t="shared" si="270"/>
        <v>비제조/서비스업</v>
      </c>
      <c r="BK223" s="96" t="e">
        <f t="shared" si="250"/>
        <v>#DIV/0!</v>
      </c>
      <c r="BL223" s="97" t="e">
        <f t="shared" si="271"/>
        <v>#DIV/0!</v>
      </c>
      <c r="BM223" s="98" t="e">
        <f t="shared" si="272"/>
        <v>#DIV/0!</v>
      </c>
      <c r="BN223" s="99" t="e">
        <f t="shared" si="273"/>
        <v>#DIV/0!</v>
      </c>
      <c r="BP223" s="101">
        <f t="shared" si="274"/>
        <v>0</v>
      </c>
      <c r="BQ223" s="78">
        <f t="shared" si="275"/>
        <v>25</v>
      </c>
      <c r="BR223" s="79">
        <f t="shared" si="301"/>
        <v>0.5</v>
      </c>
      <c r="BS223" s="102"/>
      <c r="BT223" s="102"/>
      <c r="BU223" s="103">
        <f t="shared" si="277"/>
        <v>0</v>
      </c>
      <c r="BV223" s="77">
        <f t="shared" si="251"/>
        <v>0</v>
      </c>
      <c r="BW223" s="96">
        <f t="shared" si="252"/>
        <v>0</v>
      </c>
      <c r="BX223" s="96">
        <f t="shared" si="278"/>
        <v>0</v>
      </c>
      <c r="BY223" s="96">
        <f t="shared" si="253"/>
        <v>0</v>
      </c>
      <c r="BZ223" s="96" t="e">
        <f t="shared" si="279"/>
        <v>#NUM!</v>
      </c>
      <c r="CA223" s="96" t="e">
        <f t="shared" si="254"/>
        <v>#NUM!</v>
      </c>
      <c r="CB223" s="104" t="e">
        <f t="shared" si="280"/>
        <v>#NUM!</v>
      </c>
      <c r="CC223" s="105">
        <f t="shared" si="302"/>
        <v>60.553840179478094</v>
      </c>
      <c r="CD223" s="106">
        <f t="shared" si="303"/>
        <v>77.555085359493177</v>
      </c>
      <c r="CE223" s="107">
        <f t="shared" si="304"/>
        <v>1.1633262803923976</v>
      </c>
      <c r="CF223" s="108" t="s">
        <v>2189</v>
      </c>
      <c r="CG223" s="108" t="s">
        <v>2189</v>
      </c>
      <c r="CH223" s="108" t="s">
        <v>2189</v>
      </c>
      <c r="CI223" s="108" t="s">
        <v>2189</v>
      </c>
      <c r="CJ223" s="109"/>
      <c r="CM223" s="111">
        <f t="shared" si="284"/>
        <v>25</v>
      </c>
      <c r="CN223" s="107">
        <f t="shared" si="305"/>
        <v>0.375</v>
      </c>
      <c r="CP223" s="88">
        <f t="shared" si="286"/>
        <v>0</v>
      </c>
      <c r="CQ223" s="78">
        <f t="shared" si="287"/>
        <v>100</v>
      </c>
      <c r="CR223" s="79">
        <f t="shared" si="306"/>
        <v>3</v>
      </c>
      <c r="CS223" s="92"/>
      <c r="CT223" s="77">
        <f t="shared" si="255"/>
        <v>0</v>
      </c>
      <c r="CU223" s="78">
        <f t="shared" si="289"/>
        <v>100</v>
      </c>
      <c r="CV223" s="79">
        <f t="shared" si="307"/>
        <v>2</v>
      </c>
      <c r="CW223" s="112" t="e">
        <f t="shared" si="291"/>
        <v>#DIV/0!</v>
      </c>
    </row>
    <row r="224" spans="1:101" x14ac:dyDescent="0.35">
      <c r="A224" s="7" t="s">
        <v>1444</v>
      </c>
      <c r="B224" s="8" t="s">
        <v>1445</v>
      </c>
      <c r="C224" s="21" t="s">
        <v>1446</v>
      </c>
      <c r="D224" s="10" t="s">
        <v>21</v>
      </c>
      <c r="E224" s="11" t="s">
        <v>1366</v>
      </c>
      <c r="F224" s="11" t="s">
        <v>1447</v>
      </c>
      <c r="G224" s="12">
        <v>35857</v>
      </c>
      <c r="H224" s="11" t="s">
        <v>24</v>
      </c>
      <c r="I224" s="11" t="s">
        <v>78</v>
      </c>
      <c r="J224" s="11" t="s">
        <v>1448</v>
      </c>
      <c r="K224" s="11" t="s">
        <v>27</v>
      </c>
      <c r="L224" s="23">
        <v>1328473794</v>
      </c>
      <c r="M224" s="14">
        <v>623497507</v>
      </c>
      <c r="N224" s="14">
        <v>704976287</v>
      </c>
      <c r="O224" s="14">
        <v>1280522528</v>
      </c>
      <c r="P224" s="14">
        <v>100830968</v>
      </c>
      <c r="Q224" s="14">
        <v>95133282</v>
      </c>
      <c r="R224" s="14">
        <v>62923623</v>
      </c>
      <c r="AB224" s="74">
        <f t="shared" si="292"/>
        <v>0</v>
      </c>
      <c r="AC224" s="75" t="e">
        <f t="shared" si="256"/>
        <v>#DIV/0!</v>
      </c>
      <c r="AD224" s="75" t="e">
        <f t="shared" si="293"/>
        <v>#DIV/0!</v>
      </c>
      <c r="AE224" s="76" t="e">
        <f t="shared" si="296"/>
        <v>#DIV/0!</v>
      </c>
      <c r="AF224" s="77" t="e">
        <f t="shared" si="258"/>
        <v>#DIV/0!</v>
      </c>
      <c r="AG224" s="77" t="e">
        <f t="shared" si="259"/>
        <v>#DIV/0!</v>
      </c>
      <c r="AH224" s="77" t="e">
        <f t="shared" si="294"/>
        <v>#DIV/0!</v>
      </c>
      <c r="AI224" s="78" t="e">
        <f t="shared" si="295"/>
        <v>#DIV/0!</v>
      </c>
      <c r="AJ224" s="79" t="e">
        <f t="shared" si="297"/>
        <v>#DIV/0!</v>
      </c>
      <c r="AN224" s="81">
        <f t="shared" si="243"/>
        <v>0</v>
      </c>
      <c r="AO224" s="82" t="e">
        <f t="shared" si="244"/>
        <v>#DIV/0!</v>
      </c>
      <c r="AP224" s="83" t="e">
        <f t="shared" si="261"/>
        <v>#DIV/0!</v>
      </c>
      <c r="AQ224" s="84" t="e">
        <f t="shared" si="298"/>
        <v>#DIV/0!</v>
      </c>
      <c r="AS224" s="86">
        <f t="shared" si="245"/>
        <v>0.25</v>
      </c>
      <c r="AT224" s="87">
        <f t="shared" si="263"/>
        <v>0</v>
      </c>
      <c r="AU224" s="87">
        <f t="shared" si="264"/>
        <v>0</v>
      </c>
      <c r="AV224" s="88" t="e">
        <f t="shared" si="246"/>
        <v>#DIV/0!</v>
      </c>
      <c r="AW224" s="78" t="e">
        <f t="shared" si="265"/>
        <v>#DIV/0!</v>
      </c>
      <c r="AX224" s="89" t="e">
        <f t="shared" si="299"/>
        <v>#DIV/0!</v>
      </c>
      <c r="BA224" s="91">
        <f t="shared" si="247"/>
        <v>0</v>
      </c>
      <c r="BB224" s="77" t="e">
        <f t="shared" si="267"/>
        <v>#DIV/0!</v>
      </c>
      <c r="BC224" s="78" t="e">
        <f t="shared" si="268"/>
        <v>#DIV/0!</v>
      </c>
      <c r="BD224" s="79" t="e">
        <f t="shared" si="300"/>
        <v>#DIV/0!</v>
      </c>
      <c r="BE224" s="92"/>
      <c r="BF224" s="92"/>
      <c r="BG224" s="114">
        <v>3616082</v>
      </c>
      <c r="BH224" s="94">
        <f t="shared" si="248"/>
        <v>0</v>
      </c>
      <c r="BI224" s="77" t="e">
        <f t="shared" si="249"/>
        <v>#DIV/0!</v>
      </c>
      <c r="BJ224" s="95" t="str">
        <f t="shared" si="270"/>
        <v>비제조/서비스업</v>
      </c>
      <c r="BK224" s="96" t="e">
        <f t="shared" si="250"/>
        <v>#DIV/0!</v>
      </c>
      <c r="BL224" s="97" t="e">
        <f t="shared" si="271"/>
        <v>#DIV/0!</v>
      </c>
      <c r="BM224" s="98" t="e">
        <f t="shared" si="272"/>
        <v>#DIV/0!</v>
      </c>
      <c r="BN224" s="99" t="e">
        <f t="shared" si="273"/>
        <v>#DIV/0!</v>
      </c>
      <c r="BP224" s="101">
        <f t="shared" si="274"/>
        <v>0</v>
      </c>
      <c r="BQ224" s="78">
        <f t="shared" si="275"/>
        <v>25</v>
      </c>
      <c r="BR224" s="79">
        <f t="shared" si="301"/>
        <v>0.5</v>
      </c>
      <c r="BS224" s="102"/>
      <c r="BT224" s="102"/>
      <c r="BU224" s="103">
        <f t="shared" si="277"/>
        <v>0</v>
      </c>
      <c r="BV224" s="77">
        <f t="shared" si="251"/>
        <v>0</v>
      </c>
      <c r="BW224" s="96">
        <f t="shared" si="252"/>
        <v>0</v>
      </c>
      <c r="BX224" s="96">
        <f t="shared" si="278"/>
        <v>0</v>
      </c>
      <c r="BY224" s="96">
        <f t="shared" si="253"/>
        <v>0</v>
      </c>
      <c r="BZ224" s="96" t="e">
        <f t="shared" si="279"/>
        <v>#NUM!</v>
      </c>
      <c r="CA224" s="96" t="e">
        <f t="shared" si="254"/>
        <v>#NUM!</v>
      </c>
      <c r="CB224" s="104" t="e">
        <f t="shared" si="280"/>
        <v>#NUM!</v>
      </c>
      <c r="CC224" s="105">
        <f t="shared" si="302"/>
        <v>88.442337493828362</v>
      </c>
      <c r="CD224" s="106">
        <f t="shared" si="303"/>
        <v>67.044345165642582</v>
      </c>
      <c r="CE224" s="107">
        <f t="shared" si="304"/>
        <v>1.0056651774846388</v>
      </c>
      <c r="CF224" s="108" t="s">
        <v>2189</v>
      </c>
      <c r="CG224" s="108" t="s">
        <v>2189</v>
      </c>
      <c r="CH224" s="108" t="s">
        <v>2189</v>
      </c>
      <c r="CI224" s="108" t="s">
        <v>2189</v>
      </c>
      <c r="CJ224" s="109"/>
      <c r="CM224" s="111">
        <f t="shared" si="284"/>
        <v>25</v>
      </c>
      <c r="CN224" s="107">
        <f t="shared" si="305"/>
        <v>0.375</v>
      </c>
      <c r="CP224" s="88">
        <f t="shared" si="286"/>
        <v>0</v>
      </c>
      <c r="CQ224" s="78">
        <f t="shared" si="287"/>
        <v>100</v>
      </c>
      <c r="CR224" s="79">
        <f t="shared" si="306"/>
        <v>3</v>
      </c>
      <c r="CS224" s="92"/>
      <c r="CT224" s="77">
        <f t="shared" si="255"/>
        <v>0</v>
      </c>
      <c r="CU224" s="78">
        <f t="shared" si="289"/>
        <v>100</v>
      </c>
      <c r="CV224" s="79">
        <f t="shared" si="307"/>
        <v>2</v>
      </c>
      <c r="CW224" s="112" t="e">
        <f t="shared" si="291"/>
        <v>#DIV/0!</v>
      </c>
    </row>
    <row r="225" spans="1:101" x14ac:dyDescent="0.35">
      <c r="A225" s="7" t="s">
        <v>1449</v>
      </c>
      <c r="B225" s="8" t="s">
        <v>1450</v>
      </c>
      <c r="C225" s="21" t="s">
        <v>1451</v>
      </c>
      <c r="D225" s="10" t="s">
        <v>75</v>
      </c>
      <c r="E225" s="11" t="s">
        <v>1452</v>
      </c>
      <c r="F225" s="11" t="s">
        <v>1453</v>
      </c>
      <c r="G225" s="12">
        <v>38695</v>
      </c>
      <c r="H225" s="11" t="s">
        <v>24</v>
      </c>
      <c r="I225" s="11" t="s">
        <v>1454</v>
      </c>
      <c r="J225" s="11" t="s">
        <v>1455</v>
      </c>
      <c r="K225" s="11" t="s">
        <v>453</v>
      </c>
      <c r="L225" s="23">
        <v>89562390</v>
      </c>
      <c r="M225" s="14">
        <v>12372096</v>
      </c>
      <c r="N225" s="14">
        <v>77190293</v>
      </c>
      <c r="O225" s="14">
        <v>71732783</v>
      </c>
      <c r="P225" s="14">
        <v>2955130</v>
      </c>
      <c r="Q225" s="14">
        <v>147493</v>
      </c>
      <c r="R225" s="14">
        <v>19601</v>
      </c>
      <c r="AB225" s="74">
        <f t="shared" si="292"/>
        <v>0</v>
      </c>
      <c r="AC225" s="75" t="e">
        <f t="shared" si="256"/>
        <v>#DIV/0!</v>
      </c>
      <c r="AD225" s="75" t="e">
        <f t="shared" si="293"/>
        <v>#DIV/0!</v>
      </c>
      <c r="AE225" s="76" t="e">
        <f t="shared" si="296"/>
        <v>#DIV/0!</v>
      </c>
      <c r="AF225" s="77" t="e">
        <f t="shared" si="258"/>
        <v>#DIV/0!</v>
      </c>
      <c r="AG225" s="77" t="e">
        <f t="shared" si="259"/>
        <v>#DIV/0!</v>
      </c>
      <c r="AH225" s="77" t="e">
        <f t="shared" si="294"/>
        <v>#DIV/0!</v>
      </c>
      <c r="AI225" s="78" t="e">
        <f t="shared" si="295"/>
        <v>#DIV/0!</v>
      </c>
      <c r="AJ225" s="79" t="e">
        <f t="shared" si="297"/>
        <v>#DIV/0!</v>
      </c>
      <c r="AN225" s="81">
        <f t="shared" si="243"/>
        <v>0</v>
      </c>
      <c r="AO225" s="82" t="e">
        <f t="shared" si="244"/>
        <v>#DIV/0!</v>
      </c>
      <c r="AP225" s="83" t="e">
        <f t="shared" si="261"/>
        <v>#DIV/0!</v>
      </c>
      <c r="AQ225" s="84" t="e">
        <f t="shared" si="298"/>
        <v>#DIV/0!</v>
      </c>
      <c r="AS225" s="86">
        <f t="shared" si="245"/>
        <v>0.25</v>
      </c>
      <c r="AT225" s="87">
        <f t="shared" si="263"/>
        <v>0</v>
      </c>
      <c r="AU225" s="87">
        <f t="shared" si="264"/>
        <v>0</v>
      </c>
      <c r="AV225" s="88" t="e">
        <f t="shared" si="246"/>
        <v>#DIV/0!</v>
      </c>
      <c r="AW225" s="78" t="e">
        <f t="shared" si="265"/>
        <v>#DIV/0!</v>
      </c>
      <c r="AX225" s="89" t="e">
        <f t="shared" si="299"/>
        <v>#DIV/0!</v>
      </c>
      <c r="BA225" s="91">
        <f t="shared" si="247"/>
        <v>0</v>
      </c>
      <c r="BB225" s="77" t="e">
        <f t="shared" si="267"/>
        <v>#DIV/0!</v>
      </c>
      <c r="BC225" s="78" t="e">
        <f t="shared" si="268"/>
        <v>#DIV/0!</v>
      </c>
      <c r="BD225" s="79" t="e">
        <f t="shared" si="300"/>
        <v>#DIV/0!</v>
      </c>
      <c r="BE225" s="92"/>
      <c r="BF225" s="92"/>
      <c r="BG225" s="93">
        <v>0</v>
      </c>
      <c r="BH225" s="94">
        <f t="shared" si="248"/>
        <v>0</v>
      </c>
      <c r="BI225" s="77" t="e">
        <f t="shared" si="249"/>
        <v>#DIV/0!</v>
      </c>
      <c r="BJ225" s="95" t="str">
        <f t="shared" si="270"/>
        <v>금속/비금속/화학업</v>
      </c>
      <c r="BK225" s="96" t="e">
        <f t="shared" si="250"/>
        <v>#DIV/0!</v>
      </c>
      <c r="BL225" s="97" t="e">
        <f t="shared" si="271"/>
        <v>#DIV/0!</v>
      </c>
      <c r="BM225" s="98" t="e">
        <f t="shared" si="272"/>
        <v>#DIV/0!</v>
      </c>
      <c r="BN225" s="99" t="e">
        <f t="shared" si="273"/>
        <v>#DIV/0!</v>
      </c>
      <c r="BP225" s="101">
        <f t="shared" si="274"/>
        <v>0</v>
      </c>
      <c r="BQ225" s="78">
        <f t="shared" si="275"/>
        <v>25</v>
      </c>
      <c r="BR225" s="79">
        <f t="shared" si="301"/>
        <v>0.5</v>
      </c>
      <c r="BS225" s="102"/>
      <c r="BT225" s="102"/>
      <c r="BU225" s="103">
        <f t="shared" si="277"/>
        <v>0</v>
      </c>
      <c r="BV225" s="77">
        <f t="shared" si="251"/>
        <v>0</v>
      </c>
      <c r="BW225" s="96">
        <f t="shared" si="252"/>
        <v>0</v>
      </c>
      <c r="BX225" s="96">
        <f t="shared" si="278"/>
        <v>0</v>
      </c>
      <c r="BY225" s="96">
        <f t="shared" si="253"/>
        <v>0</v>
      </c>
      <c r="BZ225" s="96" t="e">
        <f t="shared" si="279"/>
        <v>#NUM!</v>
      </c>
      <c r="CA225" s="96" t="e">
        <f t="shared" si="254"/>
        <v>#NUM!</v>
      </c>
      <c r="CB225" s="104" t="e">
        <f t="shared" si="280"/>
        <v>#NUM!</v>
      </c>
      <c r="CC225" s="105">
        <f t="shared" si="302"/>
        <v>16.028046428065768</v>
      </c>
      <c r="CD225" s="106">
        <f t="shared" si="303"/>
        <v>94.336163406507879</v>
      </c>
      <c r="CE225" s="107">
        <f t="shared" si="304"/>
        <v>1.4150424510976181</v>
      </c>
      <c r="CF225" s="108" t="s">
        <v>2189</v>
      </c>
      <c r="CG225" s="108" t="s">
        <v>2189</v>
      </c>
      <c r="CH225" s="108" t="s">
        <v>2189</v>
      </c>
      <c r="CI225" s="108" t="s">
        <v>2189</v>
      </c>
      <c r="CJ225" s="109"/>
      <c r="CM225" s="111">
        <f t="shared" si="284"/>
        <v>25</v>
      </c>
      <c r="CN225" s="107">
        <f t="shared" si="305"/>
        <v>0.375</v>
      </c>
      <c r="CP225" s="88">
        <f t="shared" si="286"/>
        <v>0</v>
      </c>
      <c r="CQ225" s="78">
        <f t="shared" si="287"/>
        <v>100</v>
      </c>
      <c r="CR225" s="79">
        <f t="shared" si="306"/>
        <v>3</v>
      </c>
      <c r="CS225" s="92"/>
      <c r="CT225" s="77">
        <f t="shared" si="255"/>
        <v>0</v>
      </c>
      <c r="CU225" s="78">
        <f t="shared" si="289"/>
        <v>100</v>
      </c>
      <c r="CV225" s="79">
        <f t="shared" si="307"/>
        <v>2</v>
      </c>
      <c r="CW225" s="112" t="e">
        <f t="shared" si="291"/>
        <v>#DIV/0!</v>
      </c>
    </row>
    <row r="226" spans="1:101" x14ac:dyDescent="0.35">
      <c r="A226" s="7" t="s">
        <v>1456</v>
      </c>
      <c r="B226" s="8" t="s">
        <v>1457</v>
      </c>
      <c r="C226" s="21" t="s">
        <v>1458</v>
      </c>
      <c r="D226" s="29" t="s">
        <v>935</v>
      </c>
      <c r="E226" s="11" t="s">
        <v>1459</v>
      </c>
      <c r="F226" s="11" t="s">
        <v>1460</v>
      </c>
      <c r="G226" s="12">
        <v>26661</v>
      </c>
      <c r="H226" s="11" t="s">
        <v>24</v>
      </c>
      <c r="I226" s="11" t="s">
        <v>1461</v>
      </c>
      <c r="J226" s="11" t="s">
        <v>1462</v>
      </c>
      <c r="K226" s="11" t="s">
        <v>1463</v>
      </c>
      <c r="L226" s="23">
        <v>7311029000</v>
      </c>
      <c r="M226" s="14">
        <v>6789175000</v>
      </c>
      <c r="N226" s="14">
        <v>521854000</v>
      </c>
      <c r="O226" s="14">
        <v>275373000</v>
      </c>
      <c r="P226" s="14">
        <v>27020000</v>
      </c>
      <c r="Q226" s="14">
        <v>26964000</v>
      </c>
      <c r="R226" s="14">
        <v>22820000</v>
      </c>
      <c r="AB226" s="74">
        <f t="shared" si="292"/>
        <v>0</v>
      </c>
      <c r="AC226" s="75" t="e">
        <f t="shared" si="256"/>
        <v>#DIV/0!</v>
      </c>
      <c r="AD226" s="75" t="e">
        <f t="shared" si="293"/>
        <v>#DIV/0!</v>
      </c>
      <c r="AE226" s="119" t="e">
        <f>AD226*0.04</f>
        <v>#DIV/0!</v>
      </c>
      <c r="AF226" s="77" t="e">
        <f t="shared" si="258"/>
        <v>#DIV/0!</v>
      </c>
      <c r="AG226" s="77" t="e">
        <f t="shared" si="259"/>
        <v>#DIV/0!</v>
      </c>
      <c r="AH226" s="77" t="e">
        <f t="shared" si="294"/>
        <v>#DIV/0!</v>
      </c>
      <c r="AI226" s="78" t="e">
        <f t="shared" si="295"/>
        <v>#DIV/0!</v>
      </c>
      <c r="AJ226" s="120" t="e">
        <f>AI226*0.05</f>
        <v>#DIV/0!</v>
      </c>
      <c r="AN226" s="81">
        <f t="shared" si="243"/>
        <v>0</v>
      </c>
      <c r="AO226" s="82" t="e">
        <f t="shared" si="244"/>
        <v>#DIV/0!</v>
      </c>
      <c r="AP226" s="83" t="e">
        <f t="shared" si="261"/>
        <v>#DIV/0!</v>
      </c>
      <c r="AQ226" s="121" t="e">
        <f>AP226*0.03</f>
        <v>#DIV/0!</v>
      </c>
      <c r="AS226" s="86">
        <f t="shared" si="245"/>
        <v>0.5</v>
      </c>
      <c r="AT226" s="87">
        <f t="shared" si="263"/>
        <v>0</v>
      </c>
      <c r="AU226" s="87">
        <f t="shared" si="264"/>
        <v>0</v>
      </c>
      <c r="AV226" s="88" t="e">
        <f t="shared" si="246"/>
        <v>#DIV/0!</v>
      </c>
      <c r="AW226" s="78" t="e">
        <f t="shared" si="265"/>
        <v>#DIV/0!</v>
      </c>
      <c r="AX226" s="122" t="e">
        <f>AW226*0.02</f>
        <v>#DIV/0!</v>
      </c>
      <c r="BA226" s="91">
        <f t="shared" si="247"/>
        <v>0</v>
      </c>
      <c r="BB226" s="77" t="e">
        <f t="shared" si="267"/>
        <v>#DIV/0!</v>
      </c>
      <c r="BC226" s="78" t="e">
        <f t="shared" si="268"/>
        <v>#DIV/0!</v>
      </c>
      <c r="BD226" s="120" t="e">
        <f>BC226*0.02</f>
        <v>#DIV/0!</v>
      </c>
      <c r="BE226" s="92"/>
      <c r="BF226" s="92"/>
      <c r="BG226" s="93">
        <v>0</v>
      </c>
      <c r="BH226" s="94">
        <f t="shared" si="248"/>
        <v>0</v>
      </c>
      <c r="BI226" s="77" t="e">
        <f t="shared" si="249"/>
        <v>#DIV/0!</v>
      </c>
      <c r="BJ226" s="95" t="str">
        <f t="shared" si="270"/>
        <v>금융업</v>
      </c>
      <c r="BK226" s="96" t="e">
        <f t="shared" si="250"/>
        <v>#DIV/0!</v>
      </c>
      <c r="BL226" s="97" t="e">
        <f t="shared" si="271"/>
        <v>#DIV/0!</v>
      </c>
      <c r="BM226" s="98" t="e">
        <f t="shared" si="272"/>
        <v>#DIV/0!</v>
      </c>
      <c r="BN226" s="99" t="e">
        <f t="shared" si="273"/>
        <v>#DIV/0!</v>
      </c>
      <c r="BP226" s="101">
        <f t="shared" si="274"/>
        <v>0</v>
      </c>
      <c r="BQ226" s="78">
        <f t="shared" si="275"/>
        <v>25</v>
      </c>
      <c r="BR226" s="120">
        <f>BQ226*0.01</f>
        <v>0.25</v>
      </c>
      <c r="BS226" s="102"/>
      <c r="BT226" s="102"/>
      <c r="BU226" s="103">
        <f t="shared" si="277"/>
        <v>0</v>
      </c>
      <c r="BV226" s="77">
        <f t="shared" si="251"/>
        <v>0</v>
      </c>
      <c r="BW226" s="96">
        <f t="shared" si="252"/>
        <v>0</v>
      </c>
      <c r="BX226" s="96">
        <f t="shared" si="278"/>
        <v>0</v>
      </c>
      <c r="BY226" s="96">
        <f t="shared" si="253"/>
        <v>0</v>
      </c>
      <c r="BZ226" s="96" t="e">
        <f t="shared" si="279"/>
        <v>#NUM!</v>
      </c>
      <c r="CA226" s="96" t="e">
        <f t="shared" si="254"/>
        <v>#NUM!</v>
      </c>
      <c r="CB226" s="104" t="e">
        <f t="shared" si="280"/>
        <v>#NUM!</v>
      </c>
      <c r="CC226" s="123" t="s">
        <v>2200</v>
      </c>
      <c r="CD226" s="124" t="s">
        <v>2200</v>
      </c>
      <c r="CE226" s="125"/>
      <c r="CF226" s="127">
        <v>0.55000000000000004</v>
      </c>
      <c r="CG226" s="126" t="s">
        <v>2201</v>
      </c>
      <c r="CH226" s="126" t="s">
        <v>2201</v>
      </c>
      <c r="CI226" s="128">
        <f>IF((100-(75*(CF226-1)))&gt;100,100,IF((100-(75*(CF226-1)))&lt;25,25,(100-(75*(CF226-1)))))</f>
        <v>100</v>
      </c>
      <c r="CJ226" s="129">
        <f>CI226*0.04</f>
        <v>4</v>
      </c>
      <c r="CM226" s="111">
        <f t="shared" si="284"/>
        <v>25</v>
      </c>
      <c r="CN226" s="130">
        <f>CM226*0.03</f>
        <v>0.75</v>
      </c>
      <c r="CP226" s="88">
        <f t="shared" si="286"/>
        <v>0</v>
      </c>
      <c r="CQ226" s="78">
        <f t="shared" si="287"/>
        <v>100</v>
      </c>
      <c r="CR226" s="120">
        <f>CQ226*0.04</f>
        <v>4</v>
      </c>
      <c r="CS226" s="92"/>
      <c r="CT226" s="77">
        <f t="shared" si="255"/>
        <v>0</v>
      </c>
      <c r="CU226" s="78">
        <f t="shared" si="289"/>
        <v>100</v>
      </c>
      <c r="CV226" s="131">
        <f>CU226*0.03</f>
        <v>3</v>
      </c>
      <c r="CW226" s="112" t="e">
        <f t="shared" si="291"/>
        <v>#DIV/0!</v>
      </c>
    </row>
    <row r="227" spans="1:101" x14ac:dyDescent="0.35">
      <c r="A227" s="7" t="s">
        <v>1464</v>
      </c>
      <c r="B227" s="8" t="s">
        <v>1465</v>
      </c>
      <c r="C227" s="21" t="s">
        <v>1466</v>
      </c>
      <c r="D227" s="22" t="s">
        <v>31</v>
      </c>
      <c r="E227" s="11" t="s">
        <v>967</v>
      </c>
      <c r="F227" s="11" t="s">
        <v>1467</v>
      </c>
      <c r="G227" s="12">
        <v>28272</v>
      </c>
      <c r="H227" s="11" t="s">
        <v>24</v>
      </c>
      <c r="I227" s="11" t="s">
        <v>1468</v>
      </c>
      <c r="J227" s="11" t="s">
        <v>1469</v>
      </c>
      <c r="K227" s="11" t="s">
        <v>280</v>
      </c>
      <c r="L227" s="23">
        <v>442034876</v>
      </c>
      <c r="M227" s="14">
        <v>63994596</v>
      </c>
      <c r="N227" s="14">
        <v>378040280</v>
      </c>
      <c r="O227" s="14">
        <v>122005783</v>
      </c>
      <c r="P227" s="14">
        <v>507524</v>
      </c>
      <c r="Q227" s="14">
        <v>4251780</v>
      </c>
      <c r="R227" s="14">
        <v>6061277</v>
      </c>
      <c r="AB227" s="74">
        <f t="shared" si="292"/>
        <v>0</v>
      </c>
      <c r="AC227" s="75" t="e">
        <f t="shared" si="256"/>
        <v>#DIV/0!</v>
      </c>
      <c r="AD227" s="75" t="e">
        <f t="shared" si="293"/>
        <v>#DIV/0!</v>
      </c>
      <c r="AE227" s="76" t="e">
        <f t="shared" ref="AE227:AE235" si="308">AD227*0.03</f>
        <v>#DIV/0!</v>
      </c>
      <c r="AF227" s="77" t="e">
        <f t="shared" si="258"/>
        <v>#DIV/0!</v>
      </c>
      <c r="AG227" s="77" t="e">
        <f t="shared" si="259"/>
        <v>#DIV/0!</v>
      </c>
      <c r="AH227" s="77" t="e">
        <f t="shared" si="294"/>
        <v>#DIV/0!</v>
      </c>
      <c r="AI227" s="78" t="e">
        <f t="shared" si="295"/>
        <v>#DIV/0!</v>
      </c>
      <c r="AJ227" s="79" t="e">
        <f t="shared" ref="AJ227:AJ235" si="309">AI227*0.04</f>
        <v>#DIV/0!</v>
      </c>
      <c r="AN227" s="81">
        <f t="shared" si="243"/>
        <v>0</v>
      </c>
      <c r="AO227" s="82" t="e">
        <f t="shared" si="244"/>
        <v>#DIV/0!</v>
      </c>
      <c r="AP227" s="83" t="e">
        <f t="shared" si="261"/>
        <v>#DIV/0!</v>
      </c>
      <c r="AQ227" s="84" t="e">
        <f t="shared" ref="AQ227:AQ235" si="310">AP227*0.02</f>
        <v>#DIV/0!</v>
      </c>
      <c r="AS227" s="86">
        <f t="shared" si="245"/>
        <v>0.25</v>
      </c>
      <c r="AT227" s="87">
        <f t="shared" si="263"/>
        <v>0</v>
      </c>
      <c r="AU227" s="87">
        <f t="shared" si="264"/>
        <v>0</v>
      </c>
      <c r="AV227" s="88" t="e">
        <f t="shared" si="246"/>
        <v>#DIV/0!</v>
      </c>
      <c r="AW227" s="78" t="e">
        <f t="shared" si="265"/>
        <v>#DIV/0!</v>
      </c>
      <c r="AX227" s="89" t="e">
        <f t="shared" ref="AX227:AX235" si="311">AW227*0.01</f>
        <v>#DIV/0!</v>
      </c>
      <c r="BA227" s="91">
        <f t="shared" si="247"/>
        <v>0</v>
      </c>
      <c r="BB227" s="77" t="e">
        <f t="shared" si="267"/>
        <v>#DIV/0!</v>
      </c>
      <c r="BC227" s="78" t="e">
        <f t="shared" si="268"/>
        <v>#DIV/0!</v>
      </c>
      <c r="BD227" s="79" t="e">
        <f t="shared" ref="BD227:BD235" si="312">BC227*0.01</f>
        <v>#DIV/0!</v>
      </c>
      <c r="BE227" s="92"/>
      <c r="BF227" s="92"/>
      <c r="BG227" s="114">
        <v>83033</v>
      </c>
      <c r="BH227" s="94">
        <f t="shared" si="248"/>
        <v>0</v>
      </c>
      <c r="BI227" s="77" t="e">
        <f t="shared" si="249"/>
        <v>#DIV/0!</v>
      </c>
      <c r="BJ227" s="95" t="str">
        <f t="shared" si="270"/>
        <v>식약/섬유/종이업</v>
      </c>
      <c r="BK227" s="96" t="e">
        <f t="shared" si="250"/>
        <v>#DIV/0!</v>
      </c>
      <c r="BL227" s="97" t="e">
        <f t="shared" si="271"/>
        <v>#DIV/0!</v>
      </c>
      <c r="BM227" s="98" t="e">
        <f t="shared" si="272"/>
        <v>#DIV/0!</v>
      </c>
      <c r="BN227" s="99" t="e">
        <f t="shared" si="273"/>
        <v>#DIV/0!</v>
      </c>
      <c r="BP227" s="101">
        <f t="shared" si="274"/>
        <v>0</v>
      </c>
      <c r="BQ227" s="78">
        <f t="shared" si="275"/>
        <v>25</v>
      </c>
      <c r="BR227" s="79">
        <f t="shared" ref="BR227:BR235" si="313">BQ227*0.02</f>
        <v>0.5</v>
      </c>
      <c r="BS227" s="102"/>
      <c r="BT227" s="102"/>
      <c r="BU227" s="103">
        <f t="shared" si="277"/>
        <v>0</v>
      </c>
      <c r="BV227" s="77">
        <f t="shared" si="251"/>
        <v>0</v>
      </c>
      <c r="BW227" s="96">
        <f t="shared" si="252"/>
        <v>0</v>
      </c>
      <c r="BX227" s="96">
        <f t="shared" si="278"/>
        <v>0</v>
      </c>
      <c r="BY227" s="96">
        <f t="shared" si="253"/>
        <v>0</v>
      </c>
      <c r="BZ227" s="96" t="e">
        <f t="shared" si="279"/>
        <v>#NUM!</v>
      </c>
      <c r="CA227" s="96" t="e">
        <f t="shared" si="254"/>
        <v>#NUM!</v>
      </c>
      <c r="CB227" s="104" t="e">
        <f t="shared" si="280"/>
        <v>#NUM!</v>
      </c>
      <c r="CC227" s="105">
        <f t="shared" ref="CC227:CC235" si="314">(M227/N227)*100</f>
        <v>16.927983441341222</v>
      </c>
      <c r="CD227" s="106">
        <f t="shared" ref="CD227:CD235" si="315">IF((100-(75*(CC227-1)/(200-1)))&gt;100, 100, IF((100-(75*(CC227-1)/(200-1)))&lt;25, 25, (100-(75*(CC227-1)/(200-1)))))</f>
        <v>93.996991165323664</v>
      </c>
      <c r="CE227" s="107">
        <f t="shared" ref="CE227:CE235" si="316">CD227*0.015</f>
        <v>1.409954867479855</v>
      </c>
      <c r="CF227" s="108" t="s">
        <v>2189</v>
      </c>
      <c r="CG227" s="108" t="s">
        <v>2189</v>
      </c>
      <c r="CH227" s="108" t="s">
        <v>2189</v>
      </c>
      <c r="CI227" s="108" t="s">
        <v>2189</v>
      </c>
      <c r="CJ227" s="109"/>
      <c r="CM227" s="111">
        <f t="shared" si="284"/>
        <v>25</v>
      </c>
      <c r="CN227" s="107">
        <f t="shared" ref="CN227:CN235" si="317">CM227*0.015</f>
        <v>0.375</v>
      </c>
      <c r="CP227" s="88">
        <f t="shared" si="286"/>
        <v>0</v>
      </c>
      <c r="CQ227" s="78">
        <f t="shared" si="287"/>
        <v>100</v>
      </c>
      <c r="CR227" s="79">
        <f t="shared" ref="CR227:CR235" si="318">CQ227*0.03</f>
        <v>3</v>
      </c>
      <c r="CS227" s="92"/>
      <c r="CT227" s="77">
        <f t="shared" si="255"/>
        <v>0</v>
      </c>
      <c r="CU227" s="78">
        <f t="shared" si="289"/>
        <v>100</v>
      </c>
      <c r="CV227" s="79">
        <f t="shared" ref="CV227:CV235" si="319">CU227*0.02</f>
        <v>2</v>
      </c>
      <c r="CW227" s="112" t="e">
        <f t="shared" si="291"/>
        <v>#DIV/0!</v>
      </c>
    </row>
    <row r="228" spans="1:101" x14ac:dyDescent="0.35">
      <c r="A228" s="7" t="s">
        <v>1470</v>
      </c>
      <c r="B228" s="8" t="s">
        <v>1471</v>
      </c>
      <c r="C228" s="21" t="s">
        <v>1472</v>
      </c>
      <c r="D228" s="22" t="s">
        <v>31</v>
      </c>
      <c r="E228" s="11" t="s">
        <v>383</v>
      </c>
      <c r="F228" s="11" t="s">
        <v>1473</v>
      </c>
      <c r="G228" s="12">
        <v>28122</v>
      </c>
      <c r="H228" s="11" t="s">
        <v>24</v>
      </c>
      <c r="I228" s="11" t="s">
        <v>1474</v>
      </c>
      <c r="J228" s="11" t="s">
        <v>1475</v>
      </c>
      <c r="K228" s="11" t="s">
        <v>27</v>
      </c>
      <c r="L228" s="23">
        <v>130041760</v>
      </c>
      <c r="M228" s="14">
        <v>68561446</v>
      </c>
      <c r="N228" s="14">
        <v>61480314</v>
      </c>
      <c r="O228" s="14">
        <v>148554918</v>
      </c>
      <c r="P228" s="14">
        <v>11907297</v>
      </c>
      <c r="Q228" s="14">
        <v>8526105</v>
      </c>
      <c r="R228" s="14">
        <v>8638058</v>
      </c>
      <c r="AB228" s="74">
        <f t="shared" si="292"/>
        <v>0</v>
      </c>
      <c r="AC228" s="75" t="e">
        <f t="shared" si="256"/>
        <v>#DIV/0!</v>
      </c>
      <c r="AD228" s="75" t="e">
        <f t="shared" si="293"/>
        <v>#DIV/0!</v>
      </c>
      <c r="AE228" s="76" t="e">
        <f t="shared" si="308"/>
        <v>#DIV/0!</v>
      </c>
      <c r="AF228" s="77" t="e">
        <f t="shared" si="258"/>
        <v>#DIV/0!</v>
      </c>
      <c r="AG228" s="77" t="e">
        <f t="shared" si="259"/>
        <v>#DIV/0!</v>
      </c>
      <c r="AH228" s="77" t="e">
        <f t="shared" si="294"/>
        <v>#DIV/0!</v>
      </c>
      <c r="AI228" s="78" t="e">
        <f t="shared" si="295"/>
        <v>#DIV/0!</v>
      </c>
      <c r="AJ228" s="79" t="e">
        <f t="shared" si="309"/>
        <v>#DIV/0!</v>
      </c>
      <c r="AN228" s="81">
        <f t="shared" si="243"/>
        <v>0</v>
      </c>
      <c r="AO228" s="82" t="e">
        <f t="shared" si="244"/>
        <v>#DIV/0!</v>
      </c>
      <c r="AP228" s="83" t="e">
        <f t="shared" si="261"/>
        <v>#DIV/0!</v>
      </c>
      <c r="AQ228" s="84" t="e">
        <f t="shared" si="310"/>
        <v>#DIV/0!</v>
      </c>
      <c r="AS228" s="86">
        <f t="shared" si="245"/>
        <v>0.25</v>
      </c>
      <c r="AT228" s="87">
        <f t="shared" si="263"/>
        <v>0</v>
      </c>
      <c r="AU228" s="87">
        <f t="shared" si="264"/>
        <v>0</v>
      </c>
      <c r="AV228" s="88" t="e">
        <f t="shared" si="246"/>
        <v>#DIV/0!</v>
      </c>
      <c r="AW228" s="78" t="e">
        <f t="shared" si="265"/>
        <v>#DIV/0!</v>
      </c>
      <c r="AX228" s="89" t="e">
        <f t="shared" si="311"/>
        <v>#DIV/0!</v>
      </c>
      <c r="BA228" s="91">
        <f t="shared" si="247"/>
        <v>0</v>
      </c>
      <c r="BB228" s="77" t="e">
        <f t="shared" si="267"/>
        <v>#DIV/0!</v>
      </c>
      <c r="BC228" s="78" t="e">
        <f t="shared" si="268"/>
        <v>#DIV/0!</v>
      </c>
      <c r="BD228" s="79" t="e">
        <f t="shared" si="312"/>
        <v>#DIV/0!</v>
      </c>
      <c r="BE228" s="92"/>
      <c r="BF228" s="92"/>
      <c r="BG228" s="93">
        <v>0</v>
      </c>
      <c r="BH228" s="94">
        <f t="shared" si="248"/>
        <v>0</v>
      </c>
      <c r="BI228" s="77" t="e">
        <f t="shared" si="249"/>
        <v>#DIV/0!</v>
      </c>
      <c r="BJ228" s="95" t="str">
        <f t="shared" si="270"/>
        <v>식약/섬유/종이업</v>
      </c>
      <c r="BK228" s="96" t="e">
        <f t="shared" si="250"/>
        <v>#DIV/0!</v>
      </c>
      <c r="BL228" s="97" t="e">
        <f t="shared" si="271"/>
        <v>#DIV/0!</v>
      </c>
      <c r="BM228" s="98" t="e">
        <f t="shared" si="272"/>
        <v>#DIV/0!</v>
      </c>
      <c r="BN228" s="99" t="e">
        <f t="shared" si="273"/>
        <v>#DIV/0!</v>
      </c>
      <c r="BP228" s="101">
        <f t="shared" si="274"/>
        <v>0</v>
      </c>
      <c r="BQ228" s="78">
        <f t="shared" si="275"/>
        <v>25</v>
      </c>
      <c r="BR228" s="79">
        <f t="shared" si="313"/>
        <v>0.5</v>
      </c>
      <c r="BS228" s="102"/>
      <c r="BT228" s="102"/>
      <c r="BU228" s="103">
        <f t="shared" si="277"/>
        <v>0</v>
      </c>
      <c r="BV228" s="77">
        <f t="shared" si="251"/>
        <v>0</v>
      </c>
      <c r="BW228" s="96">
        <f t="shared" si="252"/>
        <v>0</v>
      </c>
      <c r="BX228" s="96">
        <f t="shared" si="278"/>
        <v>0</v>
      </c>
      <c r="BY228" s="96">
        <f t="shared" si="253"/>
        <v>0</v>
      </c>
      <c r="BZ228" s="96" t="e">
        <f t="shared" si="279"/>
        <v>#NUM!</v>
      </c>
      <c r="CA228" s="96" t="e">
        <f t="shared" si="254"/>
        <v>#NUM!</v>
      </c>
      <c r="CB228" s="104" t="e">
        <f t="shared" si="280"/>
        <v>#NUM!</v>
      </c>
      <c r="CC228" s="105">
        <f t="shared" si="314"/>
        <v>111.5177225672595</v>
      </c>
      <c r="CD228" s="106">
        <f t="shared" si="315"/>
        <v>58.347591997264004</v>
      </c>
      <c r="CE228" s="107">
        <f t="shared" si="316"/>
        <v>0.87521387995896005</v>
      </c>
      <c r="CF228" s="108" t="s">
        <v>2189</v>
      </c>
      <c r="CG228" s="108" t="s">
        <v>2189</v>
      </c>
      <c r="CH228" s="108" t="s">
        <v>2189</v>
      </c>
      <c r="CI228" s="108" t="s">
        <v>2189</v>
      </c>
      <c r="CJ228" s="109"/>
      <c r="CM228" s="111">
        <f t="shared" si="284"/>
        <v>25</v>
      </c>
      <c r="CN228" s="107">
        <f t="shared" si="317"/>
        <v>0.375</v>
      </c>
      <c r="CP228" s="88">
        <f t="shared" si="286"/>
        <v>0</v>
      </c>
      <c r="CQ228" s="78">
        <f t="shared" si="287"/>
        <v>100</v>
      </c>
      <c r="CR228" s="79">
        <f t="shared" si="318"/>
        <v>3</v>
      </c>
      <c r="CS228" s="92"/>
      <c r="CT228" s="77">
        <f t="shared" si="255"/>
        <v>0</v>
      </c>
      <c r="CU228" s="78">
        <f t="shared" si="289"/>
        <v>100</v>
      </c>
      <c r="CV228" s="79">
        <f t="shared" si="319"/>
        <v>2</v>
      </c>
      <c r="CW228" s="112" t="e">
        <f t="shared" si="291"/>
        <v>#DIV/0!</v>
      </c>
    </row>
    <row r="229" spans="1:101" x14ac:dyDescent="0.35">
      <c r="A229" s="7" t="s">
        <v>1476</v>
      </c>
      <c r="B229" s="8" t="s">
        <v>1477</v>
      </c>
      <c r="C229" s="21" t="s">
        <v>1478</v>
      </c>
      <c r="D229" s="10" t="s">
        <v>75</v>
      </c>
      <c r="E229" s="11" t="s">
        <v>1479</v>
      </c>
      <c r="F229" s="11" t="s">
        <v>1480</v>
      </c>
      <c r="G229" s="12">
        <v>40228</v>
      </c>
      <c r="H229" s="11" t="s">
        <v>24</v>
      </c>
      <c r="I229" s="11" t="s">
        <v>1481</v>
      </c>
      <c r="J229" s="11" t="s">
        <v>1482</v>
      </c>
      <c r="K229" s="11" t="s">
        <v>453</v>
      </c>
      <c r="L229" s="23">
        <v>145133297</v>
      </c>
      <c r="M229" s="14">
        <v>9248179</v>
      </c>
      <c r="N229" s="14">
        <v>135885117</v>
      </c>
      <c r="O229" s="14">
        <v>66976160</v>
      </c>
      <c r="P229" s="14">
        <v>9435413</v>
      </c>
      <c r="Q229" s="14">
        <v>13174731</v>
      </c>
      <c r="R229" s="14">
        <v>10522135</v>
      </c>
      <c r="AB229" s="74">
        <f t="shared" si="292"/>
        <v>0</v>
      </c>
      <c r="AC229" s="75" t="e">
        <f t="shared" si="256"/>
        <v>#DIV/0!</v>
      </c>
      <c r="AD229" s="75" t="e">
        <f t="shared" si="293"/>
        <v>#DIV/0!</v>
      </c>
      <c r="AE229" s="76" t="e">
        <f t="shared" si="308"/>
        <v>#DIV/0!</v>
      </c>
      <c r="AF229" s="77" t="e">
        <f t="shared" si="258"/>
        <v>#DIV/0!</v>
      </c>
      <c r="AG229" s="77" t="e">
        <f t="shared" si="259"/>
        <v>#DIV/0!</v>
      </c>
      <c r="AH229" s="77" t="e">
        <f t="shared" si="294"/>
        <v>#DIV/0!</v>
      </c>
      <c r="AI229" s="78" t="e">
        <f t="shared" si="295"/>
        <v>#DIV/0!</v>
      </c>
      <c r="AJ229" s="79" t="e">
        <f t="shared" si="309"/>
        <v>#DIV/0!</v>
      </c>
      <c r="AN229" s="81">
        <f t="shared" si="243"/>
        <v>0</v>
      </c>
      <c r="AO229" s="82" t="e">
        <f t="shared" si="244"/>
        <v>#DIV/0!</v>
      </c>
      <c r="AP229" s="83" t="e">
        <f t="shared" si="261"/>
        <v>#DIV/0!</v>
      </c>
      <c r="AQ229" s="84" t="e">
        <f t="shared" si="310"/>
        <v>#DIV/0!</v>
      </c>
      <c r="AS229" s="86">
        <f t="shared" si="245"/>
        <v>0.25</v>
      </c>
      <c r="AT229" s="87">
        <f t="shared" si="263"/>
        <v>0</v>
      </c>
      <c r="AU229" s="87">
        <f t="shared" si="264"/>
        <v>0</v>
      </c>
      <c r="AV229" s="88" t="e">
        <f t="shared" si="246"/>
        <v>#DIV/0!</v>
      </c>
      <c r="AW229" s="78" t="e">
        <f t="shared" si="265"/>
        <v>#DIV/0!</v>
      </c>
      <c r="AX229" s="89" t="e">
        <f t="shared" si="311"/>
        <v>#DIV/0!</v>
      </c>
      <c r="BA229" s="91">
        <f t="shared" si="247"/>
        <v>0</v>
      </c>
      <c r="BB229" s="77" t="e">
        <f t="shared" si="267"/>
        <v>#DIV/0!</v>
      </c>
      <c r="BC229" s="78" t="e">
        <f t="shared" si="268"/>
        <v>#DIV/0!</v>
      </c>
      <c r="BD229" s="79" t="e">
        <f t="shared" si="312"/>
        <v>#DIV/0!</v>
      </c>
      <c r="BE229" s="92"/>
      <c r="BF229" s="92"/>
      <c r="BG229" s="114">
        <v>63581.224999999999</v>
      </c>
      <c r="BH229" s="94">
        <f t="shared" si="248"/>
        <v>0</v>
      </c>
      <c r="BI229" s="77" t="e">
        <f t="shared" si="249"/>
        <v>#DIV/0!</v>
      </c>
      <c r="BJ229" s="95" t="str">
        <f t="shared" si="270"/>
        <v>금속/비금속/화학업</v>
      </c>
      <c r="BK229" s="96" t="e">
        <f t="shared" si="250"/>
        <v>#DIV/0!</v>
      </c>
      <c r="BL229" s="97" t="e">
        <f t="shared" si="271"/>
        <v>#DIV/0!</v>
      </c>
      <c r="BM229" s="98" t="e">
        <f t="shared" si="272"/>
        <v>#DIV/0!</v>
      </c>
      <c r="BN229" s="99" t="e">
        <f t="shared" si="273"/>
        <v>#DIV/0!</v>
      </c>
      <c r="BP229" s="101">
        <f t="shared" si="274"/>
        <v>0</v>
      </c>
      <c r="BQ229" s="78">
        <f t="shared" si="275"/>
        <v>25</v>
      </c>
      <c r="BR229" s="79">
        <f t="shared" si="313"/>
        <v>0.5</v>
      </c>
      <c r="BS229" s="102"/>
      <c r="BT229" s="102"/>
      <c r="BU229" s="103">
        <f t="shared" si="277"/>
        <v>0</v>
      </c>
      <c r="BV229" s="77">
        <f t="shared" si="251"/>
        <v>0</v>
      </c>
      <c r="BW229" s="96">
        <f t="shared" si="252"/>
        <v>0</v>
      </c>
      <c r="BX229" s="96">
        <f t="shared" si="278"/>
        <v>0</v>
      </c>
      <c r="BY229" s="96">
        <f t="shared" si="253"/>
        <v>0</v>
      </c>
      <c r="BZ229" s="96" t="e">
        <f t="shared" si="279"/>
        <v>#NUM!</v>
      </c>
      <c r="CA229" s="96" t="e">
        <f t="shared" si="254"/>
        <v>#NUM!</v>
      </c>
      <c r="CB229" s="104" t="e">
        <f t="shared" si="280"/>
        <v>#NUM!</v>
      </c>
      <c r="CC229" s="105">
        <f t="shared" si="314"/>
        <v>6.8058807352684543</v>
      </c>
      <c r="CD229" s="106">
        <f t="shared" si="315"/>
        <v>97.811853994245553</v>
      </c>
      <c r="CE229" s="107">
        <f t="shared" si="316"/>
        <v>1.4671778099136832</v>
      </c>
      <c r="CF229" s="108" t="s">
        <v>2189</v>
      </c>
      <c r="CG229" s="108" t="s">
        <v>2189</v>
      </c>
      <c r="CH229" s="108" t="s">
        <v>2189</v>
      </c>
      <c r="CI229" s="108" t="s">
        <v>2189</v>
      </c>
      <c r="CJ229" s="109"/>
      <c r="CM229" s="111">
        <f t="shared" si="284"/>
        <v>25</v>
      </c>
      <c r="CN229" s="107">
        <f t="shared" si="317"/>
        <v>0.375</v>
      </c>
      <c r="CP229" s="88">
        <f t="shared" si="286"/>
        <v>0</v>
      </c>
      <c r="CQ229" s="78">
        <f t="shared" si="287"/>
        <v>100</v>
      </c>
      <c r="CR229" s="79">
        <f t="shared" si="318"/>
        <v>3</v>
      </c>
      <c r="CS229" s="92"/>
      <c r="CT229" s="77">
        <f t="shared" si="255"/>
        <v>0</v>
      </c>
      <c r="CU229" s="78">
        <f t="shared" si="289"/>
        <v>100</v>
      </c>
      <c r="CV229" s="79">
        <f t="shared" si="319"/>
        <v>2</v>
      </c>
      <c r="CW229" s="112" t="e">
        <f t="shared" si="291"/>
        <v>#DIV/0!</v>
      </c>
    </row>
    <row r="230" spans="1:101" x14ac:dyDescent="0.35">
      <c r="A230" s="7" t="s">
        <v>1483</v>
      </c>
      <c r="B230" s="8" t="s">
        <v>1484</v>
      </c>
      <c r="C230" s="21" t="s">
        <v>1485</v>
      </c>
      <c r="D230" s="10" t="s">
        <v>31</v>
      </c>
      <c r="E230" s="11" t="s">
        <v>46</v>
      </c>
      <c r="F230" s="11" t="s">
        <v>1486</v>
      </c>
      <c r="G230" s="12">
        <v>28117</v>
      </c>
      <c r="H230" s="11" t="s">
        <v>24</v>
      </c>
      <c r="I230" s="11" t="s">
        <v>1487</v>
      </c>
      <c r="J230" s="11" t="s">
        <v>1488</v>
      </c>
      <c r="K230" s="11" t="s">
        <v>50</v>
      </c>
      <c r="L230" s="23">
        <v>418548891</v>
      </c>
      <c r="M230" s="14">
        <v>263651210</v>
      </c>
      <c r="N230" s="14">
        <v>154897681</v>
      </c>
      <c r="O230" s="14">
        <v>319394587</v>
      </c>
      <c r="P230" s="14">
        <v>15318484</v>
      </c>
      <c r="Q230" s="14">
        <v>13458495</v>
      </c>
      <c r="R230" s="14">
        <v>11843676</v>
      </c>
      <c r="AB230" s="74">
        <f t="shared" si="292"/>
        <v>0</v>
      </c>
      <c r="AC230" s="75" t="e">
        <f t="shared" si="256"/>
        <v>#DIV/0!</v>
      </c>
      <c r="AD230" s="75" t="e">
        <f t="shared" si="293"/>
        <v>#DIV/0!</v>
      </c>
      <c r="AE230" s="76" t="e">
        <f t="shared" si="308"/>
        <v>#DIV/0!</v>
      </c>
      <c r="AF230" s="77" t="e">
        <f t="shared" si="258"/>
        <v>#DIV/0!</v>
      </c>
      <c r="AG230" s="77" t="e">
        <f t="shared" si="259"/>
        <v>#DIV/0!</v>
      </c>
      <c r="AH230" s="77" t="e">
        <f t="shared" si="294"/>
        <v>#DIV/0!</v>
      </c>
      <c r="AI230" s="78" t="e">
        <f t="shared" si="295"/>
        <v>#DIV/0!</v>
      </c>
      <c r="AJ230" s="79" t="e">
        <f t="shared" si="309"/>
        <v>#DIV/0!</v>
      </c>
      <c r="AN230" s="81">
        <f t="shared" si="243"/>
        <v>0</v>
      </c>
      <c r="AO230" s="82" t="e">
        <f t="shared" si="244"/>
        <v>#DIV/0!</v>
      </c>
      <c r="AP230" s="83" t="e">
        <f t="shared" si="261"/>
        <v>#DIV/0!</v>
      </c>
      <c r="AQ230" s="84" t="e">
        <f t="shared" si="310"/>
        <v>#DIV/0!</v>
      </c>
      <c r="AS230" s="86">
        <f t="shared" si="245"/>
        <v>0.25</v>
      </c>
      <c r="AT230" s="87">
        <f t="shared" si="263"/>
        <v>0</v>
      </c>
      <c r="AU230" s="87">
        <f t="shared" si="264"/>
        <v>0</v>
      </c>
      <c r="AV230" s="88" t="e">
        <f t="shared" si="246"/>
        <v>#DIV/0!</v>
      </c>
      <c r="AW230" s="78" t="e">
        <f t="shared" si="265"/>
        <v>#DIV/0!</v>
      </c>
      <c r="AX230" s="89" t="e">
        <f t="shared" si="311"/>
        <v>#DIV/0!</v>
      </c>
      <c r="BA230" s="91">
        <f t="shared" si="247"/>
        <v>0</v>
      </c>
      <c r="BB230" s="77" t="e">
        <f t="shared" si="267"/>
        <v>#DIV/0!</v>
      </c>
      <c r="BC230" s="78" t="e">
        <f t="shared" si="268"/>
        <v>#DIV/0!</v>
      </c>
      <c r="BD230" s="79" t="e">
        <f t="shared" si="312"/>
        <v>#DIV/0!</v>
      </c>
      <c r="BE230" s="92"/>
      <c r="BF230" s="92"/>
      <c r="BG230" s="114">
        <v>163312</v>
      </c>
      <c r="BH230" s="94">
        <f t="shared" si="248"/>
        <v>0</v>
      </c>
      <c r="BI230" s="77" t="e">
        <f t="shared" si="249"/>
        <v>#DIV/0!</v>
      </c>
      <c r="BJ230" s="95" t="str">
        <f t="shared" si="270"/>
        <v>식약/섬유/종이업</v>
      </c>
      <c r="BK230" s="96" t="e">
        <f t="shared" si="250"/>
        <v>#DIV/0!</v>
      </c>
      <c r="BL230" s="97" t="e">
        <f t="shared" si="271"/>
        <v>#DIV/0!</v>
      </c>
      <c r="BM230" s="98" t="e">
        <f t="shared" si="272"/>
        <v>#DIV/0!</v>
      </c>
      <c r="BN230" s="99" t="e">
        <f t="shared" si="273"/>
        <v>#DIV/0!</v>
      </c>
      <c r="BP230" s="101">
        <f t="shared" si="274"/>
        <v>0</v>
      </c>
      <c r="BQ230" s="78">
        <f t="shared" si="275"/>
        <v>25</v>
      </c>
      <c r="BR230" s="79">
        <f t="shared" si="313"/>
        <v>0.5</v>
      </c>
      <c r="BS230" s="102"/>
      <c r="BT230" s="102"/>
      <c r="BU230" s="103">
        <f t="shared" si="277"/>
        <v>0</v>
      </c>
      <c r="BV230" s="77">
        <f t="shared" si="251"/>
        <v>0</v>
      </c>
      <c r="BW230" s="96">
        <f t="shared" si="252"/>
        <v>0</v>
      </c>
      <c r="BX230" s="96">
        <f t="shared" si="278"/>
        <v>0</v>
      </c>
      <c r="BY230" s="96">
        <f t="shared" si="253"/>
        <v>0</v>
      </c>
      <c r="BZ230" s="96" t="e">
        <f t="shared" si="279"/>
        <v>#NUM!</v>
      </c>
      <c r="CA230" s="96" t="e">
        <f t="shared" si="254"/>
        <v>#NUM!</v>
      </c>
      <c r="CB230" s="104" t="e">
        <f t="shared" si="280"/>
        <v>#NUM!</v>
      </c>
      <c r="CC230" s="105">
        <f t="shared" si="314"/>
        <v>170.2099142465535</v>
      </c>
      <c r="CD230" s="106">
        <f t="shared" si="315"/>
        <v>36.227419253811497</v>
      </c>
      <c r="CE230" s="107">
        <f t="shared" si="316"/>
        <v>0.54341128880717249</v>
      </c>
      <c r="CF230" s="108" t="s">
        <v>2189</v>
      </c>
      <c r="CG230" s="108" t="s">
        <v>2189</v>
      </c>
      <c r="CH230" s="108" t="s">
        <v>2189</v>
      </c>
      <c r="CI230" s="108" t="s">
        <v>2189</v>
      </c>
      <c r="CJ230" s="109"/>
      <c r="CM230" s="111">
        <f t="shared" si="284"/>
        <v>25</v>
      </c>
      <c r="CN230" s="107">
        <f t="shared" si="317"/>
        <v>0.375</v>
      </c>
      <c r="CP230" s="88">
        <f t="shared" si="286"/>
        <v>0</v>
      </c>
      <c r="CQ230" s="78">
        <f t="shared" si="287"/>
        <v>100</v>
      </c>
      <c r="CR230" s="79">
        <f t="shared" si="318"/>
        <v>3</v>
      </c>
      <c r="CS230" s="92"/>
      <c r="CT230" s="77">
        <f t="shared" si="255"/>
        <v>0</v>
      </c>
      <c r="CU230" s="78">
        <f t="shared" si="289"/>
        <v>100</v>
      </c>
      <c r="CV230" s="79">
        <f t="shared" si="319"/>
        <v>2</v>
      </c>
      <c r="CW230" s="112" t="e">
        <f t="shared" si="291"/>
        <v>#DIV/0!</v>
      </c>
    </row>
    <row r="231" spans="1:101" x14ac:dyDescent="0.35">
      <c r="A231" s="7" t="s">
        <v>1489</v>
      </c>
      <c r="B231" s="8" t="s">
        <v>1490</v>
      </c>
      <c r="C231" s="21" t="s">
        <v>1491</v>
      </c>
      <c r="D231" s="10" t="s">
        <v>31</v>
      </c>
      <c r="E231" s="11" t="s">
        <v>183</v>
      </c>
      <c r="F231" s="11" t="s">
        <v>1492</v>
      </c>
      <c r="G231" s="12">
        <v>41614</v>
      </c>
      <c r="H231" s="11" t="s">
        <v>24</v>
      </c>
      <c r="I231" s="11" t="s">
        <v>1493</v>
      </c>
      <c r="J231" s="11" t="s">
        <v>1494</v>
      </c>
      <c r="K231" s="11" t="s">
        <v>27</v>
      </c>
      <c r="L231" s="23">
        <v>1097011146</v>
      </c>
      <c r="M231" s="14">
        <v>479043111</v>
      </c>
      <c r="N231" s="14">
        <v>617968035</v>
      </c>
      <c r="O231" s="14">
        <v>1472343921</v>
      </c>
      <c r="P231" s="14">
        <v>107106911</v>
      </c>
      <c r="Q231" s="14">
        <v>100951688</v>
      </c>
      <c r="R231" s="14">
        <v>82941336</v>
      </c>
      <c r="AB231" s="74">
        <f t="shared" si="292"/>
        <v>0</v>
      </c>
      <c r="AC231" s="75" t="e">
        <f t="shared" si="256"/>
        <v>#DIV/0!</v>
      </c>
      <c r="AD231" s="75" t="e">
        <f t="shared" si="293"/>
        <v>#DIV/0!</v>
      </c>
      <c r="AE231" s="76" t="e">
        <f t="shared" si="308"/>
        <v>#DIV/0!</v>
      </c>
      <c r="AF231" s="77" t="e">
        <f t="shared" si="258"/>
        <v>#DIV/0!</v>
      </c>
      <c r="AG231" s="77" t="e">
        <f t="shared" si="259"/>
        <v>#DIV/0!</v>
      </c>
      <c r="AH231" s="77" t="e">
        <f t="shared" si="294"/>
        <v>#DIV/0!</v>
      </c>
      <c r="AI231" s="78" t="e">
        <f t="shared" si="295"/>
        <v>#DIV/0!</v>
      </c>
      <c r="AJ231" s="79" t="e">
        <f t="shared" si="309"/>
        <v>#DIV/0!</v>
      </c>
      <c r="AN231" s="81">
        <f t="shared" si="243"/>
        <v>0</v>
      </c>
      <c r="AO231" s="82" t="e">
        <f t="shared" si="244"/>
        <v>#DIV/0!</v>
      </c>
      <c r="AP231" s="83" t="e">
        <f t="shared" si="261"/>
        <v>#DIV/0!</v>
      </c>
      <c r="AQ231" s="84" t="e">
        <f t="shared" si="310"/>
        <v>#DIV/0!</v>
      </c>
      <c r="AS231" s="86">
        <f t="shared" si="245"/>
        <v>0.25</v>
      </c>
      <c r="AT231" s="87">
        <f t="shared" si="263"/>
        <v>0</v>
      </c>
      <c r="AU231" s="87">
        <f t="shared" si="264"/>
        <v>0</v>
      </c>
      <c r="AV231" s="88" t="e">
        <f t="shared" si="246"/>
        <v>#DIV/0!</v>
      </c>
      <c r="AW231" s="78" t="e">
        <f t="shared" si="265"/>
        <v>#DIV/0!</v>
      </c>
      <c r="AX231" s="89" t="e">
        <f t="shared" si="311"/>
        <v>#DIV/0!</v>
      </c>
      <c r="BA231" s="91">
        <f t="shared" si="247"/>
        <v>0</v>
      </c>
      <c r="BB231" s="77" t="e">
        <f t="shared" si="267"/>
        <v>#DIV/0!</v>
      </c>
      <c r="BC231" s="78" t="e">
        <f t="shared" si="268"/>
        <v>#DIV/0!</v>
      </c>
      <c r="BD231" s="79" t="e">
        <f t="shared" si="312"/>
        <v>#DIV/0!</v>
      </c>
      <c r="BE231" s="92"/>
      <c r="BF231" s="92"/>
      <c r="BG231" s="93">
        <v>0</v>
      </c>
      <c r="BH231" s="94">
        <f t="shared" si="248"/>
        <v>0</v>
      </c>
      <c r="BI231" s="77" t="e">
        <f t="shared" si="249"/>
        <v>#DIV/0!</v>
      </c>
      <c r="BJ231" s="95" t="str">
        <f t="shared" si="270"/>
        <v>식약/섬유/종이업</v>
      </c>
      <c r="BK231" s="96" t="e">
        <f t="shared" si="250"/>
        <v>#DIV/0!</v>
      </c>
      <c r="BL231" s="97" t="e">
        <f t="shared" si="271"/>
        <v>#DIV/0!</v>
      </c>
      <c r="BM231" s="98" t="e">
        <f t="shared" si="272"/>
        <v>#DIV/0!</v>
      </c>
      <c r="BN231" s="99" t="e">
        <f t="shared" si="273"/>
        <v>#DIV/0!</v>
      </c>
      <c r="BP231" s="101">
        <f t="shared" si="274"/>
        <v>0</v>
      </c>
      <c r="BQ231" s="78">
        <f t="shared" si="275"/>
        <v>25</v>
      </c>
      <c r="BR231" s="79">
        <f t="shared" si="313"/>
        <v>0.5</v>
      </c>
      <c r="BS231" s="102"/>
      <c r="BT231" s="102"/>
      <c r="BU231" s="103">
        <f t="shared" si="277"/>
        <v>0</v>
      </c>
      <c r="BV231" s="77">
        <f t="shared" si="251"/>
        <v>0</v>
      </c>
      <c r="BW231" s="96">
        <f t="shared" si="252"/>
        <v>0</v>
      </c>
      <c r="BX231" s="96">
        <f t="shared" si="278"/>
        <v>0</v>
      </c>
      <c r="BY231" s="96">
        <f t="shared" si="253"/>
        <v>0</v>
      </c>
      <c r="BZ231" s="96" t="e">
        <f t="shared" si="279"/>
        <v>#NUM!</v>
      </c>
      <c r="CA231" s="96" t="e">
        <f t="shared" si="254"/>
        <v>#NUM!</v>
      </c>
      <c r="CB231" s="104" t="e">
        <f t="shared" si="280"/>
        <v>#NUM!</v>
      </c>
      <c r="CC231" s="105">
        <f t="shared" si="314"/>
        <v>77.519076047355753</v>
      </c>
      <c r="CD231" s="106">
        <f t="shared" si="315"/>
        <v>71.161152243458886</v>
      </c>
      <c r="CE231" s="107">
        <f t="shared" si="316"/>
        <v>1.0674172836518832</v>
      </c>
      <c r="CF231" s="108" t="s">
        <v>2189</v>
      </c>
      <c r="CG231" s="108" t="s">
        <v>2189</v>
      </c>
      <c r="CH231" s="108" t="s">
        <v>2189</v>
      </c>
      <c r="CI231" s="108" t="s">
        <v>2189</v>
      </c>
      <c r="CJ231" s="109"/>
      <c r="CM231" s="111">
        <f t="shared" si="284"/>
        <v>25</v>
      </c>
      <c r="CN231" s="107">
        <f t="shared" si="317"/>
        <v>0.375</v>
      </c>
      <c r="CP231" s="88">
        <f t="shared" si="286"/>
        <v>0</v>
      </c>
      <c r="CQ231" s="78">
        <f t="shared" si="287"/>
        <v>100</v>
      </c>
      <c r="CR231" s="79">
        <f t="shared" si="318"/>
        <v>3</v>
      </c>
      <c r="CS231" s="92"/>
      <c r="CT231" s="77">
        <f t="shared" si="255"/>
        <v>0</v>
      </c>
      <c r="CU231" s="78">
        <f t="shared" si="289"/>
        <v>100</v>
      </c>
      <c r="CV231" s="79">
        <f t="shared" si="319"/>
        <v>2</v>
      </c>
      <c r="CW231" s="112" t="e">
        <f t="shared" si="291"/>
        <v>#DIV/0!</v>
      </c>
    </row>
    <row r="232" spans="1:101" x14ac:dyDescent="0.35">
      <c r="A232" s="7" t="s">
        <v>1495</v>
      </c>
      <c r="B232" s="8" t="s">
        <v>1496</v>
      </c>
      <c r="C232" s="21" t="s">
        <v>1497</v>
      </c>
      <c r="D232" s="10" t="s">
        <v>31</v>
      </c>
      <c r="E232" s="11" t="s">
        <v>1122</v>
      </c>
      <c r="F232" s="11" t="s">
        <v>1498</v>
      </c>
      <c r="G232" s="12">
        <v>43768</v>
      </c>
      <c r="H232" s="11" t="s">
        <v>24</v>
      </c>
      <c r="I232" s="11" t="s">
        <v>1499</v>
      </c>
      <c r="J232" s="11" t="s">
        <v>1500</v>
      </c>
      <c r="K232" s="11" t="s">
        <v>50</v>
      </c>
      <c r="L232" s="23">
        <v>740602270</v>
      </c>
      <c r="M232" s="14">
        <v>262924064</v>
      </c>
      <c r="N232" s="14">
        <v>477678206</v>
      </c>
      <c r="O232" s="14">
        <v>269751716</v>
      </c>
      <c r="P232" s="14">
        <v>21819621</v>
      </c>
      <c r="Q232" s="14">
        <v>9990377</v>
      </c>
      <c r="R232" s="14">
        <v>2417491</v>
      </c>
      <c r="AB232" s="74">
        <f t="shared" si="292"/>
        <v>0</v>
      </c>
      <c r="AC232" s="75" t="e">
        <f t="shared" si="256"/>
        <v>#DIV/0!</v>
      </c>
      <c r="AD232" s="75" t="e">
        <f t="shared" si="293"/>
        <v>#DIV/0!</v>
      </c>
      <c r="AE232" s="76" t="e">
        <f t="shared" si="308"/>
        <v>#DIV/0!</v>
      </c>
      <c r="AF232" s="77" t="e">
        <f t="shared" si="258"/>
        <v>#DIV/0!</v>
      </c>
      <c r="AG232" s="77" t="e">
        <f t="shared" si="259"/>
        <v>#DIV/0!</v>
      </c>
      <c r="AH232" s="77" t="e">
        <f t="shared" si="294"/>
        <v>#DIV/0!</v>
      </c>
      <c r="AI232" s="78" t="e">
        <f t="shared" si="295"/>
        <v>#DIV/0!</v>
      </c>
      <c r="AJ232" s="79" t="e">
        <f t="shared" si="309"/>
        <v>#DIV/0!</v>
      </c>
      <c r="AN232" s="81">
        <f t="shared" si="243"/>
        <v>0</v>
      </c>
      <c r="AO232" s="82" t="e">
        <f t="shared" si="244"/>
        <v>#DIV/0!</v>
      </c>
      <c r="AP232" s="83" t="e">
        <f t="shared" si="261"/>
        <v>#DIV/0!</v>
      </c>
      <c r="AQ232" s="84" t="e">
        <f t="shared" si="310"/>
        <v>#DIV/0!</v>
      </c>
      <c r="AS232" s="86">
        <f t="shared" si="245"/>
        <v>0.25</v>
      </c>
      <c r="AT232" s="87">
        <f t="shared" si="263"/>
        <v>0</v>
      </c>
      <c r="AU232" s="87">
        <f t="shared" si="264"/>
        <v>0</v>
      </c>
      <c r="AV232" s="88" t="e">
        <f t="shared" si="246"/>
        <v>#DIV/0!</v>
      </c>
      <c r="AW232" s="78" t="e">
        <f t="shared" si="265"/>
        <v>#DIV/0!</v>
      </c>
      <c r="AX232" s="89" t="e">
        <f t="shared" si="311"/>
        <v>#DIV/0!</v>
      </c>
      <c r="BA232" s="91">
        <f t="shared" si="247"/>
        <v>0</v>
      </c>
      <c r="BB232" s="77" t="e">
        <f t="shared" si="267"/>
        <v>#DIV/0!</v>
      </c>
      <c r="BC232" s="78" t="e">
        <f t="shared" si="268"/>
        <v>#DIV/0!</v>
      </c>
      <c r="BD232" s="79" t="e">
        <f t="shared" si="312"/>
        <v>#DIV/0!</v>
      </c>
      <c r="BE232" s="92"/>
      <c r="BF232" s="92"/>
      <c r="BG232" s="93">
        <v>0</v>
      </c>
      <c r="BH232" s="94">
        <f t="shared" si="248"/>
        <v>0</v>
      </c>
      <c r="BI232" s="77" t="e">
        <f t="shared" si="249"/>
        <v>#DIV/0!</v>
      </c>
      <c r="BJ232" s="95" t="str">
        <f t="shared" si="270"/>
        <v>식약/섬유/종이업</v>
      </c>
      <c r="BK232" s="96" t="e">
        <f t="shared" si="250"/>
        <v>#DIV/0!</v>
      </c>
      <c r="BL232" s="97" t="e">
        <f t="shared" si="271"/>
        <v>#DIV/0!</v>
      </c>
      <c r="BM232" s="98" t="e">
        <f t="shared" si="272"/>
        <v>#DIV/0!</v>
      </c>
      <c r="BN232" s="99" t="e">
        <f t="shared" si="273"/>
        <v>#DIV/0!</v>
      </c>
      <c r="BP232" s="101">
        <f t="shared" si="274"/>
        <v>0</v>
      </c>
      <c r="BQ232" s="78">
        <f t="shared" si="275"/>
        <v>25</v>
      </c>
      <c r="BR232" s="79">
        <f t="shared" si="313"/>
        <v>0.5</v>
      </c>
      <c r="BS232" s="102"/>
      <c r="BT232" s="102"/>
      <c r="BU232" s="103">
        <f t="shared" si="277"/>
        <v>0</v>
      </c>
      <c r="BV232" s="77">
        <f t="shared" si="251"/>
        <v>0</v>
      </c>
      <c r="BW232" s="96">
        <f t="shared" si="252"/>
        <v>0</v>
      </c>
      <c r="BX232" s="96">
        <f t="shared" si="278"/>
        <v>0</v>
      </c>
      <c r="BY232" s="96">
        <f t="shared" si="253"/>
        <v>0</v>
      </c>
      <c r="BZ232" s="96" t="e">
        <f t="shared" si="279"/>
        <v>#NUM!</v>
      </c>
      <c r="CA232" s="96" t="e">
        <f t="shared" si="254"/>
        <v>#NUM!</v>
      </c>
      <c r="CB232" s="104" t="e">
        <f t="shared" si="280"/>
        <v>#NUM!</v>
      </c>
      <c r="CC232" s="105">
        <f t="shared" si="314"/>
        <v>55.042089150703269</v>
      </c>
      <c r="CD232" s="106">
        <f t="shared" si="315"/>
        <v>79.632378460790221</v>
      </c>
      <c r="CE232" s="107">
        <f t="shared" si="316"/>
        <v>1.1944856769118533</v>
      </c>
      <c r="CF232" s="108" t="s">
        <v>2189</v>
      </c>
      <c r="CG232" s="108" t="s">
        <v>2189</v>
      </c>
      <c r="CH232" s="108" t="s">
        <v>2189</v>
      </c>
      <c r="CI232" s="108" t="s">
        <v>2189</v>
      </c>
      <c r="CJ232" s="109"/>
      <c r="CM232" s="111">
        <f t="shared" si="284"/>
        <v>25</v>
      </c>
      <c r="CN232" s="107">
        <f t="shared" si="317"/>
        <v>0.375</v>
      </c>
      <c r="CP232" s="88">
        <f t="shared" si="286"/>
        <v>0</v>
      </c>
      <c r="CQ232" s="78">
        <f t="shared" si="287"/>
        <v>100</v>
      </c>
      <c r="CR232" s="79">
        <f t="shared" si="318"/>
        <v>3</v>
      </c>
      <c r="CS232" s="92"/>
      <c r="CT232" s="77">
        <f t="shared" si="255"/>
        <v>0</v>
      </c>
      <c r="CU232" s="78">
        <f t="shared" si="289"/>
        <v>100</v>
      </c>
      <c r="CV232" s="79">
        <f t="shared" si="319"/>
        <v>2</v>
      </c>
      <c r="CW232" s="112" t="e">
        <f t="shared" si="291"/>
        <v>#DIV/0!</v>
      </c>
    </row>
    <row r="233" spans="1:101" x14ac:dyDescent="0.35">
      <c r="A233" s="7" t="s">
        <v>1501</v>
      </c>
      <c r="B233" s="8" t="s">
        <v>1502</v>
      </c>
      <c r="C233" s="21" t="s">
        <v>1503</v>
      </c>
      <c r="D233" s="22" t="s">
        <v>75</v>
      </c>
      <c r="E233" s="11" t="s">
        <v>276</v>
      </c>
      <c r="F233" s="11" t="s">
        <v>1504</v>
      </c>
      <c r="G233" s="12">
        <v>26841</v>
      </c>
      <c r="H233" s="11" t="s">
        <v>24</v>
      </c>
      <c r="I233" s="11" t="s">
        <v>1505</v>
      </c>
      <c r="J233" s="11" t="s">
        <v>1506</v>
      </c>
      <c r="K233" s="11" t="s">
        <v>102</v>
      </c>
      <c r="L233" s="23">
        <v>59360094</v>
      </c>
      <c r="M233" s="14">
        <v>18306208</v>
      </c>
      <c r="N233" s="14">
        <v>41053886</v>
      </c>
      <c r="O233" s="14">
        <v>58845136</v>
      </c>
      <c r="P233" s="14">
        <v>3368252</v>
      </c>
      <c r="Q233" s="14">
        <v>5181465</v>
      </c>
      <c r="R233" s="14">
        <v>4397506</v>
      </c>
      <c r="AB233" s="74">
        <f t="shared" si="292"/>
        <v>0</v>
      </c>
      <c r="AC233" s="75" t="e">
        <f t="shared" si="256"/>
        <v>#DIV/0!</v>
      </c>
      <c r="AD233" s="75" t="e">
        <f t="shared" si="293"/>
        <v>#DIV/0!</v>
      </c>
      <c r="AE233" s="76" t="e">
        <f t="shared" si="308"/>
        <v>#DIV/0!</v>
      </c>
      <c r="AF233" s="77" t="e">
        <f t="shared" si="258"/>
        <v>#DIV/0!</v>
      </c>
      <c r="AG233" s="77" t="e">
        <f t="shared" si="259"/>
        <v>#DIV/0!</v>
      </c>
      <c r="AH233" s="77" t="e">
        <f t="shared" si="294"/>
        <v>#DIV/0!</v>
      </c>
      <c r="AI233" s="78" t="e">
        <f t="shared" si="295"/>
        <v>#DIV/0!</v>
      </c>
      <c r="AJ233" s="79" t="e">
        <f t="shared" si="309"/>
        <v>#DIV/0!</v>
      </c>
      <c r="AN233" s="81">
        <f t="shared" si="243"/>
        <v>0</v>
      </c>
      <c r="AO233" s="82" t="e">
        <f t="shared" si="244"/>
        <v>#DIV/0!</v>
      </c>
      <c r="AP233" s="83" t="e">
        <f t="shared" si="261"/>
        <v>#DIV/0!</v>
      </c>
      <c r="AQ233" s="84" t="e">
        <f t="shared" si="310"/>
        <v>#DIV/0!</v>
      </c>
      <c r="AS233" s="86">
        <f t="shared" si="245"/>
        <v>0.25</v>
      </c>
      <c r="AT233" s="87">
        <f t="shared" si="263"/>
        <v>0</v>
      </c>
      <c r="AU233" s="87">
        <f t="shared" si="264"/>
        <v>0</v>
      </c>
      <c r="AV233" s="88" t="e">
        <f t="shared" si="246"/>
        <v>#DIV/0!</v>
      </c>
      <c r="AW233" s="78" t="e">
        <f t="shared" si="265"/>
        <v>#DIV/0!</v>
      </c>
      <c r="AX233" s="89" t="e">
        <f t="shared" si="311"/>
        <v>#DIV/0!</v>
      </c>
      <c r="BA233" s="91">
        <f t="shared" si="247"/>
        <v>0</v>
      </c>
      <c r="BB233" s="77" t="e">
        <f t="shared" si="267"/>
        <v>#DIV/0!</v>
      </c>
      <c r="BC233" s="78" t="e">
        <f t="shared" si="268"/>
        <v>#DIV/0!</v>
      </c>
      <c r="BD233" s="79" t="e">
        <f t="shared" si="312"/>
        <v>#DIV/0!</v>
      </c>
      <c r="BE233" s="92"/>
      <c r="BF233" s="92"/>
      <c r="BG233" s="114">
        <v>175688.334</v>
      </c>
      <c r="BH233" s="94">
        <f t="shared" si="248"/>
        <v>0</v>
      </c>
      <c r="BI233" s="77" t="e">
        <f t="shared" si="249"/>
        <v>#DIV/0!</v>
      </c>
      <c r="BJ233" s="95" t="str">
        <f t="shared" si="270"/>
        <v>금속/비금속/화학업</v>
      </c>
      <c r="BK233" s="96" t="e">
        <f t="shared" si="250"/>
        <v>#DIV/0!</v>
      </c>
      <c r="BL233" s="97" t="e">
        <f t="shared" si="271"/>
        <v>#DIV/0!</v>
      </c>
      <c r="BM233" s="98" t="e">
        <f t="shared" si="272"/>
        <v>#DIV/0!</v>
      </c>
      <c r="BN233" s="99" t="e">
        <f t="shared" si="273"/>
        <v>#DIV/0!</v>
      </c>
      <c r="BP233" s="101">
        <f t="shared" si="274"/>
        <v>0</v>
      </c>
      <c r="BQ233" s="78">
        <f t="shared" si="275"/>
        <v>25</v>
      </c>
      <c r="BR233" s="79">
        <f t="shared" si="313"/>
        <v>0.5</v>
      </c>
      <c r="BS233" s="102"/>
      <c r="BT233" s="102"/>
      <c r="BU233" s="103">
        <f t="shared" si="277"/>
        <v>0</v>
      </c>
      <c r="BV233" s="77">
        <f t="shared" si="251"/>
        <v>0</v>
      </c>
      <c r="BW233" s="96">
        <f t="shared" si="252"/>
        <v>0</v>
      </c>
      <c r="BX233" s="96">
        <f t="shared" si="278"/>
        <v>0</v>
      </c>
      <c r="BY233" s="96">
        <f t="shared" si="253"/>
        <v>0</v>
      </c>
      <c r="BZ233" s="96" t="e">
        <f t="shared" si="279"/>
        <v>#NUM!</v>
      </c>
      <c r="CA233" s="96" t="e">
        <f t="shared" si="254"/>
        <v>#NUM!</v>
      </c>
      <c r="CB233" s="104" t="e">
        <f t="shared" si="280"/>
        <v>#NUM!</v>
      </c>
      <c r="CC233" s="105">
        <f t="shared" si="314"/>
        <v>44.59068259701408</v>
      </c>
      <c r="CD233" s="106">
        <f t="shared" si="315"/>
        <v>83.571350780019827</v>
      </c>
      <c r="CE233" s="107">
        <f t="shared" si="316"/>
        <v>1.2535702617002973</v>
      </c>
      <c r="CF233" s="108" t="s">
        <v>2189</v>
      </c>
      <c r="CG233" s="108" t="s">
        <v>2189</v>
      </c>
      <c r="CH233" s="108" t="s">
        <v>2189</v>
      </c>
      <c r="CI233" s="108" t="s">
        <v>2189</v>
      </c>
      <c r="CJ233" s="109"/>
      <c r="CM233" s="111">
        <f t="shared" si="284"/>
        <v>25</v>
      </c>
      <c r="CN233" s="107">
        <f t="shared" si="317"/>
        <v>0.375</v>
      </c>
      <c r="CP233" s="88">
        <f t="shared" si="286"/>
        <v>0</v>
      </c>
      <c r="CQ233" s="78">
        <f t="shared" si="287"/>
        <v>100</v>
      </c>
      <c r="CR233" s="79">
        <f t="shared" si="318"/>
        <v>3</v>
      </c>
      <c r="CS233" s="92"/>
      <c r="CT233" s="77">
        <f t="shared" si="255"/>
        <v>0</v>
      </c>
      <c r="CU233" s="78">
        <f t="shared" si="289"/>
        <v>100</v>
      </c>
      <c r="CV233" s="79">
        <f t="shared" si="319"/>
        <v>2</v>
      </c>
      <c r="CW233" s="112" t="e">
        <f t="shared" si="291"/>
        <v>#DIV/0!</v>
      </c>
    </row>
    <row r="234" spans="1:101" x14ac:dyDescent="0.35">
      <c r="A234" s="7" t="s">
        <v>1507</v>
      </c>
      <c r="B234" s="8" t="s">
        <v>1508</v>
      </c>
      <c r="C234" s="21" t="s">
        <v>1509</v>
      </c>
      <c r="D234" s="10" t="s">
        <v>75</v>
      </c>
      <c r="E234" s="11" t="s">
        <v>276</v>
      </c>
      <c r="F234" s="11" t="s">
        <v>1510</v>
      </c>
      <c r="G234" s="12">
        <v>32781</v>
      </c>
      <c r="H234" s="11" t="s">
        <v>24</v>
      </c>
      <c r="I234" s="11" t="s">
        <v>1505</v>
      </c>
      <c r="J234" s="11" t="s">
        <v>1511</v>
      </c>
      <c r="K234" s="11" t="s">
        <v>50</v>
      </c>
      <c r="L234" s="23">
        <v>45482659</v>
      </c>
      <c r="M234" s="14">
        <v>14914195</v>
      </c>
      <c r="N234" s="14">
        <v>30568464</v>
      </c>
      <c r="O234" s="14">
        <v>50246842</v>
      </c>
      <c r="P234" s="14">
        <v>3199040</v>
      </c>
      <c r="Q234" s="14">
        <v>3233292</v>
      </c>
      <c r="R234" s="14">
        <v>3418425</v>
      </c>
      <c r="AB234" s="74">
        <f t="shared" si="292"/>
        <v>0</v>
      </c>
      <c r="AC234" s="75" t="e">
        <f t="shared" si="256"/>
        <v>#DIV/0!</v>
      </c>
      <c r="AD234" s="75" t="e">
        <f t="shared" si="293"/>
        <v>#DIV/0!</v>
      </c>
      <c r="AE234" s="76" t="e">
        <f t="shared" si="308"/>
        <v>#DIV/0!</v>
      </c>
      <c r="AF234" s="77" t="e">
        <f t="shared" si="258"/>
        <v>#DIV/0!</v>
      </c>
      <c r="AG234" s="77" t="e">
        <f t="shared" si="259"/>
        <v>#DIV/0!</v>
      </c>
      <c r="AH234" s="77" t="e">
        <f t="shared" si="294"/>
        <v>#DIV/0!</v>
      </c>
      <c r="AI234" s="78" t="e">
        <f t="shared" si="295"/>
        <v>#DIV/0!</v>
      </c>
      <c r="AJ234" s="79" t="e">
        <f t="shared" si="309"/>
        <v>#DIV/0!</v>
      </c>
      <c r="AN234" s="81">
        <f t="shared" si="243"/>
        <v>0</v>
      </c>
      <c r="AO234" s="82" t="e">
        <f t="shared" si="244"/>
        <v>#DIV/0!</v>
      </c>
      <c r="AP234" s="83" t="e">
        <f t="shared" si="261"/>
        <v>#DIV/0!</v>
      </c>
      <c r="AQ234" s="84" t="e">
        <f t="shared" si="310"/>
        <v>#DIV/0!</v>
      </c>
      <c r="AS234" s="86">
        <f t="shared" si="245"/>
        <v>0.25</v>
      </c>
      <c r="AT234" s="87">
        <f t="shared" si="263"/>
        <v>0</v>
      </c>
      <c r="AU234" s="87">
        <f t="shared" si="264"/>
        <v>0</v>
      </c>
      <c r="AV234" s="88" t="e">
        <f t="shared" si="246"/>
        <v>#DIV/0!</v>
      </c>
      <c r="AW234" s="78" t="e">
        <f t="shared" si="265"/>
        <v>#DIV/0!</v>
      </c>
      <c r="AX234" s="89" t="e">
        <f t="shared" si="311"/>
        <v>#DIV/0!</v>
      </c>
      <c r="BA234" s="91">
        <f t="shared" si="247"/>
        <v>0</v>
      </c>
      <c r="BB234" s="77" t="e">
        <f t="shared" si="267"/>
        <v>#DIV/0!</v>
      </c>
      <c r="BC234" s="78" t="e">
        <f t="shared" si="268"/>
        <v>#DIV/0!</v>
      </c>
      <c r="BD234" s="79" t="e">
        <f t="shared" si="312"/>
        <v>#DIV/0!</v>
      </c>
      <c r="BE234" s="92"/>
      <c r="BF234" s="92"/>
      <c r="BG234" s="114">
        <v>219984.97099999999</v>
      </c>
      <c r="BH234" s="94">
        <f t="shared" si="248"/>
        <v>0</v>
      </c>
      <c r="BI234" s="77" t="e">
        <f t="shared" si="249"/>
        <v>#DIV/0!</v>
      </c>
      <c r="BJ234" s="95" t="str">
        <f t="shared" si="270"/>
        <v>금속/비금속/화학업</v>
      </c>
      <c r="BK234" s="96" t="e">
        <f t="shared" si="250"/>
        <v>#DIV/0!</v>
      </c>
      <c r="BL234" s="97" t="e">
        <f t="shared" si="271"/>
        <v>#DIV/0!</v>
      </c>
      <c r="BM234" s="98" t="e">
        <f t="shared" si="272"/>
        <v>#DIV/0!</v>
      </c>
      <c r="BN234" s="99" t="e">
        <f t="shared" si="273"/>
        <v>#DIV/0!</v>
      </c>
      <c r="BP234" s="101">
        <f t="shared" si="274"/>
        <v>0</v>
      </c>
      <c r="BQ234" s="78">
        <f t="shared" si="275"/>
        <v>25</v>
      </c>
      <c r="BR234" s="79">
        <f t="shared" si="313"/>
        <v>0.5</v>
      </c>
      <c r="BS234" s="102"/>
      <c r="BT234" s="102"/>
      <c r="BU234" s="103">
        <f t="shared" si="277"/>
        <v>0</v>
      </c>
      <c r="BV234" s="77">
        <f t="shared" si="251"/>
        <v>0</v>
      </c>
      <c r="BW234" s="96">
        <f t="shared" si="252"/>
        <v>0</v>
      </c>
      <c r="BX234" s="96">
        <f t="shared" si="278"/>
        <v>0</v>
      </c>
      <c r="BY234" s="96">
        <f t="shared" si="253"/>
        <v>0</v>
      </c>
      <c r="BZ234" s="96" t="e">
        <f t="shared" si="279"/>
        <v>#NUM!</v>
      </c>
      <c r="CA234" s="96" t="e">
        <f t="shared" si="254"/>
        <v>#NUM!</v>
      </c>
      <c r="CB234" s="104" t="e">
        <f t="shared" si="280"/>
        <v>#NUM!</v>
      </c>
      <c r="CC234" s="105">
        <f t="shared" si="314"/>
        <v>48.789481211748161</v>
      </c>
      <c r="CD234" s="106">
        <f t="shared" si="315"/>
        <v>81.988888990547181</v>
      </c>
      <c r="CE234" s="107">
        <f t="shared" si="316"/>
        <v>1.2298333348582078</v>
      </c>
      <c r="CF234" s="108" t="s">
        <v>2189</v>
      </c>
      <c r="CG234" s="108" t="s">
        <v>2189</v>
      </c>
      <c r="CH234" s="108" t="s">
        <v>2189</v>
      </c>
      <c r="CI234" s="108" t="s">
        <v>2189</v>
      </c>
      <c r="CJ234" s="109"/>
      <c r="CM234" s="111">
        <f t="shared" si="284"/>
        <v>25</v>
      </c>
      <c r="CN234" s="107">
        <f t="shared" si="317"/>
        <v>0.375</v>
      </c>
      <c r="CP234" s="88">
        <f t="shared" si="286"/>
        <v>0</v>
      </c>
      <c r="CQ234" s="78">
        <f t="shared" si="287"/>
        <v>100</v>
      </c>
      <c r="CR234" s="79">
        <f t="shared" si="318"/>
        <v>3</v>
      </c>
      <c r="CS234" s="92"/>
      <c r="CT234" s="77">
        <f t="shared" si="255"/>
        <v>0</v>
      </c>
      <c r="CU234" s="78">
        <f t="shared" si="289"/>
        <v>100</v>
      </c>
      <c r="CV234" s="79">
        <f t="shared" si="319"/>
        <v>2</v>
      </c>
      <c r="CW234" s="112" t="e">
        <f t="shared" si="291"/>
        <v>#DIV/0!</v>
      </c>
    </row>
    <row r="235" spans="1:101" x14ac:dyDescent="0.35">
      <c r="A235" s="7" t="s">
        <v>1512</v>
      </c>
      <c r="B235" s="8" t="s">
        <v>1513</v>
      </c>
      <c r="C235" s="21" t="s">
        <v>1514</v>
      </c>
      <c r="D235" s="10" t="s">
        <v>21</v>
      </c>
      <c r="E235" s="11" t="s">
        <v>91</v>
      </c>
      <c r="F235" s="11" t="s">
        <v>1515</v>
      </c>
      <c r="G235" s="12">
        <v>28301</v>
      </c>
      <c r="H235" s="11" t="s">
        <v>24</v>
      </c>
      <c r="I235" s="11" t="s">
        <v>1516</v>
      </c>
      <c r="J235" s="11" t="s">
        <v>1517</v>
      </c>
      <c r="K235" s="11" t="s">
        <v>87</v>
      </c>
      <c r="L235" s="23">
        <v>451746879</v>
      </c>
      <c r="M235" s="14">
        <v>227013990</v>
      </c>
      <c r="N235" s="14">
        <v>224732889</v>
      </c>
      <c r="O235" s="14">
        <v>628936049</v>
      </c>
      <c r="P235" s="14">
        <v>50682533</v>
      </c>
      <c r="Q235" s="14">
        <v>53220599</v>
      </c>
      <c r="R235" s="14">
        <v>49560577</v>
      </c>
      <c r="AB235" s="74">
        <f t="shared" si="292"/>
        <v>0</v>
      </c>
      <c r="AC235" s="75" t="e">
        <f t="shared" si="256"/>
        <v>#DIV/0!</v>
      </c>
      <c r="AD235" s="75" t="e">
        <f t="shared" si="293"/>
        <v>#DIV/0!</v>
      </c>
      <c r="AE235" s="76" t="e">
        <f t="shared" si="308"/>
        <v>#DIV/0!</v>
      </c>
      <c r="AF235" s="77" t="e">
        <f t="shared" si="258"/>
        <v>#DIV/0!</v>
      </c>
      <c r="AG235" s="77" t="e">
        <f t="shared" si="259"/>
        <v>#DIV/0!</v>
      </c>
      <c r="AH235" s="77" t="e">
        <f t="shared" si="294"/>
        <v>#DIV/0!</v>
      </c>
      <c r="AI235" s="78" t="e">
        <f t="shared" si="295"/>
        <v>#DIV/0!</v>
      </c>
      <c r="AJ235" s="79" t="e">
        <f t="shared" si="309"/>
        <v>#DIV/0!</v>
      </c>
      <c r="AN235" s="81">
        <f t="shared" si="243"/>
        <v>0</v>
      </c>
      <c r="AO235" s="82" t="e">
        <f t="shared" si="244"/>
        <v>#DIV/0!</v>
      </c>
      <c r="AP235" s="83" t="e">
        <f t="shared" si="261"/>
        <v>#DIV/0!</v>
      </c>
      <c r="AQ235" s="84" t="e">
        <f t="shared" si="310"/>
        <v>#DIV/0!</v>
      </c>
      <c r="AS235" s="86">
        <f t="shared" si="245"/>
        <v>0.25</v>
      </c>
      <c r="AT235" s="87">
        <f t="shared" si="263"/>
        <v>0</v>
      </c>
      <c r="AU235" s="87">
        <f t="shared" si="264"/>
        <v>0</v>
      </c>
      <c r="AV235" s="88" t="e">
        <f t="shared" si="246"/>
        <v>#DIV/0!</v>
      </c>
      <c r="AW235" s="78" t="e">
        <f t="shared" si="265"/>
        <v>#DIV/0!</v>
      </c>
      <c r="AX235" s="89" t="e">
        <f t="shared" si="311"/>
        <v>#DIV/0!</v>
      </c>
      <c r="BA235" s="91">
        <f t="shared" si="247"/>
        <v>0</v>
      </c>
      <c r="BB235" s="77" t="e">
        <f t="shared" si="267"/>
        <v>#DIV/0!</v>
      </c>
      <c r="BC235" s="78" t="e">
        <f t="shared" si="268"/>
        <v>#DIV/0!</v>
      </c>
      <c r="BD235" s="79" t="e">
        <f t="shared" si="312"/>
        <v>#DIV/0!</v>
      </c>
      <c r="BE235" s="92"/>
      <c r="BF235" s="92"/>
      <c r="BG235" s="114">
        <v>563191</v>
      </c>
      <c r="BH235" s="94">
        <f t="shared" si="248"/>
        <v>0</v>
      </c>
      <c r="BI235" s="77" t="e">
        <f t="shared" si="249"/>
        <v>#DIV/0!</v>
      </c>
      <c r="BJ235" s="95" t="str">
        <f t="shared" si="270"/>
        <v>비제조/서비스업</v>
      </c>
      <c r="BK235" s="96" t="e">
        <f t="shared" si="250"/>
        <v>#DIV/0!</v>
      </c>
      <c r="BL235" s="97" t="e">
        <f t="shared" si="271"/>
        <v>#DIV/0!</v>
      </c>
      <c r="BM235" s="98" t="e">
        <f t="shared" si="272"/>
        <v>#DIV/0!</v>
      </c>
      <c r="BN235" s="99" t="e">
        <f t="shared" si="273"/>
        <v>#DIV/0!</v>
      </c>
      <c r="BP235" s="101">
        <f t="shared" si="274"/>
        <v>0</v>
      </c>
      <c r="BQ235" s="78">
        <f t="shared" si="275"/>
        <v>25</v>
      </c>
      <c r="BR235" s="79">
        <f t="shared" si="313"/>
        <v>0.5</v>
      </c>
      <c r="BS235" s="102"/>
      <c r="BT235" s="102"/>
      <c r="BU235" s="103">
        <f t="shared" si="277"/>
        <v>0</v>
      </c>
      <c r="BV235" s="77">
        <f t="shared" si="251"/>
        <v>0</v>
      </c>
      <c r="BW235" s="96">
        <f t="shared" si="252"/>
        <v>0</v>
      </c>
      <c r="BX235" s="96">
        <f t="shared" si="278"/>
        <v>0</v>
      </c>
      <c r="BY235" s="96">
        <f t="shared" si="253"/>
        <v>0</v>
      </c>
      <c r="BZ235" s="96" t="e">
        <f t="shared" si="279"/>
        <v>#NUM!</v>
      </c>
      <c r="CA235" s="96" t="e">
        <f t="shared" si="254"/>
        <v>#NUM!</v>
      </c>
      <c r="CB235" s="104" t="e">
        <f t="shared" si="280"/>
        <v>#NUM!</v>
      </c>
      <c r="CC235" s="105">
        <f t="shared" si="314"/>
        <v>101.01502766691172</v>
      </c>
      <c r="CD235" s="106">
        <f t="shared" si="315"/>
        <v>62.305894095385028</v>
      </c>
      <c r="CE235" s="107">
        <f t="shared" si="316"/>
        <v>0.93458841143077542</v>
      </c>
      <c r="CF235" s="108" t="s">
        <v>2189</v>
      </c>
      <c r="CG235" s="108" t="s">
        <v>2189</v>
      </c>
      <c r="CH235" s="108" t="s">
        <v>2189</v>
      </c>
      <c r="CI235" s="108" t="s">
        <v>2189</v>
      </c>
      <c r="CJ235" s="109"/>
      <c r="CM235" s="111">
        <f t="shared" si="284"/>
        <v>25</v>
      </c>
      <c r="CN235" s="107">
        <f t="shared" si="317"/>
        <v>0.375</v>
      </c>
      <c r="CP235" s="88">
        <f t="shared" si="286"/>
        <v>0</v>
      </c>
      <c r="CQ235" s="78">
        <f t="shared" si="287"/>
        <v>100</v>
      </c>
      <c r="CR235" s="79">
        <f t="shared" si="318"/>
        <v>3</v>
      </c>
      <c r="CS235" s="92"/>
      <c r="CT235" s="77">
        <f t="shared" si="255"/>
        <v>0</v>
      </c>
      <c r="CU235" s="78">
        <f t="shared" si="289"/>
        <v>100</v>
      </c>
      <c r="CV235" s="79">
        <f t="shared" si="319"/>
        <v>2</v>
      </c>
      <c r="CW235" s="112" t="e">
        <f t="shared" si="291"/>
        <v>#DIV/0!</v>
      </c>
    </row>
    <row r="236" spans="1:101" x14ac:dyDescent="0.35">
      <c r="A236" s="7" t="s">
        <v>1518</v>
      </c>
      <c r="B236" s="8" t="s">
        <v>1519</v>
      </c>
      <c r="C236" s="21" t="s">
        <v>1520</v>
      </c>
      <c r="D236" s="29" t="s">
        <v>935</v>
      </c>
      <c r="E236" s="11" t="s">
        <v>1459</v>
      </c>
      <c r="F236" s="11" t="s">
        <v>1521</v>
      </c>
      <c r="G236" s="12">
        <v>44414</v>
      </c>
      <c r="H236" s="11" t="s">
        <v>24</v>
      </c>
      <c r="I236" s="11" t="s">
        <v>1522</v>
      </c>
      <c r="J236" s="28" t="s">
        <v>1523</v>
      </c>
      <c r="K236" s="11" t="s">
        <v>50</v>
      </c>
      <c r="L236" s="23">
        <v>39516079000</v>
      </c>
      <c r="M236" s="14">
        <v>33800969000</v>
      </c>
      <c r="N236" s="14">
        <v>5715110000</v>
      </c>
      <c r="O236" s="14">
        <v>1605801000</v>
      </c>
      <c r="P236" s="14">
        <v>353186000</v>
      </c>
      <c r="Q236" s="14">
        <v>351733000</v>
      </c>
      <c r="R236" s="14">
        <v>263091000</v>
      </c>
      <c r="AB236" s="74">
        <f t="shared" si="292"/>
        <v>0</v>
      </c>
      <c r="AC236" s="75" t="e">
        <f t="shared" si="256"/>
        <v>#DIV/0!</v>
      </c>
      <c r="AD236" s="75" t="e">
        <f t="shared" si="293"/>
        <v>#DIV/0!</v>
      </c>
      <c r="AE236" s="119" t="e">
        <f>AD236*0.04</f>
        <v>#DIV/0!</v>
      </c>
      <c r="AF236" s="77" t="e">
        <f t="shared" si="258"/>
        <v>#DIV/0!</v>
      </c>
      <c r="AG236" s="77" t="e">
        <f t="shared" si="259"/>
        <v>#DIV/0!</v>
      </c>
      <c r="AH236" s="77" t="e">
        <f t="shared" si="294"/>
        <v>#DIV/0!</v>
      </c>
      <c r="AI236" s="78" t="e">
        <f t="shared" si="295"/>
        <v>#DIV/0!</v>
      </c>
      <c r="AJ236" s="120" t="e">
        <f>AI236*0.05</f>
        <v>#DIV/0!</v>
      </c>
      <c r="AN236" s="81">
        <f t="shared" si="243"/>
        <v>0</v>
      </c>
      <c r="AO236" s="82" t="e">
        <f t="shared" si="244"/>
        <v>#DIV/0!</v>
      </c>
      <c r="AP236" s="83" t="e">
        <f t="shared" si="261"/>
        <v>#DIV/0!</v>
      </c>
      <c r="AQ236" s="121" t="e">
        <f>AP236*0.03</f>
        <v>#DIV/0!</v>
      </c>
      <c r="AS236" s="86">
        <f t="shared" si="245"/>
        <v>0.5</v>
      </c>
      <c r="AT236" s="87">
        <f t="shared" si="263"/>
        <v>0</v>
      </c>
      <c r="AU236" s="87">
        <f t="shared" si="264"/>
        <v>0</v>
      </c>
      <c r="AV236" s="88" t="e">
        <f t="shared" si="246"/>
        <v>#DIV/0!</v>
      </c>
      <c r="AW236" s="78" t="e">
        <f t="shared" si="265"/>
        <v>#DIV/0!</v>
      </c>
      <c r="AX236" s="122" t="e">
        <f>AW236*0.02</f>
        <v>#DIV/0!</v>
      </c>
      <c r="BA236" s="91">
        <f t="shared" si="247"/>
        <v>0</v>
      </c>
      <c r="BB236" s="77" t="e">
        <f t="shared" si="267"/>
        <v>#DIV/0!</v>
      </c>
      <c r="BC236" s="78" t="e">
        <f t="shared" si="268"/>
        <v>#DIV/0!</v>
      </c>
      <c r="BD236" s="120" t="e">
        <f>BC236*0.02</f>
        <v>#DIV/0!</v>
      </c>
      <c r="BE236" s="92"/>
      <c r="BF236" s="92"/>
      <c r="BG236" s="93">
        <v>0</v>
      </c>
      <c r="BH236" s="94">
        <f t="shared" si="248"/>
        <v>0</v>
      </c>
      <c r="BI236" s="77" t="e">
        <f t="shared" si="249"/>
        <v>#DIV/0!</v>
      </c>
      <c r="BJ236" s="95" t="str">
        <f t="shared" si="270"/>
        <v>금융업</v>
      </c>
      <c r="BK236" s="96" t="e">
        <f t="shared" si="250"/>
        <v>#DIV/0!</v>
      </c>
      <c r="BL236" s="97" t="e">
        <f t="shared" si="271"/>
        <v>#DIV/0!</v>
      </c>
      <c r="BM236" s="98" t="e">
        <f t="shared" si="272"/>
        <v>#DIV/0!</v>
      </c>
      <c r="BN236" s="99" t="e">
        <f t="shared" si="273"/>
        <v>#DIV/0!</v>
      </c>
      <c r="BP236" s="101">
        <f t="shared" si="274"/>
        <v>0</v>
      </c>
      <c r="BQ236" s="78">
        <f t="shared" si="275"/>
        <v>25</v>
      </c>
      <c r="BR236" s="120">
        <f>BQ236*0.01</f>
        <v>0.25</v>
      </c>
      <c r="BS236" s="102"/>
      <c r="BT236" s="102"/>
      <c r="BU236" s="103">
        <f t="shared" si="277"/>
        <v>0</v>
      </c>
      <c r="BV236" s="77">
        <f t="shared" si="251"/>
        <v>0</v>
      </c>
      <c r="BW236" s="96">
        <f t="shared" si="252"/>
        <v>0</v>
      </c>
      <c r="BX236" s="96">
        <f t="shared" si="278"/>
        <v>0</v>
      </c>
      <c r="BY236" s="96">
        <f t="shared" si="253"/>
        <v>0</v>
      </c>
      <c r="BZ236" s="96" t="e">
        <f t="shared" si="279"/>
        <v>#NUM!</v>
      </c>
      <c r="CA236" s="96" t="e">
        <f t="shared" si="254"/>
        <v>#NUM!</v>
      </c>
      <c r="CB236" s="104" t="e">
        <f t="shared" si="280"/>
        <v>#NUM!</v>
      </c>
      <c r="CC236" s="123" t="s">
        <v>2200</v>
      </c>
      <c r="CD236" s="124" t="s">
        <v>2200</v>
      </c>
      <c r="CE236" s="125"/>
      <c r="CF236" s="127">
        <v>0.36</v>
      </c>
      <c r="CG236" s="126" t="s">
        <v>2201</v>
      </c>
      <c r="CH236" s="126" t="s">
        <v>2201</v>
      </c>
      <c r="CI236" s="128">
        <f>IF((100-(75*(CF236-1)))&gt;100,100,IF((100-(75*(CF236-1)))&lt;25,25,(100-(75*(CF236-1)))))</f>
        <v>100</v>
      </c>
      <c r="CJ236" s="129">
        <f>CI236*0.04</f>
        <v>4</v>
      </c>
      <c r="CM236" s="111">
        <f t="shared" si="284"/>
        <v>25</v>
      </c>
      <c r="CN236" s="130">
        <f>CM236*0.03</f>
        <v>0.75</v>
      </c>
      <c r="CP236" s="88">
        <f t="shared" si="286"/>
        <v>0</v>
      </c>
      <c r="CQ236" s="78">
        <f t="shared" si="287"/>
        <v>100</v>
      </c>
      <c r="CR236" s="120">
        <f>CQ236*0.04</f>
        <v>4</v>
      </c>
      <c r="CS236" s="92"/>
      <c r="CT236" s="77">
        <f t="shared" si="255"/>
        <v>0</v>
      </c>
      <c r="CU236" s="78">
        <f t="shared" si="289"/>
        <v>100</v>
      </c>
      <c r="CV236" s="131">
        <f>CU236*0.03</f>
        <v>3</v>
      </c>
      <c r="CW236" s="112" t="e">
        <f t="shared" si="291"/>
        <v>#DIV/0!</v>
      </c>
    </row>
    <row r="237" spans="1:101" x14ac:dyDescent="0.35">
      <c r="A237" s="7" t="s">
        <v>1524</v>
      </c>
      <c r="B237" s="8" t="s">
        <v>1525</v>
      </c>
      <c r="C237" s="21" t="s">
        <v>1526</v>
      </c>
      <c r="D237" s="10" t="s">
        <v>141</v>
      </c>
      <c r="E237" s="11" t="s">
        <v>750</v>
      </c>
      <c r="F237" s="11" t="s">
        <v>1527</v>
      </c>
      <c r="G237" s="12">
        <v>35759</v>
      </c>
      <c r="H237" s="11" t="s">
        <v>24</v>
      </c>
      <c r="I237" s="11" t="s">
        <v>1528</v>
      </c>
      <c r="J237" s="11" t="s">
        <v>1529</v>
      </c>
      <c r="K237" s="11" t="s">
        <v>50</v>
      </c>
      <c r="L237" s="23">
        <v>620348530</v>
      </c>
      <c r="M237" s="14">
        <v>68839722</v>
      </c>
      <c r="N237" s="14">
        <v>551508808</v>
      </c>
      <c r="O237" s="14">
        <v>211778911</v>
      </c>
      <c r="P237" s="14">
        <v>46883729</v>
      </c>
      <c r="Q237" s="14">
        <v>54068760</v>
      </c>
      <c r="R237" s="14">
        <v>46885493</v>
      </c>
      <c r="AB237" s="74">
        <f t="shared" si="292"/>
        <v>0</v>
      </c>
      <c r="AC237" s="75" t="e">
        <f t="shared" si="256"/>
        <v>#DIV/0!</v>
      </c>
      <c r="AD237" s="75" t="e">
        <f t="shared" si="293"/>
        <v>#DIV/0!</v>
      </c>
      <c r="AE237" s="76" t="e">
        <f t="shared" ref="AE237:AE245" si="320">AD237*0.03</f>
        <v>#DIV/0!</v>
      </c>
      <c r="AF237" s="77" t="e">
        <f t="shared" si="258"/>
        <v>#DIV/0!</v>
      </c>
      <c r="AG237" s="77" t="e">
        <f t="shared" si="259"/>
        <v>#DIV/0!</v>
      </c>
      <c r="AH237" s="77" t="e">
        <f t="shared" si="294"/>
        <v>#DIV/0!</v>
      </c>
      <c r="AI237" s="78" t="e">
        <f t="shared" si="295"/>
        <v>#DIV/0!</v>
      </c>
      <c r="AJ237" s="79" t="e">
        <f t="shared" ref="AJ237:AJ245" si="321">AI237*0.04</f>
        <v>#DIV/0!</v>
      </c>
      <c r="AN237" s="81">
        <f t="shared" si="243"/>
        <v>0</v>
      </c>
      <c r="AO237" s="82" t="e">
        <f t="shared" si="244"/>
        <v>#DIV/0!</v>
      </c>
      <c r="AP237" s="83" t="e">
        <f t="shared" si="261"/>
        <v>#DIV/0!</v>
      </c>
      <c r="AQ237" s="84" t="e">
        <f t="shared" ref="AQ237:AQ245" si="322">AP237*0.02</f>
        <v>#DIV/0!</v>
      </c>
      <c r="AS237" s="86">
        <f t="shared" si="245"/>
        <v>0.25</v>
      </c>
      <c r="AT237" s="87">
        <f t="shared" si="263"/>
        <v>0</v>
      </c>
      <c r="AU237" s="87">
        <f t="shared" si="264"/>
        <v>0</v>
      </c>
      <c r="AV237" s="88" t="e">
        <f t="shared" si="246"/>
        <v>#DIV/0!</v>
      </c>
      <c r="AW237" s="78" t="e">
        <f t="shared" si="265"/>
        <v>#DIV/0!</v>
      </c>
      <c r="AX237" s="89" t="e">
        <f t="shared" ref="AX237:AX245" si="323">AW237*0.01</f>
        <v>#DIV/0!</v>
      </c>
      <c r="BA237" s="91">
        <f t="shared" si="247"/>
        <v>0</v>
      </c>
      <c r="BB237" s="77" t="e">
        <f t="shared" si="267"/>
        <v>#DIV/0!</v>
      </c>
      <c r="BC237" s="78" t="e">
        <f t="shared" si="268"/>
        <v>#DIV/0!</v>
      </c>
      <c r="BD237" s="79" t="e">
        <f t="shared" ref="BD237:BD245" si="324">BC237*0.01</f>
        <v>#DIV/0!</v>
      </c>
      <c r="BE237" s="92"/>
      <c r="BF237" s="92"/>
      <c r="BG237" s="114">
        <v>670665</v>
      </c>
      <c r="BH237" s="94">
        <f t="shared" si="248"/>
        <v>0</v>
      </c>
      <c r="BI237" s="77" t="e">
        <f t="shared" si="249"/>
        <v>#DIV/0!</v>
      </c>
      <c r="BJ237" s="95" t="str">
        <f t="shared" si="270"/>
        <v>전기전자/기계업</v>
      </c>
      <c r="BK237" s="96" t="e">
        <f t="shared" si="250"/>
        <v>#DIV/0!</v>
      </c>
      <c r="BL237" s="97" t="e">
        <f t="shared" si="271"/>
        <v>#DIV/0!</v>
      </c>
      <c r="BM237" s="98" t="e">
        <f t="shared" si="272"/>
        <v>#DIV/0!</v>
      </c>
      <c r="BN237" s="99" t="e">
        <f t="shared" si="273"/>
        <v>#DIV/0!</v>
      </c>
      <c r="BP237" s="101">
        <f t="shared" si="274"/>
        <v>0</v>
      </c>
      <c r="BQ237" s="78">
        <f t="shared" si="275"/>
        <v>25</v>
      </c>
      <c r="BR237" s="79">
        <f t="shared" ref="BR237:BR245" si="325">BQ237*0.02</f>
        <v>0.5</v>
      </c>
      <c r="BS237" s="102"/>
      <c r="BT237" s="102"/>
      <c r="BU237" s="103">
        <f t="shared" si="277"/>
        <v>0</v>
      </c>
      <c r="BV237" s="77">
        <f t="shared" si="251"/>
        <v>0</v>
      </c>
      <c r="BW237" s="96">
        <f t="shared" si="252"/>
        <v>0</v>
      </c>
      <c r="BX237" s="96">
        <f t="shared" si="278"/>
        <v>0</v>
      </c>
      <c r="BY237" s="96">
        <f t="shared" si="253"/>
        <v>0</v>
      </c>
      <c r="BZ237" s="96" t="e">
        <f t="shared" si="279"/>
        <v>#NUM!</v>
      </c>
      <c r="CA237" s="96" t="e">
        <f t="shared" si="254"/>
        <v>#NUM!</v>
      </c>
      <c r="CB237" s="104" t="e">
        <f t="shared" si="280"/>
        <v>#NUM!</v>
      </c>
      <c r="CC237" s="105">
        <f t="shared" ref="CC237:CC245" si="326">(M237/N237)*100</f>
        <v>12.482071183893041</v>
      </c>
      <c r="CD237" s="106">
        <f t="shared" ref="CD237:CD245" si="327">IF((100-(75*(CC237-1)/(200-1)))&gt;100, 100, IF((100-(75*(CC237-1)/(200-1)))&lt;25, 25, (100-(75*(CC237-1)/(200-1)))))</f>
        <v>95.672586237226241</v>
      </c>
      <c r="CE237" s="107">
        <f t="shared" ref="CE237:CE245" si="328">CD237*0.015</f>
        <v>1.4350887935583936</v>
      </c>
      <c r="CF237" s="108" t="s">
        <v>2189</v>
      </c>
      <c r="CG237" s="108" t="s">
        <v>2189</v>
      </c>
      <c r="CH237" s="108" t="s">
        <v>2189</v>
      </c>
      <c r="CI237" s="108" t="s">
        <v>2189</v>
      </c>
      <c r="CJ237" s="109"/>
      <c r="CM237" s="111">
        <f t="shared" si="284"/>
        <v>25</v>
      </c>
      <c r="CN237" s="107">
        <f t="shared" ref="CN237:CN245" si="329">CM237*0.015</f>
        <v>0.375</v>
      </c>
      <c r="CP237" s="88">
        <f t="shared" si="286"/>
        <v>0</v>
      </c>
      <c r="CQ237" s="78">
        <f t="shared" si="287"/>
        <v>100</v>
      </c>
      <c r="CR237" s="79">
        <f t="shared" ref="CR237:CR245" si="330">CQ237*0.03</f>
        <v>3</v>
      </c>
      <c r="CS237" s="92"/>
      <c r="CT237" s="77">
        <f t="shared" si="255"/>
        <v>0</v>
      </c>
      <c r="CU237" s="78">
        <f t="shared" si="289"/>
        <v>100</v>
      </c>
      <c r="CV237" s="79">
        <f t="shared" ref="CV237:CV245" si="331">CU237*0.02</f>
        <v>2</v>
      </c>
      <c r="CW237" s="112" t="e">
        <f t="shared" si="291"/>
        <v>#DIV/0!</v>
      </c>
    </row>
    <row r="238" spans="1:101" x14ac:dyDescent="0.35">
      <c r="A238" s="7" t="s">
        <v>1530</v>
      </c>
      <c r="B238" s="8" t="s">
        <v>1531</v>
      </c>
      <c r="C238" s="21" t="s">
        <v>1532</v>
      </c>
      <c r="D238" s="22" t="s">
        <v>75</v>
      </c>
      <c r="E238" s="11" t="s">
        <v>149</v>
      </c>
      <c r="F238" s="11" t="s">
        <v>1533</v>
      </c>
      <c r="G238" s="12">
        <v>26840</v>
      </c>
      <c r="H238" s="11" t="s">
        <v>24</v>
      </c>
      <c r="I238" s="11" t="s">
        <v>1534</v>
      </c>
      <c r="J238" s="11" t="s">
        <v>1535</v>
      </c>
      <c r="K238" s="11" t="s">
        <v>27</v>
      </c>
      <c r="L238" s="23">
        <v>8803079613</v>
      </c>
      <c r="M238" s="14">
        <v>3891106993</v>
      </c>
      <c r="N238" s="14">
        <v>4911972621</v>
      </c>
      <c r="O238" s="14">
        <v>2701705575</v>
      </c>
      <c r="P238" s="14">
        <v>177791342</v>
      </c>
      <c r="Q238" s="14">
        <v>7918913</v>
      </c>
      <c r="R238" s="14">
        <v>7342768</v>
      </c>
      <c r="AB238" s="74">
        <f t="shared" si="292"/>
        <v>0</v>
      </c>
      <c r="AC238" s="75" t="e">
        <f t="shared" si="256"/>
        <v>#DIV/0!</v>
      </c>
      <c r="AD238" s="75" t="e">
        <f t="shared" si="293"/>
        <v>#DIV/0!</v>
      </c>
      <c r="AE238" s="76" t="e">
        <f t="shared" si="320"/>
        <v>#DIV/0!</v>
      </c>
      <c r="AF238" s="77" t="e">
        <f t="shared" si="258"/>
        <v>#DIV/0!</v>
      </c>
      <c r="AG238" s="77" t="e">
        <f t="shared" si="259"/>
        <v>#DIV/0!</v>
      </c>
      <c r="AH238" s="77" t="e">
        <f t="shared" si="294"/>
        <v>#DIV/0!</v>
      </c>
      <c r="AI238" s="78" t="e">
        <f t="shared" si="295"/>
        <v>#DIV/0!</v>
      </c>
      <c r="AJ238" s="79" t="e">
        <f t="shared" si="321"/>
        <v>#DIV/0!</v>
      </c>
      <c r="AN238" s="81">
        <f t="shared" si="243"/>
        <v>0</v>
      </c>
      <c r="AO238" s="82" t="e">
        <f t="shared" si="244"/>
        <v>#DIV/0!</v>
      </c>
      <c r="AP238" s="83" t="e">
        <f t="shared" si="261"/>
        <v>#DIV/0!</v>
      </c>
      <c r="AQ238" s="84" t="e">
        <f t="shared" si="322"/>
        <v>#DIV/0!</v>
      </c>
      <c r="AS238" s="86">
        <f t="shared" si="245"/>
        <v>0.5</v>
      </c>
      <c r="AT238" s="87">
        <f t="shared" si="263"/>
        <v>0</v>
      </c>
      <c r="AU238" s="87">
        <f t="shared" si="264"/>
        <v>0</v>
      </c>
      <c r="AV238" s="88" t="e">
        <f t="shared" si="246"/>
        <v>#DIV/0!</v>
      </c>
      <c r="AW238" s="78" t="e">
        <f t="shared" si="265"/>
        <v>#DIV/0!</v>
      </c>
      <c r="AX238" s="89" t="e">
        <f t="shared" si="323"/>
        <v>#DIV/0!</v>
      </c>
      <c r="BA238" s="91">
        <f t="shared" si="247"/>
        <v>0</v>
      </c>
      <c r="BB238" s="77" t="e">
        <f t="shared" si="267"/>
        <v>#DIV/0!</v>
      </c>
      <c r="BC238" s="78" t="e">
        <f t="shared" si="268"/>
        <v>#DIV/0!</v>
      </c>
      <c r="BD238" s="79" t="e">
        <f t="shared" si="324"/>
        <v>#DIV/0!</v>
      </c>
      <c r="BE238" s="92"/>
      <c r="BF238" s="92"/>
      <c r="BG238" s="93">
        <v>0</v>
      </c>
      <c r="BH238" s="94">
        <f t="shared" si="248"/>
        <v>0</v>
      </c>
      <c r="BI238" s="77" t="e">
        <f t="shared" si="249"/>
        <v>#DIV/0!</v>
      </c>
      <c r="BJ238" s="95" t="str">
        <f t="shared" si="270"/>
        <v>금속/비금속/화학업</v>
      </c>
      <c r="BK238" s="96" t="e">
        <f t="shared" si="250"/>
        <v>#DIV/0!</v>
      </c>
      <c r="BL238" s="97" t="e">
        <f t="shared" si="271"/>
        <v>#DIV/0!</v>
      </c>
      <c r="BM238" s="98" t="e">
        <f t="shared" si="272"/>
        <v>#DIV/0!</v>
      </c>
      <c r="BN238" s="99" t="e">
        <f t="shared" si="273"/>
        <v>#DIV/0!</v>
      </c>
      <c r="BP238" s="101">
        <f t="shared" si="274"/>
        <v>0</v>
      </c>
      <c r="BQ238" s="78">
        <f t="shared" si="275"/>
        <v>25</v>
      </c>
      <c r="BR238" s="79">
        <f t="shared" si="325"/>
        <v>0.5</v>
      </c>
      <c r="BS238" s="102"/>
      <c r="BT238" s="102"/>
      <c r="BU238" s="103">
        <f t="shared" si="277"/>
        <v>0</v>
      </c>
      <c r="BV238" s="77">
        <f t="shared" si="251"/>
        <v>0</v>
      </c>
      <c r="BW238" s="96">
        <f t="shared" si="252"/>
        <v>0</v>
      </c>
      <c r="BX238" s="96">
        <f t="shared" si="278"/>
        <v>0</v>
      </c>
      <c r="BY238" s="96">
        <f t="shared" si="253"/>
        <v>0</v>
      </c>
      <c r="BZ238" s="96" t="e">
        <f t="shared" si="279"/>
        <v>#NUM!</v>
      </c>
      <c r="CA238" s="96" t="e">
        <f t="shared" si="254"/>
        <v>#NUM!</v>
      </c>
      <c r="CB238" s="104" t="e">
        <f t="shared" si="280"/>
        <v>#NUM!</v>
      </c>
      <c r="CC238" s="105">
        <f t="shared" si="326"/>
        <v>79.216789123874065</v>
      </c>
      <c r="CD238" s="106">
        <f t="shared" si="327"/>
        <v>70.521310631705759</v>
      </c>
      <c r="CE238" s="107">
        <f t="shared" si="328"/>
        <v>1.0578196594755864</v>
      </c>
      <c r="CF238" s="108" t="s">
        <v>2189</v>
      </c>
      <c r="CG238" s="108" t="s">
        <v>2189</v>
      </c>
      <c r="CH238" s="108" t="s">
        <v>2189</v>
      </c>
      <c r="CI238" s="108" t="s">
        <v>2189</v>
      </c>
      <c r="CJ238" s="109"/>
      <c r="CM238" s="111">
        <f t="shared" si="284"/>
        <v>25</v>
      </c>
      <c r="CN238" s="107">
        <f t="shared" si="329"/>
        <v>0.375</v>
      </c>
      <c r="CP238" s="88">
        <f t="shared" si="286"/>
        <v>0</v>
      </c>
      <c r="CQ238" s="78">
        <f t="shared" si="287"/>
        <v>100</v>
      </c>
      <c r="CR238" s="79">
        <f t="shared" si="330"/>
        <v>3</v>
      </c>
      <c r="CS238" s="92"/>
      <c r="CT238" s="77">
        <f t="shared" si="255"/>
        <v>0</v>
      </c>
      <c r="CU238" s="78">
        <f t="shared" si="289"/>
        <v>100</v>
      </c>
      <c r="CV238" s="79">
        <f t="shared" si="331"/>
        <v>2</v>
      </c>
      <c r="CW238" s="112" t="e">
        <f t="shared" si="291"/>
        <v>#DIV/0!</v>
      </c>
    </row>
    <row r="239" spans="1:101" x14ac:dyDescent="0.35">
      <c r="A239" s="7" t="s">
        <v>1536</v>
      </c>
      <c r="B239" s="8" t="s">
        <v>1537</v>
      </c>
      <c r="C239" s="21" t="s">
        <v>1538</v>
      </c>
      <c r="D239" s="10" t="s">
        <v>141</v>
      </c>
      <c r="E239" s="11" t="s">
        <v>750</v>
      </c>
      <c r="F239" s="11" t="s">
        <v>1539</v>
      </c>
      <c r="G239" s="12">
        <v>43074</v>
      </c>
      <c r="H239" s="11" t="s">
        <v>24</v>
      </c>
      <c r="I239" s="11" t="s">
        <v>1540</v>
      </c>
      <c r="J239" s="11" t="s">
        <v>1541</v>
      </c>
      <c r="K239" s="11" t="s">
        <v>50</v>
      </c>
      <c r="L239" s="23">
        <v>483313332</v>
      </c>
      <c r="M239" s="14">
        <v>57327965</v>
      </c>
      <c r="N239" s="14">
        <v>425985367</v>
      </c>
      <c r="O239" s="14">
        <v>378192950</v>
      </c>
      <c r="P239" s="14">
        <v>60336561</v>
      </c>
      <c r="Q239" s="14">
        <v>70491799</v>
      </c>
      <c r="R239" s="14">
        <v>55385939</v>
      </c>
      <c r="AB239" s="74">
        <f t="shared" si="292"/>
        <v>0</v>
      </c>
      <c r="AC239" s="75" t="e">
        <f t="shared" si="256"/>
        <v>#DIV/0!</v>
      </c>
      <c r="AD239" s="75" t="e">
        <f t="shared" si="293"/>
        <v>#DIV/0!</v>
      </c>
      <c r="AE239" s="76" t="e">
        <f t="shared" si="320"/>
        <v>#DIV/0!</v>
      </c>
      <c r="AF239" s="77" t="e">
        <f t="shared" si="258"/>
        <v>#DIV/0!</v>
      </c>
      <c r="AG239" s="77" t="e">
        <f t="shared" si="259"/>
        <v>#DIV/0!</v>
      </c>
      <c r="AH239" s="77" t="e">
        <f t="shared" si="294"/>
        <v>#DIV/0!</v>
      </c>
      <c r="AI239" s="78" t="e">
        <f t="shared" si="295"/>
        <v>#DIV/0!</v>
      </c>
      <c r="AJ239" s="79" t="e">
        <f t="shared" si="321"/>
        <v>#DIV/0!</v>
      </c>
      <c r="AN239" s="81">
        <f t="shared" si="243"/>
        <v>0</v>
      </c>
      <c r="AO239" s="82" t="e">
        <f t="shared" si="244"/>
        <v>#DIV/0!</v>
      </c>
      <c r="AP239" s="83" t="e">
        <f t="shared" si="261"/>
        <v>#DIV/0!</v>
      </c>
      <c r="AQ239" s="84" t="e">
        <f t="shared" si="322"/>
        <v>#DIV/0!</v>
      </c>
      <c r="AS239" s="86">
        <f t="shared" si="245"/>
        <v>0.25</v>
      </c>
      <c r="AT239" s="87">
        <f t="shared" si="263"/>
        <v>0</v>
      </c>
      <c r="AU239" s="87">
        <f t="shared" si="264"/>
        <v>0</v>
      </c>
      <c r="AV239" s="88" t="e">
        <f t="shared" si="246"/>
        <v>#DIV/0!</v>
      </c>
      <c r="AW239" s="78" t="e">
        <f t="shared" si="265"/>
        <v>#DIV/0!</v>
      </c>
      <c r="AX239" s="89" t="e">
        <f t="shared" si="323"/>
        <v>#DIV/0!</v>
      </c>
      <c r="BA239" s="91">
        <f t="shared" si="247"/>
        <v>0</v>
      </c>
      <c r="BB239" s="77" t="e">
        <f t="shared" si="267"/>
        <v>#DIV/0!</v>
      </c>
      <c r="BC239" s="78" t="e">
        <f t="shared" si="268"/>
        <v>#DIV/0!</v>
      </c>
      <c r="BD239" s="79" t="e">
        <f t="shared" si="324"/>
        <v>#DIV/0!</v>
      </c>
      <c r="BE239" s="92"/>
      <c r="BF239" s="92"/>
      <c r="BG239" s="114">
        <v>301616</v>
      </c>
      <c r="BH239" s="94">
        <f t="shared" si="248"/>
        <v>0</v>
      </c>
      <c r="BI239" s="77" t="e">
        <f t="shared" si="249"/>
        <v>#DIV/0!</v>
      </c>
      <c r="BJ239" s="95" t="str">
        <f t="shared" si="270"/>
        <v>전기전자/기계업</v>
      </c>
      <c r="BK239" s="96" t="e">
        <f t="shared" si="250"/>
        <v>#DIV/0!</v>
      </c>
      <c r="BL239" s="97" t="e">
        <f t="shared" si="271"/>
        <v>#DIV/0!</v>
      </c>
      <c r="BM239" s="98" t="e">
        <f t="shared" si="272"/>
        <v>#DIV/0!</v>
      </c>
      <c r="BN239" s="99" t="e">
        <f t="shared" si="273"/>
        <v>#DIV/0!</v>
      </c>
      <c r="BP239" s="101">
        <f t="shared" si="274"/>
        <v>0</v>
      </c>
      <c r="BQ239" s="78">
        <f t="shared" si="275"/>
        <v>25</v>
      </c>
      <c r="BR239" s="79">
        <f t="shared" si="325"/>
        <v>0.5</v>
      </c>
      <c r="BS239" s="102"/>
      <c r="BT239" s="102"/>
      <c r="BU239" s="103">
        <f t="shared" si="277"/>
        <v>0</v>
      </c>
      <c r="BV239" s="77">
        <f t="shared" si="251"/>
        <v>0</v>
      </c>
      <c r="BW239" s="96">
        <f t="shared" si="252"/>
        <v>0</v>
      </c>
      <c r="BX239" s="96">
        <f t="shared" si="278"/>
        <v>0</v>
      </c>
      <c r="BY239" s="96">
        <f t="shared" si="253"/>
        <v>0</v>
      </c>
      <c r="BZ239" s="96" t="e">
        <f t="shared" si="279"/>
        <v>#NUM!</v>
      </c>
      <c r="CA239" s="96" t="e">
        <f t="shared" si="254"/>
        <v>#NUM!</v>
      </c>
      <c r="CB239" s="104" t="e">
        <f t="shared" si="280"/>
        <v>#NUM!</v>
      </c>
      <c r="CC239" s="105">
        <f t="shared" si="326"/>
        <v>13.457731049245172</v>
      </c>
      <c r="CD239" s="106">
        <f t="shared" si="327"/>
        <v>95.304875232696546</v>
      </c>
      <c r="CE239" s="107">
        <f t="shared" si="328"/>
        <v>1.429573128490448</v>
      </c>
      <c r="CF239" s="108" t="s">
        <v>2189</v>
      </c>
      <c r="CG239" s="108" t="s">
        <v>2189</v>
      </c>
      <c r="CH239" s="108" t="s">
        <v>2189</v>
      </c>
      <c r="CI239" s="108" t="s">
        <v>2189</v>
      </c>
      <c r="CJ239" s="109"/>
      <c r="CM239" s="111">
        <f t="shared" si="284"/>
        <v>25</v>
      </c>
      <c r="CN239" s="107">
        <f t="shared" si="329"/>
        <v>0.375</v>
      </c>
      <c r="CP239" s="88">
        <f t="shared" si="286"/>
        <v>0</v>
      </c>
      <c r="CQ239" s="78">
        <f t="shared" si="287"/>
        <v>100</v>
      </c>
      <c r="CR239" s="79">
        <f t="shared" si="330"/>
        <v>3</v>
      </c>
      <c r="CS239" s="92"/>
      <c r="CT239" s="77">
        <f t="shared" si="255"/>
        <v>0</v>
      </c>
      <c r="CU239" s="78">
        <f t="shared" si="289"/>
        <v>100</v>
      </c>
      <c r="CV239" s="79">
        <f t="shared" si="331"/>
        <v>2</v>
      </c>
      <c r="CW239" s="112" t="e">
        <f t="shared" si="291"/>
        <v>#DIV/0!</v>
      </c>
    </row>
    <row r="240" spans="1:101" x14ac:dyDescent="0.35">
      <c r="A240" s="7" t="s">
        <v>1542</v>
      </c>
      <c r="B240" s="8" t="s">
        <v>1543</v>
      </c>
      <c r="C240" s="21" t="s">
        <v>1544</v>
      </c>
      <c r="D240" s="22" t="s">
        <v>21</v>
      </c>
      <c r="E240" s="11" t="s">
        <v>39</v>
      </c>
      <c r="F240" s="11" t="s">
        <v>1545</v>
      </c>
      <c r="G240" s="12">
        <v>28762</v>
      </c>
      <c r="H240" s="11" t="s">
        <v>24</v>
      </c>
      <c r="I240" s="11" t="s">
        <v>1546</v>
      </c>
      <c r="J240" s="11" t="s">
        <v>1547</v>
      </c>
      <c r="K240" s="11" t="s">
        <v>27</v>
      </c>
      <c r="L240" s="23">
        <v>501506960</v>
      </c>
      <c r="M240" s="14">
        <v>297824193</v>
      </c>
      <c r="N240" s="14">
        <v>203682767</v>
      </c>
      <c r="O240" s="14">
        <v>628065353</v>
      </c>
      <c r="P240" s="14">
        <v>22866089</v>
      </c>
      <c r="Q240" s="14">
        <v>14957802</v>
      </c>
      <c r="R240" s="14">
        <v>12222578</v>
      </c>
      <c r="AB240" s="74">
        <f t="shared" si="292"/>
        <v>0</v>
      </c>
      <c r="AC240" s="75" t="e">
        <f t="shared" si="256"/>
        <v>#DIV/0!</v>
      </c>
      <c r="AD240" s="75" t="e">
        <f t="shared" si="293"/>
        <v>#DIV/0!</v>
      </c>
      <c r="AE240" s="76" t="e">
        <f t="shared" si="320"/>
        <v>#DIV/0!</v>
      </c>
      <c r="AF240" s="77" t="e">
        <f t="shared" si="258"/>
        <v>#DIV/0!</v>
      </c>
      <c r="AG240" s="77" t="e">
        <f t="shared" si="259"/>
        <v>#DIV/0!</v>
      </c>
      <c r="AH240" s="77" t="e">
        <f t="shared" si="294"/>
        <v>#DIV/0!</v>
      </c>
      <c r="AI240" s="78" t="e">
        <f t="shared" si="295"/>
        <v>#DIV/0!</v>
      </c>
      <c r="AJ240" s="79" t="e">
        <f t="shared" si="321"/>
        <v>#DIV/0!</v>
      </c>
      <c r="AN240" s="81">
        <f t="shared" si="243"/>
        <v>0</v>
      </c>
      <c r="AO240" s="82" t="e">
        <f t="shared" si="244"/>
        <v>#DIV/0!</v>
      </c>
      <c r="AP240" s="83" t="e">
        <f t="shared" si="261"/>
        <v>#DIV/0!</v>
      </c>
      <c r="AQ240" s="84" t="e">
        <f t="shared" si="322"/>
        <v>#DIV/0!</v>
      </c>
      <c r="AS240" s="86">
        <f t="shared" si="245"/>
        <v>0.25</v>
      </c>
      <c r="AT240" s="87">
        <f t="shared" si="263"/>
        <v>0</v>
      </c>
      <c r="AU240" s="87">
        <f t="shared" si="264"/>
        <v>0</v>
      </c>
      <c r="AV240" s="88" t="e">
        <f t="shared" si="246"/>
        <v>#DIV/0!</v>
      </c>
      <c r="AW240" s="78" t="e">
        <f t="shared" si="265"/>
        <v>#DIV/0!</v>
      </c>
      <c r="AX240" s="89" t="e">
        <f t="shared" si="323"/>
        <v>#DIV/0!</v>
      </c>
      <c r="BA240" s="91">
        <f t="shared" si="247"/>
        <v>0</v>
      </c>
      <c r="BB240" s="77" t="e">
        <f t="shared" si="267"/>
        <v>#DIV/0!</v>
      </c>
      <c r="BC240" s="78" t="e">
        <f t="shared" si="268"/>
        <v>#DIV/0!</v>
      </c>
      <c r="BD240" s="79" t="e">
        <f t="shared" si="324"/>
        <v>#DIV/0!</v>
      </c>
      <c r="BE240" s="92"/>
      <c r="BF240" s="92"/>
      <c r="BG240" s="114">
        <v>433819</v>
      </c>
      <c r="BH240" s="94">
        <f t="shared" si="248"/>
        <v>0</v>
      </c>
      <c r="BI240" s="77" t="e">
        <f t="shared" si="249"/>
        <v>#DIV/0!</v>
      </c>
      <c r="BJ240" s="95" t="str">
        <f t="shared" si="270"/>
        <v>비제조/서비스업</v>
      </c>
      <c r="BK240" s="96" t="e">
        <f t="shared" si="250"/>
        <v>#DIV/0!</v>
      </c>
      <c r="BL240" s="97" t="e">
        <f t="shared" si="271"/>
        <v>#DIV/0!</v>
      </c>
      <c r="BM240" s="98" t="e">
        <f t="shared" si="272"/>
        <v>#DIV/0!</v>
      </c>
      <c r="BN240" s="99" t="e">
        <f t="shared" si="273"/>
        <v>#DIV/0!</v>
      </c>
      <c r="BP240" s="101">
        <f t="shared" si="274"/>
        <v>0</v>
      </c>
      <c r="BQ240" s="78">
        <f t="shared" si="275"/>
        <v>25</v>
      </c>
      <c r="BR240" s="79">
        <f t="shared" si="325"/>
        <v>0.5</v>
      </c>
      <c r="BS240" s="102"/>
      <c r="BT240" s="102"/>
      <c r="BU240" s="103">
        <f t="shared" si="277"/>
        <v>0</v>
      </c>
      <c r="BV240" s="77">
        <f t="shared" si="251"/>
        <v>0</v>
      </c>
      <c r="BW240" s="96">
        <f t="shared" si="252"/>
        <v>0</v>
      </c>
      <c r="BX240" s="96">
        <f t="shared" si="278"/>
        <v>0</v>
      </c>
      <c r="BY240" s="96">
        <f t="shared" si="253"/>
        <v>0</v>
      </c>
      <c r="BZ240" s="96" t="e">
        <f t="shared" si="279"/>
        <v>#NUM!</v>
      </c>
      <c r="CA240" s="96" t="e">
        <f t="shared" si="254"/>
        <v>#NUM!</v>
      </c>
      <c r="CB240" s="104" t="e">
        <f t="shared" si="280"/>
        <v>#NUM!</v>
      </c>
      <c r="CC240" s="105">
        <f t="shared" si="326"/>
        <v>146.21963231675855</v>
      </c>
      <c r="CD240" s="106">
        <f t="shared" si="327"/>
        <v>45.268982795191498</v>
      </c>
      <c r="CE240" s="107">
        <f t="shared" si="328"/>
        <v>0.67903474192787239</v>
      </c>
      <c r="CF240" s="108" t="s">
        <v>2189</v>
      </c>
      <c r="CG240" s="108" t="s">
        <v>2189</v>
      </c>
      <c r="CH240" s="108" t="s">
        <v>2189</v>
      </c>
      <c r="CI240" s="108" t="s">
        <v>2189</v>
      </c>
      <c r="CJ240" s="109"/>
      <c r="CM240" s="111">
        <f t="shared" si="284"/>
        <v>25</v>
      </c>
      <c r="CN240" s="107">
        <f t="shared" si="329"/>
        <v>0.375</v>
      </c>
      <c r="CP240" s="88">
        <f t="shared" si="286"/>
        <v>0</v>
      </c>
      <c r="CQ240" s="78">
        <f t="shared" si="287"/>
        <v>100</v>
      </c>
      <c r="CR240" s="79">
        <f t="shared" si="330"/>
        <v>3</v>
      </c>
      <c r="CS240" s="92"/>
      <c r="CT240" s="77">
        <f t="shared" si="255"/>
        <v>0</v>
      </c>
      <c r="CU240" s="78">
        <f t="shared" si="289"/>
        <v>100</v>
      </c>
      <c r="CV240" s="79">
        <f t="shared" si="331"/>
        <v>2</v>
      </c>
      <c r="CW240" s="112" t="e">
        <f t="shared" si="291"/>
        <v>#DIV/0!</v>
      </c>
    </row>
    <row r="241" spans="1:101" x14ac:dyDescent="0.35">
      <c r="A241" s="7" t="s">
        <v>1548</v>
      </c>
      <c r="B241" s="8" t="s">
        <v>1549</v>
      </c>
      <c r="C241" s="21" t="s">
        <v>1550</v>
      </c>
      <c r="D241" s="22" t="s">
        <v>21</v>
      </c>
      <c r="E241" s="11" t="s">
        <v>1551</v>
      </c>
      <c r="F241" s="11" t="s">
        <v>1552</v>
      </c>
      <c r="G241" s="12">
        <v>44482</v>
      </c>
      <c r="H241" s="11" t="s">
        <v>24</v>
      </c>
      <c r="I241" s="11" t="s">
        <v>1553</v>
      </c>
      <c r="J241" s="11" t="s">
        <v>1554</v>
      </c>
      <c r="K241" s="11" t="s">
        <v>27</v>
      </c>
      <c r="L241" s="23">
        <v>534356691</v>
      </c>
      <c r="M241" s="14">
        <v>288535624</v>
      </c>
      <c r="N241" s="14">
        <v>245821067</v>
      </c>
      <c r="O241" s="14">
        <v>2177261974</v>
      </c>
      <c r="P241" s="14">
        <v>50047663</v>
      </c>
      <c r="Q241" s="14">
        <v>39570210</v>
      </c>
      <c r="R241" s="14">
        <v>30363689</v>
      </c>
      <c r="AB241" s="74">
        <f t="shared" si="292"/>
        <v>0</v>
      </c>
      <c r="AC241" s="75" t="e">
        <f t="shared" si="256"/>
        <v>#DIV/0!</v>
      </c>
      <c r="AD241" s="75" t="e">
        <f t="shared" si="293"/>
        <v>#DIV/0!</v>
      </c>
      <c r="AE241" s="76" t="e">
        <f t="shared" si="320"/>
        <v>#DIV/0!</v>
      </c>
      <c r="AF241" s="77" t="e">
        <f t="shared" si="258"/>
        <v>#DIV/0!</v>
      </c>
      <c r="AG241" s="77" t="e">
        <f t="shared" si="259"/>
        <v>#DIV/0!</v>
      </c>
      <c r="AH241" s="77" t="e">
        <f t="shared" si="294"/>
        <v>#DIV/0!</v>
      </c>
      <c r="AI241" s="78" t="e">
        <f t="shared" si="295"/>
        <v>#DIV/0!</v>
      </c>
      <c r="AJ241" s="79" t="e">
        <f t="shared" si="321"/>
        <v>#DIV/0!</v>
      </c>
      <c r="AN241" s="81">
        <f t="shared" si="243"/>
        <v>0</v>
      </c>
      <c r="AO241" s="82" t="e">
        <f t="shared" si="244"/>
        <v>#DIV/0!</v>
      </c>
      <c r="AP241" s="83" t="e">
        <f t="shared" si="261"/>
        <v>#DIV/0!</v>
      </c>
      <c r="AQ241" s="84" t="e">
        <f t="shared" si="322"/>
        <v>#DIV/0!</v>
      </c>
      <c r="AS241" s="86">
        <f t="shared" si="245"/>
        <v>0.25</v>
      </c>
      <c r="AT241" s="87">
        <f t="shared" si="263"/>
        <v>0</v>
      </c>
      <c r="AU241" s="87">
        <f t="shared" si="264"/>
        <v>0</v>
      </c>
      <c r="AV241" s="88" t="e">
        <f t="shared" si="246"/>
        <v>#DIV/0!</v>
      </c>
      <c r="AW241" s="78" t="e">
        <f t="shared" si="265"/>
        <v>#DIV/0!</v>
      </c>
      <c r="AX241" s="89" t="e">
        <f t="shared" si="323"/>
        <v>#DIV/0!</v>
      </c>
      <c r="BA241" s="91">
        <f t="shared" si="247"/>
        <v>0</v>
      </c>
      <c r="BB241" s="77" t="e">
        <f t="shared" si="267"/>
        <v>#DIV/0!</v>
      </c>
      <c r="BC241" s="78" t="e">
        <f t="shared" si="268"/>
        <v>#DIV/0!</v>
      </c>
      <c r="BD241" s="79" t="e">
        <f t="shared" si="324"/>
        <v>#DIV/0!</v>
      </c>
      <c r="BE241" s="92"/>
      <c r="BF241" s="92"/>
      <c r="BG241" s="114">
        <v>1809531</v>
      </c>
      <c r="BH241" s="94">
        <f t="shared" si="248"/>
        <v>0</v>
      </c>
      <c r="BI241" s="77" t="e">
        <f t="shared" si="249"/>
        <v>#DIV/0!</v>
      </c>
      <c r="BJ241" s="95" t="str">
        <f t="shared" si="270"/>
        <v>비제조/서비스업</v>
      </c>
      <c r="BK241" s="96" t="e">
        <f t="shared" si="250"/>
        <v>#DIV/0!</v>
      </c>
      <c r="BL241" s="97" t="e">
        <f t="shared" si="271"/>
        <v>#DIV/0!</v>
      </c>
      <c r="BM241" s="98" t="e">
        <f t="shared" si="272"/>
        <v>#DIV/0!</v>
      </c>
      <c r="BN241" s="99" t="e">
        <f t="shared" si="273"/>
        <v>#DIV/0!</v>
      </c>
      <c r="BP241" s="101">
        <f t="shared" si="274"/>
        <v>0</v>
      </c>
      <c r="BQ241" s="78">
        <f t="shared" si="275"/>
        <v>25</v>
      </c>
      <c r="BR241" s="79">
        <f t="shared" si="325"/>
        <v>0.5</v>
      </c>
      <c r="BS241" s="102"/>
      <c r="BT241" s="102"/>
      <c r="BU241" s="103">
        <f t="shared" si="277"/>
        <v>0</v>
      </c>
      <c r="BV241" s="77">
        <f t="shared" si="251"/>
        <v>0</v>
      </c>
      <c r="BW241" s="96">
        <f t="shared" si="252"/>
        <v>0</v>
      </c>
      <c r="BX241" s="96">
        <f t="shared" si="278"/>
        <v>0</v>
      </c>
      <c r="BY241" s="96">
        <f t="shared" si="253"/>
        <v>0</v>
      </c>
      <c r="BZ241" s="96" t="e">
        <f t="shared" si="279"/>
        <v>#NUM!</v>
      </c>
      <c r="CA241" s="96" t="e">
        <f t="shared" si="254"/>
        <v>#NUM!</v>
      </c>
      <c r="CB241" s="104" t="e">
        <f t="shared" si="280"/>
        <v>#NUM!</v>
      </c>
      <c r="CC241" s="105">
        <f t="shared" si="326"/>
        <v>117.37628004031077</v>
      </c>
      <c r="CD241" s="106">
        <f t="shared" si="327"/>
        <v>56.13959294963162</v>
      </c>
      <c r="CE241" s="107">
        <f t="shared" si="328"/>
        <v>0.84209389424447423</v>
      </c>
      <c r="CF241" s="108" t="s">
        <v>2189</v>
      </c>
      <c r="CG241" s="108" t="s">
        <v>2189</v>
      </c>
      <c r="CH241" s="108" t="s">
        <v>2189</v>
      </c>
      <c r="CI241" s="108" t="s">
        <v>2189</v>
      </c>
      <c r="CJ241" s="109"/>
      <c r="CM241" s="111">
        <f t="shared" si="284"/>
        <v>25</v>
      </c>
      <c r="CN241" s="107">
        <f t="shared" si="329"/>
        <v>0.375</v>
      </c>
      <c r="CP241" s="88">
        <f t="shared" si="286"/>
        <v>0</v>
      </c>
      <c r="CQ241" s="78">
        <f t="shared" si="287"/>
        <v>100</v>
      </c>
      <c r="CR241" s="79">
        <f t="shared" si="330"/>
        <v>3</v>
      </c>
      <c r="CS241" s="92"/>
      <c r="CT241" s="77">
        <f t="shared" si="255"/>
        <v>0</v>
      </c>
      <c r="CU241" s="78">
        <f t="shared" si="289"/>
        <v>100</v>
      </c>
      <c r="CV241" s="79">
        <f t="shared" si="331"/>
        <v>2</v>
      </c>
      <c r="CW241" s="112" t="e">
        <f t="shared" si="291"/>
        <v>#DIV/0!</v>
      </c>
    </row>
    <row r="242" spans="1:101" x14ac:dyDescent="0.35">
      <c r="A242" s="7" t="s">
        <v>1555</v>
      </c>
      <c r="B242" s="8" t="s">
        <v>1556</v>
      </c>
      <c r="C242" s="21" t="s">
        <v>1557</v>
      </c>
      <c r="D242" s="22" t="s">
        <v>141</v>
      </c>
      <c r="E242" s="11" t="s">
        <v>234</v>
      </c>
      <c r="F242" s="11" t="s">
        <v>1558</v>
      </c>
      <c r="G242" s="12">
        <v>36152</v>
      </c>
      <c r="H242" s="11" t="s">
        <v>24</v>
      </c>
      <c r="I242" s="11" t="s">
        <v>1559</v>
      </c>
      <c r="J242" s="11" t="s">
        <v>1560</v>
      </c>
      <c r="K242" s="11" t="s">
        <v>50</v>
      </c>
      <c r="L242" s="23">
        <v>30417774000</v>
      </c>
      <c r="M242" s="14">
        <v>15559694000</v>
      </c>
      <c r="N242" s="14">
        <v>14858080000</v>
      </c>
      <c r="O242" s="14">
        <v>18289243000</v>
      </c>
      <c r="P242" s="14">
        <v>1168103000</v>
      </c>
      <c r="Q242" s="14">
        <v>1270743000</v>
      </c>
      <c r="R242" s="14">
        <v>763750000</v>
      </c>
      <c r="AB242" s="74">
        <f t="shared" si="292"/>
        <v>0</v>
      </c>
      <c r="AC242" s="75" t="e">
        <f t="shared" si="256"/>
        <v>#DIV/0!</v>
      </c>
      <c r="AD242" s="75" t="e">
        <f t="shared" si="293"/>
        <v>#DIV/0!</v>
      </c>
      <c r="AE242" s="76" t="e">
        <f t="shared" si="320"/>
        <v>#DIV/0!</v>
      </c>
      <c r="AF242" s="77" t="e">
        <f t="shared" si="258"/>
        <v>#DIV/0!</v>
      </c>
      <c r="AG242" s="77" t="e">
        <f t="shared" si="259"/>
        <v>#DIV/0!</v>
      </c>
      <c r="AH242" s="77" t="e">
        <f t="shared" si="294"/>
        <v>#DIV/0!</v>
      </c>
      <c r="AI242" s="78" t="e">
        <f t="shared" si="295"/>
        <v>#DIV/0!</v>
      </c>
      <c r="AJ242" s="79" t="e">
        <f t="shared" si="321"/>
        <v>#DIV/0!</v>
      </c>
      <c r="AN242" s="81">
        <f t="shared" si="243"/>
        <v>0</v>
      </c>
      <c r="AO242" s="82" t="e">
        <f t="shared" si="244"/>
        <v>#DIV/0!</v>
      </c>
      <c r="AP242" s="83" t="e">
        <f t="shared" si="261"/>
        <v>#DIV/0!</v>
      </c>
      <c r="AQ242" s="84" t="e">
        <f t="shared" si="322"/>
        <v>#DIV/0!</v>
      </c>
      <c r="AS242" s="86">
        <f t="shared" si="245"/>
        <v>0.5</v>
      </c>
      <c r="AT242" s="87">
        <f t="shared" si="263"/>
        <v>0</v>
      </c>
      <c r="AU242" s="87">
        <f t="shared" si="264"/>
        <v>0</v>
      </c>
      <c r="AV242" s="88" t="e">
        <f t="shared" si="246"/>
        <v>#DIV/0!</v>
      </c>
      <c r="AW242" s="78" t="e">
        <f t="shared" si="265"/>
        <v>#DIV/0!</v>
      </c>
      <c r="AX242" s="89" t="e">
        <f t="shared" si="323"/>
        <v>#DIV/0!</v>
      </c>
      <c r="BA242" s="91">
        <f t="shared" si="247"/>
        <v>0</v>
      </c>
      <c r="BB242" s="77" t="e">
        <f t="shared" si="267"/>
        <v>#DIV/0!</v>
      </c>
      <c r="BC242" s="78" t="e">
        <f t="shared" si="268"/>
        <v>#DIV/0!</v>
      </c>
      <c r="BD242" s="79" t="e">
        <f t="shared" si="324"/>
        <v>#DIV/0!</v>
      </c>
      <c r="BE242" s="92"/>
      <c r="BF242" s="92"/>
      <c r="BG242" s="93">
        <v>0</v>
      </c>
      <c r="BH242" s="94">
        <f t="shared" si="248"/>
        <v>0</v>
      </c>
      <c r="BI242" s="77" t="e">
        <f t="shared" si="249"/>
        <v>#DIV/0!</v>
      </c>
      <c r="BJ242" s="95" t="str">
        <f t="shared" si="270"/>
        <v>전기전자/기계업</v>
      </c>
      <c r="BK242" s="96" t="e">
        <f t="shared" si="250"/>
        <v>#DIV/0!</v>
      </c>
      <c r="BL242" s="97" t="e">
        <f t="shared" si="271"/>
        <v>#DIV/0!</v>
      </c>
      <c r="BM242" s="98" t="e">
        <f t="shared" si="272"/>
        <v>#DIV/0!</v>
      </c>
      <c r="BN242" s="99" t="e">
        <f t="shared" si="273"/>
        <v>#DIV/0!</v>
      </c>
      <c r="BP242" s="101">
        <f t="shared" si="274"/>
        <v>0</v>
      </c>
      <c r="BQ242" s="78">
        <f t="shared" si="275"/>
        <v>25</v>
      </c>
      <c r="BR242" s="79">
        <f t="shared" si="325"/>
        <v>0.5</v>
      </c>
      <c r="BS242" s="102"/>
      <c r="BT242" s="102"/>
      <c r="BU242" s="103">
        <f t="shared" si="277"/>
        <v>0</v>
      </c>
      <c r="BV242" s="77">
        <f t="shared" si="251"/>
        <v>0</v>
      </c>
      <c r="BW242" s="96">
        <f t="shared" si="252"/>
        <v>0</v>
      </c>
      <c r="BX242" s="96">
        <f t="shared" si="278"/>
        <v>0</v>
      </c>
      <c r="BY242" s="96">
        <f t="shared" si="253"/>
        <v>0</v>
      </c>
      <c r="BZ242" s="96" t="e">
        <f t="shared" si="279"/>
        <v>#NUM!</v>
      </c>
      <c r="CA242" s="96" t="e">
        <f t="shared" si="254"/>
        <v>#NUM!</v>
      </c>
      <c r="CB242" s="104" t="e">
        <f t="shared" si="280"/>
        <v>#NUM!</v>
      </c>
      <c r="CC242" s="105">
        <f t="shared" si="326"/>
        <v>104.7221040672819</v>
      </c>
      <c r="CD242" s="106">
        <f t="shared" si="327"/>
        <v>60.908754748511846</v>
      </c>
      <c r="CE242" s="107">
        <f t="shared" si="328"/>
        <v>0.91363132122767765</v>
      </c>
      <c r="CF242" s="108" t="s">
        <v>2189</v>
      </c>
      <c r="CG242" s="108" t="s">
        <v>2189</v>
      </c>
      <c r="CH242" s="108" t="s">
        <v>2189</v>
      </c>
      <c r="CI242" s="108" t="s">
        <v>2189</v>
      </c>
      <c r="CJ242" s="109"/>
      <c r="CM242" s="111">
        <f t="shared" si="284"/>
        <v>25</v>
      </c>
      <c r="CN242" s="107">
        <f t="shared" si="329"/>
        <v>0.375</v>
      </c>
      <c r="CP242" s="88">
        <f t="shared" si="286"/>
        <v>0</v>
      </c>
      <c r="CQ242" s="78">
        <f t="shared" si="287"/>
        <v>100</v>
      </c>
      <c r="CR242" s="79">
        <f t="shared" si="330"/>
        <v>3</v>
      </c>
      <c r="CS242" s="92"/>
      <c r="CT242" s="77">
        <f t="shared" si="255"/>
        <v>0</v>
      </c>
      <c r="CU242" s="78">
        <f t="shared" si="289"/>
        <v>100</v>
      </c>
      <c r="CV242" s="79">
        <f t="shared" si="331"/>
        <v>2</v>
      </c>
      <c r="CW242" s="112" t="e">
        <f t="shared" si="291"/>
        <v>#DIV/0!</v>
      </c>
    </row>
    <row r="243" spans="1:101" x14ac:dyDescent="0.35">
      <c r="A243" s="7" t="s">
        <v>1561</v>
      </c>
      <c r="B243" s="8" t="s">
        <v>1562</v>
      </c>
      <c r="C243" s="21" t="s">
        <v>1563</v>
      </c>
      <c r="D243" s="22" t="s">
        <v>21</v>
      </c>
      <c r="E243" s="11" t="s">
        <v>1564</v>
      </c>
      <c r="F243" s="11" t="s">
        <v>1565</v>
      </c>
      <c r="G243" s="12">
        <v>40697</v>
      </c>
      <c r="H243" s="11" t="s">
        <v>24</v>
      </c>
      <c r="I243" s="11" t="s">
        <v>1566</v>
      </c>
      <c r="J243" s="11" t="s">
        <v>1567</v>
      </c>
      <c r="K243" s="11" t="s">
        <v>27</v>
      </c>
      <c r="L243" s="23">
        <v>1160021099</v>
      </c>
      <c r="M243" s="14">
        <v>357640642</v>
      </c>
      <c r="N243" s="14">
        <v>802380457</v>
      </c>
      <c r="O243" s="14">
        <v>704927362</v>
      </c>
      <c r="P243" s="14">
        <v>50599970</v>
      </c>
      <c r="Q243" s="14">
        <v>45652874</v>
      </c>
      <c r="R243" s="14">
        <v>34327224</v>
      </c>
      <c r="AB243" s="74">
        <f t="shared" si="292"/>
        <v>0</v>
      </c>
      <c r="AC243" s="75" t="e">
        <f t="shared" si="256"/>
        <v>#DIV/0!</v>
      </c>
      <c r="AD243" s="75" t="e">
        <f t="shared" si="293"/>
        <v>#DIV/0!</v>
      </c>
      <c r="AE243" s="76" t="e">
        <f t="shared" si="320"/>
        <v>#DIV/0!</v>
      </c>
      <c r="AF243" s="77" t="e">
        <f t="shared" si="258"/>
        <v>#DIV/0!</v>
      </c>
      <c r="AG243" s="77" t="e">
        <f t="shared" si="259"/>
        <v>#DIV/0!</v>
      </c>
      <c r="AH243" s="77" t="e">
        <f t="shared" si="294"/>
        <v>#DIV/0!</v>
      </c>
      <c r="AI243" s="78" t="e">
        <f t="shared" si="295"/>
        <v>#DIV/0!</v>
      </c>
      <c r="AJ243" s="79" t="e">
        <f t="shared" si="321"/>
        <v>#DIV/0!</v>
      </c>
      <c r="AN243" s="81">
        <f t="shared" si="243"/>
        <v>0</v>
      </c>
      <c r="AO243" s="82" t="e">
        <f t="shared" si="244"/>
        <v>#DIV/0!</v>
      </c>
      <c r="AP243" s="83" t="e">
        <f t="shared" si="261"/>
        <v>#DIV/0!</v>
      </c>
      <c r="AQ243" s="84" t="e">
        <f t="shared" si="322"/>
        <v>#DIV/0!</v>
      </c>
      <c r="AS243" s="86">
        <f t="shared" si="245"/>
        <v>0.25</v>
      </c>
      <c r="AT243" s="87">
        <f t="shared" si="263"/>
        <v>0</v>
      </c>
      <c r="AU243" s="87">
        <f t="shared" si="264"/>
        <v>0</v>
      </c>
      <c r="AV243" s="88" t="e">
        <f t="shared" si="246"/>
        <v>#DIV/0!</v>
      </c>
      <c r="AW243" s="78" t="e">
        <f t="shared" si="265"/>
        <v>#DIV/0!</v>
      </c>
      <c r="AX243" s="89" t="e">
        <f t="shared" si="323"/>
        <v>#DIV/0!</v>
      </c>
      <c r="BA243" s="91">
        <f t="shared" si="247"/>
        <v>0</v>
      </c>
      <c r="BB243" s="77" t="e">
        <f t="shared" si="267"/>
        <v>#DIV/0!</v>
      </c>
      <c r="BC243" s="78" t="e">
        <f t="shared" si="268"/>
        <v>#DIV/0!</v>
      </c>
      <c r="BD243" s="79" t="e">
        <f t="shared" si="324"/>
        <v>#DIV/0!</v>
      </c>
      <c r="BE243" s="92"/>
      <c r="BF243" s="92"/>
      <c r="BG243" s="93">
        <v>0</v>
      </c>
      <c r="BH243" s="94">
        <f t="shared" si="248"/>
        <v>0</v>
      </c>
      <c r="BI243" s="77" t="e">
        <f t="shared" si="249"/>
        <v>#DIV/0!</v>
      </c>
      <c r="BJ243" s="95" t="str">
        <f t="shared" si="270"/>
        <v>비제조/서비스업</v>
      </c>
      <c r="BK243" s="96" t="e">
        <f t="shared" si="250"/>
        <v>#DIV/0!</v>
      </c>
      <c r="BL243" s="97" t="e">
        <f t="shared" si="271"/>
        <v>#DIV/0!</v>
      </c>
      <c r="BM243" s="98" t="e">
        <f t="shared" si="272"/>
        <v>#DIV/0!</v>
      </c>
      <c r="BN243" s="99" t="e">
        <f t="shared" si="273"/>
        <v>#DIV/0!</v>
      </c>
      <c r="BP243" s="101">
        <f t="shared" si="274"/>
        <v>0</v>
      </c>
      <c r="BQ243" s="78">
        <f t="shared" si="275"/>
        <v>25</v>
      </c>
      <c r="BR243" s="79">
        <f t="shared" si="325"/>
        <v>0.5</v>
      </c>
      <c r="BS243" s="102"/>
      <c r="BT243" s="102"/>
      <c r="BU243" s="103">
        <f t="shared" si="277"/>
        <v>0</v>
      </c>
      <c r="BV243" s="77">
        <f t="shared" si="251"/>
        <v>0</v>
      </c>
      <c r="BW243" s="96">
        <f t="shared" si="252"/>
        <v>0</v>
      </c>
      <c r="BX243" s="96">
        <f t="shared" si="278"/>
        <v>0</v>
      </c>
      <c r="BY243" s="96">
        <f t="shared" si="253"/>
        <v>0</v>
      </c>
      <c r="BZ243" s="96" t="e">
        <f t="shared" si="279"/>
        <v>#NUM!</v>
      </c>
      <c r="CA243" s="96" t="e">
        <f t="shared" si="254"/>
        <v>#NUM!</v>
      </c>
      <c r="CB243" s="104" t="e">
        <f t="shared" si="280"/>
        <v>#NUM!</v>
      </c>
      <c r="CC243" s="105">
        <f t="shared" si="326"/>
        <v>44.572451744048394</v>
      </c>
      <c r="CD243" s="106">
        <f t="shared" si="327"/>
        <v>83.578221704504372</v>
      </c>
      <c r="CE243" s="107">
        <f t="shared" si="328"/>
        <v>1.2536733255675656</v>
      </c>
      <c r="CF243" s="108" t="s">
        <v>2189</v>
      </c>
      <c r="CG243" s="108" t="s">
        <v>2189</v>
      </c>
      <c r="CH243" s="108" t="s">
        <v>2189</v>
      </c>
      <c r="CI243" s="108" t="s">
        <v>2189</v>
      </c>
      <c r="CJ243" s="109"/>
      <c r="CM243" s="111">
        <f t="shared" si="284"/>
        <v>25</v>
      </c>
      <c r="CN243" s="107">
        <f t="shared" si="329"/>
        <v>0.375</v>
      </c>
      <c r="CP243" s="88">
        <f t="shared" si="286"/>
        <v>0</v>
      </c>
      <c r="CQ243" s="78">
        <f t="shared" si="287"/>
        <v>100</v>
      </c>
      <c r="CR243" s="79">
        <f t="shared" si="330"/>
        <v>3</v>
      </c>
      <c r="CS243" s="92"/>
      <c r="CT243" s="77">
        <f t="shared" si="255"/>
        <v>0</v>
      </c>
      <c r="CU243" s="78">
        <f t="shared" si="289"/>
        <v>100</v>
      </c>
      <c r="CV243" s="79">
        <f t="shared" si="331"/>
        <v>2</v>
      </c>
      <c r="CW243" s="112" t="e">
        <f t="shared" si="291"/>
        <v>#DIV/0!</v>
      </c>
    </row>
    <row r="244" spans="1:101" x14ac:dyDescent="0.35">
      <c r="A244" s="7" t="s">
        <v>1568</v>
      </c>
      <c r="B244" s="8" t="s">
        <v>1569</v>
      </c>
      <c r="C244" s="21" t="s">
        <v>1570</v>
      </c>
      <c r="D244" s="10" t="s">
        <v>31</v>
      </c>
      <c r="E244" s="11" t="s">
        <v>1571</v>
      </c>
      <c r="F244" s="11" t="s">
        <v>1572</v>
      </c>
      <c r="G244" s="12">
        <v>36441</v>
      </c>
      <c r="H244" s="11" t="s">
        <v>24</v>
      </c>
      <c r="I244" s="11" t="s">
        <v>1573</v>
      </c>
      <c r="J244" s="11" t="s">
        <v>1574</v>
      </c>
      <c r="K244" s="11" t="s">
        <v>212</v>
      </c>
      <c r="L244" s="23">
        <v>10156905259</v>
      </c>
      <c r="M244" s="14">
        <v>2103300926</v>
      </c>
      <c r="N244" s="14">
        <v>8053604333</v>
      </c>
      <c r="O244" s="14">
        <v>3694358039</v>
      </c>
      <c r="P244" s="14">
        <v>1120293986</v>
      </c>
      <c r="Q244" s="14">
        <v>1315961612</v>
      </c>
      <c r="R244" s="14">
        <v>958039985</v>
      </c>
      <c r="AB244" s="74">
        <f t="shared" si="292"/>
        <v>0</v>
      </c>
      <c r="AC244" s="75" t="e">
        <f t="shared" si="256"/>
        <v>#DIV/0!</v>
      </c>
      <c r="AD244" s="75" t="e">
        <f t="shared" si="293"/>
        <v>#DIV/0!</v>
      </c>
      <c r="AE244" s="76" t="e">
        <f t="shared" si="320"/>
        <v>#DIV/0!</v>
      </c>
      <c r="AF244" s="77" t="e">
        <f t="shared" si="258"/>
        <v>#DIV/0!</v>
      </c>
      <c r="AG244" s="77" t="e">
        <f t="shared" si="259"/>
        <v>#DIV/0!</v>
      </c>
      <c r="AH244" s="77" t="e">
        <f t="shared" si="294"/>
        <v>#DIV/0!</v>
      </c>
      <c r="AI244" s="78" t="e">
        <f t="shared" si="295"/>
        <v>#DIV/0!</v>
      </c>
      <c r="AJ244" s="79" t="e">
        <f t="shared" si="321"/>
        <v>#DIV/0!</v>
      </c>
      <c r="AN244" s="81">
        <f t="shared" si="243"/>
        <v>0</v>
      </c>
      <c r="AO244" s="82" t="e">
        <f t="shared" si="244"/>
        <v>#DIV/0!</v>
      </c>
      <c r="AP244" s="83" t="e">
        <f t="shared" si="261"/>
        <v>#DIV/0!</v>
      </c>
      <c r="AQ244" s="84" t="e">
        <f t="shared" si="322"/>
        <v>#DIV/0!</v>
      </c>
      <c r="AS244" s="86">
        <f t="shared" si="245"/>
        <v>0.5</v>
      </c>
      <c r="AT244" s="87">
        <f t="shared" si="263"/>
        <v>0</v>
      </c>
      <c r="AU244" s="87">
        <f t="shared" si="264"/>
        <v>0</v>
      </c>
      <c r="AV244" s="88" t="e">
        <f t="shared" si="246"/>
        <v>#DIV/0!</v>
      </c>
      <c r="AW244" s="78" t="e">
        <f t="shared" si="265"/>
        <v>#DIV/0!</v>
      </c>
      <c r="AX244" s="89" t="e">
        <f t="shared" si="323"/>
        <v>#DIV/0!</v>
      </c>
      <c r="BA244" s="91">
        <f t="shared" si="247"/>
        <v>0</v>
      </c>
      <c r="BB244" s="77" t="e">
        <f t="shared" si="267"/>
        <v>#DIV/0!</v>
      </c>
      <c r="BC244" s="78" t="e">
        <f t="shared" si="268"/>
        <v>#DIV/0!</v>
      </c>
      <c r="BD244" s="79" t="e">
        <f t="shared" si="324"/>
        <v>#DIV/0!</v>
      </c>
      <c r="BE244" s="92"/>
      <c r="BF244" s="92"/>
      <c r="BG244" s="93">
        <v>0</v>
      </c>
      <c r="BH244" s="94">
        <f t="shared" si="248"/>
        <v>0</v>
      </c>
      <c r="BI244" s="77" t="e">
        <f t="shared" si="249"/>
        <v>#DIV/0!</v>
      </c>
      <c r="BJ244" s="95" t="str">
        <f t="shared" si="270"/>
        <v>식약/섬유/종이업</v>
      </c>
      <c r="BK244" s="96" t="e">
        <f t="shared" si="250"/>
        <v>#DIV/0!</v>
      </c>
      <c r="BL244" s="97" t="e">
        <f t="shared" si="271"/>
        <v>#DIV/0!</v>
      </c>
      <c r="BM244" s="98" t="e">
        <f t="shared" si="272"/>
        <v>#DIV/0!</v>
      </c>
      <c r="BN244" s="99" t="e">
        <f t="shared" si="273"/>
        <v>#DIV/0!</v>
      </c>
      <c r="BP244" s="101">
        <f t="shared" si="274"/>
        <v>0</v>
      </c>
      <c r="BQ244" s="78">
        <f t="shared" si="275"/>
        <v>25</v>
      </c>
      <c r="BR244" s="79">
        <f t="shared" si="325"/>
        <v>0.5</v>
      </c>
      <c r="BS244" s="102"/>
      <c r="BT244" s="102"/>
      <c r="BU244" s="103">
        <f t="shared" si="277"/>
        <v>0</v>
      </c>
      <c r="BV244" s="77">
        <f t="shared" si="251"/>
        <v>0</v>
      </c>
      <c r="BW244" s="96">
        <f t="shared" si="252"/>
        <v>0</v>
      </c>
      <c r="BX244" s="96">
        <f t="shared" si="278"/>
        <v>0</v>
      </c>
      <c r="BY244" s="96">
        <f t="shared" si="253"/>
        <v>0</v>
      </c>
      <c r="BZ244" s="96" t="e">
        <f t="shared" si="279"/>
        <v>#NUM!</v>
      </c>
      <c r="CA244" s="96" t="e">
        <f t="shared" si="254"/>
        <v>#NUM!</v>
      </c>
      <c r="CB244" s="104" t="e">
        <f t="shared" si="280"/>
        <v>#NUM!</v>
      </c>
      <c r="CC244" s="105">
        <f t="shared" si="326"/>
        <v>26.116268431286493</v>
      </c>
      <c r="CD244" s="106">
        <f t="shared" si="327"/>
        <v>90.534069686701073</v>
      </c>
      <c r="CE244" s="107">
        <f t="shared" si="328"/>
        <v>1.3580110453005161</v>
      </c>
      <c r="CF244" s="108" t="s">
        <v>2189</v>
      </c>
      <c r="CG244" s="108" t="s">
        <v>2189</v>
      </c>
      <c r="CH244" s="108" t="s">
        <v>2189</v>
      </c>
      <c r="CI244" s="108" t="s">
        <v>2189</v>
      </c>
      <c r="CJ244" s="109"/>
      <c r="CM244" s="111">
        <f t="shared" si="284"/>
        <v>25</v>
      </c>
      <c r="CN244" s="107">
        <f t="shared" si="329"/>
        <v>0.375</v>
      </c>
      <c r="CP244" s="88">
        <f t="shared" si="286"/>
        <v>0</v>
      </c>
      <c r="CQ244" s="78">
        <f t="shared" si="287"/>
        <v>100</v>
      </c>
      <c r="CR244" s="79">
        <f t="shared" si="330"/>
        <v>3</v>
      </c>
      <c r="CS244" s="92"/>
      <c r="CT244" s="77">
        <f t="shared" si="255"/>
        <v>0</v>
      </c>
      <c r="CU244" s="78">
        <f t="shared" si="289"/>
        <v>100</v>
      </c>
      <c r="CV244" s="79">
        <f t="shared" si="331"/>
        <v>2</v>
      </c>
      <c r="CW244" s="112" t="e">
        <f t="shared" si="291"/>
        <v>#DIV/0!</v>
      </c>
    </row>
    <row r="245" spans="1:101" x14ac:dyDescent="0.35">
      <c r="A245" s="7" t="s">
        <v>1575</v>
      </c>
      <c r="B245" s="8" t="s">
        <v>1576</v>
      </c>
      <c r="C245" s="21" t="s">
        <v>1577</v>
      </c>
      <c r="D245" s="10" t="s">
        <v>141</v>
      </c>
      <c r="E245" s="11" t="s">
        <v>241</v>
      </c>
      <c r="F245" s="11" t="s">
        <v>1578</v>
      </c>
      <c r="G245" s="12">
        <v>31299</v>
      </c>
      <c r="H245" s="11" t="s">
        <v>24</v>
      </c>
      <c r="I245" s="11" t="s">
        <v>1579</v>
      </c>
      <c r="J245" s="11" t="s">
        <v>1580</v>
      </c>
      <c r="K245" s="11" t="s">
        <v>50</v>
      </c>
      <c r="L245" s="23">
        <v>862006786</v>
      </c>
      <c r="M245" s="14">
        <v>408796042</v>
      </c>
      <c r="N245" s="14">
        <v>453210744</v>
      </c>
      <c r="O245" s="14">
        <v>804572920</v>
      </c>
      <c r="P245" s="14">
        <v>60293639</v>
      </c>
      <c r="Q245" s="14">
        <v>64653383</v>
      </c>
      <c r="R245" s="14">
        <v>54734419</v>
      </c>
      <c r="AB245" s="74">
        <f t="shared" si="292"/>
        <v>0</v>
      </c>
      <c r="AC245" s="75" t="e">
        <f t="shared" si="256"/>
        <v>#DIV/0!</v>
      </c>
      <c r="AD245" s="75" t="e">
        <f t="shared" si="293"/>
        <v>#DIV/0!</v>
      </c>
      <c r="AE245" s="76" t="e">
        <f t="shared" si="320"/>
        <v>#DIV/0!</v>
      </c>
      <c r="AF245" s="77" t="e">
        <f t="shared" si="258"/>
        <v>#DIV/0!</v>
      </c>
      <c r="AG245" s="77" t="e">
        <f t="shared" si="259"/>
        <v>#DIV/0!</v>
      </c>
      <c r="AH245" s="77" t="e">
        <f t="shared" si="294"/>
        <v>#DIV/0!</v>
      </c>
      <c r="AI245" s="78" t="e">
        <f t="shared" si="295"/>
        <v>#DIV/0!</v>
      </c>
      <c r="AJ245" s="79" t="e">
        <f t="shared" si="321"/>
        <v>#DIV/0!</v>
      </c>
      <c r="AN245" s="81">
        <f t="shared" si="243"/>
        <v>0</v>
      </c>
      <c r="AO245" s="82" t="e">
        <f t="shared" si="244"/>
        <v>#DIV/0!</v>
      </c>
      <c r="AP245" s="83" t="e">
        <f t="shared" si="261"/>
        <v>#DIV/0!</v>
      </c>
      <c r="AQ245" s="84" t="e">
        <f t="shared" si="322"/>
        <v>#DIV/0!</v>
      </c>
      <c r="AS245" s="86">
        <f t="shared" si="245"/>
        <v>0.25</v>
      </c>
      <c r="AT245" s="87">
        <f t="shared" si="263"/>
        <v>0</v>
      </c>
      <c r="AU245" s="87">
        <f t="shared" si="264"/>
        <v>0</v>
      </c>
      <c r="AV245" s="88" t="e">
        <f t="shared" si="246"/>
        <v>#DIV/0!</v>
      </c>
      <c r="AW245" s="78" t="e">
        <f t="shared" si="265"/>
        <v>#DIV/0!</v>
      </c>
      <c r="AX245" s="89" t="e">
        <f t="shared" si="323"/>
        <v>#DIV/0!</v>
      </c>
      <c r="BA245" s="91">
        <f t="shared" si="247"/>
        <v>0</v>
      </c>
      <c r="BB245" s="77" t="e">
        <f t="shared" si="267"/>
        <v>#DIV/0!</v>
      </c>
      <c r="BC245" s="78" t="e">
        <f t="shared" si="268"/>
        <v>#DIV/0!</v>
      </c>
      <c r="BD245" s="79" t="e">
        <f t="shared" si="324"/>
        <v>#DIV/0!</v>
      </c>
      <c r="BE245" s="92"/>
      <c r="BF245" s="92"/>
      <c r="BG245" s="114">
        <v>325716</v>
      </c>
      <c r="BH245" s="94">
        <f t="shared" si="248"/>
        <v>0</v>
      </c>
      <c r="BI245" s="77" t="e">
        <f t="shared" si="249"/>
        <v>#DIV/0!</v>
      </c>
      <c r="BJ245" s="95" t="str">
        <f t="shared" si="270"/>
        <v>전기전자/기계업</v>
      </c>
      <c r="BK245" s="96" t="e">
        <f t="shared" si="250"/>
        <v>#DIV/0!</v>
      </c>
      <c r="BL245" s="97" t="e">
        <f t="shared" si="271"/>
        <v>#DIV/0!</v>
      </c>
      <c r="BM245" s="98" t="e">
        <f t="shared" si="272"/>
        <v>#DIV/0!</v>
      </c>
      <c r="BN245" s="99" t="e">
        <f t="shared" si="273"/>
        <v>#DIV/0!</v>
      </c>
      <c r="BP245" s="101">
        <f t="shared" si="274"/>
        <v>0</v>
      </c>
      <c r="BQ245" s="78">
        <f t="shared" si="275"/>
        <v>25</v>
      </c>
      <c r="BR245" s="79">
        <f t="shared" si="325"/>
        <v>0.5</v>
      </c>
      <c r="BS245" s="102"/>
      <c r="BT245" s="102"/>
      <c r="BU245" s="103">
        <f t="shared" si="277"/>
        <v>0</v>
      </c>
      <c r="BV245" s="77">
        <f t="shared" si="251"/>
        <v>0</v>
      </c>
      <c r="BW245" s="96">
        <f t="shared" si="252"/>
        <v>0</v>
      </c>
      <c r="BX245" s="96">
        <f t="shared" si="278"/>
        <v>0</v>
      </c>
      <c r="BY245" s="96">
        <f t="shared" si="253"/>
        <v>0</v>
      </c>
      <c r="BZ245" s="96" t="e">
        <f t="shared" si="279"/>
        <v>#NUM!</v>
      </c>
      <c r="CA245" s="96" t="e">
        <f t="shared" si="254"/>
        <v>#NUM!</v>
      </c>
      <c r="CB245" s="104" t="e">
        <f t="shared" si="280"/>
        <v>#NUM!</v>
      </c>
      <c r="CC245" s="105">
        <f t="shared" si="326"/>
        <v>90.199989168835771</v>
      </c>
      <c r="CD245" s="106">
        <f t="shared" si="327"/>
        <v>66.381913629835765</v>
      </c>
      <c r="CE245" s="107">
        <f t="shared" si="328"/>
        <v>0.99572870444753647</v>
      </c>
      <c r="CF245" s="108" t="s">
        <v>2189</v>
      </c>
      <c r="CG245" s="108" t="s">
        <v>2189</v>
      </c>
      <c r="CH245" s="108" t="s">
        <v>2189</v>
      </c>
      <c r="CI245" s="108" t="s">
        <v>2189</v>
      </c>
      <c r="CJ245" s="109"/>
      <c r="CM245" s="111">
        <f t="shared" si="284"/>
        <v>25</v>
      </c>
      <c r="CN245" s="107">
        <f t="shared" si="329"/>
        <v>0.375</v>
      </c>
      <c r="CP245" s="88">
        <f t="shared" si="286"/>
        <v>0</v>
      </c>
      <c r="CQ245" s="78">
        <f t="shared" si="287"/>
        <v>100</v>
      </c>
      <c r="CR245" s="79">
        <f t="shared" si="330"/>
        <v>3</v>
      </c>
      <c r="CS245" s="92"/>
      <c r="CT245" s="77">
        <f t="shared" si="255"/>
        <v>0</v>
      </c>
      <c r="CU245" s="78">
        <f t="shared" si="289"/>
        <v>100</v>
      </c>
      <c r="CV245" s="79">
        <f t="shared" si="331"/>
        <v>2</v>
      </c>
      <c r="CW245" s="112" t="e">
        <f t="shared" si="291"/>
        <v>#DIV/0!</v>
      </c>
    </row>
    <row r="246" spans="1:101" x14ac:dyDescent="0.35">
      <c r="A246" s="7" t="s">
        <v>1581</v>
      </c>
      <c r="B246" s="8" t="s">
        <v>1582</v>
      </c>
      <c r="C246" s="21" t="s">
        <v>1583</v>
      </c>
      <c r="D246" s="25" t="s">
        <v>67</v>
      </c>
      <c r="E246" s="11" t="s">
        <v>1584</v>
      </c>
      <c r="F246" s="11" t="s">
        <v>1585</v>
      </c>
      <c r="G246" s="12">
        <v>25559</v>
      </c>
      <c r="H246" s="11" t="s">
        <v>24</v>
      </c>
      <c r="I246" s="11" t="s">
        <v>1586</v>
      </c>
      <c r="J246" s="11" t="s">
        <v>1587</v>
      </c>
      <c r="K246" s="11" t="s">
        <v>27</v>
      </c>
      <c r="L246" s="23">
        <v>14636016261</v>
      </c>
      <c r="M246" s="14">
        <v>11750407058</v>
      </c>
      <c r="N246" s="14">
        <v>2885609203</v>
      </c>
      <c r="O246" s="14">
        <v>7176643744</v>
      </c>
      <c r="P246" s="14">
        <v>212022730</v>
      </c>
      <c r="Q246" s="14">
        <v>211256816</v>
      </c>
      <c r="R246" s="14">
        <v>175248934</v>
      </c>
      <c r="AB246" s="74">
        <f t="shared" si="292"/>
        <v>0</v>
      </c>
      <c r="AC246" s="75" t="e">
        <f t="shared" si="256"/>
        <v>#DIV/0!</v>
      </c>
      <c r="AD246" s="75" t="e">
        <f t="shared" si="293"/>
        <v>#DIV/0!</v>
      </c>
      <c r="AE246" s="119" t="e">
        <f>AD246*0.04</f>
        <v>#DIV/0!</v>
      </c>
      <c r="AF246" s="77" t="e">
        <f t="shared" si="258"/>
        <v>#DIV/0!</v>
      </c>
      <c r="AG246" s="77" t="e">
        <f t="shared" si="259"/>
        <v>#DIV/0!</v>
      </c>
      <c r="AH246" s="77" t="e">
        <f t="shared" si="294"/>
        <v>#DIV/0!</v>
      </c>
      <c r="AI246" s="78" t="e">
        <f t="shared" si="295"/>
        <v>#DIV/0!</v>
      </c>
      <c r="AJ246" s="120" t="e">
        <f>AI246*0.05</f>
        <v>#DIV/0!</v>
      </c>
      <c r="AN246" s="81">
        <f t="shared" si="243"/>
        <v>0</v>
      </c>
      <c r="AO246" s="82" t="e">
        <f t="shared" si="244"/>
        <v>#DIV/0!</v>
      </c>
      <c r="AP246" s="83" t="e">
        <f t="shared" si="261"/>
        <v>#DIV/0!</v>
      </c>
      <c r="AQ246" s="121" t="e">
        <f>AP246*0.03</f>
        <v>#DIV/0!</v>
      </c>
      <c r="AS246" s="86">
        <f t="shared" si="245"/>
        <v>0.5</v>
      </c>
      <c r="AT246" s="87">
        <f t="shared" si="263"/>
        <v>0</v>
      </c>
      <c r="AU246" s="87">
        <f t="shared" si="264"/>
        <v>0</v>
      </c>
      <c r="AV246" s="88" t="e">
        <f t="shared" si="246"/>
        <v>#DIV/0!</v>
      </c>
      <c r="AW246" s="78" t="e">
        <f t="shared" si="265"/>
        <v>#DIV/0!</v>
      </c>
      <c r="AX246" s="122" t="e">
        <f>AW246*0.02</f>
        <v>#DIV/0!</v>
      </c>
      <c r="BA246" s="91">
        <f t="shared" si="247"/>
        <v>0</v>
      </c>
      <c r="BB246" s="77" t="e">
        <f t="shared" si="267"/>
        <v>#DIV/0!</v>
      </c>
      <c r="BC246" s="78" t="e">
        <f t="shared" si="268"/>
        <v>#DIV/0!</v>
      </c>
      <c r="BD246" s="120" t="e">
        <f>BC246*0.02</f>
        <v>#DIV/0!</v>
      </c>
      <c r="BE246" s="92"/>
      <c r="BF246" s="92"/>
      <c r="BG246" s="93">
        <v>0</v>
      </c>
      <c r="BH246" s="94">
        <f t="shared" si="248"/>
        <v>0</v>
      </c>
      <c r="BI246" s="77" t="e">
        <f t="shared" si="249"/>
        <v>#DIV/0!</v>
      </c>
      <c r="BJ246" s="95" t="str">
        <f t="shared" si="270"/>
        <v>금융업</v>
      </c>
      <c r="BK246" s="96" t="e">
        <f t="shared" si="250"/>
        <v>#DIV/0!</v>
      </c>
      <c r="BL246" s="97" t="e">
        <f t="shared" si="271"/>
        <v>#DIV/0!</v>
      </c>
      <c r="BM246" s="98" t="e">
        <f t="shared" si="272"/>
        <v>#DIV/0!</v>
      </c>
      <c r="BN246" s="99" t="e">
        <f t="shared" si="273"/>
        <v>#DIV/0!</v>
      </c>
      <c r="BP246" s="101">
        <f t="shared" si="274"/>
        <v>0</v>
      </c>
      <c r="BQ246" s="78">
        <f t="shared" si="275"/>
        <v>25</v>
      </c>
      <c r="BR246" s="120">
        <f>BQ246*0.01</f>
        <v>0.25</v>
      </c>
      <c r="BS246" s="102"/>
      <c r="BT246" s="102"/>
      <c r="BU246" s="103">
        <f t="shared" si="277"/>
        <v>0</v>
      </c>
      <c r="BV246" s="77">
        <f t="shared" si="251"/>
        <v>0</v>
      </c>
      <c r="BW246" s="96">
        <f t="shared" si="252"/>
        <v>0</v>
      </c>
      <c r="BX246" s="96">
        <f t="shared" si="278"/>
        <v>0</v>
      </c>
      <c r="BY246" s="96">
        <f t="shared" si="253"/>
        <v>0</v>
      </c>
      <c r="BZ246" s="96" t="e">
        <f t="shared" si="279"/>
        <v>#NUM!</v>
      </c>
      <c r="CA246" s="96" t="e">
        <f t="shared" si="254"/>
        <v>#NUM!</v>
      </c>
      <c r="CB246" s="104" t="e">
        <f t="shared" si="280"/>
        <v>#NUM!</v>
      </c>
      <c r="CC246" s="123" t="s">
        <v>2200</v>
      </c>
      <c r="CD246" s="124" t="s">
        <v>2200</v>
      </c>
      <c r="CE246" s="125"/>
      <c r="CF246" s="126" t="s">
        <v>2201</v>
      </c>
      <c r="CG246" s="126" t="s">
        <v>2201</v>
      </c>
      <c r="CH246" s="127">
        <v>0.46</v>
      </c>
      <c r="CI246" s="128">
        <f>IF((100-(75*(CH246-10)/40))&gt;100, 100, IF((100-(75*(CH246-10)/40))&lt;25, 25, (100-(75*(CH246-10)/40))))</f>
        <v>100</v>
      </c>
      <c r="CJ246" s="129">
        <f>CI246*0.04</f>
        <v>4</v>
      </c>
      <c r="CM246" s="111">
        <f t="shared" si="284"/>
        <v>25</v>
      </c>
      <c r="CN246" s="130">
        <f>CM246*0.03</f>
        <v>0.75</v>
      </c>
      <c r="CP246" s="88">
        <f t="shared" si="286"/>
        <v>0</v>
      </c>
      <c r="CQ246" s="78">
        <f t="shared" si="287"/>
        <v>100</v>
      </c>
      <c r="CR246" s="120">
        <f>CQ246*0.04</f>
        <v>4</v>
      </c>
      <c r="CS246" s="92"/>
      <c r="CT246" s="77">
        <f t="shared" si="255"/>
        <v>0</v>
      </c>
      <c r="CU246" s="78">
        <f t="shared" si="289"/>
        <v>100</v>
      </c>
      <c r="CV246" s="131">
        <f>CU246*0.03</f>
        <v>3</v>
      </c>
      <c r="CW246" s="112" t="e">
        <f t="shared" si="291"/>
        <v>#DIV/0!</v>
      </c>
    </row>
    <row r="247" spans="1:101" x14ac:dyDescent="0.35">
      <c r="A247" s="7" t="s">
        <v>1588</v>
      </c>
      <c r="B247" s="8" t="s">
        <v>1589</v>
      </c>
      <c r="C247" s="21" t="s">
        <v>1590</v>
      </c>
      <c r="D247" s="22" t="s">
        <v>75</v>
      </c>
      <c r="E247" s="11" t="s">
        <v>149</v>
      </c>
      <c r="F247" s="11" t="s">
        <v>1591</v>
      </c>
      <c r="G247" s="12">
        <v>32048</v>
      </c>
      <c r="H247" s="11" t="s">
        <v>24</v>
      </c>
      <c r="I247" s="11" t="s">
        <v>1592</v>
      </c>
      <c r="J247" s="11" t="s">
        <v>1593</v>
      </c>
      <c r="K247" s="11" t="s">
        <v>280</v>
      </c>
      <c r="L247" s="23">
        <v>451321117</v>
      </c>
      <c r="M247" s="14">
        <v>200117020</v>
      </c>
      <c r="N247" s="14">
        <v>251204097</v>
      </c>
      <c r="O247" s="14">
        <v>485605244</v>
      </c>
      <c r="P247" s="14">
        <v>32475176</v>
      </c>
      <c r="Q247" s="14">
        <v>35572342</v>
      </c>
      <c r="R247" s="14">
        <v>27697028</v>
      </c>
      <c r="AB247" s="74">
        <f t="shared" si="292"/>
        <v>0</v>
      </c>
      <c r="AC247" s="75" t="e">
        <f t="shared" si="256"/>
        <v>#DIV/0!</v>
      </c>
      <c r="AD247" s="75" t="e">
        <f t="shared" si="293"/>
        <v>#DIV/0!</v>
      </c>
      <c r="AE247" s="76" t="e">
        <f>AD247*0.03</f>
        <v>#DIV/0!</v>
      </c>
      <c r="AF247" s="77" t="e">
        <f t="shared" si="258"/>
        <v>#DIV/0!</v>
      </c>
      <c r="AG247" s="77" t="e">
        <f t="shared" si="259"/>
        <v>#DIV/0!</v>
      </c>
      <c r="AH247" s="77" t="e">
        <f t="shared" si="294"/>
        <v>#DIV/0!</v>
      </c>
      <c r="AI247" s="78" t="e">
        <f t="shared" si="295"/>
        <v>#DIV/0!</v>
      </c>
      <c r="AJ247" s="79" t="e">
        <f>AI247*0.04</f>
        <v>#DIV/0!</v>
      </c>
      <c r="AN247" s="81">
        <f t="shared" si="243"/>
        <v>0</v>
      </c>
      <c r="AO247" s="82" t="e">
        <f t="shared" si="244"/>
        <v>#DIV/0!</v>
      </c>
      <c r="AP247" s="83" t="e">
        <f t="shared" si="261"/>
        <v>#DIV/0!</v>
      </c>
      <c r="AQ247" s="84" t="e">
        <f>AP247*0.02</f>
        <v>#DIV/0!</v>
      </c>
      <c r="AS247" s="86">
        <f t="shared" si="245"/>
        <v>0.25</v>
      </c>
      <c r="AT247" s="87">
        <f t="shared" si="263"/>
        <v>0</v>
      </c>
      <c r="AU247" s="87">
        <f t="shared" si="264"/>
        <v>0</v>
      </c>
      <c r="AV247" s="88" t="e">
        <f t="shared" si="246"/>
        <v>#DIV/0!</v>
      </c>
      <c r="AW247" s="78" t="e">
        <f t="shared" si="265"/>
        <v>#DIV/0!</v>
      </c>
      <c r="AX247" s="89" t="e">
        <f>AW247*0.01</f>
        <v>#DIV/0!</v>
      </c>
      <c r="BA247" s="91">
        <f t="shared" si="247"/>
        <v>0</v>
      </c>
      <c r="BB247" s="77" t="e">
        <f t="shared" si="267"/>
        <v>#DIV/0!</v>
      </c>
      <c r="BC247" s="78" t="e">
        <f t="shared" si="268"/>
        <v>#DIV/0!</v>
      </c>
      <c r="BD247" s="79" t="e">
        <f>BC247*0.01</f>
        <v>#DIV/0!</v>
      </c>
      <c r="BE247" s="92"/>
      <c r="BF247" s="92"/>
      <c r="BG247" s="114">
        <v>773462.55099999998</v>
      </c>
      <c r="BH247" s="94">
        <f t="shared" si="248"/>
        <v>0</v>
      </c>
      <c r="BI247" s="77" t="e">
        <f t="shared" si="249"/>
        <v>#DIV/0!</v>
      </c>
      <c r="BJ247" s="95" t="str">
        <f t="shared" si="270"/>
        <v>금속/비금속/화학업</v>
      </c>
      <c r="BK247" s="96" t="e">
        <f t="shared" si="250"/>
        <v>#DIV/0!</v>
      </c>
      <c r="BL247" s="97" t="e">
        <f t="shared" si="271"/>
        <v>#DIV/0!</v>
      </c>
      <c r="BM247" s="98" t="e">
        <f t="shared" si="272"/>
        <v>#DIV/0!</v>
      </c>
      <c r="BN247" s="99" t="e">
        <f t="shared" si="273"/>
        <v>#DIV/0!</v>
      </c>
      <c r="BP247" s="101">
        <f t="shared" si="274"/>
        <v>0</v>
      </c>
      <c r="BQ247" s="78">
        <f t="shared" si="275"/>
        <v>25</v>
      </c>
      <c r="BR247" s="79">
        <f>BQ247*0.02</f>
        <v>0.5</v>
      </c>
      <c r="BS247" s="102"/>
      <c r="BT247" s="102"/>
      <c r="BU247" s="103">
        <f t="shared" si="277"/>
        <v>0</v>
      </c>
      <c r="BV247" s="77">
        <f t="shared" si="251"/>
        <v>0</v>
      </c>
      <c r="BW247" s="96">
        <f t="shared" si="252"/>
        <v>0</v>
      </c>
      <c r="BX247" s="96">
        <f t="shared" si="278"/>
        <v>0</v>
      </c>
      <c r="BY247" s="96">
        <f t="shared" si="253"/>
        <v>0</v>
      </c>
      <c r="BZ247" s="96" t="e">
        <f t="shared" si="279"/>
        <v>#NUM!</v>
      </c>
      <c r="CA247" s="96" t="e">
        <f t="shared" si="254"/>
        <v>#NUM!</v>
      </c>
      <c r="CB247" s="104" t="e">
        <f t="shared" si="280"/>
        <v>#NUM!</v>
      </c>
      <c r="CC247" s="105">
        <f>(M247/N247)*100</f>
        <v>79.663119507163145</v>
      </c>
      <c r="CD247" s="106">
        <f>IF((100-(75*(CC247-1)/(200-1)))&gt;100, 100, IF((100-(75*(CC247-1)/(200-1)))&lt;25, 25, (100-(75*(CC247-1)/(200-1)))))</f>
        <v>70.353095663129466</v>
      </c>
      <c r="CE247" s="107">
        <f>CD247*0.015</f>
        <v>1.055296434946942</v>
      </c>
      <c r="CF247" s="108" t="s">
        <v>2189</v>
      </c>
      <c r="CG247" s="108" t="s">
        <v>2189</v>
      </c>
      <c r="CH247" s="108" t="s">
        <v>2189</v>
      </c>
      <c r="CI247" s="108" t="s">
        <v>2189</v>
      </c>
      <c r="CJ247" s="109"/>
      <c r="CM247" s="111">
        <f t="shared" si="284"/>
        <v>25</v>
      </c>
      <c r="CN247" s="107">
        <f>CM247*0.015</f>
        <v>0.375</v>
      </c>
      <c r="CP247" s="88">
        <f t="shared" si="286"/>
        <v>0</v>
      </c>
      <c r="CQ247" s="78">
        <f t="shared" si="287"/>
        <v>100</v>
      </c>
      <c r="CR247" s="79">
        <f>CQ247*0.03</f>
        <v>3</v>
      </c>
      <c r="CS247" s="92"/>
      <c r="CT247" s="77">
        <f t="shared" si="255"/>
        <v>0</v>
      </c>
      <c r="CU247" s="78">
        <f t="shared" si="289"/>
        <v>100</v>
      </c>
      <c r="CV247" s="79">
        <f>CU247*0.02</f>
        <v>2</v>
      </c>
      <c r="CW247" s="112" t="e">
        <f t="shared" si="291"/>
        <v>#DIV/0!</v>
      </c>
    </row>
    <row r="248" spans="1:101" x14ac:dyDescent="0.35">
      <c r="A248" s="7" t="s">
        <v>1594</v>
      </c>
      <c r="B248" s="8" t="s">
        <v>1595</v>
      </c>
      <c r="C248" s="21" t="s">
        <v>1596</v>
      </c>
      <c r="D248" s="10" t="s">
        <v>21</v>
      </c>
      <c r="E248" s="11" t="s">
        <v>1597</v>
      </c>
      <c r="F248" s="11" t="s">
        <v>1598</v>
      </c>
      <c r="G248" s="12">
        <v>37110</v>
      </c>
      <c r="H248" s="11" t="s">
        <v>24</v>
      </c>
      <c r="I248" s="11" t="s">
        <v>1599</v>
      </c>
      <c r="J248" s="11" t="s">
        <v>1600</v>
      </c>
      <c r="K248" s="11" t="s">
        <v>153</v>
      </c>
      <c r="L248" s="23">
        <v>3441901071</v>
      </c>
      <c r="M248" s="14">
        <v>1466204520</v>
      </c>
      <c r="N248" s="14">
        <v>1975696551</v>
      </c>
      <c r="O248" s="14">
        <v>2813488928</v>
      </c>
      <c r="P248" s="14">
        <v>514746074</v>
      </c>
      <c r="Q248" s="14">
        <v>540938422</v>
      </c>
      <c r="R248" s="14">
        <v>371317773</v>
      </c>
      <c r="AB248" s="74">
        <f t="shared" si="292"/>
        <v>0</v>
      </c>
      <c r="AC248" s="75" t="e">
        <f t="shared" si="256"/>
        <v>#DIV/0!</v>
      </c>
      <c r="AD248" s="75" t="e">
        <f t="shared" si="293"/>
        <v>#DIV/0!</v>
      </c>
      <c r="AE248" s="76" t="e">
        <f>AD248*0.03</f>
        <v>#DIV/0!</v>
      </c>
      <c r="AF248" s="77" t="e">
        <f t="shared" si="258"/>
        <v>#DIV/0!</v>
      </c>
      <c r="AG248" s="77" t="e">
        <f t="shared" si="259"/>
        <v>#DIV/0!</v>
      </c>
      <c r="AH248" s="77" t="e">
        <f t="shared" si="294"/>
        <v>#DIV/0!</v>
      </c>
      <c r="AI248" s="78" t="e">
        <f t="shared" si="295"/>
        <v>#DIV/0!</v>
      </c>
      <c r="AJ248" s="79" t="e">
        <f>AI248*0.04</f>
        <v>#DIV/0!</v>
      </c>
      <c r="AN248" s="81">
        <f t="shared" si="243"/>
        <v>0</v>
      </c>
      <c r="AO248" s="82" t="e">
        <f t="shared" si="244"/>
        <v>#DIV/0!</v>
      </c>
      <c r="AP248" s="83" t="e">
        <f t="shared" si="261"/>
        <v>#DIV/0!</v>
      </c>
      <c r="AQ248" s="84" t="e">
        <f>AP248*0.02</f>
        <v>#DIV/0!</v>
      </c>
      <c r="AS248" s="86">
        <f t="shared" si="245"/>
        <v>0.5</v>
      </c>
      <c r="AT248" s="87">
        <f t="shared" si="263"/>
        <v>0</v>
      </c>
      <c r="AU248" s="87">
        <f t="shared" si="264"/>
        <v>0</v>
      </c>
      <c r="AV248" s="88" t="e">
        <f t="shared" si="246"/>
        <v>#DIV/0!</v>
      </c>
      <c r="AW248" s="78" t="e">
        <f t="shared" si="265"/>
        <v>#DIV/0!</v>
      </c>
      <c r="AX248" s="89" t="e">
        <f>AW248*0.01</f>
        <v>#DIV/0!</v>
      </c>
      <c r="BA248" s="91">
        <f t="shared" si="247"/>
        <v>0</v>
      </c>
      <c r="BB248" s="77" t="e">
        <f t="shared" si="267"/>
        <v>#DIV/0!</v>
      </c>
      <c r="BC248" s="78" t="e">
        <f t="shared" si="268"/>
        <v>#DIV/0!</v>
      </c>
      <c r="BD248" s="79" t="e">
        <f>BC248*0.01</f>
        <v>#DIV/0!</v>
      </c>
      <c r="BE248" s="92"/>
      <c r="BF248" s="92"/>
      <c r="BG248" s="93">
        <v>0</v>
      </c>
      <c r="BH248" s="94">
        <f t="shared" si="248"/>
        <v>0</v>
      </c>
      <c r="BI248" s="77" t="e">
        <f t="shared" si="249"/>
        <v>#DIV/0!</v>
      </c>
      <c r="BJ248" s="95" t="str">
        <f t="shared" si="270"/>
        <v>비제조/서비스업</v>
      </c>
      <c r="BK248" s="96" t="e">
        <f t="shared" si="250"/>
        <v>#DIV/0!</v>
      </c>
      <c r="BL248" s="97" t="e">
        <f t="shared" si="271"/>
        <v>#DIV/0!</v>
      </c>
      <c r="BM248" s="98" t="e">
        <f t="shared" si="272"/>
        <v>#DIV/0!</v>
      </c>
      <c r="BN248" s="99" t="e">
        <f t="shared" si="273"/>
        <v>#DIV/0!</v>
      </c>
      <c r="BP248" s="101">
        <f t="shared" si="274"/>
        <v>0</v>
      </c>
      <c r="BQ248" s="78">
        <f t="shared" si="275"/>
        <v>25</v>
      </c>
      <c r="BR248" s="79">
        <f>BQ248*0.02</f>
        <v>0.5</v>
      </c>
      <c r="BS248" s="102"/>
      <c r="BT248" s="102"/>
      <c r="BU248" s="103">
        <f t="shared" si="277"/>
        <v>0</v>
      </c>
      <c r="BV248" s="77">
        <f t="shared" si="251"/>
        <v>0</v>
      </c>
      <c r="BW248" s="96">
        <f t="shared" si="252"/>
        <v>0</v>
      </c>
      <c r="BX248" s="96">
        <f t="shared" si="278"/>
        <v>0</v>
      </c>
      <c r="BY248" s="96">
        <f t="shared" si="253"/>
        <v>0</v>
      </c>
      <c r="BZ248" s="96" t="e">
        <f t="shared" si="279"/>
        <v>#NUM!</v>
      </c>
      <c r="CA248" s="96" t="e">
        <f t="shared" si="254"/>
        <v>#NUM!</v>
      </c>
      <c r="CB248" s="104" t="e">
        <f t="shared" si="280"/>
        <v>#NUM!</v>
      </c>
      <c r="CC248" s="105">
        <f>(M248/N248)*100</f>
        <v>74.212030144906606</v>
      </c>
      <c r="CD248" s="106">
        <f>IF((100-(75*(CC248-1)/(200-1)))&gt;100, 100, IF((100-(75*(CC248-1)/(200-1)))&lt;25, 25, (100-(75*(CC248-1)/(200-1)))))</f>
        <v>72.407526327296509</v>
      </c>
      <c r="CE248" s="107">
        <f>CD248*0.015</f>
        <v>1.0861128949094476</v>
      </c>
      <c r="CF248" s="108" t="s">
        <v>2189</v>
      </c>
      <c r="CG248" s="108" t="s">
        <v>2189</v>
      </c>
      <c r="CH248" s="108" t="s">
        <v>2189</v>
      </c>
      <c r="CI248" s="108" t="s">
        <v>2189</v>
      </c>
      <c r="CJ248" s="109"/>
      <c r="CM248" s="111">
        <f t="shared" si="284"/>
        <v>25</v>
      </c>
      <c r="CN248" s="107">
        <f>CM248*0.015</f>
        <v>0.375</v>
      </c>
      <c r="CP248" s="88">
        <f t="shared" si="286"/>
        <v>0</v>
      </c>
      <c r="CQ248" s="78">
        <f t="shared" si="287"/>
        <v>100</v>
      </c>
      <c r="CR248" s="79">
        <f>CQ248*0.03</f>
        <v>3</v>
      </c>
      <c r="CS248" s="92"/>
      <c r="CT248" s="77">
        <f t="shared" si="255"/>
        <v>0</v>
      </c>
      <c r="CU248" s="78">
        <f t="shared" si="289"/>
        <v>100</v>
      </c>
      <c r="CV248" s="79">
        <f>CU248*0.02</f>
        <v>2</v>
      </c>
      <c r="CW248" s="112" t="e">
        <f t="shared" si="291"/>
        <v>#DIV/0!</v>
      </c>
    </row>
    <row r="249" spans="1:101" x14ac:dyDescent="0.35">
      <c r="A249" s="7" t="s">
        <v>1601</v>
      </c>
      <c r="B249" s="8" t="s">
        <v>1602</v>
      </c>
      <c r="C249" s="21" t="s">
        <v>1603</v>
      </c>
      <c r="D249" s="10" t="s">
        <v>21</v>
      </c>
      <c r="E249" s="11" t="s">
        <v>1604</v>
      </c>
      <c r="F249" s="11" t="s">
        <v>1605</v>
      </c>
      <c r="G249" s="12">
        <v>43111</v>
      </c>
      <c r="H249" s="11" t="s">
        <v>24</v>
      </c>
      <c r="I249" s="11" t="s">
        <v>1606</v>
      </c>
      <c r="J249" s="11" t="s">
        <v>1607</v>
      </c>
      <c r="K249" s="11" t="s">
        <v>50</v>
      </c>
      <c r="L249" s="23">
        <v>761133055</v>
      </c>
      <c r="M249" s="14">
        <v>116041955</v>
      </c>
      <c r="N249" s="14">
        <v>645091100</v>
      </c>
      <c r="O249" s="14">
        <v>691580207</v>
      </c>
      <c r="P249" s="14">
        <v>99955621</v>
      </c>
      <c r="Q249" s="14">
        <v>124537136</v>
      </c>
      <c r="R249" s="14">
        <v>116344338</v>
      </c>
      <c r="AB249" s="74">
        <f t="shared" si="292"/>
        <v>0</v>
      </c>
      <c r="AC249" s="75" t="e">
        <f t="shared" si="256"/>
        <v>#DIV/0!</v>
      </c>
      <c r="AD249" s="75" t="e">
        <f t="shared" si="293"/>
        <v>#DIV/0!</v>
      </c>
      <c r="AE249" s="76" t="e">
        <f>AD249*0.03</f>
        <v>#DIV/0!</v>
      </c>
      <c r="AF249" s="77" t="e">
        <f t="shared" si="258"/>
        <v>#DIV/0!</v>
      </c>
      <c r="AG249" s="77" t="e">
        <f t="shared" si="259"/>
        <v>#DIV/0!</v>
      </c>
      <c r="AH249" s="77" t="e">
        <f t="shared" si="294"/>
        <v>#DIV/0!</v>
      </c>
      <c r="AI249" s="78" t="e">
        <f t="shared" si="295"/>
        <v>#DIV/0!</v>
      </c>
      <c r="AJ249" s="79" t="e">
        <f>AI249*0.04</f>
        <v>#DIV/0!</v>
      </c>
      <c r="AN249" s="81">
        <f t="shared" si="243"/>
        <v>0</v>
      </c>
      <c r="AO249" s="82" t="e">
        <f t="shared" si="244"/>
        <v>#DIV/0!</v>
      </c>
      <c r="AP249" s="83" t="e">
        <f t="shared" si="261"/>
        <v>#DIV/0!</v>
      </c>
      <c r="AQ249" s="84" t="e">
        <f>AP249*0.02</f>
        <v>#DIV/0!</v>
      </c>
      <c r="AS249" s="86">
        <f t="shared" si="245"/>
        <v>0.25</v>
      </c>
      <c r="AT249" s="87">
        <f t="shared" si="263"/>
        <v>0</v>
      </c>
      <c r="AU249" s="87">
        <f t="shared" si="264"/>
        <v>0</v>
      </c>
      <c r="AV249" s="88" t="e">
        <f t="shared" si="246"/>
        <v>#DIV/0!</v>
      </c>
      <c r="AW249" s="78" t="e">
        <f t="shared" si="265"/>
        <v>#DIV/0!</v>
      </c>
      <c r="AX249" s="89" t="e">
        <f>AW249*0.01</f>
        <v>#DIV/0!</v>
      </c>
      <c r="BA249" s="91">
        <f t="shared" si="247"/>
        <v>0</v>
      </c>
      <c r="BB249" s="77" t="e">
        <f t="shared" si="267"/>
        <v>#DIV/0!</v>
      </c>
      <c r="BC249" s="78" t="e">
        <f t="shared" si="268"/>
        <v>#DIV/0!</v>
      </c>
      <c r="BD249" s="79" t="e">
        <f>BC249*0.01</f>
        <v>#DIV/0!</v>
      </c>
      <c r="BE249" s="92"/>
      <c r="BF249" s="92"/>
      <c r="BG249" s="93">
        <v>0</v>
      </c>
      <c r="BH249" s="94">
        <f t="shared" si="248"/>
        <v>0</v>
      </c>
      <c r="BI249" s="77" t="e">
        <f t="shared" si="249"/>
        <v>#DIV/0!</v>
      </c>
      <c r="BJ249" s="95" t="str">
        <f t="shared" si="270"/>
        <v>비제조/서비스업</v>
      </c>
      <c r="BK249" s="96" t="e">
        <f t="shared" si="250"/>
        <v>#DIV/0!</v>
      </c>
      <c r="BL249" s="97" t="e">
        <f t="shared" si="271"/>
        <v>#DIV/0!</v>
      </c>
      <c r="BM249" s="98" t="e">
        <f t="shared" si="272"/>
        <v>#DIV/0!</v>
      </c>
      <c r="BN249" s="99" t="e">
        <f t="shared" si="273"/>
        <v>#DIV/0!</v>
      </c>
      <c r="BP249" s="101">
        <f t="shared" si="274"/>
        <v>0</v>
      </c>
      <c r="BQ249" s="78">
        <f t="shared" si="275"/>
        <v>25</v>
      </c>
      <c r="BR249" s="79">
        <f>BQ249*0.02</f>
        <v>0.5</v>
      </c>
      <c r="BS249" s="102"/>
      <c r="BT249" s="102"/>
      <c r="BU249" s="103">
        <f t="shared" si="277"/>
        <v>0</v>
      </c>
      <c r="BV249" s="77">
        <f t="shared" si="251"/>
        <v>0</v>
      </c>
      <c r="BW249" s="96">
        <f t="shared" si="252"/>
        <v>0</v>
      </c>
      <c r="BX249" s="96">
        <f t="shared" si="278"/>
        <v>0</v>
      </c>
      <c r="BY249" s="96">
        <f t="shared" si="253"/>
        <v>0</v>
      </c>
      <c r="BZ249" s="96" t="e">
        <f t="shared" si="279"/>
        <v>#NUM!</v>
      </c>
      <c r="CA249" s="96" t="e">
        <f t="shared" si="254"/>
        <v>#NUM!</v>
      </c>
      <c r="CB249" s="104" t="e">
        <f t="shared" si="280"/>
        <v>#NUM!</v>
      </c>
      <c r="CC249" s="105">
        <f>(M249/N249)*100</f>
        <v>17.988460079514351</v>
      </c>
      <c r="CD249" s="106">
        <f>IF((100-(75*(CC249-1)/(200-1)))&gt;100, 100, IF((100-(75*(CC249-1)/(200-1)))&lt;25, 25, (100-(75*(CC249-1)/(200-1)))))</f>
        <v>93.597314040384035</v>
      </c>
      <c r="CE249" s="107">
        <f>CD249*0.015</f>
        <v>1.4039597106057604</v>
      </c>
      <c r="CF249" s="108" t="s">
        <v>2189</v>
      </c>
      <c r="CG249" s="108" t="s">
        <v>2189</v>
      </c>
      <c r="CH249" s="108" t="s">
        <v>2189</v>
      </c>
      <c r="CI249" s="108" t="s">
        <v>2189</v>
      </c>
      <c r="CJ249" s="109"/>
      <c r="CM249" s="111">
        <f t="shared" si="284"/>
        <v>25</v>
      </c>
      <c r="CN249" s="107">
        <f>CM249*0.015</f>
        <v>0.375</v>
      </c>
      <c r="CP249" s="88">
        <f t="shared" si="286"/>
        <v>0</v>
      </c>
      <c r="CQ249" s="78">
        <f t="shared" si="287"/>
        <v>100</v>
      </c>
      <c r="CR249" s="79">
        <f>CQ249*0.03</f>
        <v>3</v>
      </c>
      <c r="CS249" s="92"/>
      <c r="CT249" s="77">
        <f t="shared" si="255"/>
        <v>0</v>
      </c>
      <c r="CU249" s="78">
        <f t="shared" si="289"/>
        <v>100</v>
      </c>
      <c r="CV249" s="79">
        <f>CU249*0.02</f>
        <v>2</v>
      </c>
      <c r="CW249" s="112" t="e">
        <f t="shared" si="291"/>
        <v>#DIV/0!</v>
      </c>
    </row>
    <row r="250" spans="1:101" x14ac:dyDescent="0.35">
      <c r="A250" s="7" t="s">
        <v>1608</v>
      </c>
      <c r="B250" s="8" t="s">
        <v>1609</v>
      </c>
      <c r="C250" s="21" t="s">
        <v>1610</v>
      </c>
      <c r="D250" s="10" t="s">
        <v>31</v>
      </c>
      <c r="E250" s="11" t="s">
        <v>46</v>
      </c>
      <c r="F250" s="11" t="s">
        <v>1611</v>
      </c>
      <c r="G250" s="12">
        <v>42836</v>
      </c>
      <c r="H250" s="11" t="s">
        <v>24</v>
      </c>
      <c r="I250" s="11" t="s">
        <v>1612</v>
      </c>
      <c r="J250" s="11" t="s">
        <v>1613</v>
      </c>
      <c r="K250" s="11" t="s">
        <v>27</v>
      </c>
      <c r="L250" s="23">
        <v>330163311</v>
      </c>
      <c r="M250" s="14">
        <v>137897080</v>
      </c>
      <c r="N250" s="14">
        <v>192266231</v>
      </c>
      <c r="O250" s="14">
        <v>413638465</v>
      </c>
      <c r="P250" s="14">
        <v>17588318</v>
      </c>
      <c r="Q250" s="14">
        <v>36589302</v>
      </c>
      <c r="R250" s="14">
        <v>27057204</v>
      </c>
      <c r="AB250" s="74">
        <f t="shared" si="292"/>
        <v>0</v>
      </c>
      <c r="AC250" s="75" t="e">
        <f t="shared" si="256"/>
        <v>#DIV/0!</v>
      </c>
      <c r="AD250" s="75" t="e">
        <f t="shared" si="293"/>
        <v>#DIV/0!</v>
      </c>
      <c r="AE250" s="76" t="e">
        <f>AD250*0.03</f>
        <v>#DIV/0!</v>
      </c>
      <c r="AF250" s="77" t="e">
        <f t="shared" si="258"/>
        <v>#DIV/0!</v>
      </c>
      <c r="AG250" s="77" t="e">
        <f t="shared" si="259"/>
        <v>#DIV/0!</v>
      </c>
      <c r="AH250" s="77" t="e">
        <f t="shared" si="294"/>
        <v>#DIV/0!</v>
      </c>
      <c r="AI250" s="78" t="e">
        <f t="shared" si="295"/>
        <v>#DIV/0!</v>
      </c>
      <c r="AJ250" s="79" t="e">
        <f>AI250*0.04</f>
        <v>#DIV/0!</v>
      </c>
      <c r="AN250" s="81">
        <f t="shared" si="243"/>
        <v>0</v>
      </c>
      <c r="AO250" s="82" t="e">
        <f t="shared" si="244"/>
        <v>#DIV/0!</v>
      </c>
      <c r="AP250" s="83" t="e">
        <f t="shared" si="261"/>
        <v>#DIV/0!</v>
      </c>
      <c r="AQ250" s="84" t="e">
        <f>AP250*0.02</f>
        <v>#DIV/0!</v>
      </c>
      <c r="AS250" s="86">
        <f t="shared" si="245"/>
        <v>0.25</v>
      </c>
      <c r="AT250" s="87">
        <f t="shared" si="263"/>
        <v>0</v>
      </c>
      <c r="AU250" s="87">
        <f t="shared" si="264"/>
        <v>0</v>
      </c>
      <c r="AV250" s="88" t="e">
        <f t="shared" si="246"/>
        <v>#DIV/0!</v>
      </c>
      <c r="AW250" s="78" t="e">
        <f t="shared" si="265"/>
        <v>#DIV/0!</v>
      </c>
      <c r="AX250" s="89" t="e">
        <f>AW250*0.01</f>
        <v>#DIV/0!</v>
      </c>
      <c r="BA250" s="91">
        <f t="shared" si="247"/>
        <v>0</v>
      </c>
      <c r="BB250" s="77" t="e">
        <f t="shared" si="267"/>
        <v>#DIV/0!</v>
      </c>
      <c r="BC250" s="78" t="e">
        <f t="shared" si="268"/>
        <v>#DIV/0!</v>
      </c>
      <c r="BD250" s="79" t="e">
        <f>BC250*0.01</f>
        <v>#DIV/0!</v>
      </c>
      <c r="BE250" s="92"/>
      <c r="BF250" s="92"/>
      <c r="BG250" s="93">
        <v>0</v>
      </c>
      <c r="BH250" s="94">
        <f t="shared" si="248"/>
        <v>0</v>
      </c>
      <c r="BI250" s="77" t="e">
        <f t="shared" si="249"/>
        <v>#DIV/0!</v>
      </c>
      <c r="BJ250" s="95" t="str">
        <f t="shared" si="270"/>
        <v>식약/섬유/종이업</v>
      </c>
      <c r="BK250" s="96" t="e">
        <f t="shared" si="250"/>
        <v>#DIV/0!</v>
      </c>
      <c r="BL250" s="97" t="e">
        <f t="shared" si="271"/>
        <v>#DIV/0!</v>
      </c>
      <c r="BM250" s="98" t="e">
        <f t="shared" si="272"/>
        <v>#DIV/0!</v>
      </c>
      <c r="BN250" s="99" t="e">
        <f t="shared" si="273"/>
        <v>#DIV/0!</v>
      </c>
      <c r="BP250" s="101">
        <f t="shared" si="274"/>
        <v>0</v>
      </c>
      <c r="BQ250" s="78">
        <f t="shared" si="275"/>
        <v>25</v>
      </c>
      <c r="BR250" s="79">
        <f>BQ250*0.02</f>
        <v>0.5</v>
      </c>
      <c r="BS250" s="102"/>
      <c r="BT250" s="102"/>
      <c r="BU250" s="103">
        <f t="shared" si="277"/>
        <v>0</v>
      </c>
      <c r="BV250" s="77">
        <f t="shared" si="251"/>
        <v>0</v>
      </c>
      <c r="BW250" s="96">
        <f t="shared" si="252"/>
        <v>0</v>
      </c>
      <c r="BX250" s="96">
        <f t="shared" si="278"/>
        <v>0</v>
      </c>
      <c r="BY250" s="96">
        <f t="shared" si="253"/>
        <v>0</v>
      </c>
      <c r="BZ250" s="96" t="e">
        <f t="shared" si="279"/>
        <v>#NUM!</v>
      </c>
      <c r="CA250" s="96" t="e">
        <f t="shared" si="254"/>
        <v>#NUM!</v>
      </c>
      <c r="CB250" s="104" t="e">
        <f t="shared" si="280"/>
        <v>#NUM!</v>
      </c>
      <c r="CC250" s="105">
        <f>(M250/N250)*100</f>
        <v>71.721944765225061</v>
      </c>
      <c r="CD250" s="106">
        <f>IF((100-(75*(CC250-1)/(200-1)))&gt;100, 100, IF((100-(75*(CC250-1)/(200-1)))&lt;25, 25, (100-(75*(CC250-1)/(200-1)))))</f>
        <v>73.34600071662372</v>
      </c>
      <c r="CE250" s="107">
        <f>CD250*0.015</f>
        <v>1.1001900107493559</v>
      </c>
      <c r="CF250" s="108" t="s">
        <v>2189</v>
      </c>
      <c r="CG250" s="108" t="s">
        <v>2189</v>
      </c>
      <c r="CH250" s="108" t="s">
        <v>2189</v>
      </c>
      <c r="CI250" s="108" t="s">
        <v>2189</v>
      </c>
      <c r="CJ250" s="109"/>
      <c r="CM250" s="111">
        <f t="shared" si="284"/>
        <v>25</v>
      </c>
      <c r="CN250" s="107">
        <f>CM250*0.015</f>
        <v>0.375</v>
      </c>
      <c r="CP250" s="88">
        <f t="shared" si="286"/>
        <v>0</v>
      </c>
      <c r="CQ250" s="78">
        <f t="shared" si="287"/>
        <v>100</v>
      </c>
      <c r="CR250" s="79">
        <f>CQ250*0.03</f>
        <v>3</v>
      </c>
      <c r="CS250" s="92"/>
      <c r="CT250" s="77">
        <f t="shared" si="255"/>
        <v>0</v>
      </c>
      <c r="CU250" s="78">
        <f t="shared" si="289"/>
        <v>100</v>
      </c>
      <c r="CV250" s="79">
        <f>CU250*0.02</f>
        <v>2</v>
      </c>
      <c r="CW250" s="112" t="e">
        <f t="shared" si="291"/>
        <v>#DIV/0!</v>
      </c>
    </row>
    <row r="251" spans="1:101" x14ac:dyDescent="0.35">
      <c r="A251" s="7" t="s">
        <v>1614</v>
      </c>
      <c r="B251" s="8" t="s">
        <v>1615</v>
      </c>
      <c r="C251" s="21" t="s">
        <v>1616</v>
      </c>
      <c r="D251" s="22" t="s">
        <v>141</v>
      </c>
      <c r="E251" s="11" t="s">
        <v>1617</v>
      </c>
      <c r="F251" s="11" t="s">
        <v>1618</v>
      </c>
      <c r="G251" s="12">
        <v>44418</v>
      </c>
      <c r="H251" s="11" t="s">
        <v>24</v>
      </c>
      <c r="I251" s="11" t="s">
        <v>1619</v>
      </c>
      <c r="J251" s="11" t="s">
        <v>1620</v>
      </c>
      <c r="K251" s="11" t="s">
        <v>27</v>
      </c>
      <c r="L251" s="23">
        <v>5774465580</v>
      </c>
      <c r="M251" s="14">
        <v>732161313</v>
      </c>
      <c r="N251" s="14">
        <v>5042304267</v>
      </c>
      <c r="O251" s="14">
        <v>1767775811</v>
      </c>
      <c r="P251" s="14">
        <v>737821913</v>
      </c>
      <c r="Q251" s="14">
        <v>666253605</v>
      </c>
      <c r="R251" s="14">
        <v>487142608</v>
      </c>
      <c r="AB251" s="74">
        <f t="shared" si="292"/>
        <v>0</v>
      </c>
      <c r="AC251" s="75" t="e">
        <f t="shared" si="256"/>
        <v>#DIV/0!</v>
      </c>
      <c r="AD251" s="75" t="e">
        <f t="shared" si="293"/>
        <v>#DIV/0!</v>
      </c>
      <c r="AE251" s="76" t="e">
        <f>AD251*0.03</f>
        <v>#DIV/0!</v>
      </c>
      <c r="AF251" s="77" t="e">
        <f t="shared" si="258"/>
        <v>#DIV/0!</v>
      </c>
      <c r="AG251" s="77" t="e">
        <f t="shared" si="259"/>
        <v>#DIV/0!</v>
      </c>
      <c r="AH251" s="77" t="e">
        <f t="shared" si="294"/>
        <v>#DIV/0!</v>
      </c>
      <c r="AI251" s="78" t="e">
        <f t="shared" si="295"/>
        <v>#DIV/0!</v>
      </c>
      <c r="AJ251" s="79" t="e">
        <f>AI251*0.04</f>
        <v>#DIV/0!</v>
      </c>
      <c r="AN251" s="81">
        <f t="shared" si="243"/>
        <v>0</v>
      </c>
      <c r="AO251" s="82" t="e">
        <f t="shared" si="244"/>
        <v>#DIV/0!</v>
      </c>
      <c r="AP251" s="83" t="e">
        <f t="shared" si="261"/>
        <v>#DIV/0!</v>
      </c>
      <c r="AQ251" s="84" t="e">
        <f>AP251*0.02</f>
        <v>#DIV/0!</v>
      </c>
      <c r="AS251" s="86">
        <f t="shared" si="245"/>
        <v>0.5</v>
      </c>
      <c r="AT251" s="87">
        <f t="shared" si="263"/>
        <v>0</v>
      </c>
      <c r="AU251" s="87">
        <f t="shared" si="264"/>
        <v>0</v>
      </c>
      <c r="AV251" s="88" t="e">
        <f t="shared" si="246"/>
        <v>#DIV/0!</v>
      </c>
      <c r="AW251" s="78" t="e">
        <f t="shared" si="265"/>
        <v>#DIV/0!</v>
      </c>
      <c r="AX251" s="89" t="e">
        <f>AW251*0.01</f>
        <v>#DIV/0!</v>
      </c>
      <c r="BA251" s="91">
        <f t="shared" si="247"/>
        <v>0</v>
      </c>
      <c r="BB251" s="77" t="e">
        <f t="shared" si="267"/>
        <v>#DIV/0!</v>
      </c>
      <c r="BC251" s="78" t="e">
        <f t="shared" si="268"/>
        <v>#DIV/0!</v>
      </c>
      <c r="BD251" s="79" t="e">
        <f>BC251*0.01</f>
        <v>#DIV/0!</v>
      </c>
      <c r="BE251" s="92"/>
      <c r="BF251" s="92"/>
      <c r="BG251" s="93">
        <v>0</v>
      </c>
      <c r="BH251" s="94">
        <f t="shared" si="248"/>
        <v>0</v>
      </c>
      <c r="BI251" s="77" t="e">
        <f t="shared" si="249"/>
        <v>#DIV/0!</v>
      </c>
      <c r="BJ251" s="95" t="str">
        <f t="shared" si="270"/>
        <v>전기전자/기계업</v>
      </c>
      <c r="BK251" s="96" t="e">
        <f t="shared" si="250"/>
        <v>#DIV/0!</v>
      </c>
      <c r="BL251" s="97" t="e">
        <f t="shared" si="271"/>
        <v>#DIV/0!</v>
      </c>
      <c r="BM251" s="98" t="e">
        <f t="shared" si="272"/>
        <v>#DIV/0!</v>
      </c>
      <c r="BN251" s="99" t="e">
        <f t="shared" si="273"/>
        <v>#DIV/0!</v>
      </c>
      <c r="BP251" s="101">
        <f t="shared" si="274"/>
        <v>0</v>
      </c>
      <c r="BQ251" s="78">
        <f t="shared" si="275"/>
        <v>25</v>
      </c>
      <c r="BR251" s="79">
        <f>BQ251*0.02</f>
        <v>0.5</v>
      </c>
      <c r="BS251" s="102"/>
      <c r="BT251" s="102"/>
      <c r="BU251" s="103">
        <f t="shared" si="277"/>
        <v>0</v>
      </c>
      <c r="BV251" s="77">
        <f t="shared" si="251"/>
        <v>0</v>
      </c>
      <c r="BW251" s="96">
        <f t="shared" si="252"/>
        <v>0</v>
      </c>
      <c r="BX251" s="96">
        <f t="shared" si="278"/>
        <v>0</v>
      </c>
      <c r="BY251" s="96">
        <f t="shared" si="253"/>
        <v>0</v>
      </c>
      <c r="BZ251" s="96" t="e">
        <f t="shared" si="279"/>
        <v>#NUM!</v>
      </c>
      <c r="CA251" s="96" t="e">
        <f t="shared" si="254"/>
        <v>#NUM!</v>
      </c>
      <c r="CB251" s="104" t="e">
        <f t="shared" si="280"/>
        <v>#NUM!</v>
      </c>
      <c r="CC251" s="105">
        <f>(M251/N251)*100</f>
        <v>14.520371525211651</v>
      </c>
      <c r="CD251" s="106">
        <f>IF((100-(75*(CC251-1)/(200-1)))&gt;100, 100, IF((100-(75*(CC251-1)/(200-1)))&lt;25, 25, (100-(75*(CC251-1)/(200-1)))))</f>
        <v>94.90438259100064</v>
      </c>
      <c r="CE251" s="107">
        <f>CD251*0.015</f>
        <v>1.4235657388650096</v>
      </c>
      <c r="CF251" s="108" t="s">
        <v>2189</v>
      </c>
      <c r="CG251" s="108" t="s">
        <v>2189</v>
      </c>
      <c r="CH251" s="108" t="s">
        <v>2189</v>
      </c>
      <c r="CI251" s="108" t="s">
        <v>2189</v>
      </c>
      <c r="CJ251" s="109"/>
      <c r="CM251" s="111">
        <f t="shared" si="284"/>
        <v>25</v>
      </c>
      <c r="CN251" s="107">
        <f>CM251*0.015</f>
        <v>0.375</v>
      </c>
      <c r="CP251" s="88">
        <f t="shared" si="286"/>
        <v>0</v>
      </c>
      <c r="CQ251" s="78">
        <f t="shared" si="287"/>
        <v>100</v>
      </c>
      <c r="CR251" s="79">
        <f>CQ251*0.03</f>
        <v>3</v>
      </c>
      <c r="CS251" s="92"/>
      <c r="CT251" s="77">
        <f t="shared" si="255"/>
        <v>0</v>
      </c>
      <c r="CU251" s="78">
        <f t="shared" si="289"/>
        <v>100</v>
      </c>
      <c r="CV251" s="79">
        <f>CU251*0.02</f>
        <v>2</v>
      </c>
      <c r="CW251" s="112" t="e">
        <f t="shared" si="291"/>
        <v>#DIV/0!</v>
      </c>
    </row>
    <row r="252" spans="1:101" x14ac:dyDescent="0.35">
      <c r="A252" s="7" t="s">
        <v>1621</v>
      </c>
      <c r="B252" s="28" t="s">
        <v>1622</v>
      </c>
      <c r="C252" s="21" t="s">
        <v>1623</v>
      </c>
      <c r="D252" s="25" t="s">
        <v>262</v>
      </c>
      <c r="E252" s="11" t="s">
        <v>263</v>
      </c>
      <c r="F252" s="11" t="s">
        <v>1624</v>
      </c>
      <c r="G252" s="12">
        <v>40028</v>
      </c>
      <c r="H252" s="11" t="s">
        <v>24</v>
      </c>
      <c r="I252" s="11" t="s">
        <v>1625</v>
      </c>
      <c r="J252" s="11" t="s">
        <v>1626</v>
      </c>
      <c r="K252" s="11" t="s">
        <v>27</v>
      </c>
      <c r="L252" s="23">
        <v>39369287420</v>
      </c>
      <c r="M252" s="14">
        <v>35300144133</v>
      </c>
      <c r="N252" s="14">
        <v>4069143286</v>
      </c>
      <c r="O252" s="14">
        <v>8031651241</v>
      </c>
      <c r="P252" s="14">
        <v>645745222</v>
      </c>
      <c r="Q252" s="14">
        <v>663311108</v>
      </c>
      <c r="R252" s="14">
        <v>493104212</v>
      </c>
      <c r="AB252" s="74">
        <f t="shared" si="292"/>
        <v>0</v>
      </c>
      <c r="AC252" s="75" t="e">
        <f t="shared" si="256"/>
        <v>#DIV/0!</v>
      </c>
      <c r="AD252" s="75" t="e">
        <f t="shared" si="293"/>
        <v>#DIV/0!</v>
      </c>
      <c r="AE252" s="119" t="e">
        <f>AD252*0.04</f>
        <v>#DIV/0!</v>
      </c>
      <c r="AF252" s="77" t="e">
        <f t="shared" si="258"/>
        <v>#DIV/0!</v>
      </c>
      <c r="AG252" s="77" t="e">
        <f t="shared" si="259"/>
        <v>#DIV/0!</v>
      </c>
      <c r="AH252" s="77" t="e">
        <f t="shared" si="294"/>
        <v>#DIV/0!</v>
      </c>
      <c r="AI252" s="78" t="e">
        <f t="shared" si="295"/>
        <v>#DIV/0!</v>
      </c>
      <c r="AJ252" s="120" t="e">
        <f>AI252*0.05</f>
        <v>#DIV/0!</v>
      </c>
      <c r="AN252" s="81">
        <f t="shared" si="243"/>
        <v>0</v>
      </c>
      <c r="AO252" s="82" t="e">
        <f t="shared" si="244"/>
        <v>#DIV/0!</v>
      </c>
      <c r="AP252" s="83" t="e">
        <f t="shared" si="261"/>
        <v>#DIV/0!</v>
      </c>
      <c r="AQ252" s="121" t="e">
        <f>AP252*0.03</f>
        <v>#DIV/0!</v>
      </c>
      <c r="AS252" s="86">
        <f t="shared" si="245"/>
        <v>0.5</v>
      </c>
      <c r="AT252" s="87">
        <f t="shared" si="263"/>
        <v>0</v>
      </c>
      <c r="AU252" s="87">
        <f t="shared" si="264"/>
        <v>0</v>
      </c>
      <c r="AV252" s="88" t="e">
        <f t="shared" si="246"/>
        <v>#DIV/0!</v>
      </c>
      <c r="AW252" s="78" t="e">
        <f t="shared" si="265"/>
        <v>#DIV/0!</v>
      </c>
      <c r="AX252" s="122" t="e">
        <f>AW252*0.02</f>
        <v>#DIV/0!</v>
      </c>
      <c r="BA252" s="91">
        <f t="shared" si="247"/>
        <v>0</v>
      </c>
      <c r="BB252" s="77" t="e">
        <f t="shared" si="267"/>
        <v>#DIV/0!</v>
      </c>
      <c r="BC252" s="78" t="e">
        <f t="shared" si="268"/>
        <v>#DIV/0!</v>
      </c>
      <c r="BD252" s="120" t="e">
        <f>BC252*0.02</f>
        <v>#DIV/0!</v>
      </c>
      <c r="BE252" s="92"/>
      <c r="BF252" s="92"/>
      <c r="BG252" s="114">
        <v>7924370</v>
      </c>
      <c r="BH252" s="94">
        <f t="shared" si="248"/>
        <v>0</v>
      </c>
      <c r="BI252" s="77" t="e">
        <f t="shared" si="249"/>
        <v>#DIV/0!</v>
      </c>
      <c r="BJ252" s="95" t="str">
        <f t="shared" si="270"/>
        <v>금융업</v>
      </c>
      <c r="BK252" s="96" t="e">
        <f t="shared" si="250"/>
        <v>#DIV/0!</v>
      </c>
      <c r="BL252" s="97" t="e">
        <f t="shared" si="271"/>
        <v>#DIV/0!</v>
      </c>
      <c r="BM252" s="98" t="e">
        <f t="shared" si="272"/>
        <v>#DIV/0!</v>
      </c>
      <c r="BN252" s="99" t="e">
        <f t="shared" si="273"/>
        <v>#DIV/0!</v>
      </c>
      <c r="BP252" s="101">
        <f t="shared" si="274"/>
        <v>0</v>
      </c>
      <c r="BQ252" s="78">
        <f t="shared" si="275"/>
        <v>25</v>
      </c>
      <c r="BR252" s="120">
        <f>BQ252*0.01</f>
        <v>0.25</v>
      </c>
      <c r="BS252" s="102"/>
      <c r="BT252" s="102"/>
      <c r="BU252" s="103">
        <f t="shared" si="277"/>
        <v>0</v>
      </c>
      <c r="BV252" s="77">
        <f t="shared" si="251"/>
        <v>0</v>
      </c>
      <c r="BW252" s="96">
        <f t="shared" si="252"/>
        <v>0</v>
      </c>
      <c r="BX252" s="96">
        <f t="shared" si="278"/>
        <v>0</v>
      </c>
      <c r="BY252" s="96">
        <f t="shared" si="253"/>
        <v>0</v>
      </c>
      <c r="BZ252" s="96" t="e">
        <f t="shared" si="279"/>
        <v>#NUM!</v>
      </c>
      <c r="CA252" s="96" t="e">
        <f t="shared" si="254"/>
        <v>#NUM!</v>
      </c>
      <c r="CB252" s="104" t="e">
        <f t="shared" si="280"/>
        <v>#NUM!</v>
      </c>
      <c r="CC252" s="123" t="s">
        <v>2200</v>
      </c>
      <c r="CD252" s="124" t="s">
        <v>2200</v>
      </c>
      <c r="CE252" s="125"/>
      <c r="CF252" s="126" t="s">
        <v>2201</v>
      </c>
      <c r="CG252" s="127">
        <v>0.39</v>
      </c>
      <c r="CH252" s="126" t="s">
        <v>2201</v>
      </c>
      <c r="CI252" s="128">
        <f>IF((100-(75*(CG252-1)/9))&gt;100,100,IF((100-(75*(CG252-1)/9))&lt;25,25,(100-(75*(CG252-1)/9))))</f>
        <v>100</v>
      </c>
      <c r="CJ252" s="129">
        <f>CI252*0.04</f>
        <v>4</v>
      </c>
      <c r="CM252" s="111">
        <f t="shared" si="284"/>
        <v>25</v>
      </c>
      <c r="CN252" s="130">
        <f>CM252*0.03</f>
        <v>0.75</v>
      </c>
      <c r="CP252" s="88">
        <f t="shared" si="286"/>
        <v>0</v>
      </c>
      <c r="CQ252" s="78">
        <f t="shared" si="287"/>
        <v>100</v>
      </c>
      <c r="CR252" s="120">
        <f>CQ252*0.04</f>
        <v>4</v>
      </c>
      <c r="CS252" s="92"/>
      <c r="CT252" s="77">
        <f t="shared" si="255"/>
        <v>0</v>
      </c>
      <c r="CU252" s="78">
        <f t="shared" si="289"/>
        <v>100</v>
      </c>
      <c r="CV252" s="131">
        <f>CU252*0.03</f>
        <v>3</v>
      </c>
      <c r="CW252" s="112" t="e">
        <f t="shared" si="291"/>
        <v>#DIV/0!</v>
      </c>
    </row>
    <row r="253" spans="1:101" x14ac:dyDescent="0.35">
      <c r="A253" s="7" t="s">
        <v>1627</v>
      </c>
      <c r="B253" s="8" t="s">
        <v>1628</v>
      </c>
      <c r="C253" s="21" t="s">
        <v>1629</v>
      </c>
      <c r="D253" s="10" t="s">
        <v>75</v>
      </c>
      <c r="E253" s="11" t="s">
        <v>1187</v>
      </c>
      <c r="F253" s="11" t="s">
        <v>1630</v>
      </c>
      <c r="G253" s="12">
        <v>33304</v>
      </c>
      <c r="H253" s="11" t="s">
        <v>24</v>
      </c>
      <c r="I253" s="11" t="s">
        <v>1631</v>
      </c>
      <c r="J253" s="11" t="s">
        <v>1632</v>
      </c>
      <c r="K253" s="11" t="s">
        <v>27</v>
      </c>
      <c r="L253" s="23">
        <v>231015509</v>
      </c>
      <c r="M253" s="14">
        <v>75905969</v>
      </c>
      <c r="N253" s="14">
        <v>155109540</v>
      </c>
      <c r="O253" s="14">
        <v>285439614</v>
      </c>
      <c r="P253" s="14">
        <v>21520066</v>
      </c>
      <c r="Q253" s="14">
        <v>18501491</v>
      </c>
      <c r="R253" s="14">
        <v>19107420</v>
      </c>
      <c r="AB253" s="74">
        <f t="shared" si="292"/>
        <v>0</v>
      </c>
      <c r="AC253" s="75" t="e">
        <f t="shared" si="256"/>
        <v>#DIV/0!</v>
      </c>
      <c r="AD253" s="75" t="e">
        <f t="shared" si="293"/>
        <v>#DIV/0!</v>
      </c>
      <c r="AE253" s="76" t="e">
        <f t="shared" ref="AE253:AE289" si="332">AD253*0.03</f>
        <v>#DIV/0!</v>
      </c>
      <c r="AF253" s="77" t="e">
        <f t="shared" si="258"/>
        <v>#DIV/0!</v>
      </c>
      <c r="AG253" s="77" t="e">
        <f t="shared" si="259"/>
        <v>#DIV/0!</v>
      </c>
      <c r="AH253" s="77" t="e">
        <f t="shared" si="294"/>
        <v>#DIV/0!</v>
      </c>
      <c r="AI253" s="78" t="e">
        <f t="shared" si="295"/>
        <v>#DIV/0!</v>
      </c>
      <c r="AJ253" s="79" t="e">
        <f t="shared" ref="AJ253:AJ289" si="333">AI253*0.04</f>
        <v>#DIV/0!</v>
      </c>
      <c r="AN253" s="81">
        <f t="shared" si="243"/>
        <v>0</v>
      </c>
      <c r="AO253" s="82" t="e">
        <f t="shared" si="244"/>
        <v>#DIV/0!</v>
      </c>
      <c r="AP253" s="83" t="e">
        <f t="shared" si="261"/>
        <v>#DIV/0!</v>
      </c>
      <c r="AQ253" s="84" t="e">
        <f t="shared" ref="AQ253:AQ289" si="334">AP253*0.02</f>
        <v>#DIV/0!</v>
      </c>
      <c r="AS253" s="86">
        <f t="shared" si="245"/>
        <v>0.25</v>
      </c>
      <c r="AT253" s="87">
        <f t="shared" si="263"/>
        <v>0</v>
      </c>
      <c r="AU253" s="87">
        <f t="shared" si="264"/>
        <v>0</v>
      </c>
      <c r="AV253" s="88" t="e">
        <f t="shared" si="246"/>
        <v>#DIV/0!</v>
      </c>
      <c r="AW253" s="78" t="e">
        <f t="shared" si="265"/>
        <v>#DIV/0!</v>
      </c>
      <c r="AX253" s="89" t="e">
        <f t="shared" ref="AX253:AX289" si="335">AW253*0.01</f>
        <v>#DIV/0!</v>
      </c>
      <c r="BA253" s="91">
        <f t="shared" si="247"/>
        <v>0</v>
      </c>
      <c r="BB253" s="77" t="e">
        <f t="shared" si="267"/>
        <v>#DIV/0!</v>
      </c>
      <c r="BC253" s="78" t="e">
        <f t="shared" si="268"/>
        <v>#DIV/0!</v>
      </c>
      <c r="BD253" s="79" t="e">
        <f t="shared" ref="BD253:BD289" si="336">BC253*0.01</f>
        <v>#DIV/0!</v>
      </c>
      <c r="BE253" s="92"/>
      <c r="BF253" s="92"/>
      <c r="BG253" s="114">
        <v>127349</v>
      </c>
      <c r="BH253" s="94">
        <f t="shared" si="248"/>
        <v>0</v>
      </c>
      <c r="BI253" s="77" t="e">
        <f t="shared" si="249"/>
        <v>#DIV/0!</v>
      </c>
      <c r="BJ253" s="95" t="str">
        <f t="shared" si="270"/>
        <v>금속/비금속/화학업</v>
      </c>
      <c r="BK253" s="96" t="e">
        <f t="shared" si="250"/>
        <v>#DIV/0!</v>
      </c>
      <c r="BL253" s="97" t="e">
        <f t="shared" si="271"/>
        <v>#DIV/0!</v>
      </c>
      <c r="BM253" s="98" t="e">
        <f t="shared" si="272"/>
        <v>#DIV/0!</v>
      </c>
      <c r="BN253" s="99" t="e">
        <f t="shared" si="273"/>
        <v>#DIV/0!</v>
      </c>
      <c r="BP253" s="101">
        <f t="shared" si="274"/>
        <v>0</v>
      </c>
      <c r="BQ253" s="78">
        <f t="shared" si="275"/>
        <v>25</v>
      </c>
      <c r="BR253" s="79">
        <f t="shared" ref="BR253:BR289" si="337">BQ253*0.02</f>
        <v>0.5</v>
      </c>
      <c r="BS253" s="102"/>
      <c r="BT253" s="102"/>
      <c r="BU253" s="103">
        <f t="shared" si="277"/>
        <v>0</v>
      </c>
      <c r="BV253" s="77">
        <f t="shared" si="251"/>
        <v>0</v>
      </c>
      <c r="BW253" s="96">
        <f t="shared" si="252"/>
        <v>0</v>
      </c>
      <c r="BX253" s="96">
        <f t="shared" si="278"/>
        <v>0</v>
      </c>
      <c r="BY253" s="96">
        <f t="shared" si="253"/>
        <v>0</v>
      </c>
      <c r="BZ253" s="96" t="e">
        <f t="shared" si="279"/>
        <v>#NUM!</v>
      </c>
      <c r="CA253" s="96" t="e">
        <f t="shared" si="254"/>
        <v>#NUM!</v>
      </c>
      <c r="CB253" s="104" t="e">
        <f t="shared" si="280"/>
        <v>#NUM!</v>
      </c>
      <c r="CC253" s="105">
        <f t="shared" ref="CC253:CC289" si="338">(M253/N253)*100</f>
        <v>48.937008645631984</v>
      </c>
      <c r="CD253" s="106">
        <f t="shared" ref="CD253:CD289" si="339">IF((100-(75*(CC253-1)/(200-1)))&gt;100, 100, IF((100-(75*(CC253-1)/(200-1)))&lt;25, 25, (100-(75*(CC253-1)/(200-1)))))</f>
        <v>81.933288198882423</v>
      </c>
      <c r="CE253" s="107">
        <f t="shared" ref="CE253:CE289" si="340">CD253*0.015</f>
        <v>1.2289993229832363</v>
      </c>
      <c r="CF253" s="108" t="s">
        <v>2189</v>
      </c>
      <c r="CG253" s="108" t="s">
        <v>2189</v>
      </c>
      <c r="CH253" s="108" t="s">
        <v>2189</v>
      </c>
      <c r="CI253" s="108" t="s">
        <v>2189</v>
      </c>
      <c r="CJ253" s="109"/>
      <c r="CM253" s="111">
        <f t="shared" si="284"/>
        <v>25</v>
      </c>
      <c r="CN253" s="107">
        <f t="shared" ref="CN253:CN289" si="341">CM253*0.015</f>
        <v>0.375</v>
      </c>
      <c r="CP253" s="88">
        <f t="shared" si="286"/>
        <v>0</v>
      </c>
      <c r="CQ253" s="78">
        <f t="shared" si="287"/>
        <v>100</v>
      </c>
      <c r="CR253" s="79">
        <f t="shared" ref="CR253:CR289" si="342">CQ253*0.03</f>
        <v>3</v>
      </c>
      <c r="CS253" s="92"/>
      <c r="CT253" s="77">
        <f t="shared" si="255"/>
        <v>0</v>
      </c>
      <c r="CU253" s="78">
        <f t="shared" si="289"/>
        <v>100</v>
      </c>
      <c r="CV253" s="79">
        <f t="shared" ref="CV253:CV289" si="343">CU253*0.02</f>
        <v>2</v>
      </c>
      <c r="CW253" s="112" t="e">
        <f t="shared" si="291"/>
        <v>#DIV/0!</v>
      </c>
    </row>
    <row r="254" spans="1:101" x14ac:dyDescent="0.35">
      <c r="A254" s="7" t="s">
        <v>1633</v>
      </c>
      <c r="B254" s="8" t="s">
        <v>1634</v>
      </c>
      <c r="C254" s="21" t="s">
        <v>1635</v>
      </c>
      <c r="D254" s="10" t="s">
        <v>75</v>
      </c>
      <c r="E254" s="11" t="s">
        <v>76</v>
      </c>
      <c r="F254" s="11" t="s">
        <v>1636</v>
      </c>
      <c r="G254" s="12">
        <v>35094</v>
      </c>
      <c r="H254" s="11" t="s">
        <v>24</v>
      </c>
      <c r="I254" s="11" t="s">
        <v>1637</v>
      </c>
      <c r="J254" s="11" t="s">
        <v>1638</v>
      </c>
      <c r="K254" s="11" t="s">
        <v>27</v>
      </c>
      <c r="L254" s="23">
        <v>221214840</v>
      </c>
      <c r="M254" s="14">
        <v>49139610</v>
      </c>
      <c r="N254" s="14">
        <v>172075230</v>
      </c>
      <c r="O254" s="14">
        <v>157798814</v>
      </c>
      <c r="P254" s="14">
        <v>10746927</v>
      </c>
      <c r="Q254" s="14">
        <v>5946963</v>
      </c>
      <c r="R254" s="14">
        <v>5654728</v>
      </c>
      <c r="S254" s="26"/>
      <c r="AB254" s="74">
        <f t="shared" si="292"/>
        <v>0</v>
      </c>
      <c r="AC254" s="75" t="e">
        <f t="shared" si="256"/>
        <v>#DIV/0!</v>
      </c>
      <c r="AD254" s="75" t="e">
        <f t="shared" si="293"/>
        <v>#DIV/0!</v>
      </c>
      <c r="AE254" s="76" t="e">
        <f t="shared" si="332"/>
        <v>#DIV/0!</v>
      </c>
      <c r="AF254" s="77" t="e">
        <f t="shared" si="258"/>
        <v>#DIV/0!</v>
      </c>
      <c r="AG254" s="77" t="e">
        <f t="shared" si="259"/>
        <v>#DIV/0!</v>
      </c>
      <c r="AH254" s="77" t="e">
        <f t="shared" si="294"/>
        <v>#DIV/0!</v>
      </c>
      <c r="AI254" s="78" t="e">
        <f t="shared" si="295"/>
        <v>#DIV/0!</v>
      </c>
      <c r="AJ254" s="79" t="e">
        <f t="shared" si="333"/>
        <v>#DIV/0!</v>
      </c>
      <c r="AN254" s="81">
        <f t="shared" si="243"/>
        <v>0</v>
      </c>
      <c r="AO254" s="82" t="e">
        <f t="shared" si="244"/>
        <v>#DIV/0!</v>
      </c>
      <c r="AP254" s="83" t="e">
        <f t="shared" si="261"/>
        <v>#DIV/0!</v>
      </c>
      <c r="AQ254" s="84" t="e">
        <f t="shared" si="334"/>
        <v>#DIV/0!</v>
      </c>
      <c r="AS254" s="86">
        <f t="shared" si="245"/>
        <v>0.25</v>
      </c>
      <c r="AT254" s="87">
        <f t="shared" si="263"/>
        <v>0</v>
      </c>
      <c r="AU254" s="87">
        <f t="shared" si="264"/>
        <v>0</v>
      </c>
      <c r="AV254" s="88" t="e">
        <f t="shared" si="246"/>
        <v>#DIV/0!</v>
      </c>
      <c r="AW254" s="78" t="e">
        <f t="shared" si="265"/>
        <v>#DIV/0!</v>
      </c>
      <c r="AX254" s="89" t="e">
        <f t="shared" si="335"/>
        <v>#DIV/0!</v>
      </c>
      <c r="BA254" s="91">
        <f t="shared" si="247"/>
        <v>0</v>
      </c>
      <c r="BB254" s="77" t="e">
        <f t="shared" si="267"/>
        <v>#DIV/0!</v>
      </c>
      <c r="BC254" s="78" t="e">
        <f t="shared" si="268"/>
        <v>#DIV/0!</v>
      </c>
      <c r="BD254" s="79" t="e">
        <f t="shared" si="336"/>
        <v>#DIV/0!</v>
      </c>
      <c r="BE254" s="92"/>
      <c r="BF254" s="92"/>
      <c r="BG254" s="114">
        <v>257815</v>
      </c>
      <c r="BH254" s="94">
        <f t="shared" si="248"/>
        <v>0</v>
      </c>
      <c r="BI254" s="77" t="e">
        <f t="shared" si="249"/>
        <v>#DIV/0!</v>
      </c>
      <c r="BJ254" s="95" t="str">
        <f t="shared" si="270"/>
        <v>금속/비금속/화학업</v>
      </c>
      <c r="BK254" s="96" t="e">
        <f t="shared" si="250"/>
        <v>#DIV/0!</v>
      </c>
      <c r="BL254" s="97" t="e">
        <f t="shared" si="271"/>
        <v>#DIV/0!</v>
      </c>
      <c r="BM254" s="98" t="e">
        <f t="shared" si="272"/>
        <v>#DIV/0!</v>
      </c>
      <c r="BN254" s="99" t="e">
        <f t="shared" si="273"/>
        <v>#DIV/0!</v>
      </c>
      <c r="BP254" s="101">
        <f t="shared" si="274"/>
        <v>0</v>
      </c>
      <c r="BQ254" s="78">
        <f t="shared" si="275"/>
        <v>25</v>
      </c>
      <c r="BR254" s="79">
        <f t="shared" si="337"/>
        <v>0.5</v>
      </c>
      <c r="BS254" s="102"/>
      <c r="BT254" s="102"/>
      <c r="BU254" s="103">
        <f t="shared" si="277"/>
        <v>0</v>
      </c>
      <c r="BV254" s="77">
        <f t="shared" si="251"/>
        <v>0</v>
      </c>
      <c r="BW254" s="96">
        <f t="shared" si="252"/>
        <v>0</v>
      </c>
      <c r="BX254" s="96">
        <f t="shared" si="278"/>
        <v>0</v>
      </c>
      <c r="BY254" s="96">
        <f t="shared" si="253"/>
        <v>0</v>
      </c>
      <c r="BZ254" s="96" t="e">
        <f t="shared" si="279"/>
        <v>#NUM!</v>
      </c>
      <c r="CA254" s="96" t="e">
        <f t="shared" si="254"/>
        <v>#NUM!</v>
      </c>
      <c r="CB254" s="104" t="e">
        <f t="shared" si="280"/>
        <v>#NUM!</v>
      </c>
      <c r="CC254" s="105">
        <f t="shared" si="338"/>
        <v>28.557050308751585</v>
      </c>
      <c r="CD254" s="106">
        <f t="shared" si="339"/>
        <v>89.614177019314724</v>
      </c>
      <c r="CE254" s="107">
        <f t="shared" si="340"/>
        <v>1.3442126552897209</v>
      </c>
      <c r="CF254" s="108" t="s">
        <v>2189</v>
      </c>
      <c r="CG254" s="108" t="s">
        <v>2189</v>
      </c>
      <c r="CH254" s="108" t="s">
        <v>2189</v>
      </c>
      <c r="CI254" s="108" t="s">
        <v>2189</v>
      </c>
      <c r="CJ254" s="109"/>
      <c r="CM254" s="111">
        <f t="shared" si="284"/>
        <v>25</v>
      </c>
      <c r="CN254" s="107">
        <f t="shared" si="341"/>
        <v>0.375</v>
      </c>
      <c r="CP254" s="88">
        <f t="shared" si="286"/>
        <v>0</v>
      </c>
      <c r="CQ254" s="78">
        <f t="shared" si="287"/>
        <v>100</v>
      </c>
      <c r="CR254" s="79">
        <f t="shared" si="342"/>
        <v>3</v>
      </c>
      <c r="CS254" s="92"/>
      <c r="CT254" s="77">
        <f t="shared" si="255"/>
        <v>0</v>
      </c>
      <c r="CU254" s="78">
        <f t="shared" si="289"/>
        <v>100</v>
      </c>
      <c r="CV254" s="79">
        <f t="shared" si="343"/>
        <v>2</v>
      </c>
      <c r="CW254" s="112" t="e">
        <f t="shared" si="291"/>
        <v>#DIV/0!</v>
      </c>
    </row>
    <row r="255" spans="1:101" x14ac:dyDescent="0.35">
      <c r="A255" s="7" t="s">
        <v>1639</v>
      </c>
      <c r="B255" s="8" t="s">
        <v>1640</v>
      </c>
      <c r="C255" s="21" t="s">
        <v>1641</v>
      </c>
      <c r="D255" s="10" t="s">
        <v>75</v>
      </c>
      <c r="E255" s="11" t="s">
        <v>76</v>
      </c>
      <c r="F255" s="11" t="s">
        <v>1642</v>
      </c>
      <c r="G255" s="12">
        <v>37649</v>
      </c>
      <c r="H255" s="11" t="s">
        <v>24</v>
      </c>
      <c r="I255" s="11" t="s">
        <v>1643</v>
      </c>
      <c r="J255" s="11" t="s">
        <v>1644</v>
      </c>
      <c r="K255" s="11" t="s">
        <v>27</v>
      </c>
      <c r="L255" s="23">
        <v>162863274</v>
      </c>
      <c r="M255" s="14">
        <v>17371202</v>
      </c>
      <c r="N255" s="14">
        <v>145492071</v>
      </c>
      <c r="O255" s="14">
        <v>56651970</v>
      </c>
      <c r="P255" s="14">
        <v>10708324</v>
      </c>
      <c r="Q255" s="14">
        <v>12207215</v>
      </c>
      <c r="R255" s="14">
        <v>9200816</v>
      </c>
      <c r="AB255" s="74">
        <f t="shared" si="292"/>
        <v>0</v>
      </c>
      <c r="AC255" s="75" t="e">
        <f t="shared" si="256"/>
        <v>#DIV/0!</v>
      </c>
      <c r="AD255" s="75" t="e">
        <f t="shared" si="293"/>
        <v>#DIV/0!</v>
      </c>
      <c r="AE255" s="76" t="e">
        <f t="shared" si="332"/>
        <v>#DIV/0!</v>
      </c>
      <c r="AF255" s="77" t="e">
        <f t="shared" si="258"/>
        <v>#DIV/0!</v>
      </c>
      <c r="AG255" s="77" t="e">
        <f t="shared" si="259"/>
        <v>#DIV/0!</v>
      </c>
      <c r="AH255" s="77" t="e">
        <f t="shared" si="294"/>
        <v>#DIV/0!</v>
      </c>
      <c r="AI255" s="78" t="e">
        <f t="shared" si="295"/>
        <v>#DIV/0!</v>
      </c>
      <c r="AJ255" s="79" t="e">
        <f t="shared" si="333"/>
        <v>#DIV/0!</v>
      </c>
      <c r="AN255" s="81">
        <f t="shared" si="243"/>
        <v>0</v>
      </c>
      <c r="AO255" s="82" t="e">
        <f t="shared" si="244"/>
        <v>#DIV/0!</v>
      </c>
      <c r="AP255" s="83" t="e">
        <f t="shared" si="261"/>
        <v>#DIV/0!</v>
      </c>
      <c r="AQ255" s="84" t="e">
        <f t="shared" si="334"/>
        <v>#DIV/0!</v>
      </c>
      <c r="AS255" s="86">
        <f t="shared" si="245"/>
        <v>0.25</v>
      </c>
      <c r="AT255" s="87">
        <f t="shared" si="263"/>
        <v>0</v>
      </c>
      <c r="AU255" s="87">
        <f t="shared" si="264"/>
        <v>0</v>
      </c>
      <c r="AV255" s="88" t="e">
        <f t="shared" si="246"/>
        <v>#DIV/0!</v>
      </c>
      <c r="AW255" s="78" t="e">
        <f t="shared" si="265"/>
        <v>#DIV/0!</v>
      </c>
      <c r="AX255" s="89" t="e">
        <f t="shared" si="335"/>
        <v>#DIV/0!</v>
      </c>
      <c r="BA255" s="91">
        <f t="shared" si="247"/>
        <v>0</v>
      </c>
      <c r="BB255" s="77" t="e">
        <f t="shared" si="267"/>
        <v>#DIV/0!</v>
      </c>
      <c r="BC255" s="78" t="e">
        <f t="shared" si="268"/>
        <v>#DIV/0!</v>
      </c>
      <c r="BD255" s="79" t="e">
        <f t="shared" si="336"/>
        <v>#DIV/0!</v>
      </c>
      <c r="BE255" s="92"/>
      <c r="BF255" s="92"/>
      <c r="BG255" s="114">
        <v>231000</v>
      </c>
      <c r="BH255" s="94">
        <f t="shared" si="248"/>
        <v>0</v>
      </c>
      <c r="BI255" s="77" t="e">
        <f t="shared" si="249"/>
        <v>#DIV/0!</v>
      </c>
      <c r="BJ255" s="95" t="str">
        <f t="shared" si="270"/>
        <v>금속/비금속/화학업</v>
      </c>
      <c r="BK255" s="96" t="e">
        <f t="shared" si="250"/>
        <v>#DIV/0!</v>
      </c>
      <c r="BL255" s="97" t="e">
        <f t="shared" si="271"/>
        <v>#DIV/0!</v>
      </c>
      <c r="BM255" s="98" t="e">
        <f t="shared" si="272"/>
        <v>#DIV/0!</v>
      </c>
      <c r="BN255" s="99" t="e">
        <f t="shared" si="273"/>
        <v>#DIV/0!</v>
      </c>
      <c r="BP255" s="101">
        <f t="shared" si="274"/>
        <v>0</v>
      </c>
      <c r="BQ255" s="78">
        <f t="shared" si="275"/>
        <v>25</v>
      </c>
      <c r="BR255" s="79">
        <f t="shared" si="337"/>
        <v>0.5</v>
      </c>
      <c r="BS255" s="102"/>
      <c r="BT255" s="102"/>
      <c r="BU255" s="103">
        <f t="shared" si="277"/>
        <v>0</v>
      </c>
      <c r="BV255" s="77">
        <f t="shared" si="251"/>
        <v>0</v>
      </c>
      <c r="BW255" s="96">
        <f t="shared" si="252"/>
        <v>0</v>
      </c>
      <c r="BX255" s="96">
        <f t="shared" si="278"/>
        <v>0</v>
      </c>
      <c r="BY255" s="96">
        <f t="shared" si="253"/>
        <v>0</v>
      </c>
      <c r="BZ255" s="96" t="e">
        <f t="shared" si="279"/>
        <v>#NUM!</v>
      </c>
      <c r="CA255" s="96" t="e">
        <f t="shared" si="254"/>
        <v>#NUM!</v>
      </c>
      <c r="CB255" s="104" t="e">
        <f t="shared" si="280"/>
        <v>#NUM!</v>
      </c>
      <c r="CC255" s="105">
        <f t="shared" si="338"/>
        <v>11.939621094540609</v>
      </c>
      <c r="CD255" s="106">
        <f t="shared" si="339"/>
        <v>95.877027225675647</v>
      </c>
      <c r="CE255" s="107">
        <f t="shared" si="340"/>
        <v>1.4381554083851347</v>
      </c>
      <c r="CF255" s="108" t="s">
        <v>2189</v>
      </c>
      <c r="CG255" s="108" t="s">
        <v>2189</v>
      </c>
      <c r="CH255" s="108" t="s">
        <v>2189</v>
      </c>
      <c r="CI255" s="108" t="s">
        <v>2189</v>
      </c>
      <c r="CJ255" s="109"/>
      <c r="CM255" s="111">
        <f t="shared" si="284"/>
        <v>25</v>
      </c>
      <c r="CN255" s="107">
        <f t="shared" si="341"/>
        <v>0.375</v>
      </c>
      <c r="CP255" s="88">
        <f t="shared" si="286"/>
        <v>0</v>
      </c>
      <c r="CQ255" s="78">
        <f t="shared" si="287"/>
        <v>100</v>
      </c>
      <c r="CR255" s="79">
        <f t="shared" si="342"/>
        <v>3</v>
      </c>
      <c r="CS255" s="92"/>
      <c r="CT255" s="77">
        <f t="shared" si="255"/>
        <v>0</v>
      </c>
      <c r="CU255" s="78">
        <f t="shared" si="289"/>
        <v>100</v>
      </c>
      <c r="CV255" s="79">
        <f t="shared" si="343"/>
        <v>2</v>
      </c>
      <c r="CW255" s="112" t="e">
        <f t="shared" si="291"/>
        <v>#DIV/0!</v>
      </c>
    </row>
    <row r="256" spans="1:101" x14ac:dyDescent="0.35">
      <c r="A256" s="7" t="s">
        <v>1645</v>
      </c>
      <c r="B256" s="8" t="s">
        <v>1646</v>
      </c>
      <c r="C256" s="21" t="s">
        <v>1647</v>
      </c>
      <c r="D256" s="10" t="s">
        <v>21</v>
      </c>
      <c r="E256" s="11" t="s">
        <v>91</v>
      </c>
      <c r="F256" s="11" t="s">
        <v>1648</v>
      </c>
      <c r="G256" s="12">
        <v>32825</v>
      </c>
      <c r="H256" s="11" t="s">
        <v>24</v>
      </c>
      <c r="I256" s="11" t="s">
        <v>1649</v>
      </c>
      <c r="J256" s="11" t="s">
        <v>1650</v>
      </c>
      <c r="K256" s="11" t="s">
        <v>50</v>
      </c>
      <c r="L256" s="23">
        <v>2966326502</v>
      </c>
      <c r="M256" s="14">
        <v>2073747455</v>
      </c>
      <c r="N256" s="14">
        <v>892579047</v>
      </c>
      <c r="O256" s="14">
        <v>2518358924</v>
      </c>
      <c r="P256" s="14">
        <v>126264508</v>
      </c>
      <c r="Q256" s="14">
        <v>98571424</v>
      </c>
      <c r="R256" s="14">
        <v>79048061</v>
      </c>
      <c r="AB256" s="74">
        <f t="shared" si="292"/>
        <v>0</v>
      </c>
      <c r="AC256" s="75" t="e">
        <f t="shared" si="256"/>
        <v>#DIV/0!</v>
      </c>
      <c r="AD256" s="75" t="e">
        <f t="shared" si="293"/>
        <v>#DIV/0!</v>
      </c>
      <c r="AE256" s="76" t="e">
        <f t="shared" si="332"/>
        <v>#DIV/0!</v>
      </c>
      <c r="AF256" s="77" t="e">
        <f t="shared" si="258"/>
        <v>#DIV/0!</v>
      </c>
      <c r="AG256" s="77" t="e">
        <f t="shared" si="259"/>
        <v>#DIV/0!</v>
      </c>
      <c r="AH256" s="77" t="e">
        <f t="shared" si="294"/>
        <v>#DIV/0!</v>
      </c>
      <c r="AI256" s="78" t="e">
        <f t="shared" si="295"/>
        <v>#DIV/0!</v>
      </c>
      <c r="AJ256" s="79" t="e">
        <f t="shared" si="333"/>
        <v>#DIV/0!</v>
      </c>
      <c r="AN256" s="81">
        <f t="shared" si="243"/>
        <v>0</v>
      </c>
      <c r="AO256" s="82" t="e">
        <f t="shared" si="244"/>
        <v>#DIV/0!</v>
      </c>
      <c r="AP256" s="83" t="e">
        <f t="shared" si="261"/>
        <v>#DIV/0!</v>
      </c>
      <c r="AQ256" s="84" t="e">
        <f t="shared" si="334"/>
        <v>#DIV/0!</v>
      </c>
      <c r="AS256" s="86">
        <f t="shared" si="245"/>
        <v>0.5</v>
      </c>
      <c r="AT256" s="87">
        <f t="shared" si="263"/>
        <v>0</v>
      </c>
      <c r="AU256" s="87">
        <f t="shared" si="264"/>
        <v>0</v>
      </c>
      <c r="AV256" s="88" t="e">
        <f t="shared" si="246"/>
        <v>#DIV/0!</v>
      </c>
      <c r="AW256" s="78" t="e">
        <f t="shared" si="265"/>
        <v>#DIV/0!</v>
      </c>
      <c r="AX256" s="89" t="e">
        <f t="shared" si="335"/>
        <v>#DIV/0!</v>
      </c>
      <c r="BA256" s="91">
        <f t="shared" si="247"/>
        <v>0</v>
      </c>
      <c r="BB256" s="77" t="e">
        <f t="shared" si="267"/>
        <v>#DIV/0!</v>
      </c>
      <c r="BC256" s="78" t="e">
        <f t="shared" si="268"/>
        <v>#DIV/0!</v>
      </c>
      <c r="BD256" s="79" t="e">
        <f t="shared" si="336"/>
        <v>#DIV/0!</v>
      </c>
      <c r="BE256" s="92"/>
      <c r="BF256" s="92"/>
      <c r="BG256" s="93">
        <v>0</v>
      </c>
      <c r="BH256" s="94">
        <f t="shared" si="248"/>
        <v>0</v>
      </c>
      <c r="BI256" s="77" t="e">
        <f t="shared" si="249"/>
        <v>#DIV/0!</v>
      </c>
      <c r="BJ256" s="95" t="str">
        <f t="shared" si="270"/>
        <v>비제조/서비스업</v>
      </c>
      <c r="BK256" s="96" t="e">
        <f t="shared" si="250"/>
        <v>#DIV/0!</v>
      </c>
      <c r="BL256" s="97" t="e">
        <f t="shared" si="271"/>
        <v>#DIV/0!</v>
      </c>
      <c r="BM256" s="98" t="e">
        <f t="shared" si="272"/>
        <v>#DIV/0!</v>
      </c>
      <c r="BN256" s="99" t="e">
        <f t="shared" si="273"/>
        <v>#DIV/0!</v>
      </c>
      <c r="BP256" s="101">
        <f t="shared" si="274"/>
        <v>0</v>
      </c>
      <c r="BQ256" s="78">
        <f t="shared" si="275"/>
        <v>25</v>
      </c>
      <c r="BR256" s="79">
        <f t="shared" si="337"/>
        <v>0.5</v>
      </c>
      <c r="BS256" s="102"/>
      <c r="BT256" s="102"/>
      <c r="BU256" s="103">
        <f t="shared" si="277"/>
        <v>0</v>
      </c>
      <c r="BV256" s="77">
        <f t="shared" si="251"/>
        <v>0</v>
      </c>
      <c r="BW256" s="96">
        <f t="shared" si="252"/>
        <v>0</v>
      </c>
      <c r="BX256" s="96">
        <f t="shared" si="278"/>
        <v>0</v>
      </c>
      <c r="BY256" s="96">
        <f t="shared" si="253"/>
        <v>0</v>
      </c>
      <c r="BZ256" s="96" t="e">
        <f t="shared" si="279"/>
        <v>#NUM!</v>
      </c>
      <c r="CA256" s="96" t="e">
        <f t="shared" si="254"/>
        <v>#NUM!</v>
      </c>
      <c r="CB256" s="104" t="e">
        <f t="shared" si="280"/>
        <v>#NUM!</v>
      </c>
      <c r="CC256" s="105">
        <f t="shared" si="338"/>
        <v>232.33207881923312</v>
      </c>
      <c r="CD256" s="106">
        <f t="shared" si="339"/>
        <v>25</v>
      </c>
      <c r="CE256" s="107">
        <f t="shared" si="340"/>
        <v>0.375</v>
      </c>
      <c r="CF256" s="108" t="s">
        <v>2189</v>
      </c>
      <c r="CG256" s="108" t="s">
        <v>2189</v>
      </c>
      <c r="CH256" s="108" t="s">
        <v>2189</v>
      </c>
      <c r="CI256" s="108" t="s">
        <v>2189</v>
      </c>
      <c r="CJ256" s="109"/>
      <c r="CM256" s="111">
        <f t="shared" si="284"/>
        <v>25</v>
      </c>
      <c r="CN256" s="107">
        <f t="shared" si="341"/>
        <v>0.375</v>
      </c>
      <c r="CP256" s="88">
        <f t="shared" si="286"/>
        <v>0</v>
      </c>
      <c r="CQ256" s="78">
        <f t="shared" si="287"/>
        <v>100</v>
      </c>
      <c r="CR256" s="79">
        <f t="shared" si="342"/>
        <v>3</v>
      </c>
      <c r="CS256" s="92"/>
      <c r="CT256" s="77">
        <f t="shared" si="255"/>
        <v>0</v>
      </c>
      <c r="CU256" s="78">
        <f t="shared" si="289"/>
        <v>100</v>
      </c>
      <c r="CV256" s="79">
        <f t="shared" si="343"/>
        <v>2</v>
      </c>
      <c r="CW256" s="112" t="e">
        <f t="shared" si="291"/>
        <v>#DIV/0!</v>
      </c>
    </row>
    <row r="257" spans="1:101" x14ac:dyDescent="0.35">
      <c r="A257" s="7" t="s">
        <v>1651</v>
      </c>
      <c r="B257" s="8" t="s">
        <v>1652</v>
      </c>
      <c r="C257" s="21" t="s">
        <v>1653</v>
      </c>
      <c r="D257" s="22" t="s">
        <v>31</v>
      </c>
      <c r="E257" s="11" t="s">
        <v>32</v>
      </c>
      <c r="F257" s="11" t="s">
        <v>1654</v>
      </c>
      <c r="G257" s="12">
        <v>34695</v>
      </c>
      <c r="H257" s="11" t="s">
        <v>24</v>
      </c>
      <c r="I257" s="11" t="s">
        <v>1655</v>
      </c>
      <c r="J257" s="11" t="s">
        <v>1656</v>
      </c>
      <c r="K257" s="11" t="s">
        <v>27</v>
      </c>
      <c r="L257" s="23">
        <v>638916718</v>
      </c>
      <c r="M257" s="14">
        <v>398803947</v>
      </c>
      <c r="N257" s="14">
        <v>240112771</v>
      </c>
      <c r="O257" s="14">
        <v>765025412</v>
      </c>
      <c r="P257" s="14">
        <v>47784093</v>
      </c>
      <c r="Q257" s="14">
        <v>26595933</v>
      </c>
      <c r="R257" s="14">
        <v>20153900</v>
      </c>
      <c r="AB257" s="74">
        <f t="shared" si="292"/>
        <v>0</v>
      </c>
      <c r="AC257" s="75" t="e">
        <f t="shared" si="256"/>
        <v>#DIV/0!</v>
      </c>
      <c r="AD257" s="75" t="e">
        <f t="shared" si="293"/>
        <v>#DIV/0!</v>
      </c>
      <c r="AE257" s="76" t="e">
        <f t="shared" si="332"/>
        <v>#DIV/0!</v>
      </c>
      <c r="AF257" s="77" t="e">
        <f t="shared" si="258"/>
        <v>#DIV/0!</v>
      </c>
      <c r="AG257" s="77" t="e">
        <f t="shared" si="259"/>
        <v>#DIV/0!</v>
      </c>
      <c r="AH257" s="77" t="e">
        <f t="shared" si="294"/>
        <v>#DIV/0!</v>
      </c>
      <c r="AI257" s="78" t="e">
        <f t="shared" si="295"/>
        <v>#DIV/0!</v>
      </c>
      <c r="AJ257" s="79" t="e">
        <f t="shared" si="333"/>
        <v>#DIV/0!</v>
      </c>
      <c r="AN257" s="81">
        <f t="shared" ref="AN257:AN322" si="344">SUM(AK257:AL257)</f>
        <v>0</v>
      </c>
      <c r="AO257" s="82" t="e">
        <f t="shared" si="244"/>
        <v>#DIV/0!</v>
      </c>
      <c r="AP257" s="83" t="e">
        <f t="shared" si="261"/>
        <v>#DIV/0!</v>
      </c>
      <c r="AQ257" s="84" t="e">
        <f t="shared" si="334"/>
        <v>#DIV/0!</v>
      </c>
      <c r="AS257" s="86">
        <f t="shared" si="245"/>
        <v>0.25</v>
      </c>
      <c r="AT257" s="87">
        <f t="shared" si="263"/>
        <v>0</v>
      </c>
      <c r="AU257" s="87">
        <f t="shared" si="264"/>
        <v>0</v>
      </c>
      <c r="AV257" s="88" t="e">
        <f t="shared" si="246"/>
        <v>#DIV/0!</v>
      </c>
      <c r="AW257" s="78" t="e">
        <f t="shared" si="265"/>
        <v>#DIV/0!</v>
      </c>
      <c r="AX257" s="89" t="e">
        <f t="shared" si="335"/>
        <v>#DIV/0!</v>
      </c>
      <c r="BA257" s="91">
        <f t="shared" si="247"/>
        <v>0</v>
      </c>
      <c r="BB257" s="77" t="e">
        <f t="shared" si="267"/>
        <v>#DIV/0!</v>
      </c>
      <c r="BC257" s="78" t="e">
        <f t="shared" si="268"/>
        <v>#DIV/0!</v>
      </c>
      <c r="BD257" s="79" t="e">
        <f t="shared" si="336"/>
        <v>#DIV/0!</v>
      </c>
      <c r="BE257" s="92"/>
      <c r="BF257" s="92"/>
      <c r="BG257" s="114">
        <v>227694</v>
      </c>
      <c r="BH257" s="94">
        <f t="shared" si="248"/>
        <v>0</v>
      </c>
      <c r="BI257" s="77" t="e">
        <f t="shared" si="249"/>
        <v>#DIV/0!</v>
      </c>
      <c r="BJ257" s="95" t="str">
        <f t="shared" si="270"/>
        <v>식약/섬유/종이업</v>
      </c>
      <c r="BK257" s="96" t="e">
        <f t="shared" si="250"/>
        <v>#DIV/0!</v>
      </c>
      <c r="BL257" s="97" t="e">
        <f t="shared" si="271"/>
        <v>#DIV/0!</v>
      </c>
      <c r="BM257" s="98" t="e">
        <f t="shared" si="272"/>
        <v>#DIV/0!</v>
      </c>
      <c r="BN257" s="99" t="e">
        <f t="shared" si="273"/>
        <v>#DIV/0!</v>
      </c>
      <c r="BP257" s="101">
        <f t="shared" si="274"/>
        <v>0</v>
      </c>
      <c r="BQ257" s="78">
        <f t="shared" si="275"/>
        <v>25</v>
      </c>
      <c r="BR257" s="79">
        <f t="shared" si="337"/>
        <v>0.5</v>
      </c>
      <c r="BS257" s="102"/>
      <c r="BT257" s="102"/>
      <c r="BU257" s="103">
        <f t="shared" si="277"/>
        <v>0</v>
      </c>
      <c r="BV257" s="77">
        <f t="shared" si="251"/>
        <v>0</v>
      </c>
      <c r="BW257" s="96">
        <f t="shared" si="252"/>
        <v>0</v>
      </c>
      <c r="BX257" s="96">
        <f t="shared" si="278"/>
        <v>0</v>
      </c>
      <c r="BY257" s="96">
        <f t="shared" si="253"/>
        <v>0</v>
      </c>
      <c r="BZ257" s="96" t="e">
        <f t="shared" si="279"/>
        <v>#NUM!</v>
      </c>
      <c r="CA257" s="96" t="e">
        <f t="shared" si="254"/>
        <v>#NUM!</v>
      </c>
      <c r="CB257" s="104" t="e">
        <f t="shared" si="280"/>
        <v>#NUM!</v>
      </c>
      <c r="CC257" s="105">
        <f t="shared" si="338"/>
        <v>166.09026889286119</v>
      </c>
      <c r="CD257" s="106">
        <f t="shared" si="339"/>
        <v>37.780049412238249</v>
      </c>
      <c r="CE257" s="107">
        <f t="shared" si="340"/>
        <v>0.56670074118357372</v>
      </c>
      <c r="CF257" s="108" t="s">
        <v>2189</v>
      </c>
      <c r="CG257" s="108" t="s">
        <v>2189</v>
      </c>
      <c r="CH257" s="108" t="s">
        <v>2189</v>
      </c>
      <c r="CI257" s="108" t="s">
        <v>2189</v>
      </c>
      <c r="CJ257" s="109"/>
      <c r="CM257" s="111">
        <f t="shared" si="284"/>
        <v>25</v>
      </c>
      <c r="CN257" s="107">
        <f t="shared" si="341"/>
        <v>0.375</v>
      </c>
      <c r="CP257" s="88">
        <f t="shared" si="286"/>
        <v>0</v>
      </c>
      <c r="CQ257" s="78">
        <f t="shared" si="287"/>
        <v>100</v>
      </c>
      <c r="CR257" s="79">
        <f t="shared" si="342"/>
        <v>3</v>
      </c>
      <c r="CS257" s="92"/>
      <c r="CT257" s="77">
        <f t="shared" si="255"/>
        <v>0</v>
      </c>
      <c r="CU257" s="78">
        <f t="shared" si="289"/>
        <v>100</v>
      </c>
      <c r="CV257" s="79">
        <f t="shared" si="343"/>
        <v>2</v>
      </c>
      <c r="CW257" s="112" t="e">
        <f t="shared" si="291"/>
        <v>#DIV/0!</v>
      </c>
    </row>
    <row r="258" spans="1:101" x14ac:dyDescent="0.35">
      <c r="A258" s="7" t="s">
        <v>1657</v>
      </c>
      <c r="B258" s="8" t="s">
        <v>1658</v>
      </c>
      <c r="C258" s="21" t="s">
        <v>1659</v>
      </c>
      <c r="D258" s="22" t="s">
        <v>75</v>
      </c>
      <c r="E258" s="11" t="s">
        <v>276</v>
      </c>
      <c r="F258" s="11" t="s">
        <v>1660</v>
      </c>
      <c r="G258" s="12">
        <v>43039</v>
      </c>
      <c r="H258" s="11" t="s">
        <v>24</v>
      </c>
      <c r="I258" s="11" t="s">
        <v>1661</v>
      </c>
      <c r="J258" s="11" t="s">
        <v>1662</v>
      </c>
      <c r="K258" s="11" t="s">
        <v>50</v>
      </c>
      <c r="L258" s="23">
        <v>136133552</v>
      </c>
      <c r="M258" s="14">
        <v>44833578</v>
      </c>
      <c r="N258" s="14">
        <v>91299975</v>
      </c>
      <c r="O258" s="14">
        <v>179753809</v>
      </c>
      <c r="P258" s="14">
        <v>24450342</v>
      </c>
      <c r="Q258" s="14">
        <v>25307795</v>
      </c>
      <c r="R258" s="14">
        <v>20467189</v>
      </c>
      <c r="AB258" s="74">
        <f t="shared" si="292"/>
        <v>0</v>
      </c>
      <c r="AC258" s="75" t="e">
        <f t="shared" si="256"/>
        <v>#DIV/0!</v>
      </c>
      <c r="AD258" s="75" t="e">
        <f t="shared" si="293"/>
        <v>#DIV/0!</v>
      </c>
      <c r="AE258" s="76" t="e">
        <f t="shared" si="332"/>
        <v>#DIV/0!</v>
      </c>
      <c r="AF258" s="77" t="e">
        <f t="shared" si="258"/>
        <v>#DIV/0!</v>
      </c>
      <c r="AG258" s="77" t="e">
        <f t="shared" si="259"/>
        <v>#DIV/0!</v>
      </c>
      <c r="AH258" s="77" t="e">
        <f t="shared" si="294"/>
        <v>#DIV/0!</v>
      </c>
      <c r="AI258" s="78" t="e">
        <f t="shared" si="295"/>
        <v>#DIV/0!</v>
      </c>
      <c r="AJ258" s="79" t="e">
        <f t="shared" si="333"/>
        <v>#DIV/0!</v>
      </c>
      <c r="AN258" s="81">
        <f t="shared" si="344"/>
        <v>0</v>
      </c>
      <c r="AO258" s="82" t="e">
        <f t="shared" ref="AO258:AO320" si="345">(AM258/AN258)*100</f>
        <v>#DIV/0!</v>
      </c>
      <c r="AP258" s="83" t="e">
        <f t="shared" si="261"/>
        <v>#DIV/0!</v>
      </c>
      <c r="AQ258" s="84" t="e">
        <f t="shared" si="334"/>
        <v>#DIV/0!</v>
      </c>
      <c r="AS258" s="86">
        <f t="shared" ref="AS258:AS322" si="346">IF(L258&gt;=2000000000, 0.5, IF(L258&lt;2000000000, 0.25))</f>
        <v>0.25</v>
      </c>
      <c r="AT258" s="87">
        <f t="shared" si="263"/>
        <v>0</v>
      </c>
      <c r="AU258" s="87">
        <f t="shared" si="264"/>
        <v>0</v>
      </c>
      <c r="AV258" s="88" t="e">
        <f t="shared" ref="AV258:AV320" si="347">(AR258-AU258)/AK258*100</f>
        <v>#DIV/0!</v>
      </c>
      <c r="AW258" s="78" t="e">
        <f t="shared" si="265"/>
        <v>#DIV/0!</v>
      </c>
      <c r="AX258" s="89" t="e">
        <f t="shared" si="335"/>
        <v>#DIV/0!</v>
      </c>
      <c r="BA258" s="91">
        <f t="shared" ref="BA258:BA322" si="348">AR258*AY258</f>
        <v>0</v>
      </c>
      <c r="BB258" s="77" t="e">
        <f t="shared" si="267"/>
        <v>#DIV/0!</v>
      </c>
      <c r="BC258" s="78" t="e">
        <f t="shared" si="268"/>
        <v>#DIV/0!</v>
      </c>
      <c r="BD258" s="79" t="e">
        <f t="shared" si="336"/>
        <v>#DIV/0!</v>
      </c>
      <c r="BE258" s="92"/>
      <c r="BF258" s="92"/>
      <c r="BG258" s="114">
        <v>253313</v>
      </c>
      <c r="BH258" s="94">
        <f t="shared" ref="BH258:BH322" si="349">SUM(BE258:BF258)</f>
        <v>0</v>
      </c>
      <c r="BI258" s="77" t="e">
        <f t="shared" ref="BI258:BI320" si="350">(BG258/BH258)*100</f>
        <v>#DIV/0!</v>
      </c>
      <c r="BJ258" s="95" t="str">
        <f t="shared" si="270"/>
        <v>금속/비금속/화학업</v>
      </c>
      <c r="BK258" s="96" t="e">
        <f t="shared" ref="BK258:BK321" si="351">AVERAGEIF(BJ:BJ, BJ258, BI:BI)</f>
        <v>#DIV/0!</v>
      </c>
      <c r="BL258" s="97" t="e">
        <f t="shared" si="271"/>
        <v>#DIV/0!</v>
      </c>
      <c r="BM258" s="98" t="e">
        <f t="shared" si="272"/>
        <v>#DIV/0!</v>
      </c>
      <c r="BN258" s="99" t="e">
        <f t="shared" si="273"/>
        <v>#DIV/0!</v>
      </c>
      <c r="BP258" s="101">
        <f t="shared" si="274"/>
        <v>0</v>
      </c>
      <c r="BQ258" s="78">
        <f t="shared" si="275"/>
        <v>25</v>
      </c>
      <c r="BR258" s="79">
        <f t="shared" si="337"/>
        <v>0.5</v>
      </c>
      <c r="BS258" s="102"/>
      <c r="BT258" s="102"/>
      <c r="BU258" s="103">
        <f t="shared" si="277"/>
        <v>0</v>
      </c>
      <c r="BV258" s="77">
        <f t="shared" ref="BV258:BV320" si="352">BU258/O258*100</f>
        <v>0</v>
      </c>
      <c r="BW258" s="96">
        <f t="shared" ref="BW258:BW321" si="353">AVERAGEIF(BJ:BJ, BJ258, BV:BV)</f>
        <v>0</v>
      </c>
      <c r="BX258" s="96">
        <f t="shared" si="278"/>
        <v>0</v>
      </c>
      <c r="BY258" s="96">
        <f t="shared" ref="BY258:BY321" si="354">SQRT(SUMIF(BJ:BJ, BJ258, BX:BX)/COUNTIF(BJ:BJ, BJ258))</f>
        <v>0</v>
      </c>
      <c r="BZ258" s="96" t="e">
        <f t="shared" si="279"/>
        <v>#NUM!</v>
      </c>
      <c r="CA258" s="96" t="e">
        <f t="shared" ref="CA258:CA320" si="355">IF(BZ258&lt;=5, 100, IF(BZ258&lt;=15, 85, IF(BZ258&lt;=35, 70, IF(BZ258&lt;=60, 55, IF(BZ258&lt;=90, 40, 25)))))</f>
        <v>#NUM!</v>
      </c>
      <c r="CB258" s="104" t="e">
        <f t="shared" si="280"/>
        <v>#NUM!</v>
      </c>
      <c r="CC258" s="105">
        <f t="shared" si="338"/>
        <v>49.105794388224098</v>
      </c>
      <c r="CD258" s="106">
        <f t="shared" si="339"/>
        <v>81.869675481825084</v>
      </c>
      <c r="CE258" s="107">
        <f t="shared" si="340"/>
        <v>1.2280451322273762</v>
      </c>
      <c r="CF258" s="108" t="s">
        <v>2189</v>
      </c>
      <c r="CG258" s="108" t="s">
        <v>2189</v>
      </c>
      <c r="CH258" s="108" t="s">
        <v>2189</v>
      </c>
      <c r="CI258" s="108" t="s">
        <v>2189</v>
      </c>
      <c r="CJ258" s="109"/>
      <c r="CM258" s="111">
        <f t="shared" si="284"/>
        <v>25</v>
      </c>
      <c r="CN258" s="107">
        <f t="shared" si="341"/>
        <v>0.375</v>
      </c>
      <c r="CP258" s="88">
        <f t="shared" si="286"/>
        <v>0</v>
      </c>
      <c r="CQ258" s="78">
        <f t="shared" si="287"/>
        <v>100</v>
      </c>
      <c r="CR258" s="79">
        <f t="shared" si="342"/>
        <v>3</v>
      </c>
      <c r="CS258" s="92"/>
      <c r="CT258" s="77">
        <f t="shared" ref="CT258:CT320" si="356">(CS258/N258)*100</f>
        <v>0</v>
      </c>
      <c r="CU258" s="78">
        <f t="shared" si="289"/>
        <v>100</v>
      </c>
      <c r="CV258" s="79">
        <f t="shared" si="343"/>
        <v>2</v>
      </c>
      <c r="CW258" s="112" t="e">
        <f t="shared" si="291"/>
        <v>#DIV/0!</v>
      </c>
    </row>
    <row r="259" spans="1:101" x14ac:dyDescent="0.35">
      <c r="A259" s="7" t="s">
        <v>1663</v>
      </c>
      <c r="B259" s="8" t="s">
        <v>1664</v>
      </c>
      <c r="C259" s="21" t="s">
        <v>1665</v>
      </c>
      <c r="D259" s="10" t="s">
        <v>21</v>
      </c>
      <c r="E259" s="11" t="s">
        <v>1666</v>
      </c>
      <c r="F259" s="11" t="s">
        <v>1667</v>
      </c>
      <c r="G259" s="12">
        <v>38188</v>
      </c>
      <c r="H259" s="11" t="s">
        <v>24</v>
      </c>
      <c r="I259" s="11" t="s">
        <v>1668</v>
      </c>
      <c r="J259" s="11" t="s">
        <v>1669</v>
      </c>
      <c r="K259" s="11" t="s">
        <v>27</v>
      </c>
      <c r="L259" s="23">
        <v>132073637</v>
      </c>
      <c r="M259" s="14">
        <v>20552807</v>
      </c>
      <c r="N259" s="14">
        <v>111520830</v>
      </c>
      <c r="O259" s="14">
        <v>42568935</v>
      </c>
      <c r="P259" s="14">
        <v>2855339</v>
      </c>
      <c r="Q259" s="14">
        <v>4551046</v>
      </c>
      <c r="R259" s="14">
        <v>3850592</v>
      </c>
      <c r="AB259" s="74">
        <f t="shared" si="292"/>
        <v>0</v>
      </c>
      <c r="AC259" s="75" t="e">
        <f t="shared" ref="AC259:AC321" si="357">(AB259/S259)*100</f>
        <v>#DIV/0!</v>
      </c>
      <c r="AD259" s="75" t="e">
        <f t="shared" si="293"/>
        <v>#DIV/0!</v>
      </c>
      <c r="AE259" s="76" t="e">
        <f t="shared" si="332"/>
        <v>#DIV/0!</v>
      </c>
      <c r="AF259" s="77" t="e">
        <f t="shared" ref="AF259:AF321" si="358">(U259+V259)/(S259-T259-AA259)*100</f>
        <v>#DIV/0!</v>
      </c>
      <c r="AG259" s="77" t="e">
        <f t="shared" ref="AG259:AG321" si="359">(U259+V259+Z259+W259+X259-AA259)/(S259-T259-AA259)*100</f>
        <v>#DIV/0!</v>
      </c>
      <c r="AH259" s="77" t="e">
        <f t="shared" si="294"/>
        <v>#DIV/0!</v>
      </c>
      <c r="AI259" s="78" t="e">
        <f t="shared" si="295"/>
        <v>#DIV/0!</v>
      </c>
      <c r="AJ259" s="79" t="e">
        <f t="shared" si="333"/>
        <v>#DIV/0!</v>
      </c>
      <c r="AN259" s="81">
        <f t="shared" si="344"/>
        <v>0</v>
      </c>
      <c r="AO259" s="82" t="e">
        <f t="shared" si="345"/>
        <v>#DIV/0!</v>
      </c>
      <c r="AP259" s="83" t="e">
        <f t="shared" ref="AP259:AP321" si="360">IF(AO259&lt;10, 100, IF(AO259&lt;20, 80, IF(AO259&lt;30, 60, IF(AO259&lt;50, 40, IF(AO259&gt;=50, 20)))))</f>
        <v>#DIV/0!</v>
      </c>
      <c r="AQ259" s="84" t="e">
        <f t="shared" si="334"/>
        <v>#DIV/0!</v>
      </c>
      <c r="AS259" s="86">
        <f t="shared" si="346"/>
        <v>0.25</v>
      </c>
      <c r="AT259" s="87">
        <f t="shared" ref="AT259:AT320" si="361">AK259*AS259</f>
        <v>0</v>
      </c>
      <c r="AU259" s="87">
        <f t="shared" ref="AU259:AU321" si="362">ROUNDDOWN(AT259,0)</f>
        <v>0</v>
      </c>
      <c r="AV259" s="88" t="e">
        <f t="shared" si="347"/>
        <v>#DIV/0!</v>
      </c>
      <c r="AW259" s="78" t="e">
        <f t="shared" ref="AW259:AW321" si="363">IF(AV259&lt;0, 20, IF(AV259=0, 40, IF(AV259&lt;20, 60, IF(AV259&lt;40, 80, IF(AV259&gt;=40, 100)))))</f>
        <v>#DIV/0!</v>
      </c>
      <c r="AX259" s="89" t="e">
        <f t="shared" si="335"/>
        <v>#DIV/0!</v>
      </c>
      <c r="BA259" s="91">
        <f t="shared" si="348"/>
        <v>0</v>
      </c>
      <c r="BB259" s="77" t="e">
        <f t="shared" ref="BB259:BB321" si="364">(AZ259/BA259)*100</f>
        <v>#DIV/0!</v>
      </c>
      <c r="BC259" s="78" t="e">
        <f t="shared" ref="BC259:BC321" si="365">IF(BB259&lt;70, 25, IF(BB259&lt;80, 50, IF(BB259&lt;90, 75, IF(BB259&gt;=90, 100))))</f>
        <v>#DIV/0!</v>
      </c>
      <c r="BD259" s="79" t="e">
        <f t="shared" si="336"/>
        <v>#DIV/0!</v>
      </c>
      <c r="BE259" s="92"/>
      <c r="BF259" s="92"/>
      <c r="BG259" s="114">
        <v>488785</v>
      </c>
      <c r="BH259" s="94">
        <f t="shared" si="349"/>
        <v>0</v>
      </c>
      <c r="BI259" s="77" t="e">
        <f t="shared" si="350"/>
        <v>#DIV/0!</v>
      </c>
      <c r="BJ259" s="95" t="str">
        <f t="shared" ref="BJ259:BJ321" si="366">IF(D259="금융업(보험)", "금융업", IF(D259="금융업(증권)", "금융업", IF(D259="금융업(종금)", "금융업", D259)))</f>
        <v>비제조/서비스업</v>
      </c>
      <c r="BK259" s="96" t="e">
        <f t="shared" si="351"/>
        <v>#DIV/0!</v>
      </c>
      <c r="BL259" s="97" t="e">
        <f t="shared" ref="BL259:BL321" si="367">BI259-BK259</f>
        <v>#DIV/0!</v>
      </c>
      <c r="BM259" s="98" t="e">
        <f t="shared" ref="BM259:BM321" si="368">IF(BL259&lt;-2, 100, IF(BL259&lt;0, 80, IF(BL259&lt;2, 60, IF(BL259&lt;10, 40, 20))))</f>
        <v>#DIV/0!</v>
      </c>
      <c r="BN259" s="99" t="e">
        <f t="shared" ref="BN259:BN321" si="369">BM259*0.02</f>
        <v>#DIV/0!</v>
      </c>
      <c r="BP259" s="101">
        <f t="shared" ref="BP259:BP320" si="370">(BO259/O259)*100</f>
        <v>0</v>
      </c>
      <c r="BQ259" s="78">
        <f t="shared" ref="BQ259:BQ321" si="371">IF(BP259=0, 25, IF(BP259&lt;0.1, 40, IF(BP259&lt;0.5, 55, IF(BP259&lt;2, 70, IF(BP259&lt;4, 85, IF(BP259&gt;=4, 100))))))</f>
        <v>25</v>
      </c>
      <c r="BR259" s="79">
        <f t="shared" si="337"/>
        <v>0.5</v>
      </c>
      <c r="BS259" s="102"/>
      <c r="BT259" s="102"/>
      <c r="BU259" s="103">
        <f t="shared" ref="BU259:BU321" si="372">BS259-BT259</f>
        <v>0</v>
      </c>
      <c r="BV259" s="77">
        <f t="shared" si="352"/>
        <v>0</v>
      </c>
      <c r="BW259" s="96">
        <f t="shared" si="353"/>
        <v>0</v>
      </c>
      <c r="BX259" s="96">
        <f t="shared" ref="BX259:BX321" si="373">(BV259-BW259)^2</f>
        <v>0</v>
      </c>
      <c r="BY259" s="96">
        <f t="shared" si="354"/>
        <v>0</v>
      </c>
      <c r="BZ259" s="96" t="e">
        <f t="shared" ref="BZ259:BZ321" si="374">(1-_xlfn.NORM.DIST(BV259, BW259, BY259, TRUE))*100</f>
        <v>#NUM!</v>
      </c>
      <c r="CA259" s="96" t="e">
        <f t="shared" si="355"/>
        <v>#NUM!</v>
      </c>
      <c r="CB259" s="104" t="e">
        <f t="shared" ref="CB259:CB321" si="375">CA259*0.02</f>
        <v>#NUM!</v>
      </c>
      <c r="CC259" s="105">
        <f t="shared" si="338"/>
        <v>18.429567821545088</v>
      </c>
      <c r="CD259" s="106">
        <f t="shared" si="339"/>
        <v>93.43106740394029</v>
      </c>
      <c r="CE259" s="107">
        <f t="shared" si="340"/>
        <v>1.4014660110591044</v>
      </c>
      <c r="CF259" s="108" t="s">
        <v>2189</v>
      </c>
      <c r="CG259" s="108" t="s">
        <v>2189</v>
      </c>
      <c r="CH259" s="108" t="s">
        <v>2189</v>
      </c>
      <c r="CI259" s="108" t="s">
        <v>2189</v>
      </c>
      <c r="CJ259" s="109"/>
      <c r="CM259" s="111">
        <f t="shared" ref="CM259:CM321" si="376">IF(CL259="A", 100, IF(CL259="B", 85, IF(CL259="C", 70, IF(CL259="D", 55, IF(CL259="E", 40, 25)))))</f>
        <v>25</v>
      </c>
      <c r="CN259" s="107">
        <f t="shared" si="341"/>
        <v>0.375</v>
      </c>
      <c r="CP259" s="88">
        <f t="shared" ref="CP259:CP320" si="377">(CO259/N259)*100</f>
        <v>0</v>
      </c>
      <c r="CQ259" s="78">
        <f t="shared" ref="CQ259:CQ321" si="378">IF(CP259&lt;3, 100, IF(CP259&lt;10, 80, IF(CP259&lt;35, 60, IF(CP259&lt;100, 40, IF(CP259&gt;=100, 20)))))</f>
        <v>100</v>
      </c>
      <c r="CR259" s="79">
        <f t="shared" si="342"/>
        <v>3</v>
      </c>
      <c r="CS259" s="92"/>
      <c r="CT259" s="77">
        <f t="shared" si="356"/>
        <v>0</v>
      </c>
      <c r="CU259" s="78">
        <f t="shared" ref="CU259:CU321" si="379">IF(CT259&lt;3, 100, IF(CT259&lt;10, 80, IF(CT259&lt;35, 60, IF(CT259&lt;100, 40, 20))))</f>
        <v>100</v>
      </c>
      <c r="CV259" s="79">
        <f t="shared" si="343"/>
        <v>2</v>
      </c>
      <c r="CW259" s="112" t="e">
        <f t="shared" ref="CW259:CW322" si="380">AE259+AJ259+AQ259+AX259+BD259+BN259+BR259+CB259+CE259+CJ259+CN259+CR259+CV259</f>
        <v>#DIV/0!</v>
      </c>
    </row>
    <row r="260" spans="1:101" x14ac:dyDescent="0.35">
      <c r="A260" s="7" t="s">
        <v>1670</v>
      </c>
      <c r="B260" s="8" t="s">
        <v>1671</v>
      </c>
      <c r="C260" s="21" t="s">
        <v>1672</v>
      </c>
      <c r="D260" s="10" t="s">
        <v>75</v>
      </c>
      <c r="E260" s="11" t="s">
        <v>149</v>
      </c>
      <c r="F260" s="11" t="s">
        <v>1673</v>
      </c>
      <c r="G260" s="12">
        <v>37536</v>
      </c>
      <c r="H260" s="11" t="s">
        <v>24</v>
      </c>
      <c r="I260" s="11" t="s">
        <v>1674</v>
      </c>
      <c r="J260" s="11" t="s">
        <v>1675</v>
      </c>
      <c r="K260" s="11" t="s">
        <v>27</v>
      </c>
      <c r="L260" s="23">
        <v>941352875</v>
      </c>
      <c r="M260" s="14">
        <v>201162049</v>
      </c>
      <c r="N260" s="14">
        <v>740190827</v>
      </c>
      <c r="O260" s="14">
        <v>1235837871</v>
      </c>
      <c r="P260" s="14">
        <v>117135007</v>
      </c>
      <c r="Q260" s="14">
        <v>105510103</v>
      </c>
      <c r="R260" s="14">
        <v>81809433</v>
      </c>
      <c r="AB260" s="74">
        <f t="shared" ref="AB260:AB322" si="381">SUM(U260,V260,Z260,W260,X260)</f>
        <v>0</v>
      </c>
      <c r="AC260" s="75" t="e">
        <f t="shared" si="357"/>
        <v>#DIV/0!</v>
      </c>
      <c r="AD260" s="75" t="e">
        <f t="shared" ref="AD260:AD322" si="382">100-(75*(AC260-0.1))/(87-0.1)</f>
        <v>#DIV/0!</v>
      </c>
      <c r="AE260" s="76" t="e">
        <f t="shared" si="332"/>
        <v>#DIV/0!</v>
      </c>
      <c r="AF260" s="77" t="e">
        <f t="shared" si="358"/>
        <v>#DIV/0!</v>
      </c>
      <c r="AG260" s="77" t="e">
        <f t="shared" si="359"/>
        <v>#DIV/0!</v>
      </c>
      <c r="AH260" s="77" t="e">
        <f t="shared" ref="AH260:AH322" si="383">AG260-AF260</f>
        <v>#DIV/0!</v>
      </c>
      <c r="AI260" s="78" t="e">
        <f t="shared" ref="AI260:AI322" si="384">IF(AH260&lt;10, 100, IF(AH260&lt;30, 80, IF(AH260&lt;50, 60, IF(AH260&lt;80, 40, IF(AH260&lt;=100, 20)))))</f>
        <v>#DIV/0!</v>
      </c>
      <c r="AJ260" s="79" t="e">
        <f t="shared" si="333"/>
        <v>#DIV/0!</v>
      </c>
      <c r="AN260" s="81">
        <f t="shared" si="344"/>
        <v>0</v>
      </c>
      <c r="AO260" s="82" t="e">
        <f t="shared" si="345"/>
        <v>#DIV/0!</v>
      </c>
      <c r="AP260" s="83" t="e">
        <f t="shared" si="360"/>
        <v>#DIV/0!</v>
      </c>
      <c r="AQ260" s="84" t="e">
        <f t="shared" si="334"/>
        <v>#DIV/0!</v>
      </c>
      <c r="AS260" s="86">
        <f t="shared" si="346"/>
        <v>0.25</v>
      </c>
      <c r="AT260" s="87">
        <f t="shared" si="361"/>
        <v>0</v>
      </c>
      <c r="AU260" s="87">
        <f t="shared" si="362"/>
        <v>0</v>
      </c>
      <c r="AV260" s="88" t="e">
        <f t="shared" si="347"/>
        <v>#DIV/0!</v>
      </c>
      <c r="AW260" s="78" t="e">
        <f t="shared" si="363"/>
        <v>#DIV/0!</v>
      </c>
      <c r="AX260" s="89" t="e">
        <f t="shared" si="335"/>
        <v>#DIV/0!</v>
      </c>
      <c r="BA260" s="91">
        <f t="shared" si="348"/>
        <v>0</v>
      </c>
      <c r="BB260" s="77" t="e">
        <f t="shared" si="364"/>
        <v>#DIV/0!</v>
      </c>
      <c r="BC260" s="78" t="e">
        <f t="shared" si="365"/>
        <v>#DIV/0!</v>
      </c>
      <c r="BD260" s="79" t="e">
        <f t="shared" si="336"/>
        <v>#DIV/0!</v>
      </c>
      <c r="BE260" s="92"/>
      <c r="BF260" s="92"/>
      <c r="BG260" s="93">
        <v>0</v>
      </c>
      <c r="BH260" s="94">
        <f t="shared" si="349"/>
        <v>0</v>
      </c>
      <c r="BI260" s="77" t="e">
        <f t="shared" si="350"/>
        <v>#DIV/0!</v>
      </c>
      <c r="BJ260" s="95" t="str">
        <f t="shared" si="366"/>
        <v>금속/비금속/화학업</v>
      </c>
      <c r="BK260" s="96" t="e">
        <f t="shared" si="351"/>
        <v>#DIV/0!</v>
      </c>
      <c r="BL260" s="97" t="e">
        <f t="shared" si="367"/>
        <v>#DIV/0!</v>
      </c>
      <c r="BM260" s="98" t="e">
        <f t="shared" si="368"/>
        <v>#DIV/0!</v>
      </c>
      <c r="BN260" s="99" t="e">
        <f t="shared" si="369"/>
        <v>#DIV/0!</v>
      </c>
      <c r="BP260" s="101">
        <f t="shared" si="370"/>
        <v>0</v>
      </c>
      <c r="BQ260" s="78">
        <f t="shared" si="371"/>
        <v>25</v>
      </c>
      <c r="BR260" s="79">
        <f t="shared" si="337"/>
        <v>0.5</v>
      </c>
      <c r="BS260" s="102"/>
      <c r="BT260" s="102"/>
      <c r="BU260" s="103">
        <f t="shared" si="372"/>
        <v>0</v>
      </c>
      <c r="BV260" s="77">
        <f t="shared" si="352"/>
        <v>0</v>
      </c>
      <c r="BW260" s="96">
        <f t="shared" si="353"/>
        <v>0</v>
      </c>
      <c r="BX260" s="96">
        <f t="shared" si="373"/>
        <v>0</v>
      </c>
      <c r="BY260" s="96">
        <f t="shared" si="354"/>
        <v>0</v>
      </c>
      <c r="BZ260" s="96" t="e">
        <f t="shared" si="374"/>
        <v>#NUM!</v>
      </c>
      <c r="CA260" s="96" t="e">
        <f t="shared" si="355"/>
        <v>#NUM!</v>
      </c>
      <c r="CB260" s="104" t="e">
        <f t="shared" si="375"/>
        <v>#NUM!</v>
      </c>
      <c r="CC260" s="105">
        <f t="shared" si="338"/>
        <v>27.177052411647896</v>
      </c>
      <c r="CD260" s="106">
        <f t="shared" si="339"/>
        <v>90.134276729278426</v>
      </c>
      <c r="CE260" s="107">
        <f t="shared" si="340"/>
        <v>1.3520141509391763</v>
      </c>
      <c r="CF260" s="108" t="s">
        <v>2189</v>
      </c>
      <c r="CG260" s="108" t="s">
        <v>2189</v>
      </c>
      <c r="CH260" s="108" t="s">
        <v>2189</v>
      </c>
      <c r="CI260" s="108" t="s">
        <v>2189</v>
      </c>
      <c r="CJ260" s="109"/>
      <c r="CM260" s="111">
        <f t="shared" si="376"/>
        <v>25</v>
      </c>
      <c r="CN260" s="107">
        <f t="shared" si="341"/>
        <v>0.375</v>
      </c>
      <c r="CP260" s="88">
        <f t="shared" si="377"/>
        <v>0</v>
      </c>
      <c r="CQ260" s="78">
        <f t="shared" si="378"/>
        <v>100</v>
      </c>
      <c r="CR260" s="79">
        <f t="shared" si="342"/>
        <v>3</v>
      </c>
      <c r="CS260" s="92"/>
      <c r="CT260" s="77">
        <f t="shared" si="356"/>
        <v>0</v>
      </c>
      <c r="CU260" s="78">
        <f t="shared" si="379"/>
        <v>100</v>
      </c>
      <c r="CV260" s="79">
        <f t="shared" si="343"/>
        <v>2</v>
      </c>
      <c r="CW260" s="112" t="e">
        <f t="shared" si="380"/>
        <v>#DIV/0!</v>
      </c>
    </row>
    <row r="261" spans="1:101" x14ac:dyDescent="0.35">
      <c r="A261" s="7" t="s">
        <v>1676</v>
      </c>
      <c r="B261" s="8" t="s">
        <v>1677</v>
      </c>
      <c r="C261" s="21" t="s">
        <v>1678</v>
      </c>
      <c r="D261" s="10" t="s">
        <v>31</v>
      </c>
      <c r="E261" s="11" t="s">
        <v>317</v>
      </c>
      <c r="F261" s="11" t="s">
        <v>1679</v>
      </c>
      <c r="G261" s="12">
        <v>32283</v>
      </c>
      <c r="H261" s="11" t="s">
        <v>24</v>
      </c>
      <c r="I261" s="11" t="s">
        <v>1680</v>
      </c>
      <c r="J261" s="11" t="s">
        <v>1681</v>
      </c>
      <c r="K261" s="11" t="s">
        <v>27</v>
      </c>
      <c r="L261" s="23">
        <v>112694189</v>
      </c>
      <c r="M261" s="14">
        <v>32982274</v>
      </c>
      <c r="N261" s="14">
        <v>79711915</v>
      </c>
      <c r="O261" s="14">
        <v>60181807</v>
      </c>
      <c r="P261" s="14">
        <v>8873367</v>
      </c>
      <c r="Q261" s="14">
        <v>5968958</v>
      </c>
      <c r="R261" s="14">
        <v>10884761</v>
      </c>
      <c r="AB261" s="74">
        <f t="shared" si="381"/>
        <v>0</v>
      </c>
      <c r="AC261" s="75" t="e">
        <f t="shared" si="357"/>
        <v>#DIV/0!</v>
      </c>
      <c r="AD261" s="75" t="e">
        <f t="shared" si="382"/>
        <v>#DIV/0!</v>
      </c>
      <c r="AE261" s="76" t="e">
        <f t="shared" si="332"/>
        <v>#DIV/0!</v>
      </c>
      <c r="AF261" s="77" t="e">
        <f t="shared" si="358"/>
        <v>#DIV/0!</v>
      </c>
      <c r="AG261" s="77" t="e">
        <f t="shared" si="359"/>
        <v>#DIV/0!</v>
      </c>
      <c r="AH261" s="77" t="e">
        <f t="shared" si="383"/>
        <v>#DIV/0!</v>
      </c>
      <c r="AI261" s="78" t="e">
        <f t="shared" si="384"/>
        <v>#DIV/0!</v>
      </c>
      <c r="AJ261" s="79" t="e">
        <f t="shared" si="333"/>
        <v>#DIV/0!</v>
      </c>
      <c r="AN261" s="81">
        <f t="shared" si="344"/>
        <v>0</v>
      </c>
      <c r="AO261" s="82" t="e">
        <f t="shared" si="345"/>
        <v>#DIV/0!</v>
      </c>
      <c r="AP261" s="83" t="e">
        <f t="shared" si="360"/>
        <v>#DIV/0!</v>
      </c>
      <c r="AQ261" s="84" t="e">
        <f t="shared" si="334"/>
        <v>#DIV/0!</v>
      </c>
      <c r="AS261" s="86">
        <f t="shared" si="346"/>
        <v>0.25</v>
      </c>
      <c r="AT261" s="87">
        <f t="shared" si="361"/>
        <v>0</v>
      </c>
      <c r="AU261" s="87">
        <f t="shared" si="362"/>
        <v>0</v>
      </c>
      <c r="AV261" s="88" t="e">
        <f t="shared" si="347"/>
        <v>#DIV/0!</v>
      </c>
      <c r="AW261" s="78" t="e">
        <f t="shared" si="363"/>
        <v>#DIV/0!</v>
      </c>
      <c r="AX261" s="89" t="e">
        <f t="shared" si="335"/>
        <v>#DIV/0!</v>
      </c>
      <c r="BA261" s="91">
        <f t="shared" si="348"/>
        <v>0</v>
      </c>
      <c r="BB261" s="77" t="e">
        <f t="shared" si="364"/>
        <v>#DIV/0!</v>
      </c>
      <c r="BC261" s="78" t="e">
        <f t="shared" si="365"/>
        <v>#DIV/0!</v>
      </c>
      <c r="BD261" s="79" t="e">
        <f t="shared" si="336"/>
        <v>#DIV/0!</v>
      </c>
      <c r="BE261" s="92"/>
      <c r="BF261" s="92"/>
      <c r="BG261" s="93">
        <v>0</v>
      </c>
      <c r="BH261" s="94">
        <f t="shared" si="349"/>
        <v>0</v>
      </c>
      <c r="BI261" s="77" t="e">
        <f t="shared" si="350"/>
        <v>#DIV/0!</v>
      </c>
      <c r="BJ261" s="95" t="str">
        <f t="shared" si="366"/>
        <v>식약/섬유/종이업</v>
      </c>
      <c r="BK261" s="96" t="e">
        <f t="shared" si="351"/>
        <v>#DIV/0!</v>
      </c>
      <c r="BL261" s="97" t="e">
        <f t="shared" si="367"/>
        <v>#DIV/0!</v>
      </c>
      <c r="BM261" s="98" t="e">
        <f t="shared" si="368"/>
        <v>#DIV/0!</v>
      </c>
      <c r="BN261" s="99" t="e">
        <f t="shared" si="369"/>
        <v>#DIV/0!</v>
      </c>
      <c r="BP261" s="101">
        <f t="shared" si="370"/>
        <v>0</v>
      </c>
      <c r="BQ261" s="78">
        <f t="shared" si="371"/>
        <v>25</v>
      </c>
      <c r="BR261" s="79">
        <f t="shared" si="337"/>
        <v>0.5</v>
      </c>
      <c r="BS261" s="102"/>
      <c r="BT261" s="102"/>
      <c r="BU261" s="103">
        <f t="shared" si="372"/>
        <v>0</v>
      </c>
      <c r="BV261" s="77">
        <f t="shared" si="352"/>
        <v>0</v>
      </c>
      <c r="BW261" s="96">
        <f t="shared" si="353"/>
        <v>0</v>
      </c>
      <c r="BX261" s="96">
        <f t="shared" si="373"/>
        <v>0</v>
      </c>
      <c r="BY261" s="96">
        <f t="shared" si="354"/>
        <v>0</v>
      </c>
      <c r="BZ261" s="96" t="e">
        <f t="shared" si="374"/>
        <v>#NUM!</v>
      </c>
      <c r="CA261" s="96" t="e">
        <f t="shared" si="355"/>
        <v>#NUM!</v>
      </c>
      <c r="CB261" s="104" t="e">
        <f t="shared" si="375"/>
        <v>#NUM!</v>
      </c>
      <c r="CC261" s="105">
        <f t="shared" si="338"/>
        <v>41.376843098048766</v>
      </c>
      <c r="CD261" s="106">
        <f t="shared" si="339"/>
        <v>84.782596822343436</v>
      </c>
      <c r="CE261" s="107">
        <f t="shared" si="340"/>
        <v>1.2717389523351514</v>
      </c>
      <c r="CF261" s="108" t="s">
        <v>2189</v>
      </c>
      <c r="CG261" s="108" t="s">
        <v>2189</v>
      </c>
      <c r="CH261" s="108" t="s">
        <v>2189</v>
      </c>
      <c r="CI261" s="108" t="s">
        <v>2189</v>
      </c>
      <c r="CJ261" s="109"/>
      <c r="CM261" s="111">
        <f t="shared" si="376"/>
        <v>25</v>
      </c>
      <c r="CN261" s="107">
        <f t="shared" si="341"/>
        <v>0.375</v>
      </c>
      <c r="CP261" s="88">
        <f t="shared" si="377"/>
        <v>0</v>
      </c>
      <c r="CQ261" s="78">
        <f t="shared" si="378"/>
        <v>100</v>
      </c>
      <c r="CR261" s="79">
        <f t="shared" si="342"/>
        <v>3</v>
      </c>
      <c r="CS261" s="92"/>
      <c r="CT261" s="77">
        <f t="shared" si="356"/>
        <v>0</v>
      </c>
      <c r="CU261" s="78">
        <f t="shared" si="379"/>
        <v>100</v>
      </c>
      <c r="CV261" s="79">
        <f t="shared" si="343"/>
        <v>2</v>
      </c>
      <c r="CW261" s="112" t="e">
        <f t="shared" si="380"/>
        <v>#DIV/0!</v>
      </c>
    </row>
    <row r="262" spans="1:101" x14ac:dyDescent="0.35">
      <c r="A262" s="7" t="s">
        <v>1682</v>
      </c>
      <c r="B262" s="8" t="s">
        <v>1683</v>
      </c>
      <c r="C262" s="21" t="s">
        <v>1684</v>
      </c>
      <c r="D262" s="22" t="s">
        <v>21</v>
      </c>
      <c r="E262" s="11" t="s">
        <v>176</v>
      </c>
      <c r="F262" s="11" t="s">
        <v>1685</v>
      </c>
      <c r="G262" s="12">
        <v>39346</v>
      </c>
      <c r="H262" s="11" t="s">
        <v>24</v>
      </c>
      <c r="I262" s="11" t="s">
        <v>1686</v>
      </c>
      <c r="J262" s="11" t="s">
        <v>1687</v>
      </c>
      <c r="K262" s="11" t="s">
        <v>27</v>
      </c>
      <c r="L262" s="23">
        <v>7391490000</v>
      </c>
      <c r="M262" s="14">
        <v>2951621000</v>
      </c>
      <c r="N262" s="14">
        <v>4439869000</v>
      </c>
      <c r="O262" s="14">
        <v>5700446000</v>
      </c>
      <c r="P262" s="14">
        <v>784634000</v>
      </c>
      <c r="Q262" s="14">
        <v>676532000</v>
      </c>
      <c r="R262" s="14">
        <v>676532000</v>
      </c>
      <c r="AB262" s="74">
        <f t="shared" si="381"/>
        <v>0</v>
      </c>
      <c r="AC262" s="75" t="e">
        <f t="shared" si="357"/>
        <v>#DIV/0!</v>
      </c>
      <c r="AD262" s="75" t="e">
        <f t="shared" si="382"/>
        <v>#DIV/0!</v>
      </c>
      <c r="AE262" s="76" t="e">
        <f t="shared" si="332"/>
        <v>#DIV/0!</v>
      </c>
      <c r="AF262" s="77" t="e">
        <f t="shared" si="358"/>
        <v>#DIV/0!</v>
      </c>
      <c r="AG262" s="77" t="e">
        <f t="shared" si="359"/>
        <v>#DIV/0!</v>
      </c>
      <c r="AH262" s="77" t="e">
        <f t="shared" si="383"/>
        <v>#DIV/0!</v>
      </c>
      <c r="AI262" s="78" t="e">
        <f t="shared" si="384"/>
        <v>#DIV/0!</v>
      </c>
      <c r="AJ262" s="79" t="e">
        <f t="shared" si="333"/>
        <v>#DIV/0!</v>
      </c>
      <c r="AN262" s="81">
        <f t="shared" si="344"/>
        <v>0</v>
      </c>
      <c r="AO262" s="82" t="e">
        <f t="shared" si="345"/>
        <v>#DIV/0!</v>
      </c>
      <c r="AP262" s="83" t="e">
        <f t="shared" si="360"/>
        <v>#DIV/0!</v>
      </c>
      <c r="AQ262" s="84" t="e">
        <f t="shared" si="334"/>
        <v>#DIV/0!</v>
      </c>
      <c r="AS262" s="86">
        <f t="shared" si="346"/>
        <v>0.5</v>
      </c>
      <c r="AT262" s="87">
        <f t="shared" si="361"/>
        <v>0</v>
      </c>
      <c r="AU262" s="87">
        <f t="shared" si="362"/>
        <v>0</v>
      </c>
      <c r="AV262" s="88" t="e">
        <f t="shared" si="347"/>
        <v>#DIV/0!</v>
      </c>
      <c r="AW262" s="78" t="e">
        <f t="shared" si="363"/>
        <v>#DIV/0!</v>
      </c>
      <c r="AX262" s="89" t="e">
        <f t="shared" si="335"/>
        <v>#DIV/0!</v>
      </c>
      <c r="BA262" s="91">
        <f t="shared" si="348"/>
        <v>0</v>
      </c>
      <c r="BB262" s="77" t="e">
        <f t="shared" si="364"/>
        <v>#DIV/0!</v>
      </c>
      <c r="BC262" s="78" t="e">
        <f t="shared" si="365"/>
        <v>#DIV/0!</v>
      </c>
      <c r="BD262" s="79" t="e">
        <f t="shared" si="336"/>
        <v>#DIV/0!</v>
      </c>
      <c r="BE262" s="92"/>
      <c r="BF262" s="92"/>
      <c r="BG262" s="93">
        <v>0</v>
      </c>
      <c r="BH262" s="94">
        <f t="shared" si="349"/>
        <v>0</v>
      </c>
      <c r="BI262" s="77" t="e">
        <f t="shared" si="350"/>
        <v>#DIV/0!</v>
      </c>
      <c r="BJ262" s="95" t="str">
        <f t="shared" si="366"/>
        <v>비제조/서비스업</v>
      </c>
      <c r="BK262" s="96" t="e">
        <f t="shared" si="351"/>
        <v>#DIV/0!</v>
      </c>
      <c r="BL262" s="97" t="e">
        <f t="shared" si="367"/>
        <v>#DIV/0!</v>
      </c>
      <c r="BM262" s="98" t="e">
        <f t="shared" si="368"/>
        <v>#DIV/0!</v>
      </c>
      <c r="BN262" s="99" t="e">
        <f t="shared" si="369"/>
        <v>#DIV/0!</v>
      </c>
      <c r="BP262" s="101">
        <f t="shared" si="370"/>
        <v>0</v>
      </c>
      <c r="BQ262" s="78">
        <f t="shared" si="371"/>
        <v>25</v>
      </c>
      <c r="BR262" s="79">
        <f t="shared" si="337"/>
        <v>0.5</v>
      </c>
      <c r="BS262" s="102"/>
      <c r="BT262" s="102"/>
      <c r="BU262" s="103">
        <f t="shared" si="372"/>
        <v>0</v>
      </c>
      <c r="BV262" s="77">
        <f t="shared" si="352"/>
        <v>0</v>
      </c>
      <c r="BW262" s="96">
        <f t="shared" si="353"/>
        <v>0</v>
      </c>
      <c r="BX262" s="96">
        <f t="shared" si="373"/>
        <v>0</v>
      </c>
      <c r="BY262" s="96">
        <f t="shared" si="354"/>
        <v>0</v>
      </c>
      <c r="BZ262" s="96" t="e">
        <f t="shared" si="374"/>
        <v>#NUM!</v>
      </c>
      <c r="CA262" s="96" t="e">
        <f t="shared" si="355"/>
        <v>#NUM!</v>
      </c>
      <c r="CB262" s="104" t="e">
        <f t="shared" si="375"/>
        <v>#NUM!</v>
      </c>
      <c r="CC262" s="105">
        <f t="shared" si="338"/>
        <v>66.479911907310779</v>
      </c>
      <c r="CD262" s="106">
        <f t="shared" si="339"/>
        <v>75.321641240963274</v>
      </c>
      <c r="CE262" s="107">
        <f t="shared" si="340"/>
        <v>1.1298246186144492</v>
      </c>
      <c r="CF262" s="108" t="s">
        <v>2189</v>
      </c>
      <c r="CG262" s="108" t="s">
        <v>2189</v>
      </c>
      <c r="CH262" s="108" t="s">
        <v>2189</v>
      </c>
      <c r="CI262" s="108" t="s">
        <v>2189</v>
      </c>
      <c r="CJ262" s="109"/>
      <c r="CM262" s="111">
        <f t="shared" si="376"/>
        <v>25</v>
      </c>
      <c r="CN262" s="107">
        <f t="shared" si="341"/>
        <v>0.375</v>
      </c>
      <c r="CP262" s="88">
        <f t="shared" si="377"/>
        <v>0</v>
      </c>
      <c r="CQ262" s="78">
        <f t="shared" si="378"/>
        <v>100</v>
      </c>
      <c r="CR262" s="79">
        <f t="shared" si="342"/>
        <v>3</v>
      </c>
      <c r="CS262" s="92"/>
      <c r="CT262" s="77">
        <f t="shared" si="356"/>
        <v>0</v>
      </c>
      <c r="CU262" s="78">
        <f t="shared" si="379"/>
        <v>100</v>
      </c>
      <c r="CV262" s="79">
        <f t="shared" si="343"/>
        <v>2</v>
      </c>
      <c r="CW262" s="112" t="e">
        <f t="shared" si="380"/>
        <v>#DIV/0!</v>
      </c>
    </row>
    <row r="263" spans="1:101" x14ac:dyDescent="0.35">
      <c r="A263" s="7" t="s">
        <v>1688</v>
      </c>
      <c r="B263" s="8" t="s">
        <v>1689</v>
      </c>
      <c r="C263" s="21" t="s">
        <v>1690</v>
      </c>
      <c r="D263" s="22" t="s">
        <v>141</v>
      </c>
      <c r="E263" s="11" t="s">
        <v>248</v>
      </c>
      <c r="F263" s="11" t="s">
        <v>1691</v>
      </c>
      <c r="G263" s="12">
        <v>32638</v>
      </c>
      <c r="H263" s="11" t="s">
        <v>24</v>
      </c>
      <c r="I263" s="11" t="s">
        <v>1692</v>
      </c>
      <c r="J263" s="11" t="s">
        <v>1693</v>
      </c>
      <c r="K263" s="11" t="s">
        <v>102</v>
      </c>
      <c r="L263" s="23">
        <v>211309948</v>
      </c>
      <c r="M263" s="14">
        <v>154647755</v>
      </c>
      <c r="N263" s="14">
        <v>56662193</v>
      </c>
      <c r="O263" s="14">
        <v>160154490</v>
      </c>
      <c r="P263" s="14">
        <v>3112928</v>
      </c>
      <c r="Q263" s="14">
        <v>4592986</v>
      </c>
      <c r="R263" s="14">
        <v>1794177</v>
      </c>
      <c r="AB263" s="74">
        <f t="shared" si="381"/>
        <v>0</v>
      </c>
      <c r="AC263" s="75" t="e">
        <f t="shared" si="357"/>
        <v>#DIV/0!</v>
      </c>
      <c r="AD263" s="75" t="e">
        <f t="shared" si="382"/>
        <v>#DIV/0!</v>
      </c>
      <c r="AE263" s="76" t="e">
        <f t="shared" si="332"/>
        <v>#DIV/0!</v>
      </c>
      <c r="AF263" s="77" t="e">
        <f t="shared" si="358"/>
        <v>#DIV/0!</v>
      </c>
      <c r="AG263" s="77" t="e">
        <f t="shared" si="359"/>
        <v>#DIV/0!</v>
      </c>
      <c r="AH263" s="77" t="e">
        <f t="shared" si="383"/>
        <v>#DIV/0!</v>
      </c>
      <c r="AI263" s="78" t="e">
        <f t="shared" si="384"/>
        <v>#DIV/0!</v>
      </c>
      <c r="AJ263" s="79" t="e">
        <f t="shared" si="333"/>
        <v>#DIV/0!</v>
      </c>
      <c r="AN263" s="81">
        <f t="shared" si="344"/>
        <v>0</v>
      </c>
      <c r="AO263" s="82" t="e">
        <f t="shared" si="345"/>
        <v>#DIV/0!</v>
      </c>
      <c r="AP263" s="83" t="e">
        <f t="shared" si="360"/>
        <v>#DIV/0!</v>
      </c>
      <c r="AQ263" s="84" t="e">
        <f t="shared" si="334"/>
        <v>#DIV/0!</v>
      </c>
      <c r="AS263" s="86">
        <f t="shared" si="346"/>
        <v>0.25</v>
      </c>
      <c r="AT263" s="87">
        <f t="shared" si="361"/>
        <v>0</v>
      </c>
      <c r="AU263" s="87">
        <f t="shared" si="362"/>
        <v>0</v>
      </c>
      <c r="AV263" s="88" t="e">
        <f t="shared" si="347"/>
        <v>#DIV/0!</v>
      </c>
      <c r="AW263" s="78" t="e">
        <f t="shared" si="363"/>
        <v>#DIV/0!</v>
      </c>
      <c r="AX263" s="89" t="e">
        <f t="shared" si="335"/>
        <v>#DIV/0!</v>
      </c>
      <c r="BA263" s="91">
        <f t="shared" si="348"/>
        <v>0</v>
      </c>
      <c r="BB263" s="77" t="e">
        <f t="shared" si="364"/>
        <v>#DIV/0!</v>
      </c>
      <c r="BC263" s="78" t="e">
        <f t="shared" si="365"/>
        <v>#DIV/0!</v>
      </c>
      <c r="BD263" s="79" t="e">
        <f t="shared" si="336"/>
        <v>#DIV/0!</v>
      </c>
      <c r="BE263" s="92"/>
      <c r="BF263" s="92"/>
      <c r="BG263" s="114">
        <v>44700</v>
      </c>
      <c r="BH263" s="94">
        <f t="shared" si="349"/>
        <v>0</v>
      </c>
      <c r="BI263" s="77" t="e">
        <f t="shared" si="350"/>
        <v>#DIV/0!</v>
      </c>
      <c r="BJ263" s="95" t="str">
        <f t="shared" si="366"/>
        <v>전기전자/기계업</v>
      </c>
      <c r="BK263" s="96" t="e">
        <f t="shared" si="351"/>
        <v>#DIV/0!</v>
      </c>
      <c r="BL263" s="97" t="e">
        <f t="shared" si="367"/>
        <v>#DIV/0!</v>
      </c>
      <c r="BM263" s="98" t="e">
        <f t="shared" si="368"/>
        <v>#DIV/0!</v>
      </c>
      <c r="BN263" s="99" t="e">
        <f t="shared" si="369"/>
        <v>#DIV/0!</v>
      </c>
      <c r="BP263" s="101">
        <f t="shared" si="370"/>
        <v>0</v>
      </c>
      <c r="BQ263" s="78">
        <f t="shared" si="371"/>
        <v>25</v>
      </c>
      <c r="BR263" s="79">
        <f t="shared" si="337"/>
        <v>0.5</v>
      </c>
      <c r="BS263" s="102"/>
      <c r="BT263" s="102"/>
      <c r="BU263" s="103">
        <f t="shared" si="372"/>
        <v>0</v>
      </c>
      <c r="BV263" s="77">
        <f t="shared" si="352"/>
        <v>0</v>
      </c>
      <c r="BW263" s="96">
        <f t="shared" si="353"/>
        <v>0</v>
      </c>
      <c r="BX263" s="96">
        <f t="shared" si="373"/>
        <v>0</v>
      </c>
      <c r="BY263" s="96">
        <f t="shared" si="354"/>
        <v>0</v>
      </c>
      <c r="BZ263" s="96" t="e">
        <f t="shared" si="374"/>
        <v>#NUM!</v>
      </c>
      <c r="CA263" s="96" t="e">
        <f t="shared" si="355"/>
        <v>#NUM!</v>
      </c>
      <c r="CB263" s="104" t="e">
        <f t="shared" si="375"/>
        <v>#NUM!</v>
      </c>
      <c r="CC263" s="105">
        <f t="shared" si="338"/>
        <v>272.92934991061855</v>
      </c>
      <c r="CD263" s="106">
        <f t="shared" si="339"/>
        <v>25</v>
      </c>
      <c r="CE263" s="107">
        <f t="shared" si="340"/>
        <v>0.375</v>
      </c>
      <c r="CF263" s="108" t="s">
        <v>2189</v>
      </c>
      <c r="CG263" s="108" t="s">
        <v>2189</v>
      </c>
      <c r="CH263" s="108" t="s">
        <v>2189</v>
      </c>
      <c r="CI263" s="108" t="s">
        <v>2189</v>
      </c>
      <c r="CJ263" s="109"/>
      <c r="CM263" s="111">
        <f t="shared" si="376"/>
        <v>25</v>
      </c>
      <c r="CN263" s="107">
        <f t="shared" si="341"/>
        <v>0.375</v>
      </c>
      <c r="CP263" s="88">
        <f t="shared" si="377"/>
        <v>0</v>
      </c>
      <c r="CQ263" s="78">
        <f t="shared" si="378"/>
        <v>100</v>
      </c>
      <c r="CR263" s="79">
        <f t="shared" si="342"/>
        <v>3</v>
      </c>
      <c r="CS263" s="92"/>
      <c r="CT263" s="77">
        <f t="shared" si="356"/>
        <v>0</v>
      </c>
      <c r="CU263" s="78">
        <f t="shared" si="379"/>
        <v>100</v>
      </c>
      <c r="CV263" s="79">
        <f t="shared" si="343"/>
        <v>2</v>
      </c>
      <c r="CW263" s="112" t="e">
        <f t="shared" si="380"/>
        <v>#DIV/0!</v>
      </c>
    </row>
    <row r="264" spans="1:101" x14ac:dyDescent="0.35">
      <c r="A264" s="7" t="s">
        <v>1694</v>
      </c>
      <c r="B264" s="8" t="s">
        <v>1695</v>
      </c>
      <c r="C264" s="21" t="s">
        <v>1696</v>
      </c>
      <c r="D264" s="10" t="s">
        <v>31</v>
      </c>
      <c r="E264" s="11" t="s">
        <v>1122</v>
      </c>
      <c r="F264" s="11" t="s">
        <v>1697</v>
      </c>
      <c r="G264" s="12">
        <v>35423</v>
      </c>
      <c r="H264" s="11" t="s">
        <v>24</v>
      </c>
      <c r="I264" s="11" t="s">
        <v>1698</v>
      </c>
      <c r="J264" s="11" t="s">
        <v>1699</v>
      </c>
      <c r="K264" s="11" t="s">
        <v>27</v>
      </c>
      <c r="L264" s="23">
        <v>557374543</v>
      </c>
      <c r="M264" s="14">
        <v>67942165</v>
      </c>
      <c r="N264" s="14">
        <v>489432378</v>
      </c>
      <c r="O264" s="14">
        <v>373267542</v>
      </c>
      <c r="P264" s="14">
        <v>36440646</v>
      </c>
      <c r="Q264" s="14">
        <v>14928841</v>
      </c>
      <c r="R264" s="14">
        <v>9950190</v>
      </c>
      <c r="AB264" s="74">
        <f t="shared" si="381"/>
        <v>0</v>
      </c>
      <c r="AC264" s="75" t="e">
        <f t="shared" si="357"/>
        <v>#DIV/0!</v>
      </c>
      <c r="AD264" s="75" t="e">
        <f t="shared" si="382"/>
        <v>#DIV/0!</v>
      </c>
      <c r="AE264" s="76" t="e">
        <f t="shared" si="332"/>
        <v>#DIV/0!</v>
      </c>
      <c r="AF264" s="77" t="e">
        <f t="shared" si="358"/>
        <v>#DIV/0!</v>
      </c>
      <c r="AG264" s="77" t="e">
        <f t="shared" si="359"/>
        <v>#DIV/0!</v>
      </c>
      <c r="AH264" s="77" t="e">
        <f t="shared" si="383"/>
        <v>#DIV/0!</v>
      </c>
      <c r="AI264" s="78" t="e">
        <f t="shared" si="384"/>
        <v>#DIV/0!</v>
      </c>
      <c r="AJ264" s="79" t="e">
        <f t="shared" si="333"/>
        <v>#DIV/0!</v>
      </c>
      <c r="AN264" s="81">
        <f t="shared" si="344"/>
        <v>0</v>
      </c>
      <c r="AO264" s="82" t="e">
        <f t="shared" si="345"/>
        <v>#DIV/0!</v>
      </c>
      <c r="AP264" s="83" t="e">
        <f t="shared" si="360"/>
        <v>#DIV/0!</v>
      </c>
      <c r="AQ264" s="84" t="e">
        <f t="shared" si="334"/>
        <v>#DIV/0!</v>
      </c>
      <c r="AS264" s="86">
        <f t="shared" si="346"/>
        <v>0.25</v>
      </c>
      <c r="AT264" s="87">
        <f t="shared" si="361"/>
        <v>0</v>
      </c>
      <c r="AU264" s="87">
        <f t="shared" si="362"/>
        <v>0</v>
      </c>
      <c r="AV264" s="88" t="e">
        <f t="shared" si="347"/>
        <v>#DIV/0!</v>
      </c>
      <c r="AW264" s="78" t="e">
        <f t="shared" si="363"/>
        <v>#DIV/0!</v>
      </c>
      <c r="AX264" s="89" t="e">
        <f t="shared" si="335"/>
        <v>#DIV/0!</v>
      </c>
      <c r="BA264" s="91">
        <f t="shared" si="348"/>
        <v>0</v>
      </c>
      <c r="BB264" s="77" t="e">
        <f t="shared" si="364"/>
        <v>#DIV/0!</v>
      </c>
      <c r="BC264" s="78" t="e">
        <f t="shared" si="365"/>
        <v>#DIV/0!</v>
      </c>
      <c r="BD264" s="79" t="e">
        <f t="shared" si="336"/>
        <v>#DIV/0!</v>
      </c>
      <c r="BE264" s="92"/>
      <c r="BF264" s="92"/>
      <c r="BG264" s="114">
        <v>120275.976</v>
      </c>
      <c r="BH264" s="94">
        <f t="shared" si="349"/>
        <v>0</v>
      </c>
      <c r="BI264" s="77" t="e">
        <f t="shared" si="350"/>
        <v>#DIV/0!</v>
      </c>
      <c r="BJ264" s="95" t="str">
        <f t="shared" si="366"/>
        <v>식약/섬유/종이업</v>
      </c>
      <c r="BK264" s="96" t="e">
        <f t="shared" si="351"/>
        <v>#DIV/0!</v>
      </c>
      <c r="BL264" s="97" t="e">
        <f t="shared" si="367"/>
        <v>#DIV/0!</v>
      </c>
      <c r="BM264" s="98" t="e">
        <f t="shared" si="368"/>
        <v>#DIV/0!</v>
      </c>
      <c r="BN264" s="99" t="e">
        <f t="shared" si="369"/>
        <v>#DIV/0!</v>
      </c>
      <c r="BP264" s="101">
        <f t="shared" si="370"/>
        <v>0</v>
      </c>
      <c r="BQ264" s="78">
        <f t="shared" si="371"/>
        <v>25</v>
      </c>
      <c r="BR264" s="79">
        <f t="shared" si="337"/>
        <v>0.5</v>
      </c>
      <c r="BS264" s="102"/>
      <c r="BT264" s="102"/>
      <c r="BU264" s="103">
        <f t="shared" si="372"/>
        <v>0</v>
      </c>
      <c r="BV264" s="77">
        <f t="shared" si="352"/>
        <v>0</v>
      </c>
      <c r="BW264" s="96">
        <f t="shared" si="353"/>
        <v>0</v>
      </c>
      <c r="BX264" s="96">
        <f t="shared" si="373"/>
        <v>0</v>
      </c>
      <c r="BY264" s="96">
        <f t="shared" si="354"/>
        <v>0</v>
      </c>
      <c r="BZ264" s="96" t="e">
        <f t="shared" si="374"/>
        <v>#NUM!</v>
      </c>
      <c r="CA264" s="96" t="e">
        <f t="shared" si="355"/>
        <v>#NUM!</v>
      </c>
      <c r="CB264" s="104" t="e">
        <f t="shared" si="375"/>
        <v>#NUM!</v>
      </c>
      <c r="CC264" s="105">
        <f t="shared" si="338"/>
        <v>13.881828839693153</v>
      </c>
      <c r="CD264" s="106">
        <f t="shared" si="339"/>
        <v>95.145039382025189</v>
      </c>
      <c r="CE264" s="107">
        <f t="shared" si="340"/>
        <v>1.4271755907303778</v>
      </c>
      <c r="CF264" s="108" t="s">
        <v>2189</v>
      </c>
      <c r="CG264" s="108" t="s">
        <v>2189</v>
      </c>
      <c r="CH264" s="108" t="s">
        <v>2189</v>
      </c>
      <c r="CI264" s="108" t="s">
        <v>2189</v>
      </c>
      <c r="CJ264" s="109"/>
      <c r="CM264" s="111">
        <f t="shared" si="376"/>
        <v>25</v>
      </c>
      <c r="CN264" s="107">
        <f t="shared" si="341"/>
        <v>0.375</v>
      </c>
      <c r="CP264" s="88">
        <f t="shared" si="377"/>
        <v>0</v>
      </c>
      <c r="CQ264" s="78">
        <f t="shared" si="378"/>
        <v>100</v>
      </c>
      <c r="CR264" s="79">
        <f t="shared" si="342"/>
        <v>3</v>
      </c>
      <c r="CS264" s="92"/>
      <c r="CT264" s="77">
        <f t="shared" si="356"/>
        <v>0</v>
      </c>
      <c r="CU264" s="78">
        <f t="shared" si="379"/>
        <v>100</v>
      </c>
      <c r="CV264" s="79">
        <f t="shared" si="343"/>
        <v>2</v>
      </c>
      <c r="CW264" s="112" t="e">
        <f t="shared" si="380"/>
        <v>#DIV/0!</v>
      </c>
    </row>
    <row r="265" spans="1:101" x14ac:dyDescent="0.35">
      <c r="A265" s="7" t="s">
        <v>1700</v>
      </c>
      <c r="B265" s="8" t="s">
        <v>1701</v>
      </c>
      <c r="C265" s="21" t="s">
        <v>1702</v>
      </c>
      <c r="D265" s="10" t="s">
        <v>75</v>
      </c>
      <c r="E265" s="11" t="s">
        <v>114</v>
      </c>
      <c r="F265" s="11" t="s">
        <v>1703</v>
      </c>
      <c r="G265" s="12">
        <v>37484</v>
      </c>
      <c r="H265" s="11" t="s">
        <v>24</v>
      </c>
      <c r="I265" s="11" t="s">
        <v>1704</v>
      </c>
      <c r="J265" s="11" t="s">
        <v>1705</v>
      </c>
      <c r="K265" s="11" t="s">
        <v>453</v>
      </c>
      <c r="L265" s="23">
        <v>531890343</v>
      </c>
      <c r="M265" s="14">
        <v>201052570</v>
      </c>
      <c r="N265" s="14">
        <v>330837773</v>
      </c>
      <c r="O265" s="14">
        <v>1181624867</v>
      </c>
      <c r="P265" s="14">
        <v>33106219</v>
      </c>
      <c r="Q265" s="14">
        <v>25624309</v>
      </c>
      <c r="R265" s="14">
        <v>17479918</v>
      </c>
      <c r="AB265" s="74">
        <f t="shared" si="381"/>
        <v>0</v>
      </c>
      <c r="AC265" s="75" t="e">
        <f t="shared" si="357"/>
        <v>#DIV/0!</v>
      </c>
      <c r="AD265" s="75" t="e">
        <f t="shared" si="382"/>
        <v>#DIV/0!</v>
      </c>
      <c r="AE265" s="76" t="e">
        <f t="shared" si="332"/>
        <v>#DIV/0!</v>
      </c>
      <c r="AF265" s="77" t="e">
        <f t="shared" si="358"/>
        <v>#DIV/0!</v>
      </c>
      <c r="AG265" s="77" t="e">
        <f t="shared" si="359"/>
        <v>#DIV/0!</v>
      </c>
      <c r="AH265" s="77" t="e">
        <f t="shared" si="383"/>
        <v>#DIV/0!</v>
      </c>
      <c r="AI265" s="78" t="e">
        <f t="shared" si="384"/>
        <v>#DIV/0!</v>
      </c>
      <c r="AJ265" s="79" t="e">
        <f t="shared" si="333"/>
        <v>#DIV/0!</v>
      </c>
      <c r="AN265" s="81">
        <f t="shared" si="344"/>
        <v>0</v>
      </c>
      <c r="AO265" s="82" t="e">
        <f t="shared" si="345"/>
        <v>#DIV/0!</v>
      </c>
      <c r="AP265" s="83" t="e">
        <f t="shared" si="360"/>
        <v>#DIV/0!</v>
      </c>
      <c r="AQ265" s="84" t="e">
        <f t="shared" si="334"/>
        <v>#DIV/0!</v>
      </c>
      <c r="AS265" s="86">
        <f t="shared" si="346"/>
        <v>0.25</v>
      </c>
      <c r="AT265" s="87">
        <f t="shared" si="361"/>
        <v>0</v>
      </c>
      <c r="AU265" s="87">
        <f t="shared" si="362"/>
        <v>0</v>
      </c>
      <c r="AV265" s="88" t="e">
        <f t="shared" si="347"/>
        <v>#DIV/0!</v>
      </c>
      <c r="AW265" s="78" t="e">
        <f t="shared" si="363"/>
        <v>#DIV/0!</v>
      </c>
      <c r="AX265" s="89" t="e">
        <f t="shared" si="335"/>
        <v>#DIV/0!</v>
      </c>
      <c r="BA265" s="91">
        <f t="shared" si="348"/>
        <v>0</v>
      </c>
      <c r="BB265" s="77" t="e">
        <f t="shared" si="364"/>
        <v>#DIV/0!</v>
      </c>
      <c r="BC265" s="78" t="e">
        <f t="shared" si="365"/>
        <v>#DIV/0!</v>
      </c>
      <c r="BD265" s="79" t="e">
        <f t="shared" si="336"/>
        <v>#DIV/0!</v>
      </c>
      <c r="BE265" s="92"/>
      <c r="BF265" s="92"/>
      <c r="BG265" s="114">
        <v>158983</v>
      </c>
      <c r="BH265" s="94">
        <f t="shared" si="349"/>
        <v>0</v>
      </c>
      <c r="BI265" s="77" t="e">
        <f t="shared" si="350"/>
        <v>#DIV/0!</v>
      </c>
      <c r="BJ265" s="95" t="str">
        <f t="shared" si="366"/>
        <v>금속/비금속/화학업</v>
      </c>
      <c r="BK265" s="96" t="e">
        <f t="shared" si="351"/>
        <v>#DIV/0!</v>
      </c>
      <c r="BL265" s="97" t="e">
        <f t="shared" si="367"/>
        <v>#DIV/0!</v>
      </c>
      <c r="BM265" s="98" t="e">
        <f t="shared" si="368"/>
        <v>#DIV/0!</v>
      </c>
      <c r="BN265" s="99" t="e">
        <f t="shared" si="369"/>
        <v>#DIV/0!</v>
      </c>
      <c r="BP265" s="101">
        <f t="shared" si="370"/>
        <v>0</v>
      </c>
      <c r="BQ265" s="78">
        <f t="shared" si="371"/>
        <v>25</v>
      </c>
      <c r="BR265" s="79">
        <f t="shared" si="337"/>
        <v>0.5</v>
      </c>
      <c r="BS265" s="102"/>
      <c r="BT265" s="102"/>
      <c r="BU265" s="103">
        <f t="shared" si="372"/>
        <v>0</v>
      </c>
      <c r="BV265" s="77">
        <f t="shared" si="352"/>
        <v>0</v>
      </c>
      <c r="BW265" s="96">
        <f t="shared" si="353"/>
        <v>0</v>
      </c>
      <c r="BX265" s="96">
        <f t="shared" si="373"/>
        <v>0</v>
      </c>
      <c r="BY265" s="96">
        <f t="shared" si="354"/>
        <v>0</v>
      </c>
      <c r="BZ265" s="96" t="e">
        <f t="shared" si="374"/>
        <v>#NUM!</v>
      </c>
      <c r="CA265" s="96" t="e">
        <f t="shared" si="355"/>
        <v>#NUM!</v>
      </c>
      <c r="CB265" s="104" t="e">
        <f t="shared" si="375"/>
        <v>#NUM!</v>
      </c>
      <c r="CC265" s="105">
        <f t="shared" si="338"/>
        <v>60.77074216069034</v>
      </c>
      <c r="CD265" s="106">
        <f t="shared" si="339"/>
        <v>77.47333838164937</v>
      </c>
      <c r="CE265" s="107">
        <f t="shared" si="340"/>
        <v>1.1621000757247406</v>
      </c>
      <c r="CF265" s="108" t="s">
        <v>2189</v>
      </c>
      <c r="CG265" s="108" t="s">
        <v>2189</v>
      </c>
      <c r="CH265" s="108" t="s">
        <v>2189</v>
      </c>
      <c r="CI265" s="108" t="s">
        <v>2189</v>
      </c>
      <c r="CJ265" s="109"/>
      <c r="CM265" s="111">
        <f t="shared" si="376"/>
        <v>25</v>
      </c>
      <c r="CN265" s="107">
        <f t="shared" si="341"/>
        <v>0.375</v>
      </c>
      <c r="CP265" s="88">
        <f t="shared" si="377"/>
        <v>0</v>
      </c>
      <c r="CQ265" s="78">
        <f t="shared" si="378"/>
        <v>100</v>
      </c>
      <c r="CR265" s="79">
        <f t="shared" si="342"/>
        <v>3</v>
      </c>
      <c r="CS265" s="92"/>
      <c r="CT265" s="77">
        <f t="shared" si="356"/>
        <v>0</v>
      </c>
      <c r="CU265" s="78">
        <f t="shared" si="379"/>
        <v>100</v>
      </c>
      <c r="CV265" s="79">
        <f t="shared" si="343"/>
        <v>2</v>
      </c>
      <c r="CW265" s="112" t="e">
        <f t="shared" si="380"/>
        <v>#DIV/0!</v>
      </c>
    </row>
    <row r="266" spans="1:101" x14ac:dyDescent="0.35">
      <c r="A266" s="7" t="s">
        <v>1706</v>
      </c>
      <c r="B266" s="8" t="s">
        <v>1707</v>
      </c>
      <c r="C266" s="21" t="s">
        <v>1708</v>
      </c>
      <c r="D266" s="10" t="s">
        <v>75</v>
      </c>
      <c r="E266" s="11" t="s">
        <v>98</v>
      </c>
      <c r="F266" s="11" t="s">
        <v>1709</v>
      </c>
      <c r="G266" s="12">
        <v>43614</v>
      </c>
      <c r="H266" s="11" t="s">
        <v>24</v>
      </c>
      <c r="I266" s="11" t="s">
        <v>1710</v>
      </c>
      <c r="J266" s="11" t="s">
        <v>1711</v>
      </c>
      <c r="K266" s="11" t="s">
        <v>453</v>
      </c>
      <c r="L266" s="23">
        <v>4276625735</v>
      </c>
      <c r="M266" s="14">
        <v>1849501419</v>
      </c>
      <c r="N266" s="14">
        <v>2427124316</v>
      </c>
      <c r="O266" s="14">
        <v>3041287029</v>
      </c>
      <c r="P266" s="14">
        <v>153190221</v>
      </c>
      <c r="Q266" s="14">
        <v>125561645</v>
      </c>
      <c r="R266" s="14">
        <v>114853461</v>
      </c>
      <c r="AB266" s="74">
        <f t="shared" si="381"/>
        <v>0</v>
      </c>
      <c r="AC266" s="75" t="e">
        <f t="shared" si="357"/>
        <v>#DIV/0!</v>
      </c>
      <c r="AD266" s="75" t="e">
        <f t="shared" si="382"/>
        <v>#DIV/0!</v>
      </c>
      <c r="AE266" s="76" t="e">
        <f t="shared" si="332"/>
        <v>#DIV/0!</v>
      </c>
      <c r="AF266" s="77" t="e">
        <f t="shared" si="358"/>
        <v>#DIV/0!</v>
      </c>
      <c r="AG266" s="77" t="e">
        <f t="shared" si="359"/>
        <v>#DIV/0!</v>
      </c>
      <c r="AH266" s="77" t="e">
        <f t="shared" si="383"/>
        <v>#DIV/0!</v>
      </c>
      <c r="AI266" s="78" t="e">
        <f t="shared" si="384"/>
        <v>#DIV/0!</v>
      </c>
      <c r="AJ266" s="79" t="e">
        <f t="shared" si="333"/>
        <v>#DIV/0!</v>
      </c>
      <c r="AN266" s="81">
        <f t="shared" si="344"/>
        <v>0</v>
      </c>
      <c r="AO266" s="82" t="e">
        <f t="shared" si="345"/>
        <v>#DIV/0!</v>
      </c>
      <c r="AP266" s="83" t="e">
        <f t="shared" si="360"/>
        <v>#DIV/0!</v>
      </c>
      <c r="AQ266" s="84" t="e">
        <f t="shared" si="334"/>
        <v>#DIV/0!</v>
      </c>
      <c r="AS266" s="86">
        <f t="shared" si="346"/>
        <v>0.5</v>
      </c>
      <c r="AT266" s="87">
        <f t="shared" si="361"/>
        <v>0</v>
      </c>
      <c r="AU266" s="87">
        <f t="shared" si="362"/>
        <v>0</v>
      </c>
      <c r="AV266" s="88" t="e">
        <f t="shared" si="347"/>
        <v>#DIV/0!</v>
      </c>
      <c r="AW266" s="78" t="e">
        <f t="shared" si="363"/>
        <v>#DIV/0!</v>
      </c>
      <c r="AX266" s="89" t="e">
        <f t="shared" si="335"/>
        <v>#DIV/0!</v>
      </c>
      <c r="BA266" s="91">
        <f t="shared" si="348"/>
        <v>0</v>
      </c>
      <c r="BB266" s="77" t="e">
        <f t="shared" si="364"/>
        <v>#DIV/0!</v>
      </c>
      <c r="BC266" s="78" t="e">
        <f t="shared" si="365"/>
        <v>#DIV/0!</v>
      </c>
      <c r="BD266" s="79" t="e">
        <f t="shared" si="336"/>
        <v>#DIV/0!</v>
      </c>
      <c r="BE266" s="92"/>
      <c r="BF266" s="92"/>
      <c r="BG266" s="93">
        <v>0</v>
      </c>
      <c r="BH266" s="94">
        <f t="shared" si="349"/>
        <v>0</v>
      </c>
      <c r="BI266" s="77" t="e">
        <f t="shared" si="350"/>
        <v>#DIV/0!</v>
      </c>
      <c r="BJ266" s="95" t="str">
        <f t="shared" si="366"/>
        <v>금속/비금속/화학업</v>
      </c>
      <c r="BK266" s="96" t="e">
        <f t="shared" si="351"/>
        <v>#DIV/0!</v>
      </c>
      <c r="BL266" s="97" t="e">
        <f t="shared" si="367"/>
        <v>#DIV/0!</v>
      </c>
      <c r="BM266" s="98" t="e">
        <f t="shared" si="368"/>
        <v>#DIV/0!</v>
      </c>
      <c r="BN266" s="99" t="e">
        <f t="shared" si="369"/>
        <v>#DIV/0!</v>
      </c>
      <c r="BP266" s="101">
        <f t="shared" si="370"/>
        <v>0</v>
      </c>
      <c r="BQ266" s="78">
        <f t="shared" si="371"/>
        <v>25</v>
      </c>
      <c r="BR266" s="79">
        <f t="shared" si="337"/>
        <v>0.5</v>
      </c>
      <c r="BS266" s="102"/>
      <c r="BT266" s="102"/>
      <c r="BU266" s="103">
        <f t="shared" si="372"/>
        <v>0</v>
      </c>
      <c r="BV266" s="77">
        <f t="shared" si="352"/>
        <v>0</v>
      </c>
      <c r="BW266" s="96">
        <f t="shared" si="353"/>
        <v>0</v>
      </c>
      <c r="BX266" s="96">
        <f t="shared" si="373"/>
        <v>0</v>
      </c>
      <c r="BY266" s="96">
        <f t="shared" si="354"/>
        <v>0</v>
      </c>
      <c r="BZ266" s="96" t="e">
        <f t="shared" si="374"/>
        <v>#NUM!</v>
      </c>
      <c r="CA266" s="96" t="e">
        <f t="shared" si="355"/>
        <v>#NUM!</v>
      </c>
      <c r="CB266" s="104" t="e">
        <f t="shared" si="375"/>
        <v>#NUM!</v>
      </c>
      <c r="CC266" s="105">
        <f t="shared" si="338"/>
        <v>76.201346869947471</v>
      </c>
      <c r="CD266" s="106">
        <f t="shared" si="339"/>
        <v>71.657783842984628</v>
      </c>
      <c r="CE266" s="107">
        <f t="shared" si="340"/>
        <v>1.0748667576447695</v>
      </c>
      <c r="CF266" s="108" t="s">
        <v>2189</v>
      </c>
      <c r="CG266" s="108" t="s">
        <v>2189</v>
      </c>
      <c r="CH266" s="108" t="s">
        <v>2189</v>
      </c>
      <c r="CI266" s="108" t="s">
        <v>2189</v>
      </c>
      <c r="CJ266" s="109"/>
      <c r="CM266" s="111">
        <f t="shared" si="376"/>
        <v>25</v>
      </c>
      <c r="CN266" s="107">
        <f t="shared" si="341"/>
        <v>0.375</v>
      </c>
      <c r="CP266" s="88">
        <f t="shared" si="377"/>
        <v>0</v>
      </c>
      <c r="CQ266" s="78">
        <f t="shared" si="378"/>
        <v>100</v>
      </c>
      <c r="CR266" s="79">
        <f t="shared" si="342"/>
        <v>3</v>
      </c>
      <c r="CS266" s="92"/>
      <c r="CT266" s="77">
        <f t="shared" si="356"/>
        <v>0</v>
      </c>
      <c r="CU266" s="78">
        <f t="shared" si="379"/>
        <v>100</v>
      </c>
      <c r="CV266" s="79">
        <f t="shared" si="343"/>
        <v>2</v>
      </c>
      <c r="CW266" s="112" t="e">
        <f t="shared" si="380"/>
        <v>#DIV/0!</v>
      </c>
    </row>
    <row r="267" spans="1:101" x14ac:dyDescent="0.35">
      <c r="A267" s="7" t="s">
        <v>1712</v>
      </c>
      <c r="B267" s="28" t="s">
        <v>1713</v>
      </c>
      <c r="C267" s="21" t="s">
        <v>1714</v>
      </c>
      <c r="D267" s="10" t="s">
        <v>31</v>
      </c>
      <c r="E267" s="11" t="s">
        <v>46</v>
      </c>
      <c r="F267" s="11" t="s">
        <v>1715</v>
      </c>
      <c r="G267" s="12">
        <v>34977</v>
      </c>
      <c r="H267" s="11" t="s">
        <v>24</v>
      </c>
      <c r="I267" s="11" t="s">
        <v>1716</v>
      </c>
      <c r="J267" s="11" t="s">
        <v>1717</v>
      </c>
      <c r="K267" s="11" t="s">
        <v>280</v>
      </c>
      <c r="L267" s="23">
        <v>661278860</v>
      </c>
      <c r="M267" s="14">
        <v>160390048</v>
      </c>
      <c r="N267" s="14">
        <v>500888812</v>
      </c>
      <c r="O267" s="14">
        <v>123375352</v>
      </c>
      <c r="P267" s="14">
        <v>27450398</v>
      </c>
      <c r="Q267" s="14">
        <v>12038623</v>
      </c>
      <c r="R267" s="14">
        <v>8192124</v>
      </c>
      <c r="AB267" s="74">
        <f t="shared" si="381"/>
        <v>0</v>
      </c>
      <c r="AC267" s="75" t="e">
        <f t="shared" si="357"/>
        <v>#DIV/0!</v>
      </c>
      <c r="AD267" s="75" t="e">
        <f t="shared" si="382"/>
        <v>#DIV/0!</v>
      </c>
      <c r="AE267" s="76" t="e">
        <f t="shared" si="332"/>
        <v>#DIV/0!</v>
      </c>
      <c r="AF267" s="77" t="e">
        <f t="shared" si="358"/>
        <v>#DIV/0!</v>
      </c>
      <c r="AG267" s="77" t="e">
        <f t="shared" si="359"/>
        <v>#DIV/0!</v>
      </c>
      <c r="AH267" s="77" t="e">
        <f t="shared" si="383"/>
        <v>#DIV/0!</v>
      </c>
      <c r="AI267" s="78" t="e">
        <f t="shared" si="384"/>
        <v>#DIV/0!</v>
      </c>
      <c r="AJ267" s="79" t="e">
        <f t="shared" si="333"/>
        <v>#DIV/0!</v>
      </c>
      <c r="AN267" s="81">
        <f t="shared" si="344"/>
        <v>0</v>
      </c>
      <c r="AO267" s="82" t="e">
        <f t="shared" si="345"/>
        <v>#DIV/0!</v>
      </c>
      <c r="AP267" s="83" t="e">
        <f t="shared" si="360"/>
        <v>#DIV/0!</v>
      </c>
      <c r="AQ267" s="84" t="e">
        <f t="shared" si="334"/>
        <v>#DIV/0!</v>
      </c>
      <c r="AS267" s="86">
        <f t="shared" si="346"/>
        <v>0.25</v>
      </c>
      <c r="AT267" s="87">
        <f t="shared" si="361"/>
        <v>0</v>
      </c>
      <c r="AU267" s="87">
        <f t="shared" si="362"/>
        <v>0</v>
      </c>
      <c r="AV267" s="88" t="e">
        <f t="shared" si="347"/>
        <v>#DIV/0!</v>
      </c>
      <c r="AW267" s="78" t="e">
        <f t="shared" si="363"/>
        <v>#DIV/0!</v>
      </c>
      <c r="AX267" s="89" t="e">
        <f t="shared" si="335"/>
        <v>#DIV/0!</v>
      </c>
      <c r="BA267" s="91">
        <f t="shared" si="348"/>
        <v>0</v>
      </c>
      <c r="BB267" s="77" t="e">
        <f t="shared" si="364"/>
        <v>#DIV/0!</v>
      </c>
      <c r="BC267" s="78" t="e">
        <f t="shared" si="365"/>
        <v>#DIV/0!</v>
      </c>
      <c r="BD267" s="79" t="e">
        <f t="shared" si="336"/>
        <v>#DIV/0!</v>
      </c>
      <c r="BE267" s="92"/>
      <c r="BF267" s="92"/>
      <c r="BG267" s="93">
        <v>0</v>
      </c>
      <c r="BH267" s="94">
        <f t="shared" si="349"/>
        <v>0</v>
      </c>
      <c r="BI267" s="77" t="e">
        <f t="shared" si="350"/>
        <v>#DIV/0!</v>
      </c>
      <c r="BJ267" s="95" t="str">
        <f t="shared" si="366"/>
        <v>식약/섬유/종이업</v>
      </c>
      <c r="BK267" s="96" t="e">
        <f t="shared" si="351"/>
        <v>#DIV/0!</v>
      </c>
      <c r="BL267" s="97" t="e">
        <f t="shared" si="367"/>
        <v>#DIV/0!</v>
      </c>
      <c r="BM267" s="98" t="e">
        <f t="shared" si="368"/>
        <v>#DIV/0!</v>
      </c>
      <c r="BN267" s="99" t="e">
        <f t="shared" si="369"/>
        <v>#DIV/0!</v>
      </c>
      <c r="BP267" s="101">
        <f t="shared" si="370"/>
        <v>0</v>
      </c>
      <c r="BQ267" s="78">
        <f t="shared" si="371"/>
        <v>25</v>
      </c>
      <c r="BR267" s="79">
        <f t="shared" si="337"/>
        <v>0.5</v>
      </c>
      <c r="BS267" s="102"/>
      <c r="BT267" s="102"/>
      <c r="BU267" s="103">
        <f t="shared" si="372"/>
        <v>0</v>
      </c>
      <c r="BV267" s="77">
        <f t="shared" si="352"/>
        <v>0</v>
      </c>
      <c r="BW267" s="96">
        <f t="shared" si="353"/>
        <v>0</v>
      </c>
      <c r="BX267" s="96">
        <f t="shared" si="373"/>
        <v>0</v>
      </c>
      <c r="BY267" s="96">
        <f t="shared" si="354"/>
        <v>0</v>
      </c>
      <c r="BZ267" s="96" t="e">
        <f t="shared" si="374"/>
        <v>#NUM!</v>
      </c>
      <c r="CA267" s="96" t="e">
        <f t="shared" si="355"/>
        <v>#NUM!</v>
      </c>
      <c r="CB267" s="104" t="e">
        <f t="shared" si="375"/>
        <v>#NUM!</v>
      </c>
      <c r="CC267" s="105">
        <f t="shared" si="338"/>
        <v>32.021088145206967</v>
      </c>
      <c r="CD267" s="106">
        <f t="shared" si="339"/>
        <v>88.308635121153159</v>
      </c>
      <c r="CE267" s="107">
        <f t="shared" si="340"/>
        <v>1.3246295268172974</v>
      </c>
      <c r="CF267" s="108" t="s">
        <v>2189</v>
      </c>
      <c r="CG267" s="108" t="s">
        <v>2189</v>
      </c>
      <c r="CH267" s="108" t="s">
        <v>2189</v>
      </c>
      <c r="CI267" s="108" t="s">
        <v>2189</v>
      </c>
      <c r="CJ267" s="109"/>
      <c r="CM267" s="111">
        <f t="shared" si="376"/>
        <v>25</v>
      </c>
      <c r="CN267" s="107">
        <f t="shared" si="341"/>
        <v>0.375</v>
      </c>
      <c r="CP267" s="88">
        <f t="shared" si="377"/>
        <v>0</v>
      </c>
      <c r="CQ267" s="78">
        <f t="shared" si="378"/>
        <v>100</v>
      </c>
      <c r="CR267" s="79">
        <f t="shared" si="342"/>
        <v>3</v>
      </c>
      <c r="CS267" s="92"/>
      <c r="CT267" s="77">
        <f t="shared" si="356"/>
        <v>0</v>
      </c>
      <c r="CU267" s="78">
        <f t="shared" si="379"/>
        <v>100</v>
      </c>
      <c r="CV267" s="79">
        <f t="shared" si="343"/>
        <v>2</v>
      </c>
      <c r="CW267" s="112" t="e">
        <f t="shared" si="380"/>
        <v>#DIV/0!</v>
      </c>
    </row>
    <row r="268" spans="1:101" x14ac:dyDescent="0.35">
      <c r="A268" s="7" t="s">
        <v>1718</v>
      </c>
      <c r="B268" s="8" t="s">
        <v>1719</v>
      </c>
      <c r="C268" s="21" t="s">
        <v>1720</v>
      </c>
      <c r="D268" s="10" t="s">
        <v>75</v>
      </c>
      <c r="E268" s="11" t="s">
        <v>106</v>
      </c>
      <c r="F268" s="11">
        <v>0</v>
      </c>
      <c r="G268" s="12">
        <v>39659</v>
      </c>
      <c r="H268" s="11" t="s">
        <v>24</v>
      </c>
      <c r="I268" s="11" t="s">
        <v>1721</v>
      </c>
      <c r="J268" s="11" t="s">
        <v>1722</v>
      </c>
      <c r="K268" s="11" t="s">
        <v>50</v>
      </c>
      <c r="L268" s="23">
        <v>3060678472</v>
      </c>
      <c r="M268" s="14">
        <v>1220679297</v>
      </c>
      <c r="N268" s="14">
        <v>1839999175</v>
      </c>
      <c r="O268" s="14">
        <v>3257164379</v>
      </c>
      <c r="P268" s="14">
        <v>203168169</v>
      </c>
      <c r="Q268" s="14">
        <v>220419231</v>
      </c>
      <c r="R268" s="14">
        <v>175385732</v>
      </c>
      <c r="AB268" s="74">
        <f t="shared" si="381"/>
        <v>0</v>
      </c>
      <c r="AC268" s="75" t="e">
        <f t="shared" si="357"/>
        <v>#DIV/0!</v>
      </c>
      <c r="AD268" s="75" t="e">
        <f t="shared" si="382"/>
        <v>#DIV/0!</v>
      </c>
      <c r="AE268" s="76" t="e">
        <f t="shared" si="332"/>
        <v>#DIV/0!</v>
      </c>
      <c r="AF268" s="77" t="e">
        <f t="shared" si="358"/>
        <v>#DIV/0!</v>
      </c>
      <c r="AG268" s="77" t="e">
        <f t="shared" si="359"/>
        <v>#DIV/0!</v>
      </c>
      <c r="AH268" s="77" t="e">
        <f t="shared" si="383"/>
        <v>#DIV/0!</v>
      </c>
      <c r="AI268" s="78" t="e">
        <f t="shared" si="384"/>
        <v>#DIV/0!</v>
      </c>
      <c r="AJ268" s="79" t="e">
        <f t="shared" si="333"/>
        <v>#DIV/0!</v>
      </c>
      <c r="AN268" s="81">
        <f t="shared" si="344"/>
        <v>0</v>
      </c>
      <c r="AO268" s="82" t="e">
        <f t="shared" si="345"/>
        <v>#DIV/0!</v>
      </c>
      <c r="AP268" s="83" t="e">
        <f t="shared" si="360"/>
        <v>#DIV/0!</v>
      </c>
      <c r="AQ268" s="84" t="e">
        <f t="shared" si="334"/>
        <v>#DIV/0!</v>
      </c>
      <c r="AS268" s="86">
        <f t="shared" si="346"/>
        <v>0.5</v>
      </c>
      <c r="AT268" s="87">
        <f t="shared" si="361"/>
        <v>0</v>
      </c>
      <c r="AU268" s="87">
        <f t="shared" si="362"/>
        <v>0</v>
      </c>
      <c r="AV268" s="88" t="e">
        <f t="shared" si="347"/>
        <v>#DIV/0!</v>
      </c>
      <c r="AW268" s="78" t="e">
        <f t="shared" si="363"/>
        <v>#DIV/0!</v>
      </c>
      <c r="AX268" s="89" t="e">
        <f t="shared" si="335"/>
        <v>#DIV/0!</v>
      </c>
      <c r="BA268" s="91">
        <f t="shared" si="348"/>
        <v>0</v>
      </c>
      <c r="BB268" s="77" t="e">
        <f t="shared" si="364"/>
        <v>#DIV/0!</v>
      </c>
      <c r="BC268" s="78" t="e">
        <f t="shared" si="365"/>
        <v>#DIV/0!</v>
      </c>
      <c r="BD268" s="79" t="e">
        <f t="shared" si="336"/>
        <v>#DIV/0!</v>
      </c>
      <c r="BE268" s="92"/>
      <c r="BF268" s="92"/>
      <c r="BG268" s="114">
        <v>1651000</v>
      </c>
      <c r="BH268" s="94">
        <f t="shared" si="349"/>
        <v>0</v>
      </c>
      <c r="BI268" s="77" t="e">
        <f t="shared" si="350"/>
        <v>#DIV/0!</v>
      </c>
      <c r="BJ268" s="95" t="str">
        <f t="shared" si="366"/>
        <v>금속/비금속/화학업</v>
      </c>
      <c r="BK268" s="96" t="e">
        <f t="shared" si="351"/>
        <v>#DIV/0!</v>
      </c>
      <c r="BL268" s="97" t="e">
        <f t="shared" si="367"/>
        <v>#DIV/0!</v>
      </c>
      <c r="BM268" s="98" t="e">
        <f t="shared" si="368"/>
        <v>#DIV/0!</v>
      </c>
      <c r="BN268" s="99" t="e">
        <f t="shared" si="369"/>
        <v>#DIV/0!</v>
      </c>
      <c r="BP268" s="101">
        <f t="shared" si="370"/>
        <v>0</v>
      </c>
      <c r="BQ268" s="78">
        <f t="shared" si="371"/>
        <v>25</v>
      </c>
      <c r="BR268" s="79">
        <f t="shared" si="337"/>
        <v>0.5</v>
      </c>
      <c r="BS268" s="102"/>
      <c r="BT268" s="102"/>
      <c r="BU268" s="103">
        <f t="shared" si="372"/>
        <v>0</v>
      </c>
      <c r="BV268" s="77">
        <f t="shared" si="352"/>
        <v>0</v>
      </c>
      <c r="BW268" s="96">
        <f t="shared" si="353"/>
        <v>0</v>
      </c>
      <c r="BX268" s="96">
        <f t="shared" si="373"/>
        <v>0</v>
      </c>
      <c r="BY268" s="96">
        <f t="shared" si="354"/>
        <v>0</v>
      </c>
      <c r="BZ268" s="96" t="e">
        <f t="shared" si="374"/>
        <v>#NUM!</v>
      </c>
      <c r="CA268" s="96" t="e">
        <f t="shared" si="355"/>
        <v>#NUM!</v>
      </c>
      <c r="CB268" s="104" t="e">
        <f t="shared" si="375"/>
        <v>#NUM!</v>
      </c>
      <c r="CC268" s="105">
        <f t="shared" si="338"/>
        <v>66.341295886722335</v>
      </c>
      <c r="CD268" s="106">
        <f t="shared" si="339"/>
        <v>75.373883459778014</v>
      </c>
      <c r="CE268" s="107">
        <f t="shared" si="340"/>
        <v>1.1306082518966702</v>
      </c>
      <c r="CF268" s="108" t="s">
        <v>2189</v>
      </c>
      <c r="CG268" s="108" t="s">
        <v>2189</v>
      </c>
      <c r="CH268" s="108" t="s">
        <v>2189</v>
      </c>
      <c r="CI268" s="108" t="s">
        <v>2189</v>
      </c>
      <c r="CJ268" s="109"/>
      <c r="CM268" s="111">
        <f t="shared" si="376"/>
        <v>25</v>
      </c>
      <c r="CN268" s="107">
        <f t="shared" si="341"/>
        <v>0.375</v>
      </c>
      <c r="CP268" s="88">
        <f t="shared" si="377"/>
        <v>0</v>
      </c>
      <c r="CQ268" s="78">
        <f t="shared" si="378"/>
        <v>100</v>
      </c>
      <c r="CR268" s="79">
        <f t="shared" si="342"/>
        <v>3</v>
      </c>
      <c r="CS268" s="92"/>
      <c r="CT268" s="77">
        <f t="shared" si="356"/>
        <v>0</v>
      </c>
      <c r="CU268" s="78">
        <f t="shared" si="379"/>
        <v>100</v>
      </c>
      <c r="CV268" s="79">
        <f t="shared" si="343"/>
        <v>2</v>
      </c>
      <c r="CW268" s="112" t="e">
        <f t="shared" si="380"/>
        <v>#DIV/0!</v>
      </c>
    </row>
    <row r="269" spans="1:101" x14ac:dyDescent="0.35">
      <c r="A269" s="7" t="s">
        <v>1723</v>
      </c>
      <c r="B269" s="8" t="s">
        <v>1724</v>
      </c>
      <c r="C269" s="21" t="s">
        <v>1725</v>
      </c>
      <c r="D269" s="10" t="s">
        <v>31</v>
      </c>
      <c r="E269" s="11" t="s">
        <v>183</v>
      </c>
      <c r="F269" s="11" t="s">
        <v>1726</v>
      </c>
      <c r="G269" s="12">
        <v>43375</v>
      </c>
      <c r="H269" s="11" t="s">
        <v>24</v>
      </c>
      <c r="I269" s="11" t="s">
        <v>1727</v>
      </c>
      <c r="J269" s="11" t="s">
        <v>1728</v>
      </c>
      <c r="K269" s="11" t="s">
        <v>50</v>
      </c>
      <c r="L269" s="23">
        <v>345964556</v>
      </c>
      <c r="M269" s="14">
        <v>77567636</v>
      </c>
      <c r="N269" s="14">
        <v>268396921</v>
      </c>
      <c r="O269" s="14">
        <v>210844992</v>
      </c>
      <c r="P269" s="14">
        <v>31170755</v>
      </c>
      <c r="Q269" s="14">
        <v>30718351</v>
      </c>
      <c r="R269" s="14">
        <v>24307179</v>
      </c>
      <c r="AB269" s="74">
        <f t="shared" si="381"/>
        <v>0</v>
      </c>
      <c r="AC269" s="75" t="e">
        <f t="shared" si="357"/>
        <v>#DIV/0!</v>
      </c>
      <c r="AD269" s="75" t="e">
        <f t="shared" si="382"/>
        <v>#DIV/0!</v>
      </c>
      <c r="AE269" s="76" t="e">
        <f t="shared" si="332"/>
        <v>#DIV/0!</v>
      </c>
      <c r="AF269" s="77" t="e">
        <f t="shared" si="358"/>
        <v>#DIV/0!</v>
      </c>
      <c r="AG269" s="77" t="e">
        <f t="shared" si="359"/>
        <v>#DIV/0!</v>
      </c>
      <c r="AH269" s="77" t="e">
        <f t="shared" si="383"/>
        <v>#DIV/0!</v>
      </c>
      <c r="AI269" s="78" t="e">
        <f t="shared" si="384"/>
        <v>#DIV/0!</v>
      </c>
      <c r="AJ269" s="79" t="e">
        <f t="shared" si="333"/>
        <v>#DIV/0!</v>
      </c>
      <c r="AN269" s="81">
        <f t="shared" si="344"/>
        <v>0</v>
      </c>
      <c r="AO269" s="82" t="e">
        <f t="shared" si="345"/>
        <v>#DIV/0!</v>
      </c>
      <c r="AP269" s="83" t="e">
        <f t="shared" si="360"/>
        <v>#DIV/0!</v>
      </c>
      <c r="AQ269" s="84" t="e">
        <f t="shared" si="334"/>
        <v>#DIV/0!</v>
      </c>
      <c r="AS269" s="86">
        <f t="shared" si="346"/>
        <v>0.25</v>
      </c>
      <c r="AT269" s="87">
        <f t="shared" si="361"/>
        <v>0</v>
      </c>
      <c r="AU269" s="87">
        <f t="shared" si="362"/>
        <v>0</v>
      </c>
      <c r="AV269" s="88" t="e">
        <f t="shared" si="347"/>
        <v>#DIV/0!</v>
      </c>
      <c r="AW269" s="78" t="e">
        <f t="shared" si="363"/>
        <v>#DIV/0!</v>
      </c>
      <c r="AX269" s="89" t="e">
        <f t="shared" si="335"/>
        <v>#DIV/0!</v>
      </c>
      <c r="BA269" s="91">
        <f t="shared" si="348"/>
        <v>0</v>
      </c>
      <c r="BB269" s="77" t="e">
        <f t="shared" si="364"/>
        <v>#DIV/0!</v>
      </c>
      <c r="BC269" s="78" t="e">
        <f t="shared" si="365"/>
        <v>#DIV/0!</v>
      </c>
      <c r="BD269" s="79" t="e">
        <f t="shared" si="336"/>
        <v>#DIV/0!</v>
      </c>
      <c r="BE269" s="92"/>
      <c r="BF269" s="92"/>
      <c r="BG269" s="114">
        <v>2334089</v>
      </c>
      <c r="BH269" s="94">
        <f t="shared" si="349"/>
        <v>0</v>
      </c>
      <c r="BI269" s="77" t="e">
        <f t="shared" si="350"/>
        <v>#DIV/0!</v>
      </c>
      <c r="BJ269" s="95" t="str">
        <f t="shared" si="366"/>
        <v>식약/섬유/종이업</v>
      </c>
      <c r="BK269" s="96" t="e">
        <f t="shared" si="351"/>
        <v>#DIV/0!</v>
      </c>
      <c r="BL269" s="97" t="e">
        <f t="shared" si="367"/>
        <v>#DIV/0!</v>
      </c>
      <c r="BM269" s="98" t="e">
        <f t="shared" si="368"/>
        <v>#DIV/0!</v>
      </c>
      <c r="BN269" s="99" t="e">
        <f t="shared" si="369"/>
        <v>#DIV/0!</v>
      </c>
      <c r="BP269" s="101">
        <f t="shared" si="370"/>
        <v>0</v>
      </c>
      <c r="BQ269" s="78">
        <f t="shared" si="371"/>
        <v>25</v>
      </c>
      <c r="BR269" s="79">
        <f t="shared" si="337"/>
        <v>0.5</v>
      </c>
      <c r="BS269" s="102"/>
      <c r="BT269" s="102"/>
      <c r="BU269" s="103">
        <f t="shared" si="372"/>
        <v>0</v>
      </c>
      <c r="BV269" s="77">
        <f t="shared" si="352"/>
        <v>0</v>
      </c>
      <c r="BW269" s="96">
        <f t="shared" si="353"/>
        <v>0</v>
      </c>
      <c r="BX269" s="96">
        <f t="shared" si="373"/>
        <v>0</v>
      </c>
      <c r="BY269" s="96">
        <f t="shared" si="354"/>
        <v>0</v>
      </c>
      <c r="BZ269" s="96" t="e">
        <f t="shared" si="374"/>
        <v>#NUM!</v>
      </c>
      <c r="CA269" s="96" t="e">
        <f t="shared" si="355"/>
        <v>#NUM!</v>
      </c>
      <c r="CB269" s="104" t="e">
        <f t="shared" si="375"/>
        <v>#NUM!</v>
      </c>
      <c r="CC269" s="105">
        <f t="shared" si="338"/>
        <v>28.900344948442978</v>
      </c>
      <c r="CD269" s="106">
        <f t="shared" si="339"/>
        <v>89.484794617420988</v>
      </c>
      <c r="CE269" s="107">
        <f t="shared" si="340"/>
        <v>1.3422719192613148</v>
      </c>
      <c r="CF269" s="108" t="s">
        <v>2189</v>
      </c>
      <c r="CG269" s="108" t="s">
        <v>2189</v>
      </c>
      <c r="CH269" s="108" t="s">
        <v>2189</v>
      </c>
      <c r="CI269" s="108" t="s">
        <v>2189</v>
      </c>
      <c r="CJ269" s="109"/>
      <c r="CM269" s="111">
        <f t="shared" si="376"/>
        <v>25</v>
      </c>
      <c r="CN269" s="107">
        <f t="shared" si="341"/>
        <v>0.375</v>
      </c>
      <c r="CP269" s="88">
        <f t="shared" si="377"/>
        <v>0</v>
      </c>
      <c r="CQ269" s="78">
        <f t="shared" si="378"/>
        <v>100</v>
      </c>
      <c r="CR269" s="79">
        <f t="shared" si="342"/>
        <v>3</v>
      </c>
      <c r="CS269" s="92"/>
      <c r="CT269" s="77">
        <f t="shared" si="356"/>
        <v>0</v>
      </c>
      <c r="CU269" s="78">
        <f t="shared" si="379"/>
        <v>100</v>
      </c>
      <c r="CV269" s="79">
        <f t="shared" si="343"/>
        <v>2</v>
      </c>
      <c r="CW269" s="112" t="e">
        <f t="shared" si="380"/>
        <v>#DIV/0!</v>
      </c>
    </row>
    <row r="270" spans="1:101" x14ac:dyDescent="0.35">
      <c r="A270" s="7" t="s">
        <v>1729</v>
      </c>
      <c r="B270" s="8" t="s">
        <v>1730</v>
      </c>
      <c r="C270" s="21" t="s">
        <v>1731</v>
      </c>
      <c r="D270" s="22" t="s">
        <v>31</v>
      </c>
      <c r="E270" s="11" t="s">
        <v>1732</v>
      </c>
      <c r="F270" s="11" t="s">
        <v>1733</v>
      </c>
      <c r="G270" s="12">
        <v>40105</v>
      </c>
      <c r="H270" s="11" t="s">
        <v>24</v>
      </c>
      <c r="I270" s="11" t="s">
        <v>1734</v>
      </c>
      <c r="J270" s="11" t="s">
        <v>1735</v>
      </c>
      <c r="K270" s="11" t="s">
        <v>27</v>
      </c>
      <c r="L270" s="23">
        <v>3107792300</v>
      </c>
      <c r="M270" s="14">
        <v>1945483554</v>
      </c>
      <c r="N270" s="14">
        <v>1162308746</v>
      </c>
      <c r="O270" s="14">
        <v>2222161984</v>
      </c>
      <c r="P270" s="14">
        <v>165474689</v>
      </c>
      <c r="Q270" s="14">
        <v>92802035</v>
      </c>
      <c r="R270" s="14">
        <v>66847561</v>
      </c>
      <c r="AB270" s="74">
        <f t="shared" si="381"/>
        <v>0</v>
      </c>
      <c r="AC270" s="75" t="e">
        <f t="shared" si="357"/>
        <v>#DIV/0!</v>
      </c>
      <c r="AD270" s="75" t="e">
        <f t="shared" si="382"/>
        <v>#DIV/0!</v>
      </c>
      <c r="AE270" s="76" t="e">
        <f t="shared" si="332"/>
        <v>#DIV/0!</v>
      </c>
      <c r="AF270" s="77" t="e">
        <f t="shared" si="358"/>
        <v>#DIV/0!</v>
      </c>
      <c r="AG270" s="77" t="e">
        <f t="shared" si="359"/>
        <v>#DIV/0!</v>
      </c>
      <c r="AH270" s="77" t="e">
        <f t="shared" si="383"/>
        <v>#DIV/0!</v>
      </c>
      <c r="AI270" s="78" t="e">
        <f t="shared" si="384"/>
        <v>#DIV/0!</v>
      </c>
      <c r="AJ270" s="79" t="e">
        <f t="shared" si="333"/>
        <v>#DIV/0!</v>
      </c>
      <c r="AN270" s="81">
        <f t="shared" si="344"/>
        <v>0</v>
      </c>
      <c r="AO270" s="82" t="e">
        <f t="shared" si="345"/>
        <v>#DIV/0!</v>
      </c>
      <c r="AP270" s="83" t="e">
        <f t="shared" si="360"/>
        <v>#DIV/0!</v>
      </c>
      <c r="AQ270" s="84" t="e">
        <f t="shared" si="334"/>
        <v>#DIV/0!</v>
      </c>
      <c r="AS270" s="86">
        <f t="shared" si="346"/>
        <v>0.5</v>
      </c>
      <c r="AT270" s="87">
        <f t="shared" si="361"/>
        <v>0</v>
      </c>
      <c r="AU270" s="87">
        <f t="shared" si="362"/>
        <v>0</v>
      </c>
      <c r="AV270" s="88" t="e">
        <f t="shared" si="347"/>
        <v>#DIV/0!</v>
      </c>
      <c r="AW270" s="78" t="e">
        <f t="shared" si="363"/>
        <v>#DIV/0!</v>
      </c>
      <c r="AX270" s="89" t="e">
        <f t="shared" si="335"/>
        <v>#DIV/0!</v>
      </c>
      <c r="BA270" s="91">
        <f t="shared" si="348"/>
        <v>0</v>
      </c>
      <c r="BB270" s="77" t="e">
        <f t="shared" si="364"/>
        <v>#DIV/0!</v>
      </c>
      <c r="BC270" s="78" t="e">
        <f t="shared" si="365"/>
        <v>#DIV/0!</v>
      </c>
      <c r="BD270" s="79" t="e">
        <f t="shared" si="336"/>
        <v>#DIV/0!</v>
      </c>
      <c r="BE270" s="92"/>
      <c r="BF270" s="92"/>
      <c r="BG270" s="93">
        <v>0</v>
      </c>
      <c r="BH270" s="94">
        <f t="shared" si="349"/>
        <v>0</v>
      </c>
      <c r="BI270" s="77" t="e">
        <f t="shared" si="350"/>
        <v>#DIV/0!</v>
      </c>
      <c r="BJ270" s="95" t="str">
        <f t="shared" si="366"/>
        <v>식약/섬유/종이업</v>
      </c>
      <c r="BK270" s="96" t="e">
        <f t="shared" si="351"/>
        <v>#DIV/0!</v>
      </c>
      <c r="BL270" s="97" t="e">
        <f t="shared" si="367"/>
        <v>#DIV/0!</v>
      </c>
      <c r="BM270" s="98" t="e">
        <f t="shared" si="368"/>
        <v>#DIV/0!</v>
      </c>
      <c r="BN270" s="99" t="e">
        <f t="shared" si="369"/>
        <v>#DIV/0!</v>
      </c>
      <c r="BP270" s="101">
        <f t="shared" si="370"/>
        <v>0</v>
      </c>
      <c r="BQ270" s="78">
        <f t="shared" si="371"/>
        <v>25</v>
      </c>
      <c r="BR270" s="79">
        <f t="shared" si="337"/>
        <v>0.5</v>
      </c>
      <c r="BS270" s="102"/>
      <c r="BT270" s="102"/>
      <c r="BU270" s="103">
        <f t="shared" si="372"/>
        <v>0</v>
      </c>
      <c r="BV270" s="77">
        <f t="shared" si="352"/>
        <v>0</v>
      </c>
      <c r="BW270" s="96">
        <f t="shared" si="353"/>
        <v>0</v>
      </c>
      <c r="BX270" s="96">
        <f t="shared" si="373"/>
        <v>0</v>
      </c>
      <c r="BY270" s="96">
        <f t="shared" si="354"/>
        <v>0</v>
      </c>
      <c r="BZ270" s="96" t="e">
        <f t="shared" si="374"/>
        <v>#NUM!</v>
      </c>
      <c r="CA270" s="96" t="e">
        <f t="shared" si="355"/>
        <v>#NUM!</v>
      </c>
      <c r="CB270" s="104" t="e">
        <f t="shared" si="375"/>
        <v>#NUM!</v>
      </c>
      <c r="CC270" s="105">
        <f t="shared" si="338"/>
        <v>167.38096144378491</v>
      </c>
      <c r="CD270" s="106">
        <f t="shared" si="339"/>
        <v>37.293607496060964</v>
      </c>
      <c r="CE270" s="107">
        <f t="shared" si="340"/>
        <v>0.55940411244091448</v>
      </c>
      <c r="CF270" s="108" t="s">
        <v>2189</v>
      </c>
      <c r="CG270" s="108" t="s">
        <v>2189</v>
      </c>
      <c r="CH270" s="108" t="s">
        <v>2189</v>
      </c>
      <c r="CI270" s="108" t="s">
        <v>2189</v>
      </c>
      <c r="CJ270" s="109"/>
      <c r="CM270" s="111">
        <f t="shared" si="376"/>
        <v>25</v>
      </c>
      <c r="CN270" s="107">
        <f t="shared" si="341"/>
        <v>0.375</v>
      </c>
      <c r="CP270" s="88">
        <f t="shared" si="377"/>
        <v>0</v>
      </c>
      <c r="CQ270" s="78">
        <f t="shared" si="378"/>
        <v>100</v>
      </c>
      <c r="CR270" s="79">
        <f t="shared" si="342"/>
        <v>3</v>
      </c>
      <c r="CS270" s="92"/>
      <c r="CT270" s="77">
        <f t="shared" si="356"/>
        <v>0</v>
      </c>
      <c r="CU270" s="78">
        <f t="shared" si="379"/>
        <v>100</v>
      </c>
      <c r="CV270" s="79">
        <f t="shared" si="343"/>
        <v>2</v>
      </c>
      <c r="CW270" s="112" t="e">
        <f t="shared" si="380"/>
        <v>#DIV/0!</v>
      </c>
    </row>
    <row r="271" spans="1:101" x14ac:dyDescent="0.35">
      <c r="A271" s="7" t="s">
        <v>1736</v>
      </c>
      <c r="B271" s="8" t="s">
        <v>1737</v>
      </c>
      <c r="C271" s="21" t="s">
        <v>1738</v>
      </c>
      <c r="D271" s="22" t="s">
        <v>75</v>
      </c>
      <c r="E271" s="11" t="s">
        <v>1739</v>
      </c>
      <c r="F271" s="11" t="s">
        <v>1740</v>
      </c>
      <c r="G271" s="12">
        <v>36815</v>
      </c>
      <c r="H271" s="11" t="s">
        <v>24</v>
      </c>
      <c r="I271" s="11" t="s">
        <v>1741</v>
      </c>
      <c r="J271" s="8" t="s">
        <v>1742</v>
      </c>
      <c r="K271" s="11" t="s">
        <v>153</v>
      </c>
      <c r="L271" s="23">
        <v>291713102</v>
      </c>
      <c r="M271" s="14">
        <v>71415596</v>
      </c>
      <c r="N271" s="14">
        <v>220297507</v>
      </c>
      <c r="O271" s="14">
        <v>256067814</v>
      </c>
      <c r="P271" s="14">
        <v>8760193</v>
      </c>
      <c r="Q271" s="14">
        <v>3858993</v>
      </c>
      <c r="R271" s="14">
        <v>3132350</v>
      </c>
      <c r="AB271" s="74">
        <f t="shared" si="381"/>
        <v>0</v>
      </c>
      <c r="AC271" s="75" t="e">
        <f t="shared" si="357"/>
        <v>#DIV/0!</v>
      </c>
      <c r="AD271" s="75" t="e">
        <f t="shared" si="382"/>
        <v>#DIV/0!</v>
      </c>
      <c r="AE271" s="76" t="e">
        <f t="shared" si="332"/>
        <v>#DIV/0!</v>
      </c>
      <c r="AF271" s="77" t="e">
        <f t="shared" si="358"/>
        <v>#DIV/0!</v>
      </c>
      <c r="AG271" s="77" t="e">
        <f t="shared" si="359"/>
        <v>#DIV/0!</v>
      </c>
      <c r="AH271" s="77" t="e">
        <f t="shared" si="383"/>
        <v>#DIV/0!</v>
      </c>
      <c r="AI271" s="78" t="e">
        <f t="shared" si="384"/>
        <v>#DIV/0!</v>
      </c>
      <c r="AJ271" s="79" t="e">
        <f t="shared" si="333"/>
        <v>#DIV/0!</v>
      </c>
      <c r="AN271" s="81">
        <f t="shared" si="344"/>
        <v>0</v>
      </c>
      <c r="AO271" s="82" t="e">
        <f t="shared" si="345"/>
        <v>#DIV/0!</v>
      </c>
      <c r="AP271" s="83" t="e">
        <f t="shared" si="360"/>
        <v>#DIV/0!</v>
      </c>
      <c r="AQ271" s="84" t="e">
        <f t="shared" si="334"/>
        <v>#DIV/0!</v>
      </c>
      <c r="AS271" s="86">
        <f t="shared" si="346"/>
        <v>0.25</v>
      </c>
      <c r="AT271" s="87">
        <f t="shared" si="361"/>
        <v>0</v>
      </c>
      <c r="AU271" s="87">
        <f t="shared" si="362"/>
        <v>0</v>
      </c>
      <c r="AV271" s="88" t="e">
        <f t="shared" si="347"/>
        <v>#DIV/0!</v>
      </c>
      <c r="AW271" s="78" t="e">
        <f t="shared" si="363"/>
        <v>#DIV/0!</v>
      </c>
      <c r="AX271" s="89" t="e">
        <f t="shared" si="335"/>
        <v>#DIV/0!</v>
      </c>
      <c r="BA271" s="91">
        <f t="shared" si="348"/>
        <v>0</v>
      </c>
      <c r="BB271" s="77" t="e">
        <f t="shared" si="364"/>
        <v>#DIV/0!</v>
      </c>
      <c r="BC271" s="78" t="e">
        <f t="shared" si="365"/>
        <v>#DIV/0!</v>
      </c>
      <c r="BD271" s="79" t="e">
        <f t="shared" si="336"/>
        <v>#DIV/0!</v>
      </c>
      <c r="BE271" s="92"/>
      <c r="BF271" s="92"/>
      <c r="BG271" s="114">
        <v>190258</v>
      </c>
      <c r="BH271" s="94">
        <f t="shared" si="349"/>
        <v>0</v>
      </c>
      <c r="BI271" s="77" t="e">
        <f t="shared" si="350"/>
        <v>#DIV/0!</v>
      </c>
      <c r="BJ271" s="95" t="str">
        <f t="shared" si="366"/>
        <v>금속/비금속/화학업</v>
      </c>
      <c r="BK271" s="96" t="e">
        <f t="shared" si="351"/>
        <v>#DIV/0!</v>
      </c>
      <c r="BL271" s="97" t="e">
        <f t="shared" si="367"/>
        <v>#DIV/0!</v>
      </c>
      <c r="BM271" s="98" t="e">
        <f t="shared" si="368"/>
        <v>#DIV/0!</v>
      </c>
      <c r="BN271" s="99" t="e">
        <f t="shared" si="369"/>
        <v>#DIV/0!</v>
      </c>
      <c r="BP271" s="101">
        <f t="shared" si="370"/>
        <v>0</v>
      </c>
      <c r="BQ271" s="78">
        <f t="shared" si="371"/>
        <v>25</v>
      </c>
      <c r="BR271" s="79">
        <f t="shared" si="337"/>
        <v>0.5</v>
      </c>
      <c r="BS271" s="102"/>
      <c r="BT271" s="102"/>
      <c r="BU271" s="103">
        <f t="shared" si="372"/>
        <v>0</v>
      </c>
      <c r="BV271" s="77">
        <f t="shared" si="352"/>
        <v>0</v>
      </c>
      <c r="BW271" s="96">
        <f t="shared" si="353"/>
        <v>0</v>
      </c>
      <c r="BX271" s="96">
        <f t="shared" si="373"/>
        <v>0</v>
      </c>
      <c r="BY271" s="96">
        <f t="shared" si="354"/>
        <v>0</v>
      </c>
      <c r="BZ271" s="96" t="e">
        <f t="shared" si="374"/>
        <v>#NUM!</v>
      </c>
      <c r="CA271" s="96" t="e">
        <f t="shared" si="355"/>
        <v>#NUM!</v>
      </c>
      <c r="CB271" s="104" t="e">
        <f t="shared" si="375"/>
        <v>#NUM!</v>
      </c>
      <c r="CC271" s="105">
        <f t="shared" si="338"/>
        <v>32.417795812823243</v>
      </c>
      <c r="CD271" s="106">
        <f t="shared" si="339"/>
        <v>88.159122181096762</v>
      </c>
      <c r="CE271" s="107">
        <f t="shared" si="340"/>
        <v>1.3223868327164514</v>
      </c>
      <c r="CF271" s="108" t="s">
        <v>2189</v>
      </c>
      <c r="CG271" s="108" t="s">
        <v>2189</v>
      </c>
      <c r="CH271" s="108" t="s">
        <v>2189</v>
      </c>
      <c r="CI271" s="108" t="s">
        <v>2189</v>
      </c>
      <c r="CJ271" s="109"/>
      <c r="CM271" s="111">
        <f t="shared" si="376"/>
        <v>25</v>
      </c>
      <c r="CN271" s="107">
        <f t="shared" si="341"/>
        <v>0.375</v>
      </c>
      <c r="CP271" s="88">
        <f t="shared" si="377"/>
        <v>0</v>
      </c>
      <c r="CQ271" s="78">
        <f t="shared" si="378"/>
        <v>100</v>
      </c>
      <c r="CR271" s="79">
        <f t="shared" si="342"/>
        <v>3</v>
      </c>
      <c r="CS271" s="92"/>
      <c r="CT271" s="77">
        <f t="shared" si="356"/>
        <v>0</v>
      </c>
      <c r="CU271" s="78">
        <f t="shared" si="379"/>
        <v>100</v>
      </c>
      <c r="CV271" s="79">
        <f t="shared" si="343"/>
        <v>2</v>
      </c>
      <c r="CW271" s="112" t="e">
        <f t="shared" si="380"/>
        <v>#DIV/0!</v>
      </c>
    </row>
    <row r="272" spans="1:101" x14ac:dyDescent="0.35">
      <c r="A272" s="7" t="s">
        <v>1743</v>
      </c>
      <c r="B272" s="8" t="s">
        <v>1744</v>
      </c>
      <c r="C272" s="21" t="s">
        <v>1745</v>
      </c>
      <c r="D272" s="10" t="s">
        <v>141</v>
      </c>
      <c r="E272" s="11" t="s">
        <v>429</v>
      </c>
      <c r="F272" s="11" t="s">
        <v>1746</v>
      </c>
      <c r="G272" s="12">
        <v>35354</v>
      </c>
      <c r="H272" s="11" t="s">
        <v>24</v>
      </c>
      <c r="I272" s="11" t="s">
        <v>1747</v>
      </c>
      <c r="J272" s="11" t="s">
        <v>1748</v>
      </c>
      <c r="K272" s="11" t="s">
        <v>87</v>
      </c>
      <c r="L272" s="23">
        <v>1115216321</v>
      </c>
      <c r="M272" s="14">
        <v>343407952</v>
      </c>
      <c r="N272" s="14">
        <v>771808369</v>
      </c>
      <c r="O272" s="14">
        <v>1105239370</v>
      </c>
      <c r="P272" s="14">
        <v>45133384</v>
      </c>
      <c r="Q272" s="14">
        <v>54914570</v>
      </c>
      <c r="R272" s="14">
        <v>41039812</v>
      </c>
      <c r="AB272" s="74">
        <f t="shared" si="381"/>
        <v>0</v>
      </c>
      <c r="AC272" s="75" t="e">
        <f t="shared" si="357"/>
        <v>#DIV/0!</v>
      </c>
      <c r="AD272" s="75" t="e">
        <f t="shared" si="382"/>
        <v>#DIV/0!</v>
      </c>
      <c r="AE272" s="76" t="e">
        <f t="shared" si="332"/>
        <v>#DIV/0!</v>
      </c>
      <c r="AF272" s="77" t="e">
        <f t="shared" si="358"/>
        <v>#DIV/0!</v>
      </c>
      <c r="AG272" s="77" t="e">
        <f t="shared" si="359"/>
        <v>#DIV/0!</v>
      </c>
      <c r="AH272" s="77" t="e">
        <f t="shared" si="383"/>
        <v>#DIV/0!</v>
      </c>
      <c r="AI272" s="78" t="e">
        <f t="shared" si="384"/>
        <v>#DIV/0!</v>
      </c>
      <c r="AJ272" s="79" t="e">
        <f t="shared" si="333"/>
        <v>#DIV/0!</v>
      </c>
      <c r="AN272" s="81">
        <f t="shared" si="344"/>
        <v>0</v>
      </c>
      <c r="AO272" s="82" t="e">
        <f t="shared" si="345"/>
        <v>#DIV/0!</v>
      </c>
      <c r="AP272" s="83" t="e">
        <f t="shared" si="360"/>
        <v>#DIV/0!</v>
      </c>
      <c r="AQ272" s="84" t="e">
        <f t="shared" si="334"/>
        <v>#DIV/0!</v>
      </c>
      <c r="AS272" s="86">
        <f t="shared" si="346"/>
        <v>0.25</v>
      </c>
      <c r="AT272" s="87">
        <f t="shared" si="361"/>
        <v>0</v>
      </c>
      <c r="AU272" s="87">
        <f t="shared" si="362"/>
        <v>0</v>
      </c>
      <c r="AV272" s="88" t="e">
        <f t="shared" si="347"/>
        <v>#DIV/0!</v>
      </c>
      <c r="AW272" s="78" t="e">
        <f t="shared" si="363"/>
        <v>#DIV/0!</v>
      </c>
      <c r="AX272" s="89" t="e">
        <f t="shared" si="335"/>
        <v>#DIV/0!</v>
      </c>
      <c r="BA272" s="91">
        <f t="shared" si="348"/>
        <v>0</v>
      </c>
      <c r="BB272" s="77" t="e">
        <f t="shared" si="364"/>
        <v>#DIV/0!</v>
      </c>
      <c r="BC272" s="78" t="e">
        <f t="shared" si="365"/>
        <v>#DIV/0!</v>
      </c>
      <c r="BD272" s="79" t="e">
        <f t="shared" si="336"/>
        <v>#DIV/0!</v>
      </c>
      <c r="BE272" s="92"/>
      <c r="BF272" s="92"/>
      <c r="BG272" s="114">
        <v>625386</v>
      </c>
      <c r="BH272" s="94">
        <f t="shared" si="349"/>
        <v>0</v>
      </c>
      <c r="BI272" s="77" t="e">
        <f t="shared" si="350"/>
        <v>#DIV/0!</v>
      </c>
      <c r="BJ272" s="95" t="str">
        <f t="shared" si="366"/>
        <v>전기전자/기계업</v>
      </c>
      <c r="BK272" s="96" t="e">
        <f t="shared" si="351"/>
        <v>#DIV/0!</v>
      </c>
      <c r="BL272" s="97" t="e">
        <f t="shared" si="367"/>
        <v>#DIV/0!</v>
      </c>
      <c r="BM272" s="98" t="e">
        <f t="shared" si="368"/>
        <v>#DIV/0!</v>
      </c>
      <c r="BN272" s="99" t="e">
        <f t="shared" si="369"/>
        <v>#DIV/0!</v>
      </c>
      <c r="BP272" s="101">
        <f t="shared" si="370"/>
        <v>0</v>
      </c>
      <c r="BQ272" s="78">
        <f t="shared" si="371"/>
        <v>25</v>
      </c>
      <c r="BR272" s="79">
        <f t="shared" si="337"/>
        <v>0.5</v>
      </c>
      <c r="BS272" s="102"/>
      <c r="BT272" s="102"/>
      <c r="BU272" s="103">
        <f t="shared" si="372"/>
        <v>0</v>
      </c>
      <c r="BV272" s="77">
        <f t="shared" si="352"/>
        <v>0</v>
      </c>
      <c r="BW272" s="96">
        <f t="shared" si="353"/>
        <v>0</v>
      </c>
      <c r="BX272" s="96">
        <f t="shared" si="373"/>
        <v>0</v>
      </c>
      <c r="BY272" s="96">
        <f t="shared" si="354"/>
        <v>0</v>
      </c>
      <c r="BZ272" s="96" t="e">
        <f t="shared" si="374"/>
        <v>#NUM!</v>
      </c>
      <c r="CA272" s="96" t="e">
        <f t="shared" si="355"/>
        <v>#NUM!</v>
      </c>
      <c r="CB272" s="104" t="e">
        <f t="shared" si="375"/>
        <v>#NUM!</v>
      </c>
      <c r="CC272" s="105">
        <f t="shared" si="338"/>
        <v>44.49393991994922</v>
      </c>
      <c r="CD272" s="106">
        <f t="shared" si="339"/>
        <v>83.607811587958835</v>
      </c>
      <c r="CE272" s="107">
        <f t="shared" si="340"/>
        <v>1.2541171738193826</v>
      </c>
      <c r="CF272" s="108" t="s">
        <v>2189</v>
      </c>
      <c r="CG272" s="108" t="s">
        <v>2189</v>
      </c>
      <c r="CH272" s="108" t="s">
        <v>2189</v>
      </c>
      <c r="CI272" s="108" t="s">
        <v>2189</v>
      </c>
      <c r="CJ272" s="109"/>
      <c r="CM272" s="111">
        <f t="shared" si="376"/>
        <v>25</v>
      </c>
      <c r="CN272" s="107">
        <f t="shared" si="341"/>
        <v>0.375</v>
      </c>
      <c r="CP272" s="88">
        <f t="shared" si="377"/>
        <v>0</v>
      </c>
      <c r="CQ272" s="78">
        <f t="shared" si="378"/>
        <v>100</v>
      </c>
      <c r="CR272" s="79">
        <f t="shared" si="342"/>
        <v>3</v>
      </c>
      <c r="CS272" s="92"/>
      <c r="CT272" s="77">
        <f t="shared" si="356"/>
        <v>0</v>
      </c>
      <c r="CU272" s="78">
        <f t="shared" si="379"/>
        <v>100</v>
      </c>
      <c r="CV272" s="79">
        <f t="shared" si="343"/>
        <v>2</v>
      </c>
      <c r="CW272" s="112" t="e">
        <f t="shared" si="380"/>
        <v>#DIV/0!</v>
      </c>
    </row>
    <row r="273" spans="1:101" x14ac:dyDescent="0.35">
      <c r="A273" s="7" t="s">
        <v>1749</v>
      </c>
      <c r="B273" s="8" t="s">
        <v>1750</v>
      </c>
      <c r="C273" s="21" t="s">
        <v>1751</v>
      </c>
      <c r="D273" s="10" t="s">
        <v>141</v>
      </c>
      <c r="E273" s="11" t="s">
        <v>356</v>
      </c>
      <c r="F273" s="11" t="s">
        <v>1752</v>
      </c>
      <c r="G273" s="12">
        <v>32052</v>
      </c>
      <c r="H273" s="11" t="s">
        <v>24</v>
      </c>
      <c r="I273" s="11" t="s">
        <v>1753</v>
      </c>
      <c r="J273" s="11" t="s">
        <v>1754</v>
      </c>
      <c r="K273" s="11" t="s">
        <v>394</v>
      </c>
      <c r="L273" s="23">
        <v>486136593</v>
      </c>
      <c r="M273" s="14">
        <v>256604490</v>
      </c>
      <c r="N273" s="14">
        <v>229532103</v>
      </c>
      <c r="O273" s="14">
        <v>766770906</v>
      </c>
      <c r="P273" s="14">
        <v>14724318</v>
      </c>
      <c r="Q273" s="14">
        <v>26927489</v>
      </c>
      <c r="R273" s="14">
        <v>22719488</v>
      </c>
      <c r="AB273" s="74">
        <f t="shared" si="381"/>
        <v>0</v>
      </c>
      <c r="AC273" s="75" t="e">
        <f t="shared" si="357"/>
        <v>#DIV/0!</v>
      </c>
      <c r="AD273" s="75" t="e">
        <f t="shared" si="382"/>
        <v>#DIV/0!</v>
      </c>
      <c r="AE273" s="76" t="e">
        <f t="shared" si="332"/>
        <v>#DIV/0!</v>
      </c>
      <c r="AF273" s="77" t="e">
        <f t="shared" si="358"/>
        <v>#DIV/0!</v>
      </c>
      <c r="AG273" s="77" t="e">
        <f t="shared" si="359"/>
        <v>#DIV/0!</v>
      </c>
      <c r="AH273" s="77" t="e">
        <f t="shared" si="383"/>
        <v>#DIV/0!</v>
      </c>
      <c r="AI273" s="78" t="e">
        <f t="shared" si="384"/>
        <v>#DIV/0!</v>
      </c>
      <c r="AJ273" s="79" t="e">
        <f t="shared" si="333"/>
        <v>#DIV/0!</v>
      </c>
      <c r="AN273" s="81">
        <f t="shared" si="344"/>
        <v>0</v>
      </c>
      <c r="AO273" s="82" t="e">
        <f t="shared" si="345"/>
        <v>#DIV/0!</v>
      </c>
      <c r="AP273" s="83" t="e">
        <f t="shared" si="360"/>
        <v>#DIV/0!</v>
      </c>
      <c r="AQ273" s="84" t="e">
        <f t="shared" si="334"/>
        <v>#DIV/0!</v>
      </c>
      <c r="AS273" s="86">
        <f t="shared" si="346"/>
        <v>0.25</v>
      </c>
      <c r="AT273" s="87">
        <f t="shared" si="361"/>
        <v>0</v>
      </c>
      <c r="AU273" s="87">
        <f t="shared" si="362"/>
        <v>0</v>
      </c>
      <c r="AV273" s="88" t="e">
        <f t="shared" si="347"/>
        <v>#DIV/0!</v>
      </c>
      <c r="AW273" s="78" t="e">
        <f t="shared" si="363"/>
        <v>#DIV/0!</v>
      </c>
      <c r="AX273" s="89" t="e">
        <f t="shared" si="335"/>
        <v>#DIV/0!</v>
      </c>
      <c r="BA273" s="91">
        <f t="shared" si="348"/>
        <v>0</v>
      </c>
      <c r="BB273" s="77" t="e">
        <f t="shared" si="364"/>
        <v>#DIV/0!</v>
      </c>
      <c r="BC273" s="78" t="e">
        <f t="shared" si="365"/>
        <v>#DIV/0!</v>
      </c>
      <c r="BD273" s="79" t="e">
        <f t="shared" si="336"/>
        <v>#DIV/0!</v>
      </c>
      <c r="BE273" s="92"/>
      <c r="BF273" s="92"/>
      <c r="BG273" s="114">
        <v>261473</v>
      </c>
      <c r="BH273" s="94">
        <f t="shared" si="349"/>
        <v>0</v>
      </c>
      <c r="BI273" s="77" t="e">
        <f t="shared" si="350"/>
        <v>#DIV/0!</v>
      </c>
      <c r="BJ273" s="95" t="str">
        <f t="shared" si="366"/>
        <v>전기전자/기계업</v>
      </c>
      <c r="BK273" s="96" t="e">
        <f t="shared" si="351"/>
        <v>#DIV/0!</v>
      </c>
      <c r="BL273" s="97" t="e">
        <f t="shared" si="367"/>
        <v>#DIV/0!</v>
      </c>
      <c r="BM273" s="98" t="e">
        <f t="shared" si="368"/>
        <v>#DIV/0!</v>
      </c>
      <c r="BN273" s="99" t="e">
        <f t="shared" si="369"/>
        <v>#DIV/0!</v>
      </c>
      <c r="BP273" s="101">
        <f t="shared" si="370"/>
        <v>0</v>
      </c>
      <c r="BQ273" s="78">
        <f t="shared" si="371"/>
        <v>25</v>
      </c>
      <c r="BR273" s="79">
        <f t="shared" si="337"/>
        <v>0.5</v>
      </c>
      <c r="BS273" s="102"/>
      <c r="BT273" s="102"/>
      <c r="BU273" s="103">
        <f t="shared" si="372"/>
        <v>0</v>
      </c>
      <c r="BV273" s="77">
        <f t="shared" si="352"/>
        <v>0</v>
      </c>
      <c r="BW273" s="96">
        <f t="shared" si="353"/>
        <v>0</v>
      </c>
      <c r="BX273" s="96">
        <f t="shared" si="373"/>
        <v>0</v>
      </c>
      <c r="BY273" s="96">
        <f t="shared" si="354"/>
        <v>0</v>
      </c>
      <c r="BZ273" s="96" t="e">
        <f t="shared" si="374"/>
        <v>#NUM!</v>
      </c>
      <c r="CA273" s="96" t="e">
        <f t="shared" si="355"/>
        <v>#NUM!</v>
      </c>
      <c r="CB273" s="104" t="e">
        <f t="shared" si="375"/>
        <v>#NUM!</v>
      </c>
      <c r="CC273" s="105">
        <f t="shared" si="338"/>
        <v>111.79459720281481</v>
      </c>
      <c r="CD273" s="106">
        <f t="shared" si="339"/>
        <v>58.243242260245673</v>
      </c>
      <c r="CE273" s="107">
        <f t="shared" si="340"/>
        <v>0.87364863390368508</v>
      </c>
      <c r="CF273" s="108" t="s">
        <v>2189</v>
      </c>
      <c r="CG273" s="108" t="s">
        <v>2189</v>
      </c>
      <c r="CH273" s="108" t="s">
        <v>2189</v>
      </c>
      <c r="CI273" s="108" t="s">
        <v>2189</v>
      </c>
      <c r="CJ273" s="109"/>
      <c r="CM273" s="111">
        <f t="shared" si="376"/>
        <v>25</v>
      </c>
      <c r="CN273" s="107">
        <f t="shared" si="341"/>
        <v>0.375</v>
      </c>
      <c r="CP273" s="88">
        <f t="shared" si="377"/>
        <v>0</v>
      </c>
      <c r="CQ273" s="78">
        <f t="shared" si="378"/>
        <v>100</v>
      </c>
      <c r="CR273" s="79">
        <f t="shared" si="342"/>
        <v>3</v>
      </c>
      <c r="CS273" s="92"/>
      <c r="CT273" s="77">
        <f t="shared" si="356"/>
        <v>0</v>
      </c>
      <c r="CU273" s="78">
        <f t="shared" si="379"/>
        <v>100</v>
      </c>
      <c r="CV273" s="79">
        <f t="shared" si="343"/>
        <v>2</v>
      </c>
      <c r="CW273" s="112" t="e">
        <f t="shared" si="380"/>
        <v>#DIV/0!</v>
      </c>
    </row>
    <row r="274" spans="1:101" x14ac:dyDescent="0.35">
      <c r="A274" s="7" t="s">
        <v>1755</v>
      </c>
      <c r="B274" s="8" t="s">
        <v>1756</v>
      </c>
      <c r="C274" s="21" t="s">
        <v>1757</v>
      </c>
      <c r="D274" s="10" t="s">
        <v>31</v>
      </c>
      <c r="E274" s="11" t="s">
        <v>1129</v>
      </c>
      <c r="F274" s="11" t="s">
        <v>1758</v>
      </c>
      <c r="G274" s="12">
        <v>27208</v>
      </c>
      <c r="H274" s="11" t="s">
        <v>24</v>
      </c>
      <c r="I274" s="11" t="s">
        <v>1759</v>
      </c>
      <c r="J274" s="11" t="s">
        <v>1760</v>
      </c>
      <c r="K274" s="11" t="s">
        <v>27</v>
      </c>
      <c r="L274" s="23">
        <v>339571178</v>
      </c>
      <c r="M274" s="14">
        <v>63823811</v>
      </c>
      <c r="N274" s="14">
        <v>275747368</v>
      </c>
      <c r="O274" s="14">
        <v>336657527</v>
      </c>
      <c r="P274" s="14">
        <v>25257329</v>
      </c>
      <c r="Q274" s="14">
        <v>26498807</v>
      </c>
      <c r="R274" s="14">
        <v>20001837</v>
      </c>
      <c r="AB274" s="74">
        <f t="shared" si="381"/>
        <v>0</v>
      </c>
      <c r="AC274" s="75" t="e">
        <f t="shared" si="357"/>
        <v>#DIV/0!</v>
      </c>
      <c r="AD274" s="75" t="e">
        <f t="shared" si="382"/>
        <v>#DIV/0!</v>
      </c>
      <c r="AE274" s="76" t="e">
        <f t="shared" si="332"/>
        <v>#DIV/0!</v>
      </c>
      <c r="AF274" s="77" t="e">
        <f t="shared" si="358"/>
        <v>#DIV/0!</v>
      </c>
      <c r="AG274" s="77" t="e">
        <f t="shared" si="359"/>
        <v>#DIV/0!</v>
      </c>
      <c r="AH274" s="77" t="e">
        <f t="shared" si="383"/>
        <v>#DIV/0!</v>
      </c>
      <c r="AI274" s="78" t="e">
        <f t="shared" si="384"/>
        <v>#DIV/0!</v>
      </c>
      <c r="AJ274" s="79" t="e">
        <f t="shared" si="333"/>
        <v>#DIV/0!</v>
      </c>
      <c r="AN274" s="81">
        <f t="shared" si="344"/>
        <v>0</v>
      </c>
      <c r="AO274" s="82" t="e">
        <f t="shared" si="345"/>
        <v>#DIV/0!</v>
      </c>
      <c r="AP274" s="83" t="e">
        <f t="shared" si="360"/>
        <v>#DIV/0!</v>
      </c>
      <c r="AQ274" s="84" t="e">
        <f t="shared" si="334"/>
        <v>#DIV/0!</v>
      </c>
      <c r="AS274" s="86">
        <f t="shared" si="346"/>
        <v>0.25</v>
      </c>
      <c r="AT274" s="87">
        <f t="shared" si="361"/>
        <v>0</v>
      </c>
      <c r="AU274" s="87">
        <f t="shared" si="362"/>
        <v>0</v>
      </c>
      <c r="AV274" s="88" t="e">
        <f t="shared" si="347"/>
        <v>#DIV/0!</v>
      </c>
      <c r="AW274" s="78" t="e">
        <f t="shared" si="363"/>
        <v>#DIV/0!</v>
      </c>
      <c r="AX274" s="89" t="e">
        <f t="shared" si="335"/>
        <v>#DIV/0!</v>
      </c>
      <c r="BA274" s="91">
        <f t="shared" si="348"/>
        <v>0</v>
      </c>
      <c r="BB274" s="77" t="e">
        <f t="shared" si="364"/>
        <v>#DIV/0!</v>
      </c>
      <c r="BC274" s="78" t="e">
        <f t="shared" si="365"/>
        <v>#DIV/0!</v>
      </c>
      <c r="BD274" s="79" t="e">
        <f t="shared" si="336"/>
        <v>#DIV/0!</v>
      </c>
      <c r="BE274" s="92"/>
      <c r="BF274" s="92"/>
      <c r="BG274" s="114">
        <v>528981</v>
      </c>
      <c r="BH274" s="94">
        <f t="shared" si="349"/>
        <v>0</v>
      </c>
      <c r="BI274" s="77" t="e">
        <f t="shared" si="350"/>
        <v>#DIV/0!</v>
      </c>
      <c r="BJ274" s="95" t="str">
        <f t="shared" si="366"/>
        <v>식약/섬유/종이업</v>
      </c>
      <c r="BK274" s="96" t="e">
        <f t="shared" si="351"/>
        <v>#DIV/0!</v>
      </c>
      <c r="BL274" s="97" t="e">
        <f t="shared" si="367"/>
        <v>#DIV/0!</v>
      </c>
      <c r="BM274" s="98" t="e">
        <f t="shared" si="368"/>
        <v>#DIV/0!</v>
      </c>
      <c r="BN274" s="99" t="e">
        <f t="shared" si="369"/>
        <v>#DIV/0!</v>
      </c>
      <c r="BP274" s="101">
        <f t="shared" si="370"/>
        <v>0</v>
      </c>
      <c r="BQ274" s="78">
        <f t="shared" si="371"/>
        <v>25</v>
      </c>
      <c r="BR274" s="79">
        <f t="shared" si="337"/>
        <v>0.5</v>
      </c>
      <c r="BS274" s="102"/>
      <c r="BT274" s="102"/>
      <c r="BU274" s="103">
        <f t="shared" si="372"/>
        <v>0</v>
      </c>
      <c r="BV274" s="77">
        <f t="shared" si="352"/>
        <v>0</v>
      </c>
      <c r="BW274" s="96">
        <f t="shared" si="353"/>
        <v>0</v>
      </c>
      <c r="BX274" s="96">
        <f t="shared" si="373"/>
        <v>0</v>
      </c>
      <c r="BY274" s="96">
        <f t="shared" si="354"/>
        <v>0</v>
      </c>
      <c r="BZ274" s="96" t="e">
        <f t="shared" si="374"/>
        <v>#NUM!</v>
      </c>
      <c r="CA274" s="96" t="e">
        <f t="shared" si="355"/>
        <v>#NUM!</v>
      </c>
      <c r="CB274" s="104" t="e">
        <f t="shared" si="375"/>
        <v>#NUM!</v>
      </c>
      <c r="CC274" s="105">
        <f t="shared" si="338"/>
        <v>23.145755284235385</v>
      </c>
      <c r="CD274" s="106">
        <f t="shared" si="339"/>
        <v>91.65360981749923</v>
      </c>
      <c r="CE274" s="107">
        <f t="shared" si="340"/>
        <v>1.3748041472624883</v>
      </c>
      <c r="CF274" s="108" t="s">
        <v>2189</v>
      </c>
      <c r="CG274" s="108" t="s">
        <v>2189</v>
      </c>
      <c r="CH274" s="108" t="s">
        <v>2189</v>
      </c>
      <c r="CI274" s="108" t="s">
        <v>2189</v>
      </c>
      <c r="CJ274" s="109"/>
      <c r="CM274" s="111">
        <f t="shared" si="376"/>
        <v>25</v>
      </c>
      <c r="CN274" s="107">
        <f t="shared" si="341"/>
        <v>0.375</v>
      </c>
      <c r="CP274" s="88">
        <f t="shared" si="377"/>
        <v>0</v>
      </c>
      <c r="CQ274" s="78">
        <f t="shared" si="378"/>
        <v>100</v>
      </c>
      <c r="CR274" s="79">
        <f t="shared" si="342"/>
        <v>3</v>
      </c>
      <c r="CS274" s="92"/>
      <c r="CT274" s="77">
        <f t="shared" si="356"/>
        <v>0</v>
      </c>
      <c r="CU274" s="78">
        <f t="shared" si="379"/>
        <v>100</v>
      </c>
      <c r="CV274" s="79">
        <f t="shared" si="343"/>
        <v>2</v>
      </c>
      <c r="CW274" s="112" t="e">
        <f t="shared" si="380"/>
        <v>#DIV/0!</v>
      </c>
    </row>
    <row r="275" spans="1:101" x14ac:dyDescent="0.35">
      <c r="A275" s="7" t="s">
        <v>1761</v>
      </c>
      <c r="B275" s="8" t="s">
        <v>1762</v>
      </c>
      <c r="C275" s="21" t="s">
        <v>1763</v>
      </c>
      <c r="D275" s="10" t="s">
        <v>75</v>
      </c>
      <c r="E275" s="11" t="s">
        <v>324</v>
      </c>
      <c r="F275" s="11" t="s">
        <v>1764</v>
      </c>
      <c r="G275" s="12">
        <v>32365</v>
      </c>
      <c r="H275" s="11" t="s">
        <v>24</v>
      </c>
      <c r="I275" s="11" t="s">
        <v>1765</v>
      </c>
      <c r="J275" s="11" t="s">
        <v>1766</v>
      </c>
      <c r="K275" s="11" t="s">
        <v>110</v>
      </c>
      <c r="L275" s="23">
        <v>172340454</v>
      </c>
      <c r="M275" s="14">
        <v>59384706</v>
      </c>
      <c r="N275" s="14">
        <v>112955748</v>
      </c>
      <c r="O275" s="14">
        <v>301642199</v>
      </c>
      <c r="P275" s="14">
        <v>35071601</v>
      </c>
      <c r="Q275" s="14">
        <v>36329377</v>
      </c>
      <c r="R275" s="14">
        <v>26721327</v>
      </c>
      <c r="AB275" s="74">
        <f t="shared" si="381"/>
        <v>0</v>
      </c>
      <c r="AC275" s="75" t="e">
        <f t="shared" si="357"/>
        <v>#DIV/0!</v>
      </c>
      <c r="AD275" s="75" t="e">
        <f t="shared" si="382"/>
        <v>#DIV/0!</v>
      </c>
      <c r="AE275" s="76" t="e">
        <f t="shared" si="332"/>
        <v>#DIV/0!</v>
      </c>
      <c r="AF275" s="77" t="e">
        <f t="shared" si="358"/>
        <v>#DIV/0!</v>
      </c>
      <c r="AG275" s="77" t="e">
        <f t="shared" si="359"/>
        <v>#DIV/0!</v>
      </c>
      <c r="AH275" s="77" t="e">
        <f t="shared" si="383"/>
        <v>#DIV/0!</v>
      </c>
      <c r="AI275" s="78" t="e">
        <f t="shared" si="384"/>
        <v>#DIV/0!</v>
      </c>
      <c r="AJ275" s="79" t="e">
        <f t="shared" si="333"/>
        <v>#DIV/0!</v>
      </c>
      <c r="AN275" s="81">
        <f t="shared" si="344"/>
        <v>0</v>
      </c>
      <c r="AO275" s="82" t="e">
        <f t="shared" si="345"/>
        <v>#DIV/0!</v>
      </c>
      <c r="AP275" s="83" t="e">
        <f t="shared" si="360"/>
        <v>#DIV/0!</v>
      </c>
      <c r="AQ275" s="84" t="e">
        <f t="shared" si="334"/>
        <v>#DIV/0!</v>
      </c>
      <c r="AS275" s="86">
        <f t="shared" si="346"/>
        <v>0.25</v>
      </c>
      <c r="AT275" s="87">
        <f t="shared" si="361"/>
        <v>0</v>
      </c>
      <c r="AU275" s="87">
        <f t="shared" si="362"/>
        <v>0</v>
      </c>
      <c r="AV275" s="88" t="e">
        <f t="shared" si="347"/>
        <v>#DIV/0!</v>
      </c>
      <c r="AW275" s="78" t="e">
        <f t="shared" si="363"/>
        <v>#DIV/0!</v>
      </c>
      <c r="AX275" s="89" t="e">
        <f t="shared" si="335"/>
        <v>#DIV/0!</v>
      </c>
      <c r="BA275" s="91">
        <f t="shared" si="348"/>
        <v>0</v>
      </c>
      <c r="BB275" s="77" t="e">
        <f t="shared" si="364"/>
        <v>#DIV/0!</v>
      </c>
      <c r="BC275" s="78" t="e">
        <f t="shared" si="365"/>
        <v>#DIV/0!</v>
      </c>
      <c r="BD275" s="79" t="e">
        <f t="shared" si="336"/>
        <v>#DIV/0!</v>
      </c>
      <c r="BE275" s="92"/>
      <c r="BF275" s="92"/>
      <c r="BG275" s="114">
        <f>307896</f>
        <v>307896</v>
      </c>
      <c r="BH275" s="94">
        <f t="shared" si="349"/>
        <v>0</v>
      </c>
      <c r="BI275" s="77" t="e">
        <f t="shared" si="350"/>
        <v>#DIV/0!</v>
      </c>
      <c r="BJ275" s="95" t="str">
        <f t="shared" si="366"/>
        <v>금속/비금속/화학업</v>
      </c>
      <c r="BK275" s="96" t="e">
        <f t="shared" si="351"/>
        <v>#DIV/0!</v>
      </c>
      <c r="BL275" s="97" t="e">
        <f t="shared" si="367"/>
        <v>#DIV/0!</v>
      </c>
      <c r="BM275" s="98" t="e">
        <f t="shared" si="368"/>
        <v>#DIV/0!</v>
      </c>
      <c r="BN275" s="99" t="e">
        <f t="shared" si="369"/>
        <v>#DIV/0!</v>
      </c>
      <c r="BP275" s="101">
        <f t="shared" si="370"/>
        <v>0</v>
      </c>
      <c r="BQ275" s="78">
        <f t="shared" si="371"/>
        <v>25</v>
      </c>
      <c r="BR275" s="79">
        <f t="shared" si="337"/>
        <v>0.5</v>
      </c>
      <c r="BS275" s="102"/>
      <c r="BT275" s="102"/>
      <c r="BU275" s="103">
        <f t="shared" si="372"/>
        <v>0</v>
      </c>
      <c r="BV275" s="77">
        <f t="shared" si="352"/>
        <v>0</v>
      </c>
      <c r="BW275" s="96">
        <f t="shared" si="353"/>
        <v>0</v>
      </c>
      <c r="BX275" s="96">
        <f t="shared" si="373"/>
        <v>0</v>
      </c>
      <c r="BY275" s="96">
        <f t="shared" si="354"/>
        <v>0</v>
      </c>
      <c r="BZ275" s="96" t="e">
        <f t="shared" si="374"/>
        <v>#NUM!</v>
      </c>
      <c r="CA275" s="96" t="e">
        <f t="shared" si="355"/>
        <v>#NUM!</v>
      </c>
      <c r="CB275" s="104" t="e">
        <f t="shared" si="375"/>
        <v>#NUM!</v>
      </c>
      <c r="CC275" s="105">
        <f t="shared" si="338"/>
        <v>52.57342547986137</v>
      </c>
      <c r="CD275" s="106">
        <f t="shared" si="339"/>
        <v>80.562779341760788</v>
      </c>
      <c r="CE275" s="107">
        <f t="shared" si="340"/>
        <v>1.2084416901264117</v>
      </c>
      <c r="CF275" s="108" t="s">
        <v>2189</v>
      </c>
      <c r="CG275" s="108" t="s">
        <v>2189</v>
      </c>
      <c r="CH275" s="108" t="s">
        <v>2189</v>
      </c>
      <c r="CI275" s="108" t="s">
        <v>2189</v>
      </c>
      <c r="CJ275" s="109"/>
      <c r="CM275" s="111">
        <f t="shared" si="376"/>
        <v>25</v>
      </c>
      <c r="CN275" s="107">
        <f t="shared" si="341"/>
        <v>0.375</v>
      </c>
      <c r="CP275" s="88">
        <f t="shared" si="377"/>
        <v>0</v>
      </c>
      <c r="CQ275" s="78">
        <f t="shared" si="378"/>
        <v>100</v>
      </c>
      <c r="CR275" s="79">
        <f t="shared" si="342"/>
        <v>3</v>
      </c>
      <c r="CS275" s="92"/>
      <c r="CT275" s="77">
        <f t="shared" si="356"/>
        <v>0</v>
      </c>
      <c r="CU275" s="78">
        <f t="shared" si="379"/>
        <v>100</v>
      </c>
      <c r="CV275" s="79">
        <f t="shared" si="343"/>
        <v>2</v>
      </c>
      <c r="CW275" s="112" t="e">
        <f t="shared" si="380"/>
        <v>#DIV/0!</v>
      </c>
    </row>
    <row r="276" spans="1:101" x14ac:dyDescent="0.35">
      <c r="A276" s="7" t="s">
        <v>1767</v>
      </c>
      <c r="B276" s="8" t="s">
        <v>1768</v>
      </c>
      <c r="C276" s="21" t="s">
        <v>1769</v>
      </c>
      <c r="D276" s="10" t="s">
        <v>21</v>
      </c>
      <c r="E276" s="11" t="s">
        <v>646</v>
      </c>
      <c r="F276" s="11" t="s">
        <v>1770</v>
      </c>
      <c r="G276" s="12">
        <v>40661</v>
      </c>
      <c r="H276" s="11" t="s">
        <v>24</v>
      </c>
      <c r="I276" s="11" t="s">
        <v>1771</v>
      </c>
      <c r="J276" s="11" t="s">
        <v>1772</v>
      </c>
      <c r="K276" s="11" t="s">
        <v>50</v>
      </c>
      <c r="L276" s="23">
        <v>332695360</v>
      </c>
      <c r="M276" s="14">
        <v>183900048</v>
      </c>
      <c r="N276" s="14">
        <v>148795312</v>
      </c>
      <c r="O276" s="14">
        <v>283702516</v>
      </c>
      <c r="P276" s="14">
        <v>5425717</v>
      </c>
      <c r="Q276" s="14">
        <v>6710645</v>
      </c>
      <c r="R276" s="14">
        <v>3799292</v>
      </c>
      <c r="AB276" s="74">
        <f t="shared" si="381"/>
        <v>0</v>
      </c>
      <c r="AC276" s="75" t="e">
        <f t="shared" si="357"/>
        <v>#DIV/0!</v>
      </c>
      <c r="AD276" s="75" t="e">
        <f t="shared" si="382"/>
        <v>#DIV/0!</v>
      </c>
      <c r="AE276" s="76" t="e">
        <f t="shared" si="332"/>
        <v>#DIV/0!</v>
      </c>
      <c r="AF276" s="77" t="e">
        <f t="shared" si="358"/>
        <v>#DIV/0!</v>
      </c>
      <c r="AG276" s="77" t="e">
        <f t="shared" si="359"/>
        <v>#DIV/0!</v>
      </c>
      <c r="AH276" s="77" t="e">
        <f t="shared" si="383"/>
        <v>#DIV/0!</v>
      </c>
      <c r="AI276" s="78" t="e">
        <f t="shared" si="384"/>
        <v>#DIV/0!</v>
      </c>
      <c r="AJ276" s="79" t="e">
        <f t="shared" si="333"/>
        <v>#DIV/0!</v>
      </c>
      <c r="AN276" s="81">
        <f t="shared" si="344"/>
        <v>0</v>
      </c>
      <c r="AO276" s="82" t="e">
        <f t="shared" si="345"/>
        <v>#DIV/0!</v>
      </c>
      <c r="AP276" s="83" t="e">
        <f t="shared" si="360"/>
        <v>#DIV/0!</v>
      </c>
      <c r="AQ276" s="84" t="e">
        <f t="shared" si="334"/>
        <v>#DIV/0!</v>
      </c>
      <c r="AS276" s="86">
        <f t="shared" si="346"/>
        <v>0.25</v>
      </c>
      <c r="AT276" s="87">
        <f t="shared" si="361"/>
        <v>0</v>
      </c>
      <c r="AU276" s="87">
        <f t="shared" si="362"/>
        <v>0</v>
      </c>
      <c r="AV276" s="88" t="e">
        <f t="shared" si="347"/>
        <v>#DIV/0!</v>
      </c>
      <c r="AW276" s="78" t="e">
        <f t="shared" si="363"/>
        <v>#DIV/0!</v>
      </c>
      <c r="AX276" s="89" t="e">
        <f t="shared" si="335"/>
        <v>#DIV/0!</v>
      </c>
      <c r="BA276" s="91">
        <f t="shared" si="348"/>
        <v>0</v>
      </c>
      <c r="BB276" s="77" t="e">
        <f t="shared" si="364"/>
        <v>#DIV/0!</v>
      </c>
      <c r="BC276" s="78" t="e">
        <f t="shared" si="365"/>
        <v>#DIV/0!</v>
      </c>
      <c r="BD276" s="79" t="e">
        <f t="shared" si="336"/>
        <v>#DIV/0!</v>
      </c>
      <c r="BE276" s="92"/>
      <c r="BF276" s="92"/>
      <c r="BG276" s="93">
        <v>0</v>
      </c>
      <c r="BH276" s="94">
        <f t="shared" si="349"/>
        <v>0</v>
      </c>
      <c r="BI276" s="77" t="e">
        <f t="shared" si="350"/>
        <v>#DIV/0!</v>
      </c>
      <c r="BJ276" s="95" t="str">
        <f t="shared" si="366"/>
        <v>비제조/서비스업</v>
      </c>
      <c r="BK276" s="96" t="e">
        <f t="shared" si="351"/>
        <v>#DIV/0!</v>
      </c>
      <c r="BL276" s="97" t="e">
        <f t="shared" si="367"/>
        <v>#DIV/0!</v>
      </c>
      <c r="BM276" s="98" t="e">
        <f t="shared" si="368"/>
        <v>#DIV/0!</v>
      </c>
      <c r="BN276" s="99" t="e">
        <f t="shared" si="369"/>
        <v>#DIV/0!</v>
      </c>
      <c r="BP276" s="101">
        <f t="shared" si="370"/>
        <v>0</v>
      </c>
      <c r="BQ276" s="78">
        <f t="shared" si="371"/>
        <v>25</v>
      </c>
      <c r="BR276" s="79">
        <f t="shared" si="337"/>
        <v>0.5</v>
      </c>
      <c r="BS276" s="102"/>
      <c r="BT276" s="102"/>
      <c r="BU276" s="103">
        <f t="shared" si="372"/>
        <v>0</v>
      </c>
      <c r="BV276" s="77">
        <f t="shared" si="352"/>
        <v>0</v>
      </c>
      <c r="BW276" s="96">
        <f t="shared" si="353"/>
        <v>0</v>
      </c>
      <c r="BX276" s="96">
        <f t="shared" si="373"/>
        <v>0</v>
      </c>
      <c r="BY276" s="96">
        <f t="shared" si="354"/>
        <v>0</v>
      </c>
      <c r="BZ276" s="96" t="e">
        <f t="shared" si="374"/>
        <v>#NUM!</v>
      </c>
      <c r="CA276" s="96" t="e">
        <f t="shared" si="355"/>
        <v>#NUM!</v>
      </c>
      <c r="CB276" s="104" t="e">
        <f t="shared" si="375"/>
        <v>#NUM!</v>
      </c>
      <c r="CC276" s="105">
        <f t="shared" si="338"/>
        <v>123.59263576798709</v>
      </c>
      <c r="CD276" s="106">
        <f t="shared" si="339"/>
        <v>53.796745313572707</v>
      </c>
      <c r="CE276" s="107">
        <f t="shared" si="340"/>
        <v>0.80695117970359054</v>
      </c>
      <c r="CF276" s="108" t="s">
        <v>2189</v>
      </c>
      <c r="CG276" s="108" t="s">
        <v>2189</v>
      </c>
      <c r="CH276" s="108" t="s">
        <v>2189</v>
      </c>
      <c r="CI276" s="108" t="s">
        <v>2189</v>
      </c>
      <c r="CJ276" s="109"/>
      <c r="CM276" s="111">
        <f t="shared" si="376"/>
        <v>25</v>
      </c>
      <c r="CN276" s="107">
        <f t="shared" si="341"/>
        <v>0.375</v>
      </c>
      <c r="CP276" s="88">
        <f t="shared" si="377"/>
        <v>0</v>
      </c>
      <c r="CQ276" s="78">
        <f t="shared" si="378"/>
        <v>100</v>
      </c>
      <c r="CR276" s="79">
        <f t="shared" si="342"/>
        <v>3</v>
      </c>
      <c r="CS276" s="92"/>
      <c r="CT276" s="77">
        <f t="shared" si="356"/>
        <v>0</v>
      </c>
      <c r="CU276" s="78">
        <f t="shared" si="379"/>
        <v>100</v>
      </c>
      <c r="CV276" s="79">
        <f t="shared" si="343"/>
        <v>2</v>
      </c>
      <c r="CW276" s="112" t="e">
        <f t="shared" si="380"/>
        <v>#DIV/0!</v>
      </c>
    </row>
    <row r="277" spans="1:101" x14ac:dyDescent="0.35">
      <c r="A277" s="7" t="s">
        <v>1773</v>
      </c>
      <c r="B277" s="8" t="s">
        <v>1774</v>
      </c>
      <c r="C277" s="21" t="s">
        <v>1775</v>
      </c>
      <c r="D277" s="22" t="s">
        <v>75</v>
      </c>
      <c r="E277" s="11" t="s">
        <v>114</v>
      </c>
      <c r="F277" s="11" t="s">
        <v>1776</v>
      </c>
      <c r="G277" s="12">
        <v>25549</v>
      </c>
      <c r="H277" s="11" t="s">
        <v>24</v>
      </c>
      <c r="I277" s="11" t="s">
        <v>1777</v>
      </c>
      <c r="J277" s="11" t="s">
        <v>1778</v>
      </c>
      <c r="K277" s="11" t="s">
        <v>110</v>
      </c>
      <c r="L277" s="23">
        <v>319037628</v>
      </c>
      <c r="M277" s="14">
        <v>46527487</v>
      </c>
      <c r="N277" s="14">
        <v>272510141</v>
      </c>
      <c r="O277" s="14">
        <v>118960265</v>
      </c>
      <c r="P277" s="14">
        <v>9521305</v>
      </c>
      <c r="Q277" s="14">
        <v>26092874</v>
      </c>
      <c r="R277" s="14">
        <v>23518478</v>
      </c>
      <c r="AB277" s="74">
        <f t="shared" si="381"/>
        <v>0</v>
      </c>
      <c r="AC277" s="75" t="e">
        <f t="shared" si="357"/>
        <v>#DIV/0!</v>
      </c>
      <c r="AD277" s="75" t="e">
        <f t="shared" si="382"/>
        <v>#DIV/0!</v>
      </c>
      <c r="AE277" s="76" t="e">
        <f t="shared" si="332"/>
        <v>#DIV/0!</v>
      </c>
      <c r="AF277" s="77" t="e">
        <f t="shared" si="358"/>
        <v>#DIV/0!</v>
      </c>
      <c r="AG277" s="77" t="e">
        <f t="shared" si="359"/>
        <v>#DIV/0!</v>
      </c>
      <c r="AH277" s="77" t="e">
        <f t="shared" si="383"/>
        <v>#DIV/0!</v>
      </c>
      <c r="AI277" s="78" t="e">
        <f t="shared" si="384"/>
        <v>#DIV/0!</v>
      </c>
      <c r="AJ277" s="79" t="e">
        <f t="shared" si="333"/>
        <v>#DIV/0!</v>
      </c>
      <c r="AN277" s="81">
        <f t="shared" si="344"/>
        <v>0</v>
      </c>
      <c r="AO277" s="82" t="e">
        <f t="shared" si="345"/>
        <v>#DIV/0!</v>
      </c>
      <c r="AP277" s="83" t="e">
        <f t="shared" si="360"/>
        <v>#DIV/0!</v>
      </c>
      <c r="AQ277" s="84" t="e">
        <f t="shared" si="334"/>
        <v>#DIV/0!</v>
      </c>
      <c r="AS277" s="86">
        <f t="shared" si="346"/>
        <v>0.25</v>
      </c>
      <c r="AT277" s="87">
        <f t="shared" si="361"/>
        <v>0</v>
      </c>
      <c r="AU277" s="87">
        <f t="shared" si="362"/>
        <v>0</v>
      </c>
      <c r="AV277" s="88" t="e">
        <f t="shared" si="347"/>
        <v>#DIV/0!</v>
      </c>
      <c r="AW277" s="78" t="e">
        <f t="shared" si="363"/>
        <v>#DIV/0!</v>
      </c>
      <c r="AX277" s="89" t="e">
        <f t="shared" si="335"/>
        <v>#DIV/0!</v>
      </c>
      <c r="BA277" s="91">
        <f t="shared" si="348"/>
        <v>0</v>
      </c>
      <c r="BB277" s="77" t="e">
        <f t="shared" si="364"/>
        <v>#DIV/0!</v>
      </c>
      <c r="BC277" s="78" t="e">
        <f t="shared" si="365"/>
        <v>#DIV/0!</v>
      </c>
      <c r="BD277" s="79" t="e">
        <f t="shared" si="336"/>
        <v>#DIV/0!</v>
      </c>
      <c r="BE277" s="92"/>
      <c r="BF277" s="92"/>
      <c r="BG277" s="114">
        <v>104997</v>
      </c>
      <c r="BH277" s="94">
        <f t="shared" si="349"/>
        <v>0</v>
      </c>
      <c r="BI277" s="77" t="e">
        <f t="shared" si="350"/>
        <v>#DIV/0!</v>
      </c>
      <c r="BJ277" s="95" t="str">
        <f t="shared" si="366"/>
        <v>금속/비금속/화학업</v>
      </c>
      <c r="BK277" s="96" t="e">
        <f t="shared" si="351"/>
        <v>#DIV/0!</v>
      </c>
      <c r="BL277" s="97" t="e">
        <f t="shared" si="367"/>
        <v>#DIV/0!</v>
      </c>
      <c r="BM277" s="98" t="e">
        <f t="shared" si="368"/>
        <v>#DIV/0!</v>
      </c>
      <c r="BN277" s="99" t="e">
        <f t="shared" si="369"/>
        <v>#DIV/0!</v>
      </c>
      <c r="BP277" s="101">
        <f t="shared" si="370"/>
        <v>0</v>
      </c>
      <c r="BQ277" s="78">
        <f t="shared" si="371"/>
        <v>25</v>
      </c>
      <c r="BR277" s="79">
        <f t="shared" si="337"/>
        <v>0.5</v>
      </c>
      <c r="BS277" s="102"/>
      <c r="BT277" s="102"/>
      <c r="BU277" s="103">
        <f t="shared" si="372"/>
        <v>0</v>
      </c>
      <c r="BV277" s="77">
        <f t="shared" si="352"/>
        <v>0</v>
      </c>
      <c r="BW277" s="96">
        <f t="shared" si="353"/>
        <v>0</v>
      </c>
      <c r="BX277" s="96">
        <f t="shared" si="373"/>
        <v>0</v>
      </c>
      <c r="BY277" s="96">
        <f t="shared" si="354"/>
        <v>0</v>
      </c>
      <c r="BZ277" s="96" t="e">
        <f t="shared" si="374"/>
        <v>#NUM!</v>
      </c>
      <c r="CA277" s="96" t="e">
        <f t="shared" si="355"/>
        <v>#NUM!</v>
      </c>
      <c r="CB277" s="104" t="e">
        <f t="shared" si="375"/>
        <v>#NUM!</v>
      </c>
      <c r="CC277" s="105">
        <f t="shared" si="338"/>
        <v>17.073671764750951</v>
      </c>
      <c r="CD277" s="106">
        <f t="shared" si="339"/>
        <v>93.942083505747135</v>
      </c>
      <c r="CE277" s="107">
        <f t="shared" si="340"/>
        <v>1.409131252586207</v>
      </c>
      <c r="CF277" s="108" t="s">
        <v>2189</v>
      </c>
      <c r="CG277" s="108" t="s">
        <v>2189</v>
      </c>
      <c r="CH277" s="108" t="s">
        <v>2189</v>
      </c>
      <c r="CI277" s="108" t="s">
        <v>2189</v>
      </c>
      <c r="CJ277" s="109"/>
      <c r="CM277" s="111">
        <f t="shared" si="376"/>
        <v>25</v>
      </c>
      <c r="CN277" s="107">
        <f t="shared" si="341"/>
        <v>0.375</v>
      </c>
      <c r="CP277" s="88">
        <f t="shared" si="377"/>
        <v>0</v>
      </c>
      <c r="CQ277" s="78">
        <f t="shared" si="378"/>
        <v>100</v>
      </c>
      <c r="CR277" s="79">
        <f t="shared" si="342"/>
        <v>3</v>
      </c>
      <c r="CS277" s="92"/>
      <c r="CT277" s="77">
        <f t="shared" si="356"/>
        <v>0</v>
      </c>
      <c r="CU277" s="78">
        <f t="shared" si="379"/>
        <v>100</v>
      </c>
      <c r="CV277" s="79">
        <f t="shared" si="343"/>
        <v>2</v>
      </c>
      <c r="CW277" s="112" t="e">
        <f t="shared" si="380"/>
        <v>#DIV/0!</v>
      </c>
    </row>
    <row r="278" spans="1:101" x14ac:dyDescent="0.35">
      <c r="A278" s="7" t="s">
        <v>1779</v>
      </c>
      <c r="B278" s="8" t="s">
        <v>1780</v>
      </c>
      <c r="C278" s="21" t="s">
        <v>1781</v>
      </c>
      <c r="D278" s="10" t="s">
        <v>75</v>
      </c>
      <c r="E278" s="11" t="s">
        <v>1782</v>
      </c>
      <c r="F278" s="11" t="s">
        <v>1783</v>
      </c>
      <c r="G278" s="12">
        <v>34888</v>
      </c>
      <c r="H278" s="11" t="s">
        <v>24</v>
      </c>
      <c r="I278" s="11" t="s">
        <v>1784</v>
      </c>
      <c r="J278" s="11" t="s">
        <v>1785</v>
      </c>
      <c r="K278" s="11" t="s">
        <v>102</v>
      </c>
      <c r="L278" s="23">
        <v>573791494</v>
      </c>
      <c r="M278" s="14">
        <v>172708851</v>
      </c>
      <c r="N278" s="14">
        <v>401082642</v>
      </c>
      <c r="O278" s="14">
        <v>340208179</v>
      </c>
      <c r="P278" s="14">
        <v>28719054</v>
      </c>
      <c r="Q278" s="14">
        <v>9790753</v>
      </c>
      <c r="R278" s="14">
        <v>2174394</v>
      </c>
      <c r="AB278" s="74">
        <f t="shared" si="381"/>
        <v>0</v>
      </c>
      <c r="AC278" s="75" t="e">
        <f t="shared" si="357"/>
        <v>#DIV/0!</v>
      </c>
      <c r="AD278" s="75" t="e">
        <f t="shared" si="382"/>
        <v>#DIV/0!</v>
      </c>
      <c r="AE278" s="76" t="e">
        <f t="shared" si="332"/>
        <v>#DIV/0!</v>
      </c>
      <c r="AF278" s="77" t="e">
        <f t="shared" si="358"/>
        <v>#DIV/0!</v>
      </c>
      <c r="AG278" s="77" t="e">
        <f t="shared" si="359"/>
        <v>#DIV/0!</v>
      </c>
      <c r="AH278" s="77" t="e">
        <f t="shared" si="383"/>
        <v>#DIV/0!</v>
      </c>
      <c r="AI278" s="78" t="e">
        <f t="shared" si="384"/>
        <v>#DIV/0!</v>
      </c>
      <c r="AJ278" s="79" t="e">
        <f t="shared" si="333"/>
        <v>#DIV/0!</v>
      </c>
      <c r="AN278" s="81">
        <f t="shared" si="344"/>
        <v>0</v>
      </c>
      <c r="AO278" s="82" t="e">
        <f t="shared" si="345"/>
        <v>#DIV/0!</v>
      </c>
      <c r="AP278" s="83" t="e">
        <f t="shared" si="360"/>
        <v>#DIV/0!</v>
      </c>
      <c r="AQ278" s="84" t="e">
        <f t="shared" si="334"/>
        <v>#DIV/0!</v>
      </c>
      <c r="AS278" s="86">
        <f t="shared" si="346"/>
        <v>0.25</v>
      </c>
      <c r="AT278" s="87">
        <f t="shared" si="361"/>
        <v>0</v>
      </c>
      <c r="AU278" s="87">
        <f t="shared" si="362"/>
        <v>0</v>
      </c>
      <c r="AV278" s="88" t="e">
        <f t="shared" si="347"/>
        <v>#DIV/0!</v>
      </c>
      <c r="AW278" s="78" t="e">
        <f t="shared" si="363"/>
        <v>#DIV/0!</v>
      </c>
      <c r="AX278" s="89" t="e">
        <f t="shared" si="335"/>
        <v>#DIV/0!</v>
      </c>
      <c r="BA278" s="91">
        <f t="shared" si="348"/>
        <v>0</v>
      </c>
      <c r="BB278" s="77" t="e">
        <f t="shared" si="364"/>
        <v>#DIV/0!</v>
      </c>
      <c r="BC278" s="78" t="e">
        <f t="shared" si="365"/>
        <v>#DIV/0!</v>
      </c>
      <c r="BD278" s="79" t="e">
        <f t="shared" si="336"/>
        <v>#DIV/0!</v>
      </c>
      <c r="BE278" s="92"/>
      <c r="BF278" s="92"/>
      <c r="BG278" s="114">
        <v>452857</v>
      </c>
      <c r="BH278" s="94">
        <f t="shared" si="349"/>
        <v>0</v>
      </c>
      <c r="BI278" s="77" t="e">
        <f t="shared" si="350"/>
        <v>#DIV/0!</v>
      </c>
      <c r="BJ278" s="95" t="str">
        <f t="shared" si="366"/>
        <v>금속/비금속/화학업</v>
      </c>
      <c r="BK278" s="96" t="e">
        <f t="shared" si="351"/>
        <v>#DIV/0!</v>
      </c>
      <c r="BL278" s="97" t="e">
        <f t="shared" si="367"/>
        <v>#DIV/0!</v>
      </c>
      <c r="BM278" s="98" t="e">
        <f t="shared" si="368"/>
        <v>#DIV/0!</v>
      </c>
      <c r="BN278" s="99" t="e">
        <f t="shared" si="369"/>
        <v>#DIV/0!</v>
      </c>
      <c r="BP278" s="101">
        <f t="shared" si="370"/>
        <v>0</v>
      </c>
      <c r="BQ278" s="78">
        <f t="shared" si="371"/>
        <v>25</v>
      </c>
      <c r="BR278" s="79">
        <f t="shared" si="337"/>
        <v>0.5</v>
      </c>
      <c r="BS278" s="102"/>
      <c r="BT278" s="102"/>
      <c r="BU278" s="103">
        <f t="shared" si="372"/>
        <v>0</v>
      </c>
      <c r="BV278" s="77">
        <f t="shared" si="352"/>
        <v>0</v>
      </c>
      <c r="BW278" s="96">
        <f t="shared" si="353"/>
        <v>0</v>
      </c>
      <c r="BX278" s="96">
        <f t="shared" si="373"/>
        <v>0</v>
      </c>
      <c r="BY278" s="96">
        <f t="shared" si="354"/>
        <v>0</v>
      </c>
      <c r="BZ278" s="96" t="e">
        <f t="shared" si="374"/>
        <v>#NUM!</v>
      </c>
      <c r="CA278" s="96" t="e">
        <f t="shared" si="355"/>
        <v>#NUM!</v>
      </c>
      <c r="CB278" s="104" t="e">
        <f t="shared" si="375"/>
        <v>#NUM!</v>
      </c>
      <c r="CC278" s="105">
        <f t="shared" si="338"/>
        <v>43.060664540052571</v>
      </c>
      <c r="CD278" s="106">
        <f t="shared" si="339"/>
        <v>84.147990751236463</v>
      </c>
      <c r="CE278" s="107">
        <f t="shared" si="340"/>
        <v>1.2622198612685469</v>
      </c>
      <c r="CF278" s="108" t="s">
        <v>2189</v>
      </c>
      <c r="CG278" s="108" t="s">
        <v>2189</v>
      </c>
      <c r="CH278" s="108" t="s">
        <v>2189</v>
      </c>
      <c r="CI278" s="108" t="s">
        <v>2189</v>
      </c>
      <c r="CJ278" s="109"/>
      <c r="CM278" s="111">
        <f t="shared" si="376"/>
        <v>25</v>
      </c>
      <c r="CN278" s="107">
        <f t="shared" si="341"/>
        <v>0.375</v>
      </c>
      <c r="CP278" s="88">
        <f t="shared" si="377"/>
        <v>0</v>
      </c>
      <c r="CQ278" s="78">
        <f t="shared" si="378"/>
        <v>100</v>
      </c>
      <c r="CR278" s="79">
        <f t="shared" si="342"/>
        <v>3</v>
      </c>
      <c r="CS278" s="92"/>
      <c r="CT278" s="77">
        <f t="shared" si="356"/>
        <v>0</v>
      </c>
      <c r="CU278" s="78">
        <f t="shared" si="379"/>
        <v>100</v>
      </c>
      <c r="CV278" s="79">
        <f t="shared" si="343"/>
        <v>2</v>
      </c>
      <c r="CW278" s="112" t="e">
        <f t="shared" si="380"/>
        <v>#DIV/0!</v>
      </c>
    </row>
    <row r="279" spans="1:101" x14ac:dyDescent="0.35">
      <c r="A279" s="7" t="s">
        <v>1786</v>
      </c>
      <c r="B279" s="8" t="s">
        <v>1787</v>
      </c>
      <c r="C279" s="21" t="s">
        <v>1788</v>
      </c>
      <c r="D279" s="22" t="s">
        <v>75</v>
      </c>
      <c r="E279" s="11" t="s">
        <v>114</v>
      </c>
      <c r="F279" s="11" t="s">
        <v>1789</v>
      </c>
      <c r="G279" s="12">
        <v>32825</v>
      </c>
      <c r="H279" s="11" t="s">
        <v>24</v>
      </c>
      <c r="I279" s="11" t="s">
        <v>1790</v>
      </c>
      <c r="J279" s="11" t="s">
        <v>1791</v>
      </c>
      <c r="K279" s="11" t="s">
        <v>102</v>
      </c>
      <c r="L279" s="23">
        <v>549828404</v>
      </c>
      <c r="M279" s="14">
        <v>348575829</v>
      </c>
      <c r="N279" s="14">
        <v>201252575</v>
      </c>
      <c r="O279" s="14">
        <v>795939631</v>
      </c>
      <c r="P279" s="14">
        <v>30699585</v>
      </c>
      <c r="Q279" s="14">
        <v>32334911</v>
      </c>
      <c r="R279" s="14">
        <v>40221401</v>
      </c>
      <c r="AB279" s="74">
        <f t="shared" si="381"/>
        <v>0</v>
      </c>
      <c r="AC279" s="75" t="e">
        <f t="shared" si="357"/>
        <v>#DIV/0!</v>
      </c>
      <c r="AD279" s="75" t="e">
        <f t="shared" si="382"/>
        <v>#DIV/0!</v>
      </c>
      <c r="AE279" s="76" t="e">
        <f t="shared" si="332"/>
        <v>#DIV/0!</v>
      </c>
      <c r="AF279" s="77" t="e">
        <f t="shared" si="358"/>
        <v>#DIV/0!</v>
      </c>
      <c r="AG279" s="77" t="e">
        <f t="shared" si="359"/>
        <v>#DIV/0!</v>
      </c>
      <c r="AH279" s="77" t="e">
        <f t="shared" si="383"/>
        <v>#DIV/0!</v>
      </c>
      <c r="AI279" s="78" t="e">
        <f t="shared" si="384"/>
        <v>#DIV/0!</v>
      </c>
      <c r="AJ279" s="79" t="e">
        <f t="shared" si="333"/>
        <v>#DIV/0!</v>
      </c>
      <c r="AN279" s="81">
        <f t="shared" si="344"/>
        <v>0</v>
      </c>
      <c r="AO279" s="82" t="e">
        <f t="shared" si="345"/>
        <v>#DIV/0!</v>
      </c>
      <c r="AP279" s="83" t="e">
        <f t="shared" si="360"/>
        <v>#DIV/0!</v>
      </c>
      <c r="AQ279" s="84" t="e">
        <f t="shared" si="334"/>
        <v>#DIV/0!</v>
      </c>
      <c r="AS279" s="86">
        <f t="shared" si="346"/>
        <v>0.25</v>
      </c>
      <c r="AT279" s="87">
        <f t="shared" si="361"/>
        <v>0</v>
      </c>
      <c r="AU279" s="87">
        <f t="shared" si="362"/>
        <v>0</v>
      </c>
      <c r="AV279" s="88" t="e">
        <f t="shared" si="347"/>
        <v>#DIV/0!</v>
      </c>
      <c r="AW279" s="78" t="e">
        <f t="shared" si="363"/>
        <v>#DIV/0!</v>
      </c>
      <c r="AX279" s="89" t="e">
        <f t="shared" si="335"/>
        <v>#DIV/0!</v>
      </c>
      <c r="BA279" s="91">
        <f t="shared" si="348"/>
        <v>0</v>
      </c>
      <c r="BB279" s="77" t="e">
        <f t="shared" si="364"/>
        <v>#DIV/0!</v>
      </c>
      <c r="BC279" s="78" t="e">
        <f t="shared" si="365"/>
        <v>#DIV/0!</v>
      </c>
      <c r="BD279" s="79" t="e">
        <f t="shared" si="336"/>
        <v>#DIV/0!</v>
      </c>
      <c r="BE279" s="92"/>
      <c r="BF279" s="92"/>
      <c r="BG279" s="93">
        <v>0</v>
      </c>
      <c r="BH279" s="94">
        <f t="shared" si="349"/>
        <v>0</v>
      </c>
      <c r="BI279" s="77" t="e">
        <f t="shared" si="350"/>
        <v>#DIV/0!</v>
      </c>
      <c r="BJ279" s="95" t="str">
        <f t="shared" si="366"/>
        <v>금속/비금속/화학업</v>
      </c>
      <c r="BK279" s="96" t="e">
        <f t="shared" si="351"/>
        <v>#DIV/0!</v>
      </c>
      <c r="BL279" s="97" t="e">
        <f t="shared" si="367"/>
        <v>#DIV/0!</v>
      </c>
      <c r="BM279" s="98" t="e">
        <f t="shared" si="368"/>
        <v>#DIV/0!</v>
      </c>
      <c r="BN279" s="99" t="e">
        <f t="shared" si="369"/>
        <v>#DIV/0!</v>
      </c>
      <c r="BP279" s="101">
        <f t="shared" si="370"/>
        <v>0</v>
      </c>
      <c r="BQ279" s="78">
        <f t="shared" si="371"/>
        <v>25</v>
      </c>
      <c r="BR279" s="79">
        <f t="shared" si="337"/>
        <v>0.5</v>
      </c>
      <c r="BS279" s="102"/>
      <c r="BT279" s="102"/>
      <c r="BU279" s="103">
        <f t="shared" si="372"/>
        <v>0</v>
      </c>
      <c r="BV279" s="77">
        <f t="shared" si="352"/>
        <v>0</v>
      </c>
      <c r="BW279" s="96">
        <f t="shared" si="353"/>
        <v>0</v>
      </c>
      <c r="BX279" s="96">
        <f t="shared" si="373"/>
        <v>0</v>
      </c>
      <c r="BY279" s="96">
        <f t="shared" si="354"/>
        <v>0</v>
      </c>
      <c r="BZ279" s="96" t="e">
        <f t="shared" si="374"/>
        <v>#NUM!</v>
      </c>
      <c r="CA279" s="96" t="e">
        <f t="shared" si="355"/>
        <v>#NUM!</v>
      </c>
      <c r="CB279" s="104" t="e">
        <f t="shared" si="375"/>
        <v>#NUM!</v>
      </c>
      <c r="CC279" s="105">
        <f t="shared" si="338"/>
        <v>173.20316472969353</v>
      </c>
      <c r="CD279" s="106">
        <f t="shared" si="339"/>
        <v>35.099309775241139</v>
      </c>
      <c r="CE279" s="107">
        <f t="shared" si="340"/>
        <v>0.52648964662861708</v>
      </c>
      <c r="CF279" s="108" t="s">
        <v>2189</v>
      </c>
      <c r="CG279" s="108" t="s">
        <v>2189</v>
      </c>
      <c r="CH279" s="108" t="s">
        <v>2189</v>
      </c>
      <c r="CI279" s="108" t="s">
        <v>2189</v>
      </c>
      <c r="CJ279" s="109"/>
      <c r="CM279" s="111">
        <f t="shared" si="376"/>
        <v>25</v>
      </c>
      <c r="CN279" s="107">
        <f t="shared" si="341"/>
        <v>0.375</v>
      </c>
      <c r="CP279" s="88">
        <f t="shared" si="377"/>
        <v>0</v>
      </c>
      <c r="CQ279" s="78">
        <f t="shared" si="378"/>
        <v>100</v>
      </c>
      <c r="CR279" s="79">
        <f t="shared" si="342"/>
        <v>3</v>
      </c>
      <c r="CS279" s="92"/>
      <c r="CT279" s="77">
        <f t="shared" si="356"/>
        <v>0</v>
      </c>
      <c r="CU279" s="78">
        <f t="shared" si="379"/>
        <v>100</v>
      </c>
      <c r="CV279" s="79">
        <f t="shared" si="343"/>
        <v>2</v>
      </c>
      <c r="CW279" s="112" t="e">
        <f t="shared" si="380"/>
        <v>#DIV/0!</v>
      </c>
    </row>
    <row r="280" spans="1:101" x14ac:dyDescent="0.35">
      <c r="A280" s="7" t="s">
        <v>1792</v>
      </c>
      <c r="B280" s="8" t="s">
        <v>1793</v>
      </c>
      <c r="C280" s="21" t="s">
        <v>1794</v>
      </c>
      <c r="D280" s="10" t="s">
        <v>31</v>
      </c>
      <c r="E280" s="11" t="s">
        <v>183</v>
      </c>
      <c r="F280" s="11" t="s">
        <v>1795</v>
      </c>
      <c r="G280" s="12">
        <v>27941</v>
      </c>
      <c r="H280" s="11" t="s">
        <v>24</v>
      </c>
      <c r="I280" s="11" t="s">
        <v>1796</v>
      </c>
      <c r="J280" s="11" t="s">
        <v>1797</v>
      </c>
      <c r="K280" s="11" t="s">
        <v>27</v>
      </c>
      <c r="L280" s="23">
        <v>888665301</v>
      </c>
      <c r="M280" s="14">
        <v>485651737</v>
      </c>
      <c r="N280" s="14">
        <v>403013565</v>
      </c>
      <c r="O280" s="14">
        <v>536574431</v>
      </c>
      <c r="P280" s="14">
        <v>29103159</v>
      </c>
      <c r="Q280" s="14">
        <v>20616127</v>
      </c>
      <c r="R280" s="14">
        <v>17834953</v>
      </c>
      <c r="AB280" s="74">
        <f t="shared" si="381"/>
        <v>0</v>
      </c>
      <c r="AC280" s="75" t="e">
        <f t="shared" si="357"/>
        <v>#DIV/0!</v>
      </c>
      <c r="AD280" s="75" t="e">
        <f t="shared" si="382"/>
        <v>#DIV/0!</v>
      </c>
      <c r="AE280" s="76" t="e">
        <f t="shared" si="332"/>
        <v>#DIV/0!</v>
      </c>
      <c r="AF280" s="77" t="e">
        <f t="shared" si="358"/>
        <v>#DIV/0!</v>
      </c>
      <c r="AG280" s="77" t="e">
        <f t="shared" si="359"/>
        <v>#DIV/0!</v>
      </c>
      <c r="AH280" s="77" t="e">
        <f t="shared" si="383"/>
        <v>#DIV/0!</v>
      </c>
      <c r="AI280" s="78" t="e">
        <f t="shared" si="384"/>
        <v>#DIV/0!</v>
      </c>
      <c r="AJ280" s="79" t="e">
        <f t="shared" si="333"/>
        <v>#DIV/0!</v>
      </c>
      <c r="AN280" s="81">
        <f t="shared" si="344"/>
        <v>0</v>
      </c>
      <c r="AO280" s="82" t="e">
        <f t="shared" si="345"/>
        <v>#DIV/0!</v>
      </c>
      <c r="AP280" s="83" t="e">
        <f t="shared" si="360"/>
        <v>#DIV/0!</v>
      </c>
      <c r="AQ280" s="84" t="e">
        <f t="shared" si="334"/>
        <v>#DIV/0!</v>
      </c>
      <c r="AS280" s="86">
        <f t="shared" si="346"/>
        <v>0.25</v>
      </c>
      <c r="AT280" s="87">
        <f t="shared" si="361"/>
        <v>0</v>
      </c>
      <c r="AU280" s="87">
        <f t="shared" si="362"/>
        <v>0</v>
      </c>
      <c r="AV280" s="88" t="e">
        <f t="shared" si="347"/>
        <v>#DIV/0!</v>
      </c>
      <c r="AW280" s="78" t="e">
        <f t="shared" si="363"/>
        <v>#DIV/0!</v>
      </c>
      <c r="AX280" s="89" t="e">
        <f t="shared" si="335"/>
        <v>#DIV/0!</v>
      </c>
      <c r="BA280" s="91">
        <f t="shared" si="348"/>
        <v>0</v>
      </c>
      <c r="BB280" s="77" t="e">
        <f t="shared" si="364"/>
        <v>#DIV/0!</v>
      </c>
      <c r="BC280" s="78" t="e">
        <f t="shared" si="365"/>
        <v>#DIV/0!</v>
      </c>
      <c r="BD280" s="79" t="e">
        <f t="shared" si="336"/>
        <v>#DIV/0!</v>
      </c>
      <c r="BE280" s="92"/>
      <c r="BF280" s="92"/>
      <c r="BG280" s="93">
        <v>0</v>
      </c>
      <c r="BH280" s="94">
        <f t="shared" si="349"/>
        <v>0</v>
      </c>
      <c r="BI280" s="77" t="e">
        <f t="shared" si="350"/>
        <v>#DIV/0!</v>
      </c>
      <c r="BJ280" s="95" t="str">
        <f t="shared" si="366"/>
        <v>식약/섬유/종이업</v>
      </c>
      <c r="BK280" s="96" t="e">
        <f t="shared" si="351"/>
        <v>#DIV/0!</v>
      </c>
      <c r="BL280" s="97" t="e">
        <f t="shared" si="367"/>
        <v>#DIV/0!</v>
      </c>
      <c r="BM280" s="98" t="e">
        <f t="shared" si="368"/>
        <v>#DIV/0!</v>
      </c>
      <c r="BN280" s="99" t="e">
        <f t="shared" si="369"/>
        <v>#DIV/0!</v>
      </c>
      <c r="BP280" s="101">
        <f t="shared" si="370"/>
        <v>0</v>
      </c>
      <c r="BQ280" s="78">
        <f t="shared" si="371"/>
        <v>25</v>
      </c>
      <c r="BR280" s="79">
        <f t="shared" si="337"/>
        <v>0.5</v>
      </c>
      <c r="BS280" s="102"/>
      <c r="BT280" s="102"/>
      <c r="BU280" s="103">
        <f t="shared" si="372"/>
        <v>0</v>
      </c>
      <c r="BV280" s="77">
        <f t="shared" si="352"/>
        <v>0</v>
      </c>
      <c r="BW280" s="96">
        <f t="shared" si="353"/>
        <v>0</v>
      </c>
      <c r="BX280" s="96">
        <f t="shared" si="373"/>
        <v>0</v>
      </c>
      <c r="BY280" s="96">
        <f t="shared" si="354"/>
        <v>0</v>
      </c>
      <c r="BZ280" s="96" t="e">
        <f t="shared" si="374"/>
        <v>#NUM!</v>
      </c>
      <c r="CA280" s="96" t="e">
        <f t="shared" si="355"/>
        <v>#NUM!</v>
      </c>
      <c r="CB280" s="104" t="e">
        <f t="shared" si="375"/>
        <v>#NUM!</v>
      </c>
      <c r="CC280" s="105">
        <f t="shared" si="338"/>
        <v>120.50505967460425</v>
      </c>
      <c r="CD280" s="106">
        <f t="shared" si="339"/>
        <v>54.960404645249653</v>
      </c>
      <c r="CE280" s="107">
        <f t="shared" si="340"/>
        <v>0.82440606967874475</v>
      </c>
      <c r="CF280" s="108" t="s">
        <v>2189</v>
      </c>
      <c r="CG280" s="108" t="s">
        <v>2189</v>
      </c>
      <c r="CH280" s="108" t="s">
        <v>2189</v>
      </c>
      <c r="CI280" s="108" t="s">
        <v>2189</v>
      </c>
      <c r="CJ280" s="109"/>
      <c r="CM280" s="111">
        <f t="shared" si="376"/>
        <v>25</v>
      </c>
      <c r="CN280" s="107">
        <f t="shared" si="341"/>
        <v>0.375</v>
      </c>
      <c r="CP280" s="88">
        <f t="shared" si="377"/>
        <v>0</v>
      </c>
      <c r="CQ280" s="78">
        <f t="shared" si="378"/>
        <v>100</v>
      </c>
      <c r="CR280" s="79">
        <f t="shared" si="342"/>
        <v>3</v>
      </c>
      <c r="CS280" s="92"/>
      <c r="CT280" s="77">
        <f t="shared" si="356"/>
        <v>0</v>
      </c>
      <c r="CU280" s="78">
        <f t="shared" si="379"/>
        <v>100</v>
      </c>
      <c r="CV280" s="79">
        <f t="shared" si="343"/>
        <v>2</v>
      </c>
      <c r="CW280" s="112" t="e">
        <f t="shared" si="380"/>
        <v>#DIV/0!</v>
      </c>
    </row>
    <row r="281" spans="1:101" x14ac:dyDescent="0.35">
      <c r="A281" s="7" t="s">
        <v>1798</v>
      </c>
      <c r="B281" s="8" t="s">
        <v>1799</v>
      </c>
      <c r="C281" s="21" t="s">
        <v>1800</v>
      </c>
      <c r="D281" s="10" t="s">
        <v>21</v>
      </c>
      <c r="E281" s="11" t="s">
        <v>646</v>
      </c>
      <c r="F281" s="11" t="s">
        <v>1801</v>
      </c>
      <c r="G281" s="12">
        <v>39987</v>
      </c>
      <c r="H281" s="11" t="s">
        <v>24</v>
      </c>
      <c r="I281" s="11" t="s">
        <v>1802</v>
      </c>
      <c r="J281" s="11" t="s">
        <v>1803</v>
      </c>
      <c r="K281" s="11" t="s">
        <v>27</v>
      </c>
      <c r="L281" s="23">
        <v>217613616</v>
      </c>
      <c r="M281" s="14">
        <v>69409850</v>
      </c>
      <c r="N281" s="14">
        <v>148203766</v>
      </c>
      <c r="O281" s="14">
        <v>174397667</v>
      </c>
      <c r="P281" s="14">
        <v>12289879</v>
      </c>
      <c r="Q281" s="14">
        <v>16933913</v>
      </c>
      <c r="R281" s="14">
        <v>14379092</v>
      </c>
      <c r="AB281" s="74">
        <f t="shared" si="381"/>
        <v>0</v>
      </c>
      <c r="AC281" s="75" t="e">
        <f t="shared" si="357"/>
        <v>#DIV/0!</v>
      </c>
      <c r="AD281" s="75" t="e">
        <f t="shared" si="382"/>
        <v>#DIV/0!</v>
      </c>
      <c r="AE281" s="76" t="e">
        <f t="shared" si="332"/>
        <v>#DIV/0!</v>
      </c>
      <c r="AF281" s="77" t="e">
        <f t="shared" si="358"/>
        <v>#DIV/0!</v>
      </c>
      <c r="AG281" s="77" t="e">
        <f t="shared" si="359"/>
        <v>#DIV/0!</v>
      </c>
      <c r="AH281" s="77" t="e">
        <f t="shared" si="383"/>
        <v>#DIV/0!</v>
      </c>
      <c r="AI281" s="78" t="e">
        <f t="shared" si="384"/>
        <v>#DIV/0!</v>
      </c>
      <c r="AJ281" s="79" t="e">
        <f t="shared" si="333"/>
        <v>#DIV/0!</v>
      </c>
      <c r="AN281" s="81">
        <f t="shared" si="344"/>
        <v>0</v>
      </c>
      <c r="AO281" s="82" t="e">
        <f t="shared" si="345"/>
        <v>#DIV/0!</v>
      </c>
      <c r="AP281" s="83" t="e">
        <f t="shared" si="360"/>
        <v>#DIV/0!</v>
      </c>
      <c r="AQ281" s="84" t="e">
        <f t="shared" si="334"/>
        <v>#DIV/0!</v>
      </c>
      <c r="AS281" s="86">
        <f t="shared" si="346"/>
        <v>0.25</v>
      </c>
      <c r="AT281" s="87">
        <f t="shared" si="361"/>
        <v>0</v>
      </c>
      <c r="AU281" s="87">
        <f t="shared" si="362"/>
        <v>0</v>
      </c>
      <c r="AV281" s="88" t="e">
        <f t="shared" si="347"/>
        <v>#DIV/0!</v>
      </c>
      <c r="AW281" s="78" t="e">
        <f t="shared" si="363"/>
        <v>#DIV/0!</v>
      </c>
      <c r="AX281" s="89" t="e">
        <f t="shared" si="335"/>
        <v>#DIV/0!</v>
      </c>
      <c r="BA281" s="91">
        <f t="shared" si="348"/>
        <v>0</v>
      </c>
      <c r="BB281" s="77" t="e">
        <f t="shared" si="364"/>
        <v>#DIV/0!</v>
      </c>
      <c r="BC281" s="78" t="e">
        <f t="shared" si="365"/>
        <v>#DIV/0!</v>
      </c>
      <c r="BD281" s="79" t="e">
        <f t="shared" si="336"/>
        <v>#DIV/0!</v>
      </c>
      <c r="BE281" s="92"/>
      <c r="BF281" s="92"/>
      <c r="BG281" s="93">
        <v>0</v>
      </c>
      <c r="BH281" s="94">
        <f t="shared" si="349"/>
        <v>0</v>
      </c>
      <c r="BI281" s="77" t="e">
        <f t="shared" si="350"/>
        <v>#DIV/0!</v>
      </c>
      <c r="BJ281" s="95" t="str">
        <f t="shared" si="366"/>
        <v>비제조/서비스업</v>
      </c>
      <c r="BK281" s="96" t="e">
        <f t="shared" si="351"/>
        <v>#DIV/0!</v>
      </c>
      <c r="BL281" s="97" t="e">
        <f t="shared" si="367"/>
        <v>#DIV/0!</v>
      </c>
      <c r="BM281" s="98" t="e">
        <f t="shared" si="368"/>
        <v>#DIV/0!</v>
      </c>
      <c r="BN281" s="99" t="e">
        <f t="shared" si="369"/>
        <v>#DIV/0!</v>
      </c>
      <c r="BP281" s="101">
        <f t="shared" si="370"/>
        <v>0</v>
      </c>
      <c r="BQ281" s="78">
        <f t="shared" si="371"/>
        <v>25</v>
      </c>
      <c r="BR281" s="79">
        <f t="shared" si="337"/>
        <v>0.5</v>
      </c>
      <c r="BS281" s="102"/>
      <c r="BT281" s="102"/>
      <c r="BU281" s="103">
        <f t="shared" si="372"/>
        <v>0</v>
      </c>
      <c r="BV281" s="77">
        <f t="shared" si="352"/>
        <v>0</v>
      </c>
      <c r="BW281" s="96">
        <f t="shared" si="353"/>
        <v>0</v>
      </c>
      <c r="BX281" s="96">
        <f t="shared" si="373"/>
        <v>0</v>
      </c>
      <c r="BY281" s="96">
        <f t="shared" si="354"/>
        <v>0</v>
      </c>
      <c r="BZ281" s="96" t="e">
        <f t="shared" si="374"/>
        <v>#NUM!</v>
      </c>
      <c r="CA281" s="96" t="e">
        <f t="shared" si="355"/>
        <v>#NUM!</v>
      </c>
      <c r="CB281" s="104" t="e">
        <f t="shared" si="375"/>
        <v>#NUM!</v>
      </c>
      <c r="CC281" s="105">
        <f t="shared" si="338"/>
        <v>46.834066281419595</v>
      </c>
      <c r="CD281" s="106">
        <f t="shared" si="339"/>
        <v>82.725854416550405</v>
      </c>
      <c r="CE281" s="107">
        <f t="shared" si="340"/>
        <v>1.2408878162482559</v>
      </c>
      <c r="CF281" s="108" t="s">
        <v>2189</v>
      </c>
      <c r="CG281" s="108" t="s">
        <v>2189</v>
      </c>
      <c r="CH281" s="108" t="s">
        <v>2189</v>
      </c>
      <c r="CI281" s="108" t="s">
        <v>2189</v>
      </c>
      <c r="CJ281" s="109"/>
      <c r="CM281" s="111">
        <f t="shared" si="376"/>
        <v>25</v>
      </c>
      <c r="CN281" s="107">
        <f t="shared" si="341"/>
        <v>0.375</v>
      </c>
      <c r="CP281" s="88">
        <f t="shared" si="377"/>
        <v>0</v>
      </c>
      <c r="CQ281" s="78">
        <f t="shared" si="378"/>
        <v>100</v>
      </c>
      <c r="CR281" s="79">
        <f t="shared" si="342"/>
        <v>3</v>
      </c>
      <c r="CS281" s="92"/>
      <c r="CT281" s="77">
        <f t="shared" si="356"/>
        <v>0</v>
      </c>
      <c r="CU281" s="78">
        <f t="shared" si="379"/>
        <v>100</v>
      </c>
      <c r="CV281" s="79">
        <f t="shared" si="343"/>
        <v>2</v>
      </c>
      <c r="CW281" s="112" t="e">
        <f t="shared" si="380"/>
        <v>#DIV/0!</v>
      </c>
    </row>
    <row r="282" spans="1:101" x14ac:dyDescent="0.35">
      <c r="A282" s="7" t="s">
        <v>1804</v>
      </c>
      <c r="B282" s="8" t="s">
        <v>1805</v>
      </c>
      <c r="C282" s="21" t="s">
        <v>1806</v>
      </c>
      <c r="D282" s="10" t="s">
        <v>141</v>
      </c>
      <c r="E282" s="11" t="s">
        <v>481</v>
      </c>
      <c r="F282" s="11" t="s">
        <v>1807</v>
      </c>
      <c r="G282" s="12">
        <v>38555</v>
      </c>
      <c r="H282" s="11" t="s">
        <v>24</v>
      </c>
      <c r="I282" s="11" t="s">
        <v>1808</v>
      </c>
      <c r="J282" s="11" t="s">
        <v>1809</v>
      </c>
      <c r="K282" s="11" t="s">
        <v>87</v>
      </c>
      <c r="L282" s="23">
        <v>441490503</v>
      </c>
      <c r="M282" s="14">
        <v>66273961</v>
      </c>
      <c r="N282" s="14">
        <v>375216542</v>
      </c>
      <c r="O282" s="14">
        <v>323948862</v>
      </c>
      <c r="P282" s="14">
        <v>109531252</v>
      </c>
      <c r="Q282" s="14">
        <v>126178452</v>
      </c>
      <c r="R282" s="14">
        <v>91469843</v>
      </c>
      <c r="AB282" s="74">
        <f t="shared" si="381"/>
        <v>0</v>
      </c>
      <c r="AC282" s="75" t="e">
        <f t="shared" si="357"/>
        <v>#DIV/0!</v>
      </c>
      <c r="AD282" s="75" t="e">
        <f t="shared" si="382"/>
        <v>#DIV/0!</v>
      </c>
      <c r="AE282" s="76" t="e">
        <f t="shared" si="332"/>
        <v>#DIV/0!</v>
      </c>
      <c r="AF282" s="77" t="e">
        <f t="shared" si="358"/>
        <v>#DIV/0!</v>
      </c>
      <c r="AG282" s="77" t="e">
        <f t="shared" si="359"/>
        <v>#DIV/0!</v>
      </c>
      <c r="AH282" s="77" t="e">
        <f t="shared" si="383"/>
        <v>#DIV/0!</v>
      </c>
      <c r="AI282" s="78" t="e">
        <f t="shared" si="384"/>
        <v>#DIV/0!</v>
      </c>
      <c r="AJ282" s="79" t="e">
        <f t="shared" si="333"/>
        <v>#DIV/0!</v>
      </c>
      <c r="AN282" s="81">
        <f t="shared" si="344"/>
        <v>0</v>
      </c>
      <c r="AO282" s="82" t="e">
        <f t="shared" si="345"/>
        <v>#DIV/0!</v>
      </c>
      <c r="AP282" s="83" t="e">
        <f t="shared" si="360"/>
        <v>#DIV/0!</v>
      </c>
      <c r="AQ282" s="84" t="e">
        <f t="shared" si="334"/>
        <v>#DIV/0!</v>
      </c>
      <c r="AS282" s="86">
        <f t="shared" si="346"/>
        <v>0.25</v>
      </c>
      <c r="AT282" s="87">
        <f t="shared" si="361"/>
        <v>0</v>
      </c>
      <c r="AU282" s="87">
        <f t="shared" si="362"/>
        <v>0</v>
      </c>
      <c r="AV282" s="88" t="e">
        <f t="shared" si="347"/>
        <v>#DIV/0!</v>
      </c>
      <c r="AW282" s="78" t="e">
        <f t="shared" si="363"/>
        <v>#DIV/0!</v>
      </c>
      <c r="AX282" s="89" t="e">
        <f t="shared" si="335"/>
        <v>#DIV/0!</v>
      </c>
      <c r="BA282" s="91">
        <f t="shared" si="348"/>
        <v>0</v>
      </c>
      <c r="BB282" s="77" t="e">
        <f t="shared" si="364"/>
        <v>#DIV/0!</v>
      </c>
      <c r="BC282" s="78" t="e">
        <f t="shared" si="365"/>
        <v>#DIV/0!</v>
      </c>
      <c r="BD282" s="79" t="e">
        <f t="shared" si="336"/>
        <v>#DIV/0!</v>
      </c>
      <c r="BE282" s="92"/>
      <c r="BF282" s="92"/>
      <c r="BG282" s="114">
        <v>573393</v>
      </c>
      <c r="BH282" s="94">
        <f t="shared" si="349"/>
        <v>0</v>
      </c>
      <c r="BI282" s="77" t="e">
        <f t="shared" si="350"/>
        <v>#DIV/0!</v>
      </c>
      <c r="BJ282" s="95" t="str">
        <f t="shared" si="366"/>
        <v>전기전자/기계업</v>
      </c>
      <c r="BK282" s="96" t="e">
        <f t="shared" si="351"/>
        <v>#DIV/0!</v>
      </c>
      <c r="BL282" s="97" t="e">
        <f t="shared" si="367"/>
        <v>#DIV/0!</v>
      </c>
      <c r="BM282" s="98" t="e">
        <f t="shared" si="368"/>
        <v>#DIV/0!</v>
      </c>
      <c r="BN282" s="99" t="e">
        <f t="shared" si="369"/>
        <v>#DIV/0!</v>
      </c>
      <c r="BP282" s="101">
        <f t="shared" si="370"/>
        <v>0</v>
      </c>
      <c r="BQ282" s="78">
        <f t="shared" si="371"/>
        <v>25</v>
      </c>
      <c r="BR282" s="79">
        <f t="shared" si="337"/>
        <v>0.5</v>
      </c>
      <c r="BS282" s="102"/>
      <c r="BT282" s="102"/>
      <c r="BU282" s="103">
        <f t="shared" si="372"/>
        <v>0</v>
      </c>
      <c r="BV282" s="77">
        <f t="shared" si="352"/>
        <v>0</v>
      </c>
      <c r="BW282" s="96">
        <f t="shared" si="353"/>
        <v>0</v>
      </c>
      <c r="BX282" s="96">
        <f t="shared" si="373"/>
        <v>0</v>
      </c>
      <c r="BY282" s="96">
        <f t="shared" si="354"/>
        <v>0</v>
      </c>
      <c r="BZ282" s="96" t="e">
        <f t="shared" si="374"/>
        <v>#NUM!</v>
      </c>
      <c r="CA282" s="96" t="e">
        <f t="shared" si="355"/>
        <v>#NUM!</v>
      </c>
      <c r="CB282" s="104" t="e">
        <f t="shared" si="375"/>
        <v>#NUM!</v>
      </c>
      <c r="CC282" s="105">
        <f t="shared" si="338"/>
        <v>17.662856932357744</v>
      </c>
      <c r="CD282" s="106">
        <f t="shared" si="339"/>
        <v>93.720028794337537</v>
      </c>
      <c r="CE282" s="107">
        <f t="shared" si="340"/>
        <v>1.405800431915063</v>
      </c>
      <c r="CF282" s="108" t="s">
        <v>2189</v>
      </c>
      <c r="CG282" s="108" t="s">
        <v>2189</v>
      </c>
      <c r="CH282" s="108" t="s">
        <v>2189</v>
      </c>
      <c r="CI282" s="108" t="s">
        <v>2189</v>
      </c>
      <c r="CJ282" s="109"/>
      <c r="CM282" s="111">
        <f t="shared" si="376"/>
        <v>25</v>
      </c>
      <c r="CN282" s="107">
        <f t="shared" si="341"/>
        <v>0.375</v>
      </c>
      <c r="CP282" s="88">
        <f t="shared" si="377"/>
        <v>0</v>
      </c>
      <c r="CQ282" s="78">
        <f t="shared" si="378"/>
        <v>100</v>
      </c>
      <c r="CR282" s="79">
        <f t="shared" si="342"/>
        <v>3</v>
      </c>
      <c r="CS282" s="92"/>
      <c r="CT282" s="77">
        <f t="shared" si="356"/>
        <v>0</v>
      </c>
      <c r="CU282" s="78">
        <f t="shared" si="379"/>
        <v>100</v>
      </c>
      <c r="CV282" s="79">
        <f t="shared" si="343"/>
        <v>2</v>
      </c>
      <c r="CW282" s="112" t="e">
        <f t="shared" si="380"/>
        <v>#DIV/0!</v>
      </c>
    </row>
    <row r="283" spans="1:101" x14ac:dyDescent="0.35">
      <c r="A283" s="7" t="s">
        <v>1810</v>
      </c>
      <c r="B283" s="8" t="s">
        <v>1811</v>
      </c>
      <c r="C283" s="21" t="s">
        <v>1812</v>
      </c>
      <c r="D283" s="10" t="s">
        <v>31</v>
      </c>
      <c r="E283" s="11" t="s">
        <v>183</v>
      </c>
      <c r="F283" s="11" t="s">
        <v>1813</v>
      </c>
      <c r="G283" s="12">
        <v>40389</v>
      </c>
      <c r="H283" s="11" t="s">
        <v>24</v>
      </c>
      <c r="I283" s="11" t="s">
        <v>1814</v>
      </c>
      <c r="J283" s="28" t="s">
        <v>1815</v>
      </c>
      <c r="K283" s="11" t="s">
        <v>50</v>
      </c>
      <c r="L283" s="23">
        <v>1399293783</v>
      </c>
      <c r="M283" s="14">
        <v>813470761</v>
      </c>
      <c r="N283" s="14">
        <v>585823022</v>
      </c>
      <c r="O283" s="14">
        <v>982048866</v>
      </c>
      <c r="P283" s="14">
        <v>79110747</v>
      </c>
      <c r="Q283" s="14">
        <v>59432696</v>
      </c>
      <c r="R283" s="14">
        <v>50327230</v>
      </c>
      <c r="AB283" s="74">
        <f t="shared" si="381"/>
        <v>0</v>
      </c>
      <c r="AC283" s="75" t="e">
        <f t="shared" si="357"/>
        <v>#DIV/0!</v>
      </c>
      <c r="AD283" s="75" t="e">
        <f t="shared" si="382"/>
        <v>#DIV/0!</v>
      </c>
      <c r="AE283" s="76" t="e">
        <f t="shared" si="332"/>
        <v>#DIV/0!</v>
      </c>
      <c r="AF283" s="77" t="e">
        <f t="shared" si="358"/>
        <v>#DIV/0!</v>
      </c>
      <c r="AG283" s="77" t="e">
        <f t="shared" si="359"/>
        <v>#DIV/0!</v>
      </c>
      <c r="AH283" s="77" t="e">
        <f t="shared" si="383"/>
        <v>#DIV/0!</v>
      </c>
      <c r="AI283" s="78" t="e">
        <f t="shared" si="384"/>
        <v>#DIV/0!</v>
      </c>
      <c r="AJ283" s="79" t="e">
        <f t="shared" si="333"/>
        <v>#DIV/0!</v>
      </c>
      <c r="AN283" s="81">
        <f t="shared" si="344"/>
        <v>0</v>
      </c>
      <c r="AO283" s="82" t="e">
        <f t="shared" si="345"/>
        <v>#DIV/0!</v>
      </c>
      <c r="AP283" s="83" t="e">
        <f t="shared" si="360"/>
        <v>#DIV/0!</v>
      </c>
      <c r="AQ283" s="84" t="e">
        <f t="shared" si="334"/>
        <v>#DIV/0!</v>
      </c>
      <c r="AS283" s="86">
        <f t="shared" si="346"/>
        <v>0.25</v>
      </c>
      <c r="AT283" s="87">
        <f t="shared" si="361"/>
        <v>0</v>
      </c>
      <c r="AU283" s="87">
        <f t="shared" si="362"/>
        <v>0</v>
      </c>
      <c r="AV283" s="88" t="e">
        <f t="shared" si="347"/>
        <v>#DIV/0!</v>
      </c>
      <c r="AW283" s="78" t="e">
        <f t="shared" si="363"/>
        <v>#DIV/0!</v>
      </c>
      <c r="AX283" s="89" t="e">
        <f t="shared" si="335"/>
        <v>#DIV/0!</v>
      </c>
      <c r="BA283" s="91">
        <f t="shared" si="348"/>
        <v>0</v>
      </c>
      <c r="BB283" s="77" t="e">
        <f t="shared" si="364"/>
        <v>#DIV/0!</v>
      </c>
      <c r="BC283" s="78" t="e">
        <f t="shared" si="365"/>
        <v>#DIV/0!</v>
      </c>
      <c r="BD283" s="79" t="e">
        <f t="shared" si="336"/>
        <v>#DIV/0!</v>
      </c>
      <c r="BE283" s="92"/>
      <c r="BF283" s="92"/>
      <c r="BG283" s="93">
        <v>0</v>
      </c>
      <c r="BH283" s="94">
        <f t="shared" si="349"/>
        <v>0</v>
      </c>
      <c r="BI283" s="77" t="e">
        <f t="shared" si="350"/>
        <v>#DIV/0!</v>
      </c>
      <c r="BJ283" s="95" t="str">
        <f t="shared" si="366"/>
        <v>식약/섬유/종이업</v>
      </c>
      <c r="BK283" s="96" t="e">
        <f t="shared" si="351"/>
        <v>#DIV/0!</v>
      </c>
      <c r="BL283" s="97" t="e">
        <f t="shared" si="367"/>
        <v>#DIV/0!</v>
      </c>
      <c r="BM283" s="98" t="e">
        <f t="shared" si="368"/>
        <v>#DIV/0!</v>
      </c>
      <c r="BN283" s="99" t="e">
        <f t="shared" si="369"/>
        <v>#DIV/0!</v>
      </c>
      <c r="BP283" s="101">
        <f t="shared" si="370"/>
        <v>0</v>
      </c>
      <c r="BQ283" s="78">
        <f t="shared" si="371"/>
        <v>25</v>
      </c>
      <c r="BR283" s="79">
        <f t="shared" si="337"/>
        <v>0.5</v>
      </c>
      <c r="BS283" s="102"/>
      <c r="BT283" s="102"/>
      <c r="BU283" s="103">
        <f t="shared" si="372"/>
        <v>0</v>
      </c>
      <c r="BV283" s="77">
        <f t="shared" si="352"/>
        <v>0</v>
      </c>
      <c r="BW283" s="96">
        <f t="shared" si="353"/>
        <v>0</v>
      </c>
      <c r="BX283" s="96">
        <f t="shared" si="373"/>
        <v>0</v>
      </c>
      <c r="BY283" s="96">
        <f t="shared" si="354"/>
        <v>0</v>
      </c>
      <c r="BZ283" s="96" t="e">
        <f t="shared" si="374"/>
        <v>#NUM!</v>
      </c>
      <c r="CA283" s="96" t="e">
        <f t="shared" si="355"/>
        <v>#NUM!</v>
      </c>
      <c r="CB283" s="104" t="e">
        <f t="shared" si="375"/>
        <v>#NUM!</v>
      </c>
      <c r="CC283" s="105">
        <f t="shared" si="338"/>
        <v>138.8594729894381</v>
      </c>
      <c r="CD283" s="106">
        <f t="shared" si="339"/>
        <v>48.042912189910268</v>
      </c>
      <c r="CE283" s="107">
        <f t="shared" si="340"/>
        <v>0.72064368284865399</v>
      </c>
      <c r="CF283" s="108" t="s">
        <v>2189</v>
      </c>
      <c r="CG283" s="108" t="s">
        <v>2189</v>
      </c>
      <c r="CH283" s="108" t="s">
        <v>2189</v>
      </c>
      <c r="CI283" s="108" t="s">
        <v>2189</v>
      </c>
      <c r="CJ283" s="109"/>
      <c r="CM283" s="111">
        <f t="shared" si="376"/>
        <v>25</v>
      </c>
      <c r="CN283" s="107">
        <f t="shared" si="341"/>
        <v>0.375</v>
      </c>
      <c r="CP283" s="88">
        <f t="shared" si="377"/>
        <v>0</v>
      </c>
      <c r="CQ283" s="78">
        <f t="shared" si="378"/>
        <v>100</v>
      </c>
      <c r="CR283" s="79">
        <f t="shared" si="342"/>
        <v>3</v>
      </c>
      <c r="CS283" s="92"/>
      <c r="CT283" s="77">
        <f t="shared" si="356"/>
        <v>0</v>
      </c>
      <c r="CU283" s="78">
        <f t="shared" si="379"/>
        <v>100</v>
      </c>
      <c r="CV283" s="79">
        <f t="shared" si="343"/>
        <v>2</v>
      </c>
      <c r="CW283" s="112" t="e">
        <f t="shared" si="380"/>
        <v>#DIV/0!</v>
      </c>
    </row>
    <row r="284" spans="1:101" x14ac:dyDescent="0.35">
      <c r="A284" s="7" t="s">
        <v>1816</v>
      </c>
      <c r="B284" s="8" t="s">
        <v>1817</v>
      </c>
      <c r="C284" s="21" t="s">
        <v>1818</v>
      </c>
      <c r="D284" s="10" t="s">
        <v>31</v>
      </c>
      <c r="E284" s="11" t="s">
        <v>32</v>
      </c>
      <c r="F284" s="11" t="s">
        <v>1819</v>
      </c>
      <c r="G284" s="12">
        <v>35249</v>
      </c>
      <c r="H284" s="11" t="s">
        <v>24</v>
      </c>
      <c r="I284" s="11" t="s">
        <v>1820</v>
      </c>
      <c r="J284" s="11" t="s">
        <v>1821</v>
      </c>
      <c r="K284" s="11" t="s">
        <v>27</v>
      </c>
      <c r="L284" s="23">
        <v>1687627808</v>
      </c>
      <c r="M284" s="14">
        <v>342539051</v>
      </c>
      <c r="N284" s="14">
        <v>1345088757</v>
      </c>
      <c r="O284" s="14">
        <v>1537082442</v>
      </c>
      <c r="P284" s="14">
        <v>174260144</v>
      </c>
      <c r="Q284" s="14">
        <v>166140393</v>
      </c>
      <c r="R284" s="14">
        <v>125065962</v>
      </c>
      <c r="AB284" s="74">
        <f t="shared" si="381"/>
        <v>0</v>
      </c>
      <c r="AC284" s="75" t="e">
        <f t="shared" si="357"/>
        <v>#DIV/0!</v>
      </c>
      <c r="AD284" s="75" t="e">
        <f t="shared" si="382"/>
        <v>#DIV/0!</v>
      </c>
      <c r="AE284" s="76" t="e">
        <f t="shared" si="332"/>
        <v>#DIV/0!</v>
      </c>
      <c r="AF284" s="77" t="e">
        <f t="shared" si="358"/>
        <v>#DIV/0!</v>
      </c>
      <c r="AG284" s="77" t="e">
        <f t="shared" si="359"/>
        <v>#DIV/0!</v>
      </c>
      <c r="AH284" s="77" t="e">
        <f t="shared" si="383"/>
        <v>#DIV/0!</v>
      </c>
      <c r="AI284" s="78" t="e">
        <f t="shared" si="384"/>
        <v>#DIV/0!</v>
      </c>
      <c r="AJ284" s="79" t="e">
        <f t="shared" si="333"/>
        <v>#DIV/0!</v>
      </c>
      <c r="AN284" s="81">
        <f t="shared" si="344"/>
        <v>0</v>
      </c>
      <c r="AO284" s="82" t="e">
        <f t="shared" si="345"/>
        <v>#DIV/0!</v>
      </c>
      <c r="AP284" s="83" t="e">
        <f t="shared" si="360"/>
        <v>#DIV/0!</v>
      </c>
      <c r="AQ284" s="84" t="e">
        <f t="shared" si="334"/>
        <v>#DIV/0!</v>
      </c>
      <c r="AS284" s="86">
        <f t="shared" si="346"/>
        <v>0.25</v>
      </c>
      <c r="AT284" s="87">
        <f t="shared" si="361"/>
        <v>0</v>
      </c>
      <c r="AU284" s="87">
        <f t="shared" si="362"/>
        <v>0</v>
      </c>
      <c r="AV284" s="88" t="e">
        <f t="shared" si="347"/>
        <v>#DIV/0!</v>
      </c>
      <c r="AW284" s="78" t="e">
        <f t="shared" si="363"/>
        <v>#DIV/0!</v>
      </c>
      <c r="AX284" s="89" t="e">
        <f t="shared" si="335"/>
        <v>#DIV/0!</v>
      </c>
      <c r="BA284" s="91">
        <f t="shared" si="348"/>
        <v>0</v>
      </c>
      <c r="BB284" s="77" t="e">
        <f t="shared" si="364"/>
        <v>#DIV/0!</v>
      </c>
      <c r="BC284" s="78" t="e">
        <f t="shared" si="365"/>
        <v>#DIV/0!</v>
      </c>
      <c r="BD284" s="79" t="e">
        <f t="shared" si="336"/>
        <v>#DIV/0!</v>
      </c>
      <c r="BE284" s="92"/>
      <c r="BF284" s="92"/>
      <c r="BG284" s="114">
        <v>2752092</v>
      </c>
      <c r="BH284" s="94">
        <f t="shared" si="349"/>
        <v>0</v>
      </c>
      <c r="BI284" s="77" t="e">
        <f t="shared" si="350"/>
        <v>#DIV/0!</v>
      </c>
      <c r="BJ284" s="95" t="str">
        <f t="shared" si="366"/>
        <v>식약/섬유/종이업</v>
      </c>
      <c r="BK284" s="96" t="e">
        <f t="shared" si="351"/>
        <v>#DIV/0!</v>
      </c>
      <c r="BL284" s="97" t="e">
        <f t="shared" si="367"/>
        <v>#DIV/0!</v>
      </c>
      <c r="BM284" s="98" t="e">
        <f t="shared" si="368"/>
        <v>#DIV/0!</v>
      </c>
      <c r="BN284" s="99" t="e">
        <f t="shared" si="369"/>
        <v>#DIV/0!</v>
      </c>
      <c r="BP284" s="101">
        <f t="shared" si="370"/>
        <v>0</v>
      </c>
      <c r="BQ284" s="78">
        <f t="shared" si="371"/>
        <v>25</v>
      </c>
      <c r="BR284" s="79">
        <f t="shared" si="337"/>
        <v>0.5</v>
      </c>
      <c r="BS284" s="102"/>
      <c r="BT284" s="102"/>
      <c r="BU284" s="103">
        <f t="shared" si="372"/>
        <v>0</v>
      </c>
      <c r="BV284" s="77">
        <f t="shared" si="352"/>
        <v>0</v>
      </c>
      <c r="BW284" s="96">
        <f t="shared" si="353"/>
        <v>0</v>
      </c>
      <c r="BX284" s="96">
        <f t="shared" si="373"/>
        <v>0</v>
      </c>
      <c r="BY284" s="96">
        <f t="shared" si="354"/>
        <v>0</v>
      </c>
      <c r="BZ284" s="96" t="e">
        <f t="shared" si="374"/>
        <v>#NUM!</v>
      </c>
      <c r="CA284" s="96" t="e">
        <f t="shared" si="355"/>
        <v>#NUM!</v>
      </c>
      <c r="CB284" s="104" t="e">
        <f t="shared" si="375"/>
        <v>#NUM!</v>
      </c>
      <c r="CC284" s="105">
        <f t="shared" si="338"/>
        <v>25.465906931225657</v>
      </c>
      <c r="CD284" s="106">
        <f t="shared" si="339"/>
        <v>90.779180804814445</v>
      </c>
      <c r="CE284" s="107">
        <f t="shared" si="340"/>
        <v>1.3616877120722166</v>
      </c>
      <c r="CF284" s="108" t="s">
        <v>2189</v>
      </c>
      <c r="CG284" s="108" t="s">
        <v>2189</v>
      </c>
      <c r="CH284" s="108" t="s">
        <v>2189</v>
      </c>
      <c r="CI284" s="108" t="s">
        <v>2189</v>
      </c>
      <c r="CJ284" s="109"/>
      <c r="CM284" s="111">
        <f t="shared" si="376"/>
        <v>25</v>
      </c>
      <c r="CN284" s="107">
        <f t="shared" si="341"/>
        <v>0.375</v>
      </c>
      <c r="CP284" s="88">
        <f t="shared" si="377"/>
        <v>0</v>
      </c>
      <c r="CQ284" s="78">
        <f t="shared" si="378"/>
        <v>100</v>
      </c>
      <c r="CR284" s="79">
        <f t="shared" si="342"/>
        <v>3</v>
      </c>
      <c r="CS284" s="92"/>
      <c r="CT284" s="77">
        <f t="shared" si="356"/>
        <v>0</v>
      </c>
      <c r="CU284" s="78">
        <f t="shared" si="379"/>
        <v>100</v>
      </c>
      <c r="CV284" s="79">
        <f t="shared" si="343"/>
        <v>2</v>
      </c>
      <c r="CW284" s="112" t="e">
        <f t="shared" si="380"/>
        <v>#DIV/0!</v>
      </c>
    </row>
    <row r="285" spans="1:101" x14ac:dyDescent="0.35">
      <c r="A285" s="7" t="s">
        <v>1822</v>
      </c>
      <c r="B285" s="8" t="s">
        <v>1823</v>
      </c>
      <c r="C285" s="21" t="s">
        <v>1824</v>
      </c>
      <c r="D285" s="10" t="s">
        <v>31</v>
      </c>
      <c r="E285" s="11" t="s">
        <v>32</v>
      </c>
      <c r="F285" s="11" t="s">
        <v>1825</v>
      </c>
      <c r="G285" s="12">
        <v>39892</v>
      </c>
      <c r="H285" s="11" t="s">
        <v>24</v>
      </c>
      <c r="I285" s="11" t="s">
        <v>1826</v>
      </c>
      <c r="J285" s="11" t="s">
        <v>1827</v>
      </c>
      <c r="K285" s="11" t="s">
        <v>27</v>
      </c>
      <c r="L285" s="23">
        <v>1063253032</v>
      </c>
      <c r="M285" s="14">
        <v>502967240</v>
      </c>
      <c r="N285" s="14">
        <v>560285793</v>
      </c>
      <c r="O285" s="14">
        <v>2146018022</v>
      </c>
      <c r="P285" s="14">
        <v>175483550</v>
      </c>
      <c r="Q285" s="14">
        <v>145218477</v>
      </c>
      <c r="R285" s="14">
        <v>104290709</v>
      </c>
      <c r="AB285" s="74">
        <f t="shared" si="381"/>
        <v>0</v>
      </c>
      <c r="AC285" s="75" t="e">
        <f t="shared" si="357"/>
        <v>#DIV/0!</v>
      </c>
      <c r="AD285" s="75" t="e">
        <f t="shared" si="382"/>
        <v>#DIV/0!</v>
      </c>
      <c r="AE285" s="76" t="e">
        <f t="shared" si="332"/>
        <v>#DIV/0!</v>
      </c>
      <c r="AF285" s="77" t="e">
        <f t="shared" si="358"/>
        <v>#DIV/0!</v>
      </c>
      <c r="AG285" s="77" t="e">
        <f t="shared" si="359"/>
        <v>#DIV/0!</v>
      </c>
      <c r="AH285" s="77" t="e">
        <f t="shared" si="383"/>
        <v>#DIV/0!</v>
      </c>
      <c r="AI285" s="78" t="e">
        <f t="shared" si="384"/>
        <v>#DIV/0!</v>
      </c>
      <c r="AJ285" s="79" t="e">
        <f t="shared" si="333"/>
        <v>#DIV/0!</v>
      </c>
      <c r="AN285" s="81">
        <f t="shared" si="344"/>
        <v>0</v>
      </c>
      <c r="AO285" s="82" t="e">
        <f t="shared" si="345"/>
        <v>#DIV/0!</v>
      </c>
      <c r="AP285" s="83" t="e">
        <f t="shared" si="360"/>
        <v>#DIV/0!</v>
      </c>
      <c r="AQ285" s="84" t="e">
        <f t="shared" si="334"/>
        <v>#DIV/0!</v>
      </c>
      <c r="AS285" s="86">
        <f t="shared" si="346"/>
        <v>0.25</v>
      </c>
      <c r="AT285" s="87">
        <f t="shared" si="361"/>
        <v>0</v>
      </c>
      <c r="AU285" s="87">
        <f t="shared" si="362"/>
        <v>0</v>
      </c>
      <c r="AV285" s="88" t="e">
        <f t="shared" si="347"/>
        <v>#DIV/0!</v>
      </c>
      <c r="AW285" s="78" t="e">
        <f t="shared" si="363"/>
        <v>#DIV/0!</v>
      </c>
      <c r="AX285" s="89" t="e">
        <f t="shared" si="335"/>
        <v>#DIV/0!</v>
      </c>
      <c r="BA285" s="91">
        <f t="shared" si="348"/>
        <v>0</v>
      </c>
      <c r="BB285" s="77" t="e">
        <f t="shared" si="364"/>
        <v>#DIV/0!</v>
      </c>
      <c r="BC285" s="78" t="e">
        <f t="shared" si="365"/>
        <v>#DIV/0!</v>
      </c>
      <c r="BD285" s="79" t="e">
        <f t="shared" si="336"/>
        <v>#DIV/0!</v>
      </c>
      <c r="BE285" s="92"/>
      <c r="BF285" s="92"/>
      <c r="BG285" s="114">
        <v>1522667</v>
      </c>
      <c r="BH285" s="94">
        <f t="shared" si="349"/>
        <v>0</v>
      </c>
      <c r="BI285" s="77" t="e">
        <f t="shared" si="350"/>
        <v>#DIV/0!</v>
      </c>
      <c r="BJ285" s="95" t="str">
        <f t="shared" si="366"/>
        <v>식약/섬유/종이업</v>
      </c>
      <c r="BK285" s="96" t="e">
        <f t="shared" si="351"/>
        <v>#DIV/0!</v>
      </c>
      <c r="BL285" s="97" t="e">
        <f t="shared" si="367"/>
        <v>#DIV/0!</v>
      </c>
      <c r="BM285" s="98" t="e">
        <f t="shared" si="368"/>
        <v>#DIV/0!</v>
      </c>
      <c r="BN285" s="99" t="e">
        <f t="shared" si="369"/>
        <v>#DIV/0!</v>
      </c>
      <c r="BP285" s="101">
        <f t="shared" si="370"/>
        <v>0</v>
      </c>
      <c r="BQ285" s="78">
        <f t="shared" si="371"/>
        <v>25</v>
      </c>
      <c r="BR285" s="79">
        <f t="shared" si="337"/>
        <v>0.5</v>
      </c>
      <c r="BS285" s="102"/>
      <c r="BT285" s="102"/>
      <c r="BU285" s="103">
        <f t="shared" si="372"/>
        <v>0</v>
      </c>
      <c r="BV285" s="77">
        <f t="shared" si="352"/>
        <v>0</v>
      </c>
      <c r="BW285" s="96">
        <f t="shared" si="353"/>
        <v>0</v>
      </c>
      <c r="BX285" s="96">
        <f t="shared" si="373"/>
        <v>0</v>
      </c>
      <c r="BY285" s="96">
        <f t="shared" si="354"/>
        <v>0</v>
      </c>
      <c r="BZ285" s="96" t="e">
        <f t="shared" si="374"/>
        <v>#NUM!</v>
      </c>
      <c r="CA285" s="96" t="e">
        <f t="shared" si="355"/>
        <v>#NUM!</v>
      </c>
      <c r="CB285" s="104" t="e">
        <f t="shared" si="375"/>
        <v>#NUM!</v>
      </c>
      <c r="CC285" s="105">
        <f t="shared" si="338"/>
        <v>89.769765052743352</v>
      </c>
      <c r="CD285" s="106">
        <f t="shared" si="339"/>
        <v>66.54405839720728</v>
      </c>
      <c r="CE285" s="107">
        <f t="shared" si="340"/>
        <v>0.99816087595810921</v>
      </c>
      <c r="CF285" s="108" t="s">
        <v>2189</v>
      </c>
      <c r="CG285" s="108" t="s">
        <v>2189</v>
      </c>
      <c r="CH285" s="108" t="s">
        <v>2189</v>
      </c>
      <c r="CI285" s="108" t="s">
        <v>2189</v>
      </c>
      <c r="CJ285" s="109"/>
      <c r="CM285" s="111">
        <f t="shared" si="376"/>
        <v>25</v>
      </c>
      <c r="CN285" s="107">
        <f t="shared" si="341"/>
        <v>0.375</v>
      </c>
      <c r="CP285" s="88">
        <f t="shared" si="377"/>
        <v>0</v>
      </c>
      <c r="CQ285" s="78">
        <f t="shared" si="378"/>
        <v>100</v>
      </c>
      <c r="CR285" s="79">
        <f t="shared" si="342"/>
        <v>3</v>
      </c>
      <c r="CS285" s="92"/>
      <c r="CT285" s="77">
        <f t="shared" si="356"/>
        <v>0</v>
      </c>
      <c r="CU285" s="78">
        <f t="shared" si="379"/>
        <v>100</v>
      </c>
      <c r="CV285" s="79">
        <f t="shared" si="343"/>
        <v>2</v>
      </c>
      <c r="CW285" s="112" t="e">
        <f t="shared" si="380"/>
        <v>#DIV/0!</v>
      </c>
    </row>
    <row r="286" spans="1:101" x14ac:dyDescent="0.35">
      <c r="A286" s="7" t="s">
        <v>1828</v>
      </c>
      <c r="B286" s="8" t="s">
        <v>1829</v>
      </c>
      <c r="C286" s="21" t="s">
        <v>1830</v>
      </c>
      <c r="D286" s="10" t="s">
        <v>21</v>
      </c>
      <c r="E286" s="11" t="s">
        <v>1831</v>
      </c>
      <c r="F286" s="11" t="s">
        <v>1832</v>
      </c>
      <c r="G286" s="12">
        <v>32825</v>
      </c>
      <c r="H286" s="11" t="s">
        <v>24</v>
      </c>
      <c r="I286" s="11" t="s">
        <v>1833</v>
      </c>
      <c r="J286" s="11" t="s">
        <v>1834</v>
      </c>
      <c r="K286" s="11" t="s">
        <v>27</v>
      </c>
      <c r="L286" s="23">
        <v>155630578</v>
      </c>
      <c r="M286" s="14">
        <v>90528054</v>
      </c>
      <c r="N286" s="14">
        <v>65102524</v>
      </c>
      <c r="O286" s="14">
        <v>645266960</v>
      </c>
      <c r="P286" s="14">
        <v>10863969</v>
      </c>
      <c r="Q286" s="14">
        <v>8506214</v>
      </c>
      <c r="R286" s="14">
        <v>6849115</v>
      </c>
      <c r="AB286" s="74">
        <f t="shared" si="381"/>
        <v>0</v>
      </c>
      <c r="AC286" s="75" t="e">
        <f t="shared" si="357"/>
        <v>#DIV/0!</v>
      </c>
      <c r="AD286" s="75" t="e">
        <f t="shared" si="382"/>
        <v>#DIV/0!</v>
      </c>
      <c r="AE286" s="76" t="e">
        <f t="shared" si="332"/>
        <v>#DIV/0!</v>
      </c>
      <c r="AF286" s="77" t="e">
        <f t="shared" si="358"/>
        <v>#DIV/0!</v>
      </c>
      <c r="AG286" s="77" t="e">
        <f t="shared" si="359"/>
        <v>#DIV/0!</v>
      </c>
      <c r="AH286" s="77" t="e">
        <f t="shared" si="383"/>
        <v>#DIV/0!</v>
      </c>
      <c r="AI286" s="78" t="e">
        <f t="shared" si="384"/>
        <v>#DIV/0!</v>
      </c>
      <c r="AJ286" s="79" t="e">
        <f t="shared" si="333"/>
        <v>#DIV/0!</v>
      </c>
      <c r="AN286" s="81">
        <f t="shared" si="344"/>
        <v>0</v>
      </c>
      <c r="AO286" s="82" t="e">
        <f t="shared" si="345"/>
        <v>#DIV/0!</v>
      </c>
      <c r="AP286" s="83" t="e">
        <f t="shared" si="360"/>
        <v>#DIV/0!</v>
      </c>
      <c r="AQ286" s="84" t="e">
        <f t="shared" si="334"/>
        <v>#DIV/0!</v>
      </c>
      <c r="AS286" s="86">
        <f t="shared" si="346"/>
        <v>0.25</v>
      </c>
      <c r="AT286" s="87">
        <f t="shared" si="361"/>
        <v>0</v>
      </c>
      <c r="AU286" s="87">
        <f t="shared" si="362"/>
        <v>0</v>
      </c>
      <c r="AV286" s="88" t="e">
        <f t="shared" si="347"/>
        <v>#DIV/0!</v>
      </c>
      <c r="AW286" s="78" t="e">
        <f t="shared" si="363"/>
        <v>#DIV/0!</v>
      </c>
      <c r="AX286" s="89" t="e">
        <f t="shared" si="335"/>
        <v>#DIV/0!</v>
      </c>
      <c r="BA286" s="91">
        <f t="shared" si="348"/>
        <v>0</v>
      </c>
      <c r="BB286" s="77" t="e">
        <f t="shared" si="364"/>
        <v>#DIV/0!</v>
      </c>
      <c r="BC286" s="78" t="e">
        <f t="shared" si="365"/>
        <v>#DIV/0!</v>
      </c>
      <c r="BD286" s="79" t="e">
        <f t="shared" si="336"/>
        <v>#DIV/0!</v>
      </c>
      <c r="BE286" s="92"/>
      <c r="BF286" s="92"/>
      <c r="BG286" s="114">
        <f>230011</f>
        <v>230011</v>
      </c>
      <c r="BH286" s="94">
        <f t="shared" si="349"/>
        <v>0</v>
      </c>
      <c r="BI286" s="77" t="e">
        <f t="shared" si="350"/>
        <v>#DIV/0!</v>
      </c>
      <c r="BJ286" s="95" t="str">
        <f t="shared" si="366"/>
        <v>비제조/서비스업</v>
      </c>
      <c r="BK286" s="96" t="e">
        <f t="shared" si="351"/>
        <v>#DIV/0!</v>
      </c>
      <c r="BL286" s="97" t="e">
        <f t="shared" si="367"/>
        <v>#DIV/0!</v>
      </c>
      <c r="BM286" s="98" t="e">
        <f t="shared" si="368"/>
        <v>#DIV/0!</v>
      </c>
      <c r="BN286" s="99" t="e">
        <f t="shared" si="369"/>
        <v>#DIV/0!</v>
      </c>
      <c r="BP286" s="101">
        <f t="shared" si="370"/>
        <v>0</v>
      </c>
      <c r="BQ286" s="78">
        <f t="shared" si="371"/>
        <v>25</v>
      </c>
      <c r="BR286" s="79">
        <f t="shared" si="337"/>
        <v>0.5</v>
      </c>
      <c r="BS286" s="102"/>
      <c r="BT286" s="102"/>
      <c r="BU286" s="103">
        <f t="shared" si="372"/>
        <v>0</v>
      </c>
      <c r="BV286" s="77">
        <f t="shared" si="352"/>
        <v>0</v>
      </c>
      <c r="BW286" s="96">
        <f t="shared" si="353"/>
        <v>0</v>
      </c>
      <c r="BX286" s="96">
        <f t="shared" si="373"/>
        <v>0</v>
      </c>
      <c r="BY286" s="96">
        <f t="shared" si="354"/>
        <v>0</v>
      </c>
      <c r="BZ286" s="96" t="e">
        <f t="shared" si="374"/>
        <v>#NUM!</v>
      </c>
      <c r="CA286" s="96" t="e">
        <f t="shared" si="355"/>
        <v>#NUM!</v>
      </c>
      <c r="CB286" s="104" t="e">
        <f t="shared" si="375"/>
        <v>#NUM!</v>
      </c>
      <c r="CC286" s="105">
        <f t="shared" si="338"/>
        <v>139.05459948065914</v>
      </c>
      <c r="CD286" s="106">
        <f t="shared" si="339"/>
        <v>47.969372055027961</v>
      </c>
      <c r="CE286" s="107">
        <f t="shared" si="340"/>
        <v>0.71954058082541938</v>
      </c>
      <c r="CF286" s="108" t="s">
        <v>2189</v>
      </c>
      <c r="CG286" s="108" t="s">
        <v>2189</v>
      </c>
      <c r="CH286" s="108" t="s">
        <v>2189</v>
      </c>
      <c r="CI286" s="108" t="s">
        <v>2189</v>
      </c>
      <c r="CJ286" s="109"/>
      <c r="CM286" s="111">
        <f t="shared" si="376"/>
        <v>25</v>
      </c>
      <c r="CN286" s="107">
        <f t="shared" si="341"/>
        <v>0.375</v>
      </c>
      <c r="CP286" s="88">
        <f t="shared" si="377"/>
        <v>0</v>
      </c>
      <c r="CQ286" s="78">
        <f t="shared" si="378"/>
        <v>100</v>
      </c>
      <c r="CR286" s="79">
        <f t="shared" si="342"/>
        <v>3</v>
      </c>
      <c r="CS286" s="92"/>
      <c r="CT286" s="77">
        <f t="shared" si="356"/>
        <v>0</v>
      </c>
      <c r="CU286" s="78">
        <f t="shared" si="379"/>
        <v>100</v>
      </c>
      <c r="CV286" s="79">
        <f t="shared" si="343"/>
        <v>2</v>
      </c>
      <c r="CW286" s="112" t="e">
        <f t="shared" si="380"/>
        <v>#DIV/0!</v>
      </c>
    </row>
    <row r="287" spans="1:101" x14ac:dyDescent="0.35">
      <c r="A287" s="7" t="s">
        <v>1835</v>
      </c>
      <c r="B287" s="8" t="s">
        <v>1836</v>
      </c>
      <c r="C287" s="21" t="s">
        <v>1837</v>
      </c>
      <c r="D287" s="10" t="s">
        <v>75</v>
      </c>
      <c r="E287" s="11" t="s">
        <v>76</v>
      </c>
      <c r="F287" s="11" t="s">
        <v>1838</v>
      </c>
      <c r="G287" s="12">
        <v>32648</v>
      </c>
      <c r="H287" s="11" t="s">
        <v>24</v>
      </c>
      <c r="I287" s="11" t="s">
        <v>1839</v>
      </c>
      <c r="J287" s="11" t="s">
        <v>1840</v>
      </c>
      <c r="K287" s="11" t="s">
        <v>27</v>
      </c>
      <c r="L287" s="23">
        <v>969016968</v>
      </c>
      <c r="M287" s="14">
        <v>318689082</v>
      </c>
      <c r="N287" s="14">
        <v>650327885</v>
      </c>
      <c r="O287" s="14">
        <v>637646664</v>
      </c>
      <c r="P287" s="14">
        <v>145266257</v>
      </c>
      <c r="Q287" s="14">
        <v>152220142</v>
      </c>
      <c r="R287" s="14">
        <v>120839991</v>
      </c>
      <c r="AB287" s="74">
        <f t="shared" si="381"/>
        <v>0</v>
      </c>
      <c r="AC287" s="75" t="e">
        <f t="shared" si="357"/>
        <v>#DIV/0!</v>
      </c>
      <c r="AD287" s="75" t="e">
        <f t="shared" si="382"/>
        <v>#DIV/0!</v>
      </c>
      <c r="AE287" s="76" t="e">
        <f t="shared" si="332"/>
        <v>#DIV/0!</v>
      </c>
      <c r="AF287" s="77" t="e">
        <f t="shared" si="358"/>
        <v>#DIV/0!</v>
      </c>
      <c r="AG287" s="77" t="e">
        <f t="shared" si="359"/>
        <v>#DIV/0!</v>
      </c>
      <c r="AH287" s="77" t="e">
        <f t="shared" si="383"/>
        <v>#DIV/0!</v>
      </c>
      <c r="AI287" s="78" t="e">
        <f t="shared" si="384"/>
        <v>#DIV/0!</v>
      </c>
      <c r="AJ287" s="79" t="e">
        <f t="shared" si="333"/>
        <v>#DIV/0!</v>
      </c>
      <c r="AN287" s="81">
        <f t="shared" si="344"/>
        <v>0</v>
      </c>
      <c r="AO287" s="82" t="e">
        <f t="shared" si="345"/>
        <v>#DIV/0!</v>
      </c>
      <c r="AP287" s="83" t="e">
        <f t="shared" si="360"/>
        <v>#DIV/0!</v>
      </c>
      <c r="AQ287" s="84" t="e">
        <f t="shared" si="334"/>
        <v>#DIV/0!</v>
      </c>
      <c r="AS287" s="86">
        <f t="shared" si="346"/>
        <v>0.25</v>
      </c>
      <c r="AT287" s="87">
        <f t="shared" si="361"/>
        <v>0</v>
      </c>
      <c r="AU287" s="87">
        <f t="shared" si="362"/>
        <v>0</v>
      </c>
      <c r="AV287" s="88" t="e">
        <f t="shared" si="347"/>
        <v>#DIV/0!</v>
      </c>
      <c r="AW287" s="78" t="e">
        <f t="shared" si="363"/>
        <v>#DIV/0!</v>
      </c>
      <c r="AX287" s="89" t="e">
        <f t="shared" si="335"/>
        <v>#DIV/0!</v>
      </c>
      <c r="BA287" s="91">
        <f t="shared" si="348"/>
        <v>0</v>
      </c>
      <c r="BB287" s="77" t="e">
        <f t="shared" si="364"/>
        <v>#DIV/0!</v>
      </c>
      <c r="BC287" s="78" t="e">
        <f t="shared" si="365"/>
        <v>#DIV/0!</v>
      </c>
      <c r="BD287" s="79" t="e">
        <f t="shared" si="336"/>
        <v>#DIV/0!</v>
      </c>
      <c r="BE287" s="92"/>
      <c r="BF287" s="92"/>
      <c r="BG287" s="114">
        <v>1460740</v>
      </c>
      <c r="BH287" s="94">
        <f t="shared" si="349"/>
        <v>0</v>
      </c>
      <c r="BI287" s="77" t="e">
        <f t="shared" si="350"/>
        <v>#DIV/0!</v>
      </c>
      <c r="BJ287" s="95" t="str">
        <f t="shared" si="366"/>
        <v>금속/비금속/화학업</v>
      </c>
      <c r="BK287" s="96" t="e">
        <f t="shared" si="351"/>
        <v>#DIV/0!</v>
      </c>
      <c r="BL287" s="97" t="e">
        <f t="shared" si="367"/>
        <v>#DIV/0!</v>
      </c>
      <c r="BM287" s="98" t="e">
        <f t="shared" si="368"/>
        <v>#DIV/0!</v>
      </c>
      <c r="BN287" s="99" t="e">
        <f t="shared" si="369"/>
        <v>#DIV/0!</v>
      </c>
      <c r="BP287" s="101">
        <f t="shared" si="370"/>
        <v>0</v>
      </c>
      <c r="BQ287" s="78">
        <f t="shared" si="371"/>
        <v>25</v>
      </c>
      <c r="BR287" s="79">
        <f t="shared" si="337"/>
        <v>0.5</v>
      </c>
      <c r="BS287" s="102"/>
      <c r="BT287" s="102"/>
      <c r="BU287" s="103">
        <f t="shared" si="372"/>
        <v>0</v>
      </c>
      <c r="BV287" s="77">
        <f t="shared" si="352"/>
        <v>0</v>
      </c>
      <c r="BW287" s="96">
        <f t="shared" si="353"/>
        <v>0</v>
      </c>
      <c r="BX287" s="96">
        <f t="shared" si="373"/>
        <v>0</v>
      </c>
      <c r="BY287" s="96">
        <f t="shared" si="354"/>
        <v>0</v>
      </c>
      <c r="BZ287" s="96" t="e">
        <f t="shared" si="374"/>
        <v>#NUM!</v>
      </c>
      <c r="CA287" s="96" t="e">
        <f t="shared" si="355"/>
        <v>#NUM!</v>
      </c>
      <c r="CB287" s="104" t="e">
        <f t="shared" si="375"/>
        <v>#NUM!</v>
      </c>
      <c r="CC287" s="105">
        <f t="shared" si="338"/>
        <v>49.004369849525979</v>
      </c>
      <c r="CD287" s="106">
        <f t="shared" si="339"/>
        <v>81.907900810480157</v>
      </c>
      <c r="CE287" s="107">
        <f t="shared" si="340"/>
        <v>1.2286185121572024</v>
      </c>
      <c r="CF287" s="108" t="s">
        <v>2189</v>
      </c>
      <c r="CG287" s="108" t="s">
        <v>2189</v>
      </c>
      <c r="CH287" s="108" t="s">
        <v>2189</v>
      </c>
      <c r="CI287" s="108" t="s">
        <v>2189</v>
      </c>
      <c r="CJ287" s="109"/>
      <c r="CM287" s="111">
        <f t="shared" si="376"/>
        <v>25</v>
      </c>
      <c r="CN287" s="107">
        <f t="shared" si="341"/>
        <v>0.375</v>
      </c>
      <c r="CP287" s="88">
        <f t="shared" si="377"/>
        <v>0</v>
      </c>
      <c r="CQ287" s="78">
        <f t="shared" si="378"/>
        <v>100</v>
      </c>
      <c r="CR287" s="79">
        <f t="shared" si="342"/>
        <v>3</v>
      </c>
      <c r="CS287" s="92"/>
      <c r="CT287" s="77">
        <f t="shared" si="356"/>
        <v>0</v>
      </c>
      <c r="CU287" s="78">
        <f t="shared" si="379"/>
        <v>100</v>
      </c>
      <c r="CV287" s="79">
        <f t="shared" si="343"/>
        <v>2</v>
      </c>
      <c r="CW287" s="112" t="e">
        <f t="shared" si="380"/>
        <v>#DIV/0!</v>
      </c>
    </row>
    <row r="288" spans="1:101" x14ac:dyDescent="0.35">
      <c r="A288" s="7" t="s">
        <v>1841</v>
      </c>
      <c r="B288" s="8" t="s">
        <v>1842</v>
      </c>
      <c r="C288" s="21" t="s">
        <v>1843</v>
      </c>
      <c r="D288" s="10" t="s">
        <v>21</v>
      </c>
      <c r="E288" s="11" t="s">
        <v>303</v>
      </c>
      <c r="F288" s="11" t="s">
        <v>1844</v>
      </c>
      <c r="G288" s="12">
        <v>32659</v>
      </c>
      <c r="H288" s="11" t="s">
        <v>24</v>
      </c>
      <c r="I288" s="11" t="s">
        <v>1845</v>
      </c>
      <c r="J288" s="11" t="s">
        <v>1846</v>
      </c>
      <c r="K288" s="11" t="s">
        <v>27</v>
      </c>
      <c r="L288" s="23">
        <v>121534902</v>
      </c>
      <c r="M288" s="14">
        <v>73176603</v>
      </c>
      <c r="N288" s="14">
        <v>48358299</v>
      </c>
      <c r="O288" s="14">
        <v>290909595</v>
      </c>
      <c r="P288" s="14">
        <v>4928985</v>
      </c>
      <c r="Q288" s="14">
        <v>3719511</v>
      </c>
      <c r="R288" s="14">
        <v>2563552</v>
      </c>
      <c r="AB288" s="74">
        <f t="shared" si="381"/>
        <v>0</v>
      </c>
      <c r="AC288" s="75" t="e">
        <f t="shared" si="357"/>
        <v>#DIV/0!</v>
      </c>
      <c r="AD288" s="75" t="e">
        <f t="shared" si="382"/>
        <v>#DIV/0!</v>
      </c>
      <c r="AE288" s="76" t="e">
        <f t="shared" si="332"/>
        <v>#DIV/0!</v>
      </c>
      <c r="AF288" s="77" t="e">
        <f t="shared" si="358"/>
        <v>#DIV/0!</v>
      </c>
      <c r="AG288" s="77" t="e">
        <f t="shared" si="359"/>
        <v>#DIV/0!</v>
      </c>
      <c r="AH288" s="77" t="e">
        <f t="shared" si="383"/>
        <v>#DIV/0!</v>
      </c>
      <c r="AI288" s="78" t="e">
        <f t="shared" si="384"/>
        <v>#DIV/0!</v>
      </c>
      <c r="AJ288" s="79" t="e">
        <f t="shared" si="333"/>
        <v>#DIV/0!</v>
      </c>
      <c r="AN288" s="81">
        <f t="shared" si="344"/>
        <v>0</v>
      </c>
      <c r="AO288" s="82" t="e">
        <f t="shared" si="345"/>
        <v>#DIV/0!</v>
      </c>
      <c r="AP288" s="83" t="e">
        <f t="shared" si="360"/>
        <v>#DIV/0!</v>
      </c>
      <c r="AQ288" s="84" t="e">
        <f t="shared" si="334"/>
        <v>#DIV/0!</v>
      </c>
      <c r="AS288" s="86">
        <f t="shared" si="346"/>
        <v>0.25</v>
      </c>
      <c r="AT288" s="87">
        <f t="shared" si="361"/>
        <v>0</v>
      </c>
      <c r="AU288" s="87">
        <f t="shared" si="362"/>
        <v>0</v>
      </c>
      <c r="AV288" s="88" t="e">
        <f t="shared" si="347"/>
        <v>#DIV/0!</v>
      </c>
      <c r="AW288" s="78" t="e">
        <f t="shared" si="363"/>
        <v>#DIV/0!</v>
      </c>
      <c r="AX288" s="89" t="e">
        <f t="shared" si="335"/>
        <v>#DIV/0!</v>
      </c>
      <c r="BA288" s="91">
        <f t="shared" si="348"/>
        <v>0</v>
      </c>
      <c r="BB288" s="77" t="e">
        <f t="shared" si="364"/>
        <v>#DIV/0!</v>
      </c>
      <c r="BC288" s="78" t="e">
        <f t="shared" si="365"/>
        <v>#DIV/0!</v>
      </c>
      <c r="BD288" s="79" t="e">
        <f t="shared" si="336"/>
        <v>#DIV/0!</v>
      </c>
      <c r="BE288" s="92"/>
      <c r="BF288" s="92"/>
      <c r="BG288" s="114">
        <v>537668</v>
      </c>
      <c r="BH288" s="94">
        <f t="shared" si="349"/>
        <v>0</v>
      </c>
      <c r="BI288" s="77" t="e">
        <f t="shared" si="350"/>
        <v>#DIV/0!</v>
      </c>
      <c r="BJ288" s="95" t="str">
        <f t="shared" si="366"/>
        <v>비제조/서비스업</v>
      </c>
      <c r="BK288" s="96" t="e">
        <f t="shared" si="351"/>
        <v>#DIV/0!</v>
      </c>
      <c r="BL288" s="97" t="e">
        <f t="shared" si="367"/>
        <v>#DIV/0!</v>
      </c>
      <c r="BM288" s="98" t="e">
        <f t="shared" si="368"/>
        <v>#DIV/0!</v>
      </c>
      <c r="BN288" s="99" t="e">
        <f t="shared" si="369"/>
        <v>#DIV/0!</v>
      </c>
      <c r="BP288" s="101">
        <f t="shared" si="370"/>
        <v>0</v>
      </c>
      <c r="BQ288" s="78">
        <f t="shared" si="371"/>
        <v>25</v>
      </c>
      <c r="BR288" s="79">
        <f t="shared" si="337"/>
        <v>0.5</v>
      </c>
      <c r="BS288" s="102"/>
      <c r="BT288" s="102"/>
      <c r="BU288" s="103">
        <f t="shared" si="372"/>
        <v>0</v>
      </c>
      <c r="BV288" s="77">
        <f t="shared" si="352"/>
        <v>0</v>
      </c>
      <c r="BW288" s="96">
        <f t="shared" si="353"/>
        <v>0</v>
      </c>
      <c r="BX288" s="96">
        <f t="shared" si="373"/>
        <v>0</v>
      </c>
      <c r="BY288" s="96">
        <f t="shared" si="354"/>
        <v>0</v>
      </c>
      <c r="BZ288" s="96" t="e">
        <f t="shared" si="374"/>
        <v>#NUM!</v>
      </c>
      <c r="CA288" s="96" t="e">
        <f t="shared" si="355"/>
        <v>#NUM!</v>
      </c>
      <c r="CB288" s="104" t="e">
        <f t="shared" si="375"/>
        <v>#NUM!</v>
      </c>
      <c r="CC288" s="105">
        <f t="shared" si="338"/>
        <v>151.32170591856428</v>
      </c>
      <c r="CD288" s="106">
        <f t="shared" si="339"/>
        <v>43.34609073420944</v>
      </c>
      <c r="CE288" s="107">
        <f t="shared" si="340"/>
        <v>0.65019136101314157</v>
      </c>
      <c r="CF288" s="108" t="s">
        <v>2189</v>
      </c>
      <c r="CG288" s="108" t="s">
        <v>2189</v>
      </c>
      <c r="CH288" s="108" t="s">
        <v>2189</v>
      </c>
      <c r="CI288" s="108" t="s">
        <v>2189</v>
      </c>
      <c r="CJ288" s="109"/>
      <c r="CM288" s="111">
        <f t="shared" si="376"/>
        <v>25</v>
      </c>
      <c r="CN288" s="107">
        <f t="shared" si="341"/>
        <v>0.375</v>
      </c>
      <c r="CP288" s="88">
        <f t="shared" si="377"/>
        <v>0</v>
      </c>
      <c r="CQ288" s="78">
        <f t="shared" si="378"/>
        <v>100</v>
      </c>
      <c r="CR288" s="79">
        <f t="shared" si="342"/>
        <v>3</v>
      </c>
      <c r="CS288" s="92"/>
      <c r="CT288" s="77">
        <f t="shared" si="356"/>
        <v>0</v>
      </c>
      <c r="CU288" s="78">
        <f t="shared" si="379"/>
        <v>100</v>
      </c>
      <c r="CV288" s="79">
        <f t="shared" si="343"/>
        <v>2</v>
      </c>
      <c r="CW288" s="112" t="e">
        <f t="shared" si="380"/>
        <v>#DIV/0!</v>
      </c>
    </row>
    <row r="289" spans="1:101" x14ac:dyDescent="0.35">
      <c r="A289" s="7" t="s">
        <v>1847</v>
      </c>
      <c r="B289" s="8" t="s">
        <v>1848</v>
      </c>
      <c r="C289" s="21" t="s">
        <v>1849</v>
      </c>
      <c r="D289" s="22" t="s">
        <v>21</v>
      </c>
      <c r="E289" s="11" t="s">
        <v>83</v>
      </c>
      <c r="F289" s="11" t="s">
        <v>1850</v>
      </c>
      <c r="G289" s="12">
        <v>27948</v>
      </c>
      <c r="H289" s="11" t="s">
        <v>24</v>
      </c>
      <c r="I289" s="11" t="s">
        <v>1851</v>
      </c>
      <c r="J289" s="11" t="s">
        <v>1852</v>
      </c>
      <c r="K289" s="11" t="s">
        <v>50</v>
      </c>
      <c r="L289" s="23">
        <v>1997213424</v>
      </c>
      <c r="M289" s="14">
        <v>1274120644</v>
      </c>
      <c r="N289" s="14">
        <v>723092780</v>
      </c>
      <c r="O289" s="14">
        <v>1190595681</v>
      </c>
      <c r="P289" s="14">
        <v>36051365</v>
      </c>
      <c r="Q289" s="14">
        <v>66290683</v>
      </c>
      <c r="R289" s="14">
        <v>50369228</v>
      </c>
      <c r="AB289" s="74">
        <f t="shared" si="381"/>
        <v>0</v>
      </c>
      <c r="AC289" s="75" t="e">
        <f t="shared" si="357"/>
        <v>#DIV/0!</v>
      </c>
      <c r="AD289" s="75" t="e">
        <f t="shared" si="382"/>
        <v>#DIV/0!</v>
      </c>
      <c r="AE289" s="76" t="e">
        <f t="shared" si="332"/>
        <v>#DIV/0!</v>
      </c>
      <c r="AF289" s="77" t="e">
        <f t="shared" si="358"/>
        <v>#DIV/0!</v>
      </c>
      <c r="AG289" s="77" t="e">
        <f t="shared" si="359"/>
        <v>#DIV/0!</v>
      </c>
      <c r="AH289" s="77" t="e">
        <f t="shared" si="383"/>
        <v>#DIV/0!</v>
      </c>
      <c r="AI289" s="78" t="e">
        <f t="shared" si="384"/>
        <v>#DIV/0!</v>
      </c>
      <c r="AJ289" s="79" t="e">
        <f t="shared" si="333"/>
        <v>#DIV/0!</v>
      </c>
      <c r="AN289" s="81">
        <f t="shared" si="344"/>
        <v>0</v>
      </c>
      <c r="AO289" s="82" t="e">
        <f t="shared" si="345"/>
        <v>#DIV/0!</v>
      </c>
      <c r="AP289" s="83" t="e">
        <f t="shared" si="360"/>
        <v>#DIV/0!</v>
      </c>
      <c r="AQ289" s="84" t="e">
        <f t="shared" si="334"/>
        <v>#DIV/0!</v>
      </c>
      <c r="AS289" s="86">
        <f t="shared" si="346"/>
        <v>0.25</v>
      </c>
      <c r="AT289" s="87">
        <f t="shared" si="361"/>
        <v>0</v>
      </c>
      <c r="AU289" s="87">
        <f t="shared" si="362"/>
        <v>0</v>
      </c>
      <c r="AV289" s="88" t="e">
        <f t="shared" si="347"/>
        <v>#DIV/0!</v>
      </c>
      <c r="AW289" s="78" t="e">
        <f t="shared" si="363"/>
        <v>#DIV/0!</v>
      </c>
      <c r="AX289" s="89" t="e">
        <f t="shared" si="335"/>
        <v>#DIV/0!</v>
      </c>
      <c r="BA289" s="91">
        <f t="shared" si="348"/>
        <v>0</v>
      </c>
      <c r="BB289" s="77" t="e">
        <f t="shared" si="364"/>
        <v>#DIV/0!</v>
      </c>
      <c r="BC289" s="78" t="e">
        <f t="shared" si="365"/>
        <v>#DIV/0!</v>
      </c>
      <c r="BD289" s="79" t="e">
        <f t="shared" si="336"/>
        <v>#DIV/0!</v>
      </c>
      <c r="BE289" s="92"/>
      <c r="BF289" s="92"/>
      <c r="BG289" s="114">
        <v>487000</v>
      </c>
      <c r="BH289" s="94">
        <f t="shared" si="349"/>
        <v>0</v>
      </c>
      <c r="BI289" s="77" t="e">
        <f t="shared" si="350"/>
        <v>#DIV/0!</v>
      </c>
      <c r="BJ289" s="95" t="str">
        <f t="shared" si="366"/>
        <v>비제조/서비스업</v>
      </c>
      <c r="BK289" s="96" t="e">
        <f t="shared" si="351"/>
        <v>#DIV/0!</v>
      </c>
      <c r="BL289" s="97" t="e">
        <f t="shared" si="367"/>
        <v>#DIV/0!</v>
      </c>
      <c r="BM289" s="98" t="e">
        <f t="shared" si="368"/>
        <v>#DIV/0!</v>
      </c>
      <c r="BN289" s="99" t="e">
        <f t="shared" si="369"/>
        <v>#DIV/0!</v>
      </c>
      <c r="BP289" s="101">
        <f t="shared" si="370"/>
        <v>0</v>
      </c>
      <c r="BQ289" s="78">
        <f t="shared" si="371"/>
        <v>25</v>
      </c>
      <c r="BR289" s="79">
        <f t="shared" si="337"/>
        <v>0.5</v>
      </c>
      <c r="BS289" s="102"/>
      <c r="BT289" s="102"/>
      <c r="BU289" s="103">
        <f t="shared" si="372"/>
        <v>0</v>
      </c>
      <c r="BV289" s="77">
        <f t="shared" si="352"/>
        <v>0</v>
      </c>
      <c r="BW289" s="96">
        <f t="shared" si="353"/>
        <v>0</v>
      </c>
      <c r="BX289" s="96">
        <f t="shared" si="373"/>
        <v>0</v>
      </c>
      <c r="BY289" s="96">
        <f t="shared" si="354"/>
        <v>0</v>
      </c>
      <c r="BZ289" s="96" t="e">
        <f t="shared" si="374"/>
        <v>#NUM!</v>
      </c>
      <c r="CA289" s="96" t="e">
        <f t="shared" si="355"/>
        <v>#NUM!</v>
      </c>
      <c r="CB289" s="104" t="e">
        <f t="shared" si="375"/>
        <v>#NUM!</v>
      </c>
      <c r="CC289" s="105">
        <f t="shared" si="338"/>
        <v>176.2043100471837</v>
      </c>
      <c r="CD289" s="106">
        <f t="shared" si="339"/>
        <v>33.96822485658906</v>
      </c>
      <c r="CE289" s="107">
        <f t="shared" si="340"/>
        <v>0.50952337284883586</v>
      </c>
      <c r="CF289" s="108" t="s">
        <v>2189</v>
      </c>
      <c r="CG289" s="108" t="s">
        <v>2189</v>
      </c>
      <c r="CH289" s="108" t="s">
        <v>2189</v>
      </c>
      <c r="CI289" s="108" t="s">
        <v>2189</v>
      </c>
      <c r="CJ289" s="109"/>
      <c r="CM289" s="111">
        <f t="shared" si="376"/>
        <v>25</v>
      </c>
      <c r="CN289" s="107">
        <f t="shared" si="341"/>
        <v>0.375</v>
      </c>
      <c r="CP289" s="88">
        <f t="shared" si="377"/>
        <v>0</v>
      </c>
      <c r="CQ289" s="78">
        <f t="shared" si="378"/>
        <v>100</v>
      </c>
      <c r="CR289" s="79">
        <f t="shared" si="342"/>
        <v>3</v>
      </c>
      <c r="CS289" s="92"/>
      <c r="CT289" s="77">
        <f t="shared" si="356"/>
        <v>0</v>
      </c>
      <c r="CU289" s="78">
        <f t="shared" si="379"/>
        <v>100</v>
      </c>
      <c r="CV289" s="79">
        <f t="shared" si="343"/>
        <v>2</v>
      </c>
      <c r="CW289" s="112" t="e">
        <f t="shared" si="380"/>
        <v>#DIV/0!</v>
      </c>
    </row>
    <row r="290" spans="1:101" x14ac:dyDescent="0.35">
      <c r="A290" s="7" t="s">
        <v>1853</v>
      </c>
      <c r="B290" s="8" t="s">
        <v>1854</v>
      </c>
      <c r="C290" s="21" t="s">
        <v>1855</v>
      </c>
      <c r="D290" s="25" t="s">
        <v>262</v>
      </c>
      <c r="E290" s="11" t="s">
        <v>263</v>
      </c>
      <c r="F290" s="11" t="s">
        <v>1168</v>
      </c>
      <c r="G290" s="12">
        <v>32206</v>
      </c>
      <c r="H290" s="11" t="s">
        <v>24</v>
      </c>
      <c r="I290" s="11" t="s">
        <v>1856</v>
      </c>
      <c r="J290" s="11" t="s">
        <v>1857</v>
      </c>
      <c r="K290" s="11" t="s">
        <v>27</v>
      </c>
      <c r="L290" s="23">
        <v>1502891064</v>
      </c>
      <c r="M290" s="14">
        <v>1043504163</v>
      </c>
      <c r="N290" s="14">
        <v>459386901</v>
      </c>
      <c r="O290" s="14">
        <v>1117144964</v>
      </c>
      <c r="P290" s="14">
        <v>37196835</v>
      </c>
      <c r="Q290" s="14">
        <v>35531502</v>
      </c>
      <c r="R290" s="14">
        <v>24033308</v>
      </c>
      <c r="AB290" s="74">
        <f t="shared" si="381"/>
        <v>0</v>
      </c>
      <c r="AC290" s="75" t="e">
        <f t="shared" si="357"/>
        <v>#DIV/0!</v>
      </c>
      <c r="AD290" s="75" t="e">
        <f t="shared" si="382"/>
        <v>#DIV/0!</v>
      </c>
      <c r="AE290" s="119" t="e">
        <f>AD290*0.04</f>
        <v>#DIV/0!</v>
      </c>
      <c r="AF290" s="77" t="e">
        <f t="shared" si="358"/>
        <v>#DIV/0!</v>
      </c>
      <c r="AG290" s="77" t="e">
        <f t="shared" si="359"/>
        <v>#DIV/0!</v>
      </c>
      <c r="AH290" s="77" t="e">
        <f t="shared" si="383"/>
        <v>#DIV/0!</v>
      </c>
      <c r="AI290" s="78" t="e">
        <f t="shared" si="384"/>
        <v>#DIV/0!</v>
      </c>
      <c r="AJ290" s="120" t="e">
        <f>AI290*0.05</f>
        <v>#DIV/0!</v>
      </c>
      <c r="AN290" s="81">
        <f t="shared" si="344"/>
        <v>0</v>
      </c>
      <c r="AO290" s="82" t="e">
        <f t="shared" si="345"/>
        <v>#DIV/0!</v>
      </c>
      <c r="AP290" s="83" t="e">
        <f t="shared" si="360"/>
        <v>#DIV/0!</v>
      </c>
      <c r="AQ290" s="121" t="e">
        <f>AP290*0.03</f>
        <v>#DIV/0!</v>
      </c>
      <c r="AS290" s="86">
        <f t="shared" si="346"/>
        <v>0.25</v>
      </c>
      <c r="AT290" s="87">
        <f t="shared" si="361"/>
        <v>0</v>
      </c>
      <c r="AU290" s="87">
        <f t="shared" si="362"/>
        <v>0</v>
      </c>
      <c r="AV290" s="88" t="e">
        <f t="shared" si="347"/>
        <v>#DIV/0!</v>
      </c>
      <c r="AW290" s="78" t="e">
        <f t="shared" si="363"/>
        <v>#DIV/0!</v>
      </c>
      <c r="AX290" s="122" t="e">
        <f>AW290*0.02</f>
        <v>#DIV/0!</v>
      </c>
      <c r="BA290" s="91">
        <f t="shared" si="348"/>
        <v>0</v>
      </c>
      <c r="BB290" s="77" t="e">
        <f t="shared" si="364"/>
        <v>#DIV/0!</v>
      </c>
      <c r="BC290" s="78" t="e">
        <f t="shared" si="365"/>
        <v>#DIV/0!</v>
      </c>
      <c r="BD290" s="120" t="e">
        <f>BC290*0.02</f>
        <v>#DIV/0!</v>
      </c>
      <c r="BE290" s="92"/>
      <c r="BF290" s="92"/>
      <c r="BG290" s="114">
        <v>11635674</v>
      </c>
      <c r="BH290" s="94">
        <f t="shared" si="349"/>
        <v>0</v>
      </c>
      <c r="BI290" s="77" t="e">
        <f t="shared" si="350"/>
        <v>#DIV/0!</v>
      </c>
      <c r="BJ290" s="95" t="str">
        <f t="shared" si="366"/>
        <v>금융업</v>
      </c>
      <c r="BK290" s="96" t="e">
        <f t="shared" si="351"/>
        <v>#DIV/0!</v>
      </c>
      <c r="BL290" s="97" t="e">
        <f t="shared" si="367"/>
        <v>#DIV/0!</v>
      </c>
      <c r="BM290" s="98" t="e">
        <f t="shared" si="368"/>
        <v>#DIV/0!</v>
      </c>
      <c r="BN290" s="99" t="e">
        <f t="shared" si="369"/>
        <v>#DIV/0!</v>
      </c>
      <c r="BP290" s="101">
        <f t="shared" si="370"/>
        <v>0</v>
      </c>
      <c r="BQ290" s="78">
        <f t="shared" si="371"/>
        <v>25</v>
      </c>
      <c r="BR290" s="120">
        <f>BQ290*0.01</f>
        <v>0.25</v>
      </c>
      <c r="BS290" s="102"/>
      <c r="BT290" s="102"/>
      <c r="BU290" s="103">
        <f t="shared" si="372"/>
        <v>0</v>
      </c>
      <c r="BV290" s="77">
        <f t="shared" si="352"/>
        <v>0</v>
      </c>
      <c r="BW290" s="96">
        <f t="shared" si="353"/>
        <v>0</v>
      </c>
      <c r="BX290" s="96">
        <f t="shared" si="373"/>
        <v>0</v>
      </c>
      <c r="BY290" s="96">
        <f t="shared" si="354"/>
        <v>0</v>
      </c>
      <c r="BZ290" s="96" t="e">
        <f t="shared" si="374"/>
        <v>#NUM!</v>
      </c>
      <c r="CA290" s="96" t="e">
        <f t="shared" si="355"/>
        <v>#NUM!</v>
      </c>
      <c r="CB290" s="104" t="e">
        <f t="shared" si="375"/>
        <v>#NUM!</v>
      </c>
      <c r="CC290" s="123" t="s">
        <v>2200</v>
      </c>
      <c r="CD290" s="124" t="s">
        <v>2200</v>
      </c>
      <c r="CE290" s="125"/>
      <c r="CF290" s="126" t="s">
        <v>2201</v>
      </c>
      <c r="CG290" s="127">
        <v>1.36</v>
      </c>
      <c r="CH290" s="126" t="s">
        <v>2201</v>
      </c>
      <c r="CI290" s="128">
        <f>IF((100-(75*(CG290-1)/9))&gt;100,100,IF((100-(75*(CG290-1)/9))&lt;25,25,(100-(75*(CG290-1)/9))))</f>
        <v>97</v>
      </c>
      <c r="CJ290" s="129">
        <f>CI290*0.04</f>
        <v>3.88</v>
      </c>
      <c r="CM290" s="111">
        <f t="shared" si="376"/>
        <v>25</v>
      </c>
      <c r="CN290" s="130">
        <f>CM290*0.03</f>
        <v>0.75</v>
      </c>
      <c r="CP290" s="88">
        <f t="shared" si="377"/>
        <v>0</v>
      </c>
      <c r="CQ290" s="78">
        <f t="shared" si="378"/>
        <v>100</v>
      </c>
      <c r="CR290" s="120">
        <f>CQ290*0.04</f>
        <v>4</v>
      </c>
      <c r="CS290" s="92"/>
      <c r="CT290" s="77">
        <f t="shared" si="356"/>
        <v>0</v>
      </c>
      <c r="CU290" s="78">
        <f t="shared" si="379"/>
        <v>100</v>
      </c>
      <c r="CV290" s="131">
        <f>CU290*0.03</f>
        <v>3</v>
      </c>
      <c r="CW290" s="112" t="e">
        <f t="shared" si="380"/>
        <v>#DIV/0!</v>
      </c>
    </row>
    <row r="291" spans="1:101" x14ac:dyDescent="0.35">
      <c r="A291" s="7" t="s">
        <v>1858</v>
      </c>
      <c r="B291" s="8" t="s">
        <v>1859</v>
      </c>
      <c r="C291" s="21" t="s">
        <v>1860</v>
      </c>
      <c r="D291" s="10" t="s">
        <v>31</v>
      </c>
      <c r="E291" s="11" t="s">
        <v>183</v>
      </c>
      <c r="F291" s="11" t="s">
        <v>1861</v>
      </c>
      <c r="G291" s="12">
        <v>32860</v>
      </c>
      <c r="H291" s="11" t="s">
        <v>24</v>
      </c>
      <c r="I291" s="11" t="s">
        <v>1862</v>
      </c>
      <c r="J291" s="11" t="s">
        <v>1863</v>
      </c>
      <c r="K291" s="11" t="s">
        <v>212</v>
      </c>
      <c r="L291" s="23">
        <v>213430249</v>
      </c>
      <c r="M291" s="14">
        <v>44956203</v>
      </c>
      <c r="N291" s="14">
        <v>168474046</v>
      </c>
      <c r="O291" s="14">
        <v>109995419</v>
      </c>
      <c r="P291" s="14">
        <v>1769754</v>
      </c>
      <c r="Q291" s="14">
        <v>2224437</v>
      </c>
      <c r="R291" s="14">
        <v>546481</v>
      </c>
      <c r="AB291" s="74">
        <f t="shared" si="381"/>
        <v>0</v>
      </c>
      <c r="AC291" s="75" t="e">
        <f t="shared" si="357"/>
        <v>#DIV/0!</v>
      </c>
      <c r="AD291" s="75" t="e">
        <f t="shared" si="382"/>
        <v>#DIV/0!</v>
      </c>
      <c r="AE291" s="76" t="e">
        <f t="shared" ref="AE291:AE296" si="385">AD291*0.03</f>
        <v>#DIV/0!</v>
      </c>
      <c r="AF291" s="77" t="e">
        <f t="shared" si="358"/>
        <v>#DIV/0!</v>
      </c>
      <c r="AG291" s="77" t="e">
        <f t="shared" si="359"/>
        <v>#DIV/0!</v>
      </c>
      <c r="AH291" s="77" t="e">
        <f t="shared" si="383"/>
        <v>#DIV/0!</v>
      </c>
      <c r="AI291" s="78" t="e">
        <f t="shared" si="384"/>
        <v>#DIV/0!</v>
      </c>
      <c r="AJ291" s="79" t="e">
        <f t="shared" ref="AJ291:AJ296" si="386">AI291*0.04</f>
        <v>#DIV/0!</v>
      </c>
      <c r="AN291" s="81">
        <f t="shared" si="344"/>
        <v>0</v>
      </c>
      <c r="AO291" s="82" t="e">
        <f t="shared" si="345"/>
        <v>#DIV/0!</v>
      </c>
      <c r="AP291" s="83" t="e">
        <f t="shared" si="360"/>
        <v>#DIV/0!</v>
      </c>
      <c r="AQ291" s="84" t="e">
        <f t="shared" ref="AQ291:AQ296" si="387">AP291*0.02</f>
        <v>#DIV/0!</v>
      </c>
      <c r="AS291" s="86">
        <f t="shared" si="346"/>
        <v>0.25</v>
      </c>
      <c r="AT291" s="87">
        <f t="shared" si="361"/>
        <v>0</v>
      </c>
      <c r="AU291" s="87">
        <f t="shared" si="362"/>
        <v>0</v>
      </c>
      <c r="AV291" s="88" t="e">
        <f t="shared" si="347"/>
        <v>#DIV/0!</v>
      </c>
      <c r="AW291" s="78" t="e">
        <f t="shared" si="363"/>
        <v>#DIV/0!</v>
      </c>
      <c r="AX291" s="89" t="e">
        <f t="shared" ref="AX291:AX296" si="388">AW291*0.01</f>
        <v>#DIV/0!</v>
      </c>
      <c r="BA291" s="91">
        <f t="shared" si="348"/>
        <v>0</v>
      </c>
      <c r="BB291" s="77" t="e">
        <f t="shared" si="364"/>
        <v>#DIV/0!</v>
      </c>
      <c r="BC291" s="78" t="e">
        <f t="shared" si="365"/>
        <v>#DIV/0!</v>
      </c>
      <c r="BD291" s="79" t="e">
        <f t="shared" ref="BD291:BD296" si="389">BC291*0.01</f>
        <v>#DIV/0!</v>
      </c>
      <c r="BE291" s="92"/>
      <c r="BF291" s="92"/>
      <c r="BG291" s="114">
        <v>19420</v>
      </c>
      <c r="BH291" s="94">
        <f t="shared" si="349"/>
        <v>0</v>
      </c>
      <c r="BI291" s="77" t="e">
        <f t="shared" si="350"/>
        <v>#DIV/0!</v>
      </c>
      <c r="BJ291" s="95" t="str">
        <f t="shared" si="366"/>
        <v>식약/섬유/종이업</v>
      </c>
      <c r="BK291" s="96" t="e">
        <f t="shared" si="351"/>
        <v>#DIV/0!</v>
      </c>
      <c r="BL291" s="97" t="e">
        <f t="shared" si="367"/>
        <v>#DIV/0!</v>
      </c>
      <c r="BM291" s="98" t="e">
        <f t="shared" si="368"/>
        <v>#DIV/0!</v>
      </c>
      <c r="BN291" s="99" t="e">
        <f t="shared" si="369"/>
        <v>#DIV/0!</v>
      </c>
      <c r="BP291" s="101">
        <f t="shared" si="370"/>
        <v>0</v>
      </c>
      <c r="BQ291" s="78">
        <f t="shared" si="371"/>
        <v>25</v>
      </c>
      <c r="BR291" s="79">
        <f t="shared" ref="BR291:BR296" si="390">BQ291*0.02</f>
        <v>0.5</v>
      </c>
      <c r="BS291" s="102"/>
      <c r="BT291" s="102"/>
      <c r="BU291" s="103">
        <f t="shared" si="372"/>
        <v>0</v>
      </c>
      <c r="BV291" s="77">
        <f t="shared" si="352"/>
        <v>0</v>
      </c>
      <c r="BW291" s="96">
        <f t="shared" si="353"/>
        <v>0</v>
      </c>
      <c r="BX291" s="96">
        <f t="shared" si="373"/>
        <v>0</v>
      </c>
      <c r="BY291" s="96">
        <f t="shared" si="354"/>
        <v>0</v>
      </c>
      <c r="BZ291" s="96" t="e">
        <f t="shared" si="374"/>
        <v>#NUM!</v>
      </c>
      <c r="CA291" s="96" t="e">
        <f t="shared" si="355"/>
        <v>#NUM!</v>
      </c>
      <c r="CB291" s="104" t="e">
        <f t="shared" si="375"/>
        <v>#NUM!</v>
      </c>
      <c r="CC291" s="105">
        <f t="shared" ref="CC291:CC296" si="391">(M291/N291)*100</f>
        <v>26.684349350759938</v>
      </c>
      <c r="CD291" s="106">
        <f t="shared" ref="CD291:CD296" si="392">IF((100-(75*(CC291-1)/(200-1)))&gt;100, 100, IF((100-(75*(CC291-1)/(200-1)))&lt;25, 25, (100-(75*(CC291-1)/(200-1)))))</f>
        <v>90.319968837653292</v>
      </c>
      <c r="CE291" s="107">
        <f t="shared" ref="CE291:CE296" si="393">CD291*0.015</f>
        <v>1.3547995325647992</v>
      </c>
      <c r="CF291" s="108" t="s">
        <v>2189</v>
      </c>
      <c r="CG291" s="108" t="s">
        <v>2189</v>
      </c>
      <c r="CH291" s="108" t="s">
        <v>2189</v>
      </c>
      <c r="CI291" s="108" t="s">
        <v>2189</v>
      </c>
      <c r="CJ291" s="109"/>
      <c r="CM291" s="111">
        <f t="shared" si="376"/>
        <v>25</v>
      </c>
      <c r="CN291" s="107">
        <f t="shared" ref="CN291:CN296" si="394">CM291*0.015</f>
        <v>0.375</v>
      </c>
      <c r="CP291" s="88">
        <f t="shared" si="377"/>
        <v>0</v>
      </c>
      <c r="CQ291" s="78">
        <f t="shared" si="378"/>
        <v>100</v>
      </c>
      <c r="CR291" s="79">
        <f t="shared" ref="CR291:CR296" si="395">CQ291*0.03</f>
        <v>3</v>
      </c>
      <c r="CS291" s="92"/>
      <c r="CT291" s="77">
        <f t="shared" si="356"/>
        <v>0</v>
      </c>
      <c r="CU291" s="78">
        <f t="shared" si="379"/>
        <v>100</v>
      </c>
      <c r="CV291" s="79">
        <f t="shared" ref="CV291:CV296" si="396">CU291*0.02</f>
        <v>2</v>
      </c>
      <c r="CW291" s="112" t="e">
        <f t="shared" si="380"/>
        <v>#DIV/0!</v>
      </c>
    </row>
    <row r="292" spans="1:101" x14ac:dyDescent="0.35">
      <c r="A292" s="7" t="s">
        <v>1864</v>
      </c>
      <c r="B292" s="8" t="s">
        <v>1865</v>
      </c>
      <c r="C292" s="21" t="s">
        <v>1866</v>
      </c>
      <c r="D292" s="10" t="s">
        <v>75</v>
      </c>
      <c r="E292" s="11" t="s">
        <v>1187</v>
      </c>
      <c r="F292" s="11" t="s">
        <v>1867</v>
      </c>
      <c r="G292" s="12">
        <v>43318</v>
      </c>
      <c r="H292" s="11" t="s">
        <v>24</v>
      </c>
      <c r="I292" s="11" t="s">
        <v>1868</v>
      </c>
      <c r="J292" s="11" t="s">
        <v>1869</v>
      </c>
      <c r="K292" s="11" t="s">
        <v>27</v>
      </c>
      <c r="L292" s="23">
        <v>1920187832</v>
      </c>
      <c r="M292" s="14">
        <v>578102236</v>
      </c>
      <c r="N292" s="14">
        <v>1342085595</v>
      </c>
      <c r="O292" s="14">
        <v>1059617234</v>
      </c>
      <c r="P292" s="14">
        <v>81393435</v>
      </c>
      <c r="Q292" s="14">
        <v>87194859</v>
      </c>
      <c r="R292" s="14">
        <v>65472999</v>
      </c>
      <c r="AB292" s="74">
        <f t="shared" si="381"/>
        <v>0</v>
      </c>
      <c r="AC292" s="75" t="e">
        <f t="shared" si="357"/>
        <v>#DIV/0!</v>
      </c>
      <c r="AD292" s="75" t="e">
        <f t="shared" si="382"/>
        <v>#DIV/0!</v>
      </c>
      <c r="AE292" s="76" t="e">
        <f t="shared" si="385"/>
        <v>#DIV/0!</v>
      </c>
      <c r="AF292" s="77" t="e">
        <f t="shared" si="358"/>
        <v>#DIV/0!</v>
      </c>
      <c r="AG292" s="77" t="e">
        <f t="shared" si="359"/>
        <v>#DIV/0!</v>
      </c>
      <c r="AH292" s="77" t="e">
        <f t="shared" si="383"/>
        <v>#DIV/0!</v>
      </c>
      <c r="AI292" s="78" t="e">
        <f t="shared" si="384"/>
        <v>#DIV/0!</v>
      </c>
      <c r="AJ292" s="79" t="e">
        <f t="shared" si="386"/>
        <v>#DIV/0!</v>
      </c>
      <c r="AN292" s="81">
        <f t="shared" si="344"/>
        <v>0</v>
      </c>
      <c r="AO292" s="82" t="e">
        <f t="shared" si="345"/>
        <v>#DIV/0!</v>
      </c>
      <c r="AP292" s="83" t="e">
        <f t="shared" si="360"/>
        <v>#DIV/0!</v>
      </c>
      <c r="AQ292" s="84" t="e">
        <f t="shared" si="387"/>
        <v>#DIV/0!</v>
      </c>
      <c r="AS292" s="86">
        <f t="shared" si="346"/>
        <v>0.25</v>
      </c>
      <c r="AT292" s="87">
        <f t="shared" si="361"/>
        <v>0</v>
      </c>
      <c r="AU292" s="87">
        <f t="shared" si="362"/>
        <v>0</v>
      </c>
      <c r="AV292" s="88" t="e">
        <f t="shared" si="347"/>
        <v>#DIV/0!</v>
      </c>
      <c r="AW292" s="78" t="e">
        <f t="shared" si="363"/>
        <v>#DIV/0!</v>
      </c>
      <c r="AX292" s="89" t="e">
        <f t="shared" si="388"/>
        <v>#DIV/0!</v>
      </c>
      <c r="BA292" s="91">
        <f t="shared" si="348"/>
        <v>0</v>
      </c>
      <c r="BB292" s="77" t="e">
        <f t="shared" si="364"/>
        <v>#DIV/0!</v>
      </c>
      <c r="BC292" s="78" t="e">
        <f t="shared" si="365"/>
        <v>#DIV/0!</v>
      </c>
      <c r="BD292" s="79" t="e">
        <f t="shared" si="389"/>
        <v>#DIV/0!</v>
      </c>
      <c r="BE292" s="92"/>
      <c r="BF292" s="92"/>
      <c r="BG292" s="114">
        <v>1000644</v>
      </c>
      <c r="BH292" s="94">
        <f t="shared" si="349"/>
        <v>0</v>
      </c>
      <c r="BI292" s="77" t="e">
        <f t="shared" si="350"/>
        <v>#DIV/0!</v>
      </c>
      <c r="BJ292" s="95" t="str">
        <f t="shared" si="366"/>
        <v>금속/비금속/화학업</v>
      </c>
      <c r="BK292" s="96" t="e">
        <f t="shared" si="351"/>
        <v>#DIV/0!</v>
      </c>
      <c r="BL292" s="97" t="e">
        <f t="shared" si="367"/>
        <v>#DIV/0!</v>
      </c>
      <c r="BM292" s="98" t="e">
        <f t="shared" si="368"/>
        <v>#DIV/0!</v>
      </c>
      <c r="BN292" s="99" t="e">
        <f t="shared" si="369"/>
        <v>#DIV/0!</v>
      </c>
      <c r="BP292" s="101">
        <f t="shared" si="370"/>
        <v>0</v>
      </c>
      <c r="BQ292" s="78">
        <f t="shared" si="371"/>
        <v>25</v>
      </c>
      <c r="BR292" s="79">
        <f t="shared" si="390"/>
        <v>0.5</v>
      </c>
      <c r="BS292" s="102"/>
      <c r="BT292" s="102"/>
      <c r="BU292" s="103">
        <f t="shared" si="372"/>
        <v>0</v>
      </c>
      <c r="BV292" s="77">
        <f t="shared" si="352"/>
        <v>0</v>
      </c>
      <c r="BW292" s="96">
        <f t="shared" si="353"/>
        <v>0</v>
      </c>
      <c r="BX292" s="96">
        <f t="shared" si="373"/>
        <v>0</v>
      </c>
      <c r="BY292" s="96">
        <f t="shared" si="354"/>
        <v>0</v>
      </c>
      <c r="BZ292" s="96" t="e">
        <f t="shared" si="374"/>
        <v>#NUM!</v>
      </c>
      <c r="CA292" s="96" t="e">
        <f t="shared" si="355"/>
        <v>#NUM!</v>
      </c>
      <c r="CB292" s="104" t="e">
        <f t="shared" si="375"/>
        <v>#NUM!</v>
      </c>
      <c r="CC292" s="105">
        <f t="shared" si="391"/>
        <v>43.074915501197971</v>
      </c>
      <c r="CD292" s="106">
        <f t="shared" si="392"/>
        <v>84.142619785980671</v>
      </c>
      <c r="CE292" s="107">
        <f t="shared" si="393"/>
        <v>1.26213929678971</v>
      </c>
      <c r="CF292" s="108" t="s">
        <v>2189</v>
      </c>
      <c r="CG292" s="108" t="s">
        <v>2189</v>
      </c>
      <c r="CH292" s="108" t="s">
        <v>2189</v>
      </c>
      <c r="CI292" s="108" t="s">
        <v>2189</v>
      </c>
      <c r="CJ292" s="109"/>
      <c r="CM292" s="111">
        <f t="shared" si="376"/>
        <v>25</v>
      </c>
      <c r="CN292" s="107">
        <f t="shared" si="394"/>
        <v>0.375</v>
      </c>
      <c r="CP292" s="88">
        <f t="shared" si="377"/>
        <v>0</v>
      </c>
      <c r="CQ292" s="78">
        <f t="shared" si="378"/>
        <v>100</v>
      </c>
      <c r="CR292" s="79">
        <f t="shared" si="395"/>
        <v>3</v>
      </c>
      <c r="CS292" s="92"/>
      <c r="CT292" s="77">
        <f t="shared" si="356"/>
        <v>0</v>
      </c>
      <c r="CU292" s="78">
        <f t="shared" si="379"/>
        <v>100</v>
      </c>
      <c r="CV292" s="79">
        <f t="shared" si="396"/>
        <v>2</v>
      </c>
      <c r="CW292" s="112" t="e">
        <f t="shared" si="380"/>
        <v>#DIV/0!</v>
      </c>
    </row>
    <row r="293" spans="1:101" x14ac:dyDescent="0.35">
      <c r="A293" s="7" t="s">
        <v>1870</v>
      </c>
      <c r="B293" s="8" t="s">
        <v>1871</v>
      </c>
      <c r="C293" s="21" t="s">
        <v>1872</v>
      </c>
      <c r="D293" s="10" t="s">
        <v>75</v>
      </c>
      <c r="E293" s="11" t="s">
        <v>1187</v>
      </c>
      <c r="F293" s="11" t="s">
        <v>1873</v>
      </c>
      <c r="G293" s="12">
        <v>27754</v>
      </c>
      <c r="H293" s="11" t="s">
        <v>24</v>
      </c>
      <c r="I293" s="11" t="s">
        <v>1868</v>
      </c>
      <c r="J293" s="11" t="s">
        <v>1874</v>
      </c>
      <c r="K293" s="11" t="s">
        <v>27</v>
      </c>
      <c r="L293" s="23">
        <v>649126014</v>
      </c>
      <c r="M293" s="14">
        <v>285245442</v>
      </c>
      <c r="N293" s="14">
        <v>363880572</v>
      </c>
      <c r="O293" s="14">
        <v>471150174</v>
      </c>
      <c r="P293" s="14">
        <v>35168294</v>
      </c>
      <c r="Q293" s="14">
        <v>44443695</v>
      </c>
      <c r="R293" s="14">
        <v>35704071</v>
      </c>
      <c r="AB293" s="74">
        <f t="shared" si="381"/>
        <v>0</v>
      </c>
      <c r="AC293" s="75" t="e">
        <f t="shared" si="357"/>
        <v>#DIV/0!</v>
      </c>
      <c r="AD293" s="75" t="e">
        <f t="shared" si="382"/>
        <v>#DIV/0!</v>
      </c>
      <c r="AE293" s="76" t="e">
        <f t="shared" si="385"/>
        <v>#DIV/0!</v>
      </c>
      <c r="AF293" s="77" t="e">
        <f t="shared" si="358"/>
        <v>#DIV/0!</v>
      </c>
      <c r="AG293" s="77" t="e">
        <f t="shared" si="359"/>
        <v>#DIV/0!</v>
      </c>
      <c r="AH293" s="77" t="e">
        <f t="shared" si="383"/>
        <v>#DIV/0!</v>
      </c>
      <c r="AI293" s="78" t="e">
        <f t="shared" si="384"/>
        <v>#DIV/0!</v>
      </c>
      <c r="AJ293" s="79" t="e">
        <f t="shared" si="386"/>
        <v>#DIV/0!</v>
      </c>
      <c r="AN293" s="81">
        <f t="shared" si="344"/>
        <v>0</v>
      </c>
      <c r="AO293" s="82" t="e">
        <f t="shared" si="345"/>
        <v>#DIV/0!</v>
      </c>
      <c r="AP293" s="83" t="e">
        <f t="shared" si="360"/>
        <v>#DIV/0!</v>
      </c>
      <c r="AQ293" s="84" t="e">
        <f t="shared" si="387"/>
        <v>#DIV/0!</v>
      </c>
      <c r="AS293" s="86">
        <f t="shared" si="346"/>
        <v>0.25</v>
      </c>
      <c r="AT293" s="87">
        <f t="shared" si="361"/>
        <v>0</v>
      </c>
      <c r="AU293" s="87">
        <f t="shared" si="362"/>
        <v>0</v>
      </c>
      <c r="AV293" s="88" t="e">
        <f t="shared" si="347"/>
        <v>#DIV/0!</v>
      </c>
      <c r="AW293" s="78" t="e">
        <f t="shared" si="363"/>
        <v>#DIV/0!</v>
      </c>
      <c r="AX293" s="89" t="e">
        <f t="shared" si="388"/>
        <v>#DIV/0!</v>
      </c>
      <c r="BA293" s="91">
        <f t="shared" si="348"/>
        <v>0</v>
      </c>
      <c r="BB293" s="77" t="e">
        <f t="shared" si="364"/>
        <v>#DIV/0!</v>
      </c>
      <c r="BC293" s="78" t="e">
        <f t="shared" si="365"/>
        <v>#DIV/0!</v>
      </c>
      <c r="BD293" s="79" t="e">
        <f t="shared" si="389"/>
        <v>#DIV/0!</v>
      </c>
      <c r="BE293" s="92"/>
      <c r="BF293" s="92"/>
      <c r="BG293" s="114">
        <v>792241</v>
      </c>
      <c r="BH293" s="94">
        <f t="shared" si="349"/>
        <v>0</v>
      </c>
      <c r="BI293" s="77" t="e">
        <f t="shared" si="350"/>
        <v>#DIV/0!</v>
      </c>
      <c r="BJ293" s="95" t="str">
        <f t="shared" si="366"/>
        <v>금속/비금속/화학업</v>
      </c>
      <c r="BK293" s="96" t="e">
        <f t="shared" si="351"/>
        <v>#DIV/0!</v>
      </c>
      <c r="BL293" s="97" t="e">
        <f t="shared" si="367"/>
        <v>#DIV/0!</v>
      </c>
      <c r="BM293" s="98" t="e">
        <f t="shared" si="368"/>
        <v>#DIV/0!</v>
      </c>
      <c r="BN293" s="99" t="e">
        <f t="shared" si="369"/>
        <v>#DIV/0!</v>
      </c>
      <c r="BP293" s="101">
        <f t="shared" si="370"/>
        <v>0</v>
      </c>
      <c r="BQ293" s="78">
        <f t="shared" si="371"/>
        <v>25</v>
      </c>
      <c r="BR293" s="79">
        <f t="shared" si="390"/>
        <v>0.5</v>
      </c>
      <c r="BS293" s="102"/>
      <c r="BT293" s="102"/>
      <c r="BU293" s="103">
        <f t="shared" si="372"/>
        <v>0</v>
      </c>
      <c r="BV293" s="77">
        <f t="shared" si="352"/>
        <v>0</v>
      </c>
      <c r="BW293" s="96">
        <f t="shared" si="353"/>
        <v>0</v>
      </c>
      <c r="BX293" s="96">
        <f t="shared" si="373"/>
        <v>0</v>
      </c>
      <c r="BY293" s="96">
        <f t="shared" si="354"/>
        <v>0</v>
      </c>
      <c r="BZ293" s="96" t="e">
        <f t="shared" si="374"/>
        <v>#NUM!</v>
      </c>
      <c r="CA293" s="96" t="e">
        <f t="shared" si="355"/>
        <v>#NUM!</v>
      </c>
      <c r="CB293" s="104" t="e">
        <f t="shared" si="375"/>
        <v>#NUM!</v>
      </c>
      <c r="CC293" s="105">
        <f t="shared" si="391"/>
        <v>78.38985204189467</v>
      </c>
      <c r="CD293" s="106">
        <f t="shared" si="392"/>
        <v>70.83297033596935</v>
      </c>
      <c r="CE293" s="107">
        <f t="shared" si="393"/>
        <v>1.0624945550395402</v>
      </c>
      <c r="CF293" s="108" t="s">
        <v>2189</v>
      </c>
      <c r="CG293" s="108" t="s">
        <v>2189</v>
      </c>
      <c r="CH293" s="108" t="s">
        <v>2189</v>
      </c>
      <c r="CI293" s="108" t="s">
        <v>2189</v>
      </c>
      <c r="CJ293" s="109"/>
      <c r="CM293" s="111">
        <f t="shared" si="376"/>
        <v>25</v>
      </c>
      <c r="CN293" s="107">
        <f t="shared" si="394"/>
        <v>0.375</v>
      </c>
      <c r="CP293" s="88">
        <f t="shared" si="377"/>
        <v>0</v>
      </c>
      <c r="CQ293" s="78">
        <f t="shared" si="378"/>
        <v>100</v>
      </c>
      <c r="CR293" s="79">
        <f t="shared" si="395"/>
        <v>3</v>
      </c>
      <c r="CS293" s="92"/>
      <c r="CT293" s="77">
        <f t="shared" si="356"/>
        <v>0</v>
      </c>
      <c r="CU293" s="78">
        <f t="shared" si="379"/>
        <v>100</v>
      </c>
      <c r="CV293" s="79">
        <f t="shared" si="396"/>
        <v>2</v>
      </c>
      <c r="CW293" s="112" t="e">
        <f t="shared" si="380"/>
        <v>#DIV/0!</v>
      </c>
    </row>
    <row r="294" spans="1:101" x14ac:dyDescent="0.35">
      <c r="A294" s="7" t="s">
        <v>1875</v>
      </c>
      <c r="B294" s="8" t="s">
        <v>1876</v>
      </c>
      <c r="C294" s="21" t="s">
        <v>1877</v>
      </c>
      <c r="D294" s="22" t="s">
        <v>21</v>
      </c>
      <c r="E294" s="11" t="s">
        <v>646</v>
      </c>
      <c r="F294" s="11" t="s">
        <v>1878</v>
      </c>
      <c r="G294" s="12">
        <v>40528</v>
      </c>
      <c r="H294" s="11" t="s">
        <v>24</v>
      </c>
      <c r="I294" s="11" t="s">
        <v>1879</v>
      </c>
      <c r="J294" s="11" t="s">
        <v>1880</v>
      </c>
      <c r="K294" s="11" t="s">
        <v>27</v>
      </c>
      <c r="L294" s="23">
        <v>152002052</v>
      </c>
      <c r="M294" s="14">
        <v>59834292</v>
      </c>
      <c r="N294" s="14">
        <v>92167760</v>
      </c>
      <c r="O294" s="14">
        <v>337599455</v>
      </c>
      <c r="P294" s="14">
        <v>14950788</v>
      </c>
      <c r="Q294" s="14">
        <v>19578310</v>
      </c>
      <c r="R294" s="14">
        <v>14881619</v>
      </c>
      <c r="AB294" s="74">
        <f t="shared" si="381"/>
        <v>0</v>
      </c>
      <c r="AC294" s="75" t="e">
        <f t="shared" si="357"/>
        <v>#DIV/0!</v>
      </c>
      <c r="AD294" s="75" t="e">
        <f t="shared" si="382"/>
        <v>#DIV/0!</v>
      </c>
      <c r="AE294" s="76" t="e">
        <f t="shared" si="385"/>
        <v>#DIV/0!</v>
      </c>
      <c r="AF294" s="77" t="e">
        <f t="shared" si="358"/>
        <v>#DIV/0!</v>
      </c>
      <c r="AG294" s="77" t="e">
        <f t="shared" si="359"/>
        <v>#DIV/0!</v>
      </c>
      <c r="AH294" s="77" t="e">
        <f t="shared" si="383"/>
        <v>#DIV/0!</v>
      </c>
      <c r="AI294" s="78" t="e">
        <f t="shared" si="384"/>
        <v>#DIV/0!</v>
      </c>
      <c r="AJ294" s="79" t="e">
        <f t="shared" si="386"/>
        <v>#DIV/0!</v>
      </c>
      <c r="AN294" s="81">
        <f t="shared" si="344"/>
        <v>0</v>
      </c>
      <c r="AO294" s="82" t="e">
        <f t="shared" si="345"/>
        <v>#DIV/0!</v>
      </c>
      <c r="AP294" s="83" t="e">
        <f t="shared" si="360"/>
        <v>#DIV/0!</v>
      </c>
      <c r="AQ294" s="84" t="e">
        <f t="shared" si="387"/>
        <v>#DIV/0!</v>
      </c>
      <c r="AS294" s="86">
        <f t="shared" si="346"/>
        <v>0.25</v>
      </c>
      <c r="AT294" s="87">
        <f t="shared" si="361"/>
        <v>0</v>
      </c>
      <c r="AU294" s="87">
        <f t="shared" si="362"/>
        <v>0</v>
      </c>
      <c r="AV294" s="88" t="e">
        <f t="shared" si="347"/>
        <v>#DIV/0!</v>
      </c>
      <c r="AW294" s="78" t="e">
        <f t="shared" si="363"/>
        <v>#DIV/0!</v>
      </c>
      <c r="AX294" s="89" t="e">
        <f t="shared" si="388"/>
        <v>#DIV/0!</v>
      </c>
      <c r="BA294" s="91">
        <f t="shared" si="348"/>
        <v>0</v>
      </c>
      <c r="BB294" s="77" t="e">
        <f t="shared" si="364"/>
        <v>#DIV/0!</v>
      </c>
      <c r="BC294" s="78" t="e">
        <f t="shared" si="365"/>
        <v>#DIV/0!</v>
      </c>
      <c r="BD294" s="79" t="e">
        <f t="shared" si="389"/>
        <v>#DIV/0!</v>
      </c>
      <c r="BE294" s="92"/>
      <c r="BF294" s="92"/>
      <c r="BG294" s="93">
        <v>0</v>
      </c>
      <c r="BH294" s="94">
        <f t="shared" si="349"/>
        <v>0</v>
      </c>
      <c r="BI294" s="77" t="e">
        <f t="shared" si="350"/>
        <v>#DIV/0!</v>
      </c>
      <c r="BJ294" s="95" t="str">
        <f t="shared" si="366"/>
        <v>비제조/서비스업</v>
      </c>
      <c r="BK294" s="96" t="e">
        <f t="shared" si="351"/>
        <v>#DIV/0!</v>
      </c>
      <c r="BL294" s="97" t="e">
        <f t="shared" si="367"/>
        <v>#DIV/0!</v>
      </c>
      <c r="BM294" s="98" t="e">
        <f t="shared" si="368"/>
        <v>#DIV/0!</v>
      </c>
      <c r="BN294" s="99" t="e">
        <f t="shared" si="369"/>
        <v>#DIV/0!</v>
      </c>
      <c r="BP294" s="101">
        <f t="shared" si="370"/>
        <v>0</v>
      </c>
      <c r="BQ294" s="78">
        <f t="shared" si="371"/>
        <v>25</v>
      </c>
      <c r="BR294" s="79">
        <f t="shared" si="390"/>
        <v>0.5</v>
      </c>
      <c r="BS294" s="102"/>
      <c r="BT294" s="102"/>
      <c r="BU294" s="103">
        <f t="shared" si="372"/>
        <v>0</v>
      </c>
      <c r="BV294" s="77">
        <f t="shared" si="352"/>
        <v>0</v>
      </c>
      <c r="BW294" s="96">
        <f t="shared" si="353"/>
        <v>0</v>
      </c>
      <c r="BX294" s="96">
        <f t="shared" si="373"/>
        <v>0</v>
      </c>
      <c r="BY294" s="96">
        <f t="shared" si="354"/>
        <v>0</v>
      </c>
      <c r="BZ294" s="96" t="e">
        <f t="shared" si="374"/>
        <v>#NUM!</v>
      </c>
      <c r="CA294" s="96" t="e">
        <f t="shared" si="355"/>
        <v>#NUM!</v>
      </c>
      <c r="CB294" s="104" t="e">
        <f t="shared" si="375"/>
        <v>#NUM!</v>
      </c>
      <c r="CC294" s="105">
        <f t="shared" si="391"/>
        <v>64.918895717982082</v>
      </c>
      <c r="CD294" s="106">
        <f t="shared" si="392"/>
        <v>75.909963925383636</v>
      </c>
      <c r="CE294" s="107">
        <f t="shared" si="393"/>
        <v>1.1386494588807545</v>
      </c>
      <c r="CF294" s="108" t="s">
        <v>2189</v>
      </c>
      <c r="CG294" s="108" t="s">
        <v>2189</v>
      </c>
      <c r="CH294" s="108" t="s">
        <v>2189</v>
      </c>
      <c r="CI294" s="108" t="s">
        <v>2189</v>
      </c>
      <c r="CJ294" s="109"/>
      <c r="CM294" s="111">
        <f t="shared" si="376"/>
        <v>25</v>
      </c>
      <c r="CN294" s="107">
        <f t="shared" si="394"/>
        <v>0.375</v>
      </c>
      <c r="CP294" s="88">
        <f t="shared" si="377"/>
        <v>0</v>
      </c>
      <c r="CQ294" s="78">
        <f t="shared" si="378"/>
        <v>100</v>
      </c>
      <c r="CR294" s="79">
        <f t="shared" si="395"/>
        <v>3</v>
      </c>
      <c r="CS294" s="92"/>
      <c r="CT294" s="77">
        <f t="shared" si="356"/>
        <v>0</v>
      </c>
      <c r="CU294" s="78">
        <f t="shared" si="379"/>
        <v>100</v>
      </c>
      <c r="CV294" s="79">
        <f t="shared" si="396"/>
        <v>2</v>
      </c>
      <c r="CW294" s="112" t="e">
        <f t="shared" si="380"/>
        <v>#DIV/0!</v>
      </c>
    </row>
    <row r="295" spans="1:101" x14ac:dyDescent="0.35">
      <c r="A295" s="7" t="s">
        <v>1881</v>
      </c>
      <c r="B295" s="8" t="s">
        <v>1882</v>
      </c>
      <c r="C295" s="21" t="s">
        <v>1883</v>
      </c>
      <c r="D295" s="22" t="s">
        <v>21</v>
      </c>
      <c r="E295" s="11" t="s">
        <v>39</v>
      </c>
      <c r="F295" s="11" t="s">
        <v>1884</v>
      </c>
      <c r="G295" s="12">
        <v>27253</v>
      </c>
      <c r="H295" s="11" t="s">
        <v>24</v>
      </c>
      <c r="I295" s="11" t="s">
        <v>1885</v>
      </c>
      <c r="J295" s="11" t="s">
        <v>1886</v>
      </c>
      <c r="K295" s="11" t="s">
        <v>27</v>
      </c>
      <c r="L295" s="23">
        <v>3024613663</v>
      </c>
      <c r="M295" s="14">
        <v>1557554254</v>
      </c>
      <c r="N295" s="14">
        <v>1467059409</v>
      </c>
      <c r="O295" s="14">
        <v>2424482980</v>
      </c>
      <c r="P295" s="14">
        <v>27380412</v>
      </c>
      <c r="Q295" s="14">
        <v>6360460</v>
      </c>
      <c r="R295" s="14">
        <v>12168775</v>
      </c>
      <c r="AB295" s="74">
        <f t="shared" si="381"/>
        <v>0</v>
      </c>
      <c r="AC295" s="75" t="e">
        <f t="shared" si="357"/>
        <v>#DIV/0!</v>
      </c>
      <c r="AD295" s="75" t="e">
        <f t="shared" si="382"/>
        <v>#DIV/0!</v>
      </c>
      <c r="AE295" s="76" t="e">
        <f t="shared" si="385"/>
        <v>#DIV/0!</v>
      </c>
      <c r="AF295" s="77" t="e">
        <f t="shared" si="358"/>
        <v>#DIV/0!</v>
      </c>
      <c r="AG295" s="77" t="e">
        <f t="shared" si="359"/>
        <v>#DIV/0!</v>
      </c>
      <c r="AH295" s="77" t="e">
        <f t="shared" si="383"/>
        <v>#DIV/0!</v>
      </c>
      <c r="AI295" s="78" t="e">
        <f t="shared" si="384"/>
        <v>#DIV/0!</v>
      </c>
      <c r="AJ295" s="79" t="e">
        <f t="shared" si="386"/>
        <v>#DIV/0!</v>
      </c>
      <c r="AN295" s="81">
        <f t="shared" si="344"/>
        <v>0</v>
      </c>
      <c r="AO295" s="82" t="e">
        <f t="shared" si="345"/>
        <v>#DIV/0!</v>
      </c>
      <c r="AP295" s="83" t="e">
        <f t="shared" si="360"/>
        <v>#DIV/0!</v>
      </c>
      <c r="AQ295" s="84" t="e">
        <f t="shared" si="387"/>
        <v>#DIV/0!</v>
      </c>
      <c r="AS295" s="86">
        <f t="shared" si="346"/>
        <v>0.5</v>
      </c>
      <c r="AT295" s="87">
        <f t="shared" si="361"/>
        <v>0</v>
      </c>
      <c r="AU295" s="87">
        <f t="shared" si="362"/>
        <v>0</v>
      </c>
      <c r="AV295" s="88" t="e">
        <f t="shared" si="347"/>
        <v>#DIV/0!</v>
      </c>
      <c r="AW295" s="78" t="e">
        <f t="shared" si="363"/>
        <v>#DIV/0!</v>
      </c>
      <c r="AX295" s="89" t="e">
        <f t="shared" si="388"/>
        <v>#DIV/0!</v>
      </c>
      <c r="BA295" s="91">
        <f t="shared" si="348"/>
        <v>0</v>
      </c>
      <c r="BB295" s="77" t="e">
        <f t="shared" si="364"/>
        <v>#DIV/0!</v>
      </c>
      <c r="BC295" s="78" t="e">
        <f t="shared" si="365"/>
        <v>#DIV/0!</v>
      </c>
      <c r="BD295" s="79" t="e">
        <f t="shared" si="389"/>
        <v>#DIV/0!</v>
      </c>
      <c r="BE295" s="92"/>
      <c r="BF295" s="92"/>
      <c r="BG295" s="114">
        <v>294000</v>
      </c>
      <c r="BH295" s="94">
        <f t="shared" si="349"/>
        <v>0</v>
      </c>
      <c r="BI295" s="77" t="e">
        <f t="shared" si="350"/>
        <v>#DIV/0!</v>
      </c>
      <c r="BJ295" s="95" t="str">
        <f t="shared" si="366"/>
        <v>비제조/서비스업</v>
      </c>
      <c r="BK295" s="96" t="e">
        <f t="shared" si="351"/>
        <v>#DIV/0!</v>
      </c>
      <c r="BL295" s="97" t="e">
        <f t="shared" si="367"/>
        <v>#DIV/0!</v>
      </c>
      <c r="BM295" s="98" t="e">
        <f t="shared" si="368"/>
        <v>#DIV/0!</v>
      </c>
      <c r="BN295" s="99" t="e">
        <f t="shared" si="369"/>
        <v>#DIV/0!</v>
      </c>
      <c r="BP295" s="101">
        <f t="shared" si="370"/>
        <v>0</v>
      </c>
      <c r="BQ295" s="78">
        <f t="shared" si="371"/>
        <v>25</v>
      </c>
      <c r="BR295" s="79">
        <f t="shared" si="390"/>
        <v>0.5</v>
      </c>
      <c r="BS295" s="102"/>
      <c r="BT295" s="102"/>
      <c r="BU295" s="103">
        <f t="shared" si="372"/>
        <v>0</v>
      </c>
      <c r="BV295" s="77">
        <f t="shared" si="352"/>
        <v>0</v>
      </c>
      <c r="BW295" s="96">
        <f t="shared" si="353"/>
        <v>0</v>
      </c>
      <c r="BX295" s="96">
        <f t="shared" si="373"/>
        <v>0</v>
      </c>
      <c r="BY295" s="96">
        <f t="shared" si="354"/>
        <v>0</v>
      </c>
      <c r="BZ295" s="96" t="e">
        <f t="shared" si="374"/>
        <v>#NUM!</v>
      </c>
      <c r="CA295" s="96" t="e">
        <f t="shared" si="355"/>
        <v>#NUM!</v>
      </c>
      <c r="CB295" s="104" t="e">
        <f t="shared" si="375"/>
        <v>#NUM!</v>
      </c>
      <c r="CC295" s="105">
        <f t="shared" si="391"/>
        <v>106.1684512873057</v>
      </c>
      <c r="CD295" s="106">
        <f t="shared" si="392"/>
        <v>60.363649012321972</v>
      </c>
      <c r="CE295" s="107">
        <f t="shared" si="393"/>
        <v>0.90545473518482955</v>
      </c>
      <c r="CF295" s="108" t="s">
        <v>2189</v>
      </c>
      <c r="CG295" s="108" t="s">
        <v>2189</v>
      </c>
      <c r="CH295" s="108" t="s">
        <v>2189</v>
      </c>
      <c r="CI295" s="108" t="s">
        <v>2189</v>
      </c>
      <c r="CJ295" s="109"/>
      <c r="CM295" s="111">
        <f t="shared" si="376"/>
        <v>25</v>
      </c>
      <c r="CN295" s="107">
        <f t="shared" si="394"/>
        <v>0.375</v>
      </c>
      <c r="CP295" s="88">
        <f t="shared" si="377"/>
        <v>0</v>
      </c>
      <c r="CQ295" s="78">
        <f t="shared" si="378"/>
        <v>100</v>
      </c>
      <c r="CR295" s="79">
        <f t="shared" si="395"/>
        <v>3</v>
      </c>
      <c r="CS295" s="92"/>
      <c r="CT295" s="77">
        <f t="shared" si="356"/>
        <v>0</v>
      </c>
      <c r="CU295" s="78">
        <f t="shared" si="379"/>
        <v>100</v>
      </c>
      <c r="CV295" s="79">
        <f t="shared" si="396"/>
        <v>2</v>
      </c>
      <c r="CW295" s="112" t="e">
        <f t="shared" si="380"/>
        <v>#DIV/0!</v>
      </c>
    </row>
    <row r="296" spans="1:101" x14ac:dyDescent="0.35">
      <c r="A296" s="7" t="s">
        <v>1887</v>
      </c>
      <c r="B296" s="8" t="s">
        <v>1888</v>
      </c>
      <c r="C296" s="21" t="s">
        <v>1889</v>
      </c>
      <c r="D296" s="22" t="s">
        <v>141</v>
      </c>
      <c r="E296" s="11" t="s">
        <v>639</v>
      </c>
      <c r="F296" s="11" t="s">
        <v>1890</v>
      </c>
      <c r="G296" s="12">
        <v>44425</v>
      </c>
      <c r="H296" s="11" t="s">
        <v>24</v>
      </c>
      <c r="I296" s="11" t="s">
        <v>1891</v>
      </c>
      <c r="J296" s="11" t="s">
        <v>1892</v>
      </c>
      <c r="K296" s="11" t="s">
        <v>50</v>
      </c>
      <c r="L296" s="23">
        <v>201249262</v>
      </c>
      <c r="M296" s="14">
        <v>74147423</v>
      </c>
      <c r="N296" s="14">
        <v>127101839</v>
      </c>
      <c r="O296" s="14">
        <v>92809851</v>
      </c>
      <c r="P296" s="14">
        <v>557375</v>
      </c>
      <c r="Q296" s="14">
        <v>21284021</v>
      </c>
      <c r="R296" s="14">
        <v>16494864</v>
      </c>
      <c r="AB296" s="74">
        <f t="shared" si="381"/>
        <v>0</v>
      </c>
      <c r="AC296" s="75" t="e">
        <f t="shared" si="357"/>
        <v>#DIV/0!</v>
      </c>
      <c r="AD296" s="75" t="e">
        <f t="shared" si="382"/>
        <v>#DIV/0!</v>
      </c>
      <c r="AE296" s="76" t="e">
        <f t="shared" si="385"/>
        <v>#DIV/0!</v>
      </c>
      <c r="AF296" s="77" t="e">
        <f t="shared" si="358"/>
        <v>#DIV/0!</v>
      </c>
      <c r="AG296" s="77" t="e">
        <f t="shared" si="359"/>
        <v>#DIV/0!</v>
      </c>
      <c r="AH296" s="77" t="e">
        <f t="shared" si="383"/>
        <v>#DIV/0!</v>
      </c>
      <c r="AI296" s="78" t="e">
        <f t="shared" si="384"/>
        <v>#DIV/0!</v>
      </c>
      <c r="AJ296" s="79" t="e">
        <f t="shared" si="386"/>
        <v>#DIV/0!</v>
      </c>
      <c r="AN296" s="81">
        <f t="shared" si="344"/>
        <v>0</v>
      </c>
      <c r="AO296" s="82" t="e">
        <f t="shared" si="345"/>
        <v>#DIV/0!</v>
      </c>
      <c r="AP296" s="83" t="e">
        <f t="shared" si="360"/>
        <v>#DIV/0!</v>
      </c>
      <c r="AQ296" s="84" t="e">
        <f t="shared" si="387"/>
        <v>#DIV/0!</v>
      </c>
      <c r="AS296" s="86">
        <f t="shared" si="346"/>
        <v>0.25</v>
      </c>
      <c r="AT296" s="87">
        <f t="shared" si="361"/>
        <v>0</v>
      </c>
      <c r="AU296" s="87">
        <f t="shared" si="362"/>
        <v>0</v>
      </c>
      <c r="AV296" s="88" t="e">
        <f t="shared" si="347"/>
        <v>#DIV/0!</v>
      </c>
      <c r="AW296" s="78" t="e">
        <f t="shared" si="363"/>
        <v>#DIV/0!</v>
      </c>
      <c r="AX296" s="89" t="e">
        <f t="shared" si="388"/>
        <v>#DIV/0!</v>
      </c>
      <c r="BA296" s="91">
        <f t="shared" si="348"/>
        <v>0</v>
      </c>
      <c r="BB296" s="77" t="e">
        <f t="shared" si="364"/>
        <v>#DIV/0!</v>
      </c>
      <c r="BC296" s="78" t="e">
        <f t="shared" si="365"/>
        <v>#DIV/0!</v>
      </c>
      <c r="BD296" s="79" t="e">
        <f t="shared" si="389"/>
        <v>#DIV/0!</v>
      </c>
      <c r="BE296" s="92"/>
      <c r="BF296" s="92"/>
      <c r="BG296" s="114">
        <v>651088</v>
      </c>
      <c r="BH296" s="94">
        <f t="shared" si="349"/>
        <v>0</v>
      </c>
      <c r="BI296" s="77" t="e">
        <f t="shared" si="350"/>
        <v>#DIV/0!</v>
      </c>
      <c r="BJ296" s="95" t="str">
        <f t="shared" si="366"/>
        <v>전기전자/기계업</v>
      </c>
      <c r="BK296" s="96" t="e">
        <f t="shared" si="351"/>
        <v>#DIV/0!</v>
      </c>
      <c r="BL296" s="97" t="e">
        <f t="shared" si="367"/>
        <v>#DIV/0!</v>
      </c>
      <c r="BM296" s="98" t="e">
        <f t="shared" si="368"/>
        <v>#DIV/0!</v>
      </c>
      <c r="BN296" s="99" t="e">
        <f t="shared" si="369"/>
        <v>#DIV/0!</v>
      </c>
      <c r="BP296" s="101">
        <f t="shared" si="370"/>
        <v>0</v>
      </c>
      <c r="BQ296" s="78">
        <f t="shared" si="371"/>
        <v>25</v>
      </c>
      <c r="BR296" s="79">
        <f t="shared" si="390"/>
        <v>0.5</v>
      </c>
      <c r="BS296" s="102"/>
      <c r="BT296" s="102"/>
      <c r="BU296" s="103">
        <f t="shared" si="372"/>
        <v>0</v>
      </c>
      <c r="BV296" s="77">
        <f t="shared" si="352"/>
        <v>0</v>
      </c>
      <c r="BW296" s="96">
        <f t="shared" si="353"/>
        <v>0</v>
      </c>
      <c r="BX296" s="96">
        <f t="shared" si="373"/>
        <v>0</v>
      </c>
      <c r="BY296" s="96">
        <f t="shared" si="354"/>
        <v>0</v>
      </c>
      <c r="BZ296" s="96" t="e">
        <f t="shared" si="374"/>
        <v>#NUM!</v>
      </c>
      <c r="CA296" s="96" t="e">
        <f t="shared" si="355"/>
        <v>#NUM!</v>
      </c>
      <c r="CB296" s="104" t="e">
        <f t="shared" si="375"/>
        <v>#NUM!</v>
      </c>
      <c r="CC296" s="105">
        <f t="shared" si="391"/>
        <v>58.337018239366309</v>
      </c>
      <c r="CD296" s="106">
        <f t="shared" si="392"/>
        <v>78.390571015314208</v>
      </c>
      <c r="CE296" s="107">
        <f t="shared" si="393"/>
        <v>1.1758585652297131</v>
      </c>
      <c r="CF296" s="108" t="s">
        <v>2189</v>
      </c>
      <c r="CG296" s="108" t="s">
        <v>2189</v>
      </c>
      <c r="CH296" s="108" t="s">
        <v>2189</v>
      </c>
      <c r="CI296" s="108" t="s">
        <v>2189</v>
      </c>
      <c r="CJ296" s="109"/>
      <c r="CM296" s="111">
        <f t="shared" si="376"/>
        <v>25</v>
      </c>
      <c r="CN296" s="107">
        <f t="shared" si="394"/>
        <v>0.375</v>
      </c>
      <c r="CP296" s="88">
        <f t="shared" si="377"/>
        <v>0</v>
      </c>
      <c r="CQ296" s="78">
        <f t="shared" si="378"/>
        <v>100</v>
      </c>
      <c r="CR296" s="79">
        <f t="shared" si="395"/>
        <v>3</v>
      </c>
      <c r="CS296" s="92"/>
      <c r="CT296" s="77">
        <f t="shared" si="356"/>
        <v>0</v>
      </c>
      <c r="CU296" s="78">
        <f t="shared" si="379"/>
        <v>100</v>
      </c>
      <c r="CV296" s="79">
        <f t="shared" si="396"/>
        <v>2</v>
      </c>
      <c r="CW296" s="112" t="e">
        <f t="shared" si="380"/>
        <v>#DIV/0!</v>
      </c>
    </row>
    <row r="297" spans="1:101" x14ac:dyDescent="0.35">
      <c r="A297" s="7" t="s">
        <v>1893</v>
      </c>
      <c r="B297" s="8" t="s">
        <v>1894</v>
      </c>
      <c r="C297" s="21" t="s">
        <v>1895</v>
      </c>
      <c r="D297" s="29" t="s">
        <v>67</v>
      </c>
      <c r="E297" s="11" t="s">
        <v>68</v>
      </c>
      <c r="F297" s="11" t="s">
        <v>689</v>
      </c>
      <c r="G297" s="12">
        <v>40254</v>
      </c>
      <c r="H297" s="11" t="s">
        <v>24</v>
      </c>
      <c r="I297" s="11" t="s">
        <v>1896</v>
      </c>
      <c r="J297" s="11" t="s">
        <v>1897</v>
      </c>
      <c r="K297" s="11" t="s">
        <v>27</v>
      </c>
      <c r="L297" s="23">
        <v>126780143235</v>
      </c>
      <c r="M297" s="14">
        <v>120464648467</v>
      </c>
      <c r="N297" s="14">
        <v>6315494768</v>
      </c>
      <c r="O297" s="14">
        <v>21180061711</v>
      </c>
      <c r="P297" s="14">
        <v>31900539</v>
      </c>
      <c r="Q297" s="14">
        <v>432611603</v>
      </c>
      <c r="R297" s="14">
        <v>354341909</v>
      </c>
      <c r="AB297" s="74">
        <f t="shared" si="381"/>
        <v>0</v>
      </c>
      <c r="AC297" s="75" t="e">
        <f t="shared" si="357"/>
        <v>#DIV/0!</v>
      </c>
      <c r="AD297" s="75" t="e">
        <f t="shared" si="382"/>
        <v>#DIV/0!</v>
      </c>
      <c r="AE297" s="119" t="e">
        <f>AD297*0.04</f>
        <v>#DIV/0!</v>
      </c>
      <c r="AF297" s="77" t="e">
        <f t="shared" si="358"/>
        <v>#DIV/0!</v>
      </c>
      <c r="AG297" s="77" t="e">
        <f t="shared" si="359"/>
        <v>#DIV/0!</v>
      </c>
      <c r="AH297" s="77" t="e">
        <f t="shared" si="383"/>
        <v>#DIV/0!</v>
      </c>
      <c r="AI297" s="78" t="e">
        <f t="shared" si="384"/>
        <v>#DIV/0!</v>
      </c>
      <c r="AJ297" s="120" t="e">
        <f>AI297*0.05</f>
        <v>#DIV/0!</v>
      </c>
      <c r="AN297" s="81">
        <f t="shared" si="344"/>
        <v>0</v>
      </c>
      <c r="AO297" s="82" t="e">
        <f t="shared" si="345"/>
        <v>#DIV/0!</v>
      </c>
      <c r="AP297" s="83" t="e">
        <f t="shared" si="360"/>
        <v>#DIV/0!</v>
      </c>
      <c r="AQ297" s="121" t="e">
        <f>AP297*0.03</f>
        <v>#DIV/0!</v>
      </c>
      <c r="AS297" s="86">
        <f t="shared" si="346"/>
        <v>0.5</v>
      </c>
      <c r="AT297" s="87">
        <f t="shared" si="361"/>
        <v>0</v>
      </c>
      <c r="AU297" s="87">
        <f t="shared" si="362"/>
        <v>0</v>
      </c>
      <c r="AV297" s="88" t="e">
        <f t="shared" si="347"/>
        <v>#DIV/0!</v>
      </c>
      <c r="AW297" s="78" t="e">
        <f t="shared" si="363"/>
        <v>#DIV/0!</v>
      </c>
      <c r="AX297" s="122" t="e">
        <f>AW297*0.02</f>
        <v>#DIV/0!</v>
      </c>
      <c r="BA297" s="91">
        <f t="shared" si="348"/>
        <v>0</v>
      </c>
      <c r="BB297" s="77" t="e">
        <f t="shared" si="364"/>
        <v>#DIV/0!</v>
      </c>
      <c r="BC297" s="78" t="e">
        <f t="shared" si="365"/>
        <v>#DIV/0!</v>
      </c>
      <c r="BD297" s="120" t="e">
        <f>BC297*0.02</f>
        <v>#DIV/0!</v>
      </c>
      <c r="BE297" s="92"/>
      <c r="BF297" s="92"/>
      <c r="BG297" s="93">
        <v>0</v>
      </c>
      <c r="BH297" s="94">
        <f t="shared" si="349"/>
        <v>0</v>
      </c>
      <c r="BI297" s="77" t="e">
        <f t="shared" si="350"/>
        <v>#DIV/0!</v>
      </c>
      <c r="BJ297" s="95" t="str">
        <f t="shared" si="366"/>
        <v>금융업</v>
      </c>
      <c r="BK297" s="96" t="e">
        <f t="shared" si="351"/>
        <v>#DIV/0!</v>
      </c>
      <c r="BL297" s="97" t="e">
        <f t="shared" si="367"/>
        <v>#DIV/0!</v>
      </c>
      <c r="BM297" s="98" t="e">
        <f t="shared" si="368"/>
        <v>#DIV/0!</v>
      </c>
      <c r="BN297" s="99" t="e">
        <f t="shared" si="369"/>
        <v>#DIV/0!</v>
      </c>
      <c r="BP297" s="101">
        <f t="shared" si="370"/>
        <v>0</v>
      </c>
      <c r="BQ297" s="78">
        <f t="shared" si="371"/>
        <v>25</v>
      </c>
      <c r="BR297" s="120">
        <f>BQ297*0.01</f>
        <v>0.25</v>
      </c>
      <c r="BS297" s="102"/>
      <c r="BT297" s="102"/>
      <c r="BU297" s="103">
        <f t="shared" si="372"/>
        <v>0</v>
      </c>
      <c r="BV297" s="77">
        <f t="shared" si="352"/>
        <v>0</v>
      </c>
      <c r="BW297" s="96">
        <f t="shared" si="353"/>
        <v>0</v>
      </c>
      <c r="BX297" s="96">
        <f t="shared" si="373"/>
        <v>0</v>
      </c>
      <c r="BY297" s="96">
        <f t="shared" si="354"/>
        <v>0</v>
      </c>
      <c r="BZ297" s="96" t="e">
        <f t="shared" si="374"/>
        <v>#NUM!</v>
      </c>
      <c r="CA297" s="96" t="e">
        <f t="shared" si="355"/>
        <v>#NUM!</v>
      </c>
      <c r="CB297" s="104" t="e">
        <f t="shared" si="375"/>
        <v>#NUM!</v>
      </c>
      <c r="CC297" s="123" t="s">
        <v>2200</v>
      </c>
      <c r="CD297" s="124" t="s">
        <v>2200</v>
      </c>
      <c r="CE297" s="125"/>
      <c r="CF297" s="126" t="s">
        <v>2201</v>
      </c>
      <c r="CG297" s="126" t="s">
        <v>2201</v>
      </c>
      <c r="CH297" s="127">
        <v>0.17</v>
      </c>
      <c r="CI297" s="128">
        <f>IF((100-(75*(CH297-10)/40))&gt;100, 100, IF((100-(75*(CH297-10)/40))&lt;25, 25, (100-(75*(CH297-10)/40))))</f>
        <v>100</v>
      </c>
      <c r="CJ297" s="129">
        <f>CI297*0.04</f>
        <v>4</v>
      </c>
      <c r="CM297" s="111">
        <f t="shared" si="376"/>
        <v>25</v>
      </c>
      <c r="CN297" s="130">
        <f>CM297*0.03</f>
        <v>0.75</v>
      </c>
      <c r="CP297" s="88">
        <f t="shared" si="377"/>
        <v>0</v>
      </c>
      <c r="CQ297" s="78">
        <f t="shared" si="378"/>
        <v>100</v>
      </c>
      <c r="CR297" s="120">
        <f>CQ297*0.04</f>
        <v>4</v>
      </c>
      <c r="CS297" s="92"/>
      <c r="CT297" s="77">
        <f t="shared" si="356"/>
        <v>0</v>
      </c>
      <c r="CU297" s="78">
        <f t="shared" si="379"/>
        <v>100</v>
      </c>
      <c r="CV297" s="131">
        <f>CU297*0.03</f>
        <v>3</v>
      </c>
      <c r="CW297" s="112" t="e">
        <f t="shared" si="380"/>
        <v>#DIV/0!</v>
      </c>
    </row>
    <row r="298" spans="1:101" x14ac:dyDescent="0.35">
      <c r="A298" s="7" t="s">
        <v>1898</v>
      </c>
      <c r="B298" s="8" t="s">
        <v>1899</v>
      </c>
      <c r="C298" s="21" t="s">
        <v>1900</v>
      </c>
      <c r="D298" s="29" t="s">
        <v>67</v>
      </c>
      <c r="E298" s="11" t="s">
        <v>68</v>
      </c>
      <c r="F298" s="11" t="s">
        <v>1901</v>
      </c>
      <c r="G298" s="12">
        <v>27575</v>
      </c>
      <c r="H298" s="11" t="s">
        <v>24</v>
      </c>
      <c r="I298" s="11" t="s">
        <v>1902</v>
      </c>
      <c r="J298" s="11" t="s">
        <v>1903</v>
      </c>
      <c r="K298" s="11" t="s">
        <v>27</v>
      </c>
      <c r="L298" s="23">
        <v>20186911158</v>
      </c>
      <c r="M298" s="14">
        <v>19938637638</v>
      </c>
      <c r="N298" s="14">
        <v>248273521</v>
      </c>
      <c r="O298" s="14">
        <v>5105380445</v>
      </c>
      <c r="P298" s="14">
        <v>326922757</v>
      </c>
      <c r="Q298" s="14">
        <v>400409213</v>
      </c>
      <c r="R298" s="14">
        <v>302102769</v>
      </c>
      <c r="AB298" s="74">
        <f t="shared" si="381"/>
        <v>0</v>
      </c>
      <c r="AC298" s="75" t="e">
        <f t="shared" si="357"/>
        <v>#DIV/0!</v>
      </c>
      <c r="AD298" s="75" t="e">
        <f t="shared" si="382"/>
        <v>#DIV/0!</v>
      </c>
      <c r="AE298" s="119" t="e">
        <f>AD298*0.04</f>
        <v>#DIV/0!</v>
      </c>
      <c r="AF298" s="77" t="e">
        <f t="shared" si="358"/>
        <v>#DIV/0!</v>
      </c>
      <c r="AG298" s="77" t="e">
        <f t="shared" si="359"/>
        <v>#DIV/0!</v>
      </c>
      <c r="AH298" s="77" t="e">
        <f t="shared" si="383"/>
        <v>#DIV/0!</v>
      </c>
      <c r="AI298" s="78" t="e">
        <f t="shared" si="384"/>
        <v>#DIV/0!</v>
      </c>
      <c r="AJ298" s="120" t="e">
        <f>AI298*0.05</f>
        <v>#DIV/0!</v>
      </c>
      <c r="AN298" s="81">
        <f t="shared" si="344"/>
        <v>0</v>
      </c>
      <c r="AO298" s="82" t="e">
        <f t="shared" si="345"/>
        <v>#DIV/0!</v>
      </c>
      <c r="AP298" s="83" t="e">
        <f t="shared" si="360"/>
        <v>#DIV/0!</v>
      </c>
      <c r="AQ298" s="121" t="e">
        <f>AP298*0.03</f>
        <v>#DIV/0!</v>
      </c>
      <c r="AS298" s="86">
        <f t="shared" si="346"/>
        <v>0.5</v>
      </c>
      <c r="AT298" s="87">
        <f t="shared" si="361"/>
        <v>0</v>
      </c>
      <c r="AU298" s="87">
        <f t="shared" si="362"/>
        <v>0</v>
      </c>
      <c r="AV298" s="88" t="e">
        <f t="shared" si="347"/>
        <v>#DIV/0!</v>
      </c>
      <c r="AW298" s="78" t="e">
        <f t="shared" si="363"/>
        <v>#DIV/0!</v>
      </c>
      <c r="AX298" s="122" t="e">
        <f>AW298*0.02</f>
        <v>#DIV/0!</v>
      </c>
      <c r="BA298" s="91">
        <f t="shared" si="348"/>
        <v>0</v>
      </c>
      <c r="BB298" s="77" t="e">
        <f t="shared" si="364"/>
        <v>#DIV/0!</v>
      </c>
      <c r="BC298" s="78" t="e">
        <f t="shared" si="365"/>
        <v>#DIV/0!</v>
      </c>
      <c r="BD298" s="120" t="e">
        <f>BC298*0.02</f>
        <v>#DIV/0!</v>
      </c>
      <c r="BE298" s="92"/>
      <c r="BF298" s="92"/>
      <c r="BG298" s="93">
        <v>0</v>
      </c>
      <c r="BH298" s="94">
        <f t="shared" si="349"/>
        <v>0</v>
      </c>
      <c r="BI298" s="77" t="e">
        <f t="shared" si="350"/>
        <v>#DIV/0!</v>
      </c>
      <c r="BJ298" s="95" t="str">
        <f t="shared" si="366"/>
        <v>금융업</v>
      </c>
      <c r="BK298" s="96" t="e">
        <f t="shared" si="351"/>
        <v>#DIV/0!</v>
      </c>
      <c r="BL298" s="97" t="e">
        <f t="shared" si="367"/>
        <v>#DIV/0!</v>
      </c>
      <c r="BM298" s="98" t="e">
        <f t="shared" si="368"/>
        <v>#DIV/0!</v>
      </c>
      <c r="BN298" s="99" t="e">
        <f t="shared" si="369"/>
        <v>#DIV/0!</v>
      </c>
      <c r="BP298" s="101">
        <f t="shared" si="370"/>
        <v>0</v>
      </c>
      <c r="BQ298" s="78">
        <f t="shared" si="371"/>
        <v>25</v>
      </c>
      <c r="BR298" s="120">
        <f>BQ298*0.01</f>
        <v>0.25</v>
      </c>
      <c r="BS298" s="102"/>
      <c r="BT298" s="102"/>
      <c r="BU298" s="103">
        <f t="shared" si="372"/>
        <v>0</v>
      </c>
      <c r="BV298" s="77">
        <f t="shared" si="352"/>
        <v>0</v>
      </c>
      <c r="BW298" s="96">
        <f t="shared" si="353"/>
        <v>0</v>
      </c>
      <c r="BX298" s="96">
        <f t="shared" si="373"/>
        <v>0</v>
      </c>
      <c r="BY298" s="96">
        <f t="shared" si="354"/>
        <v>0</v>
      </c>
      <c r="BZ298" s="96" t="e">
        <f t="shared" si="374"/>
        <v>#NUM!</v>
      </c>
      <c r="CA298" s="96" t="e">
        <f t="shared" si="355"/>
        <v>#NUM!</v>
      </c>
      <c r="CB298" s="104" t="e">
        <f t="shared" si="375"/>
        <v>#NUM!</v>
      </c>
      <c r="CC298" s="123" t="s">
        <v>2200</v>
      </c>
      <c r="CD298" s="124" t="s">
        <v>2200</v>
      </c>
      <c r="CE298" s="125"/>
      <c r="CF298" s="126" t="s">
        <v>2201</v>
      </c>
      <c r="CG298" s="126" t="s">
        <v>2201</v>
      </c>
      <c r="CH298" s="127">
        <v>0.14000000000000001</v>
      </c>
      <c r="CI298" s="128">
        <f>IF((100-(75*(CH298-10)/40))&gt;100, 100, IF((100-(75*(CH298-10)/40))&lt;25, 25, (100-(75*(CH298-10)/40))))</f>
        <v>100</v>
      </c>
      <c r="CJ298" s="129">
        <f>CI298*0.04</f>
        <v>4</v>
      </c>
      <c r="CM298" s="111">
        <f t="shared" si="376"/>
        <v>25</v>
      </c>
      <c r="CN298" s="130">
        <f>CM298*0.03</f>
        <v>0.75</v>
      </c>
      <c r="CP298" s="88">
        <f t="shared" si="377"/>
        <v>0</v>
      </c>
      <c r="CQ298" s="78">
        <f t="shared" si="378"/>
        <v>100</v>
      </c>
      <c r="CR298" s="120">
        <f>CQ298*0.04</f>
        <v>4</v>
      </c>
      <c r="CS298" s="92"/>
      <c r="CT298" s="77">
        <f t="shared" si="356"/>
        <v>0</v>
      </c>
      <c r="CU298" s="78">
        <f t="shared" si="379"/>
        <v>100</v>
      </c>
      <c r="CV298" s="131">
        <f>CU298*0.03</f>
        <v>3</v>
      </c>
      <c r="CW298" s="112" t="e">
        <f t="shared" si="380"/>
        <v>#DIV/0!</v>
      </c>
    </row>
    <row r="299" spans="1:101" x14ac:dyDescent="0.35">
      <c r="A299" s="7" t="s">
        <v>1904</v>
      </c>
      <c r="B299" s="8" t="s">
        <v>1905</v>
      </c>
      <c r="C299" s="21" t="s">
        <v>1906</v>
      </c>
      <c r="D299" s="10" t="s">
        <v>141</v>
      </c>
      <c r="E299" s="11" t="s">
        <v>241</v>
      </c>
      <c r="F299" s="11" t="s">
        <v>1907</v>
      </c>
      <c r="G299" s="12">
        <v>43782</v>
      </c>
      <c r="H299" s="11" t="s">
        <v>24</v>
      </c>
      <c r="I299" s="11" t="s">
        <v>1908</v>
      </c>
      <c r="J299" s="11" t="s">
        <v>1909</v>
      </c>
      <c r="K299" s="11" t="s">
        <v>453</v>
      </c>
      <c r="L299" s="23">
        <v>4152100072</v>
      </c>
      <c r="M299" s="14">
        <v>1905070749</v>
      </c>
      <c r="N299" s="14">
        <v>2247029323</v>
      </c>
      <c r="O299" s="14">
        <v>2187405670</v>
      </c>
      <c r="P299" s="14">
        <v>93679890</v>
      </c>
      <c r="Q299" s="14">
        <v>53049827</v>
      </c>
      <c r="R299" s="14">
        <v>28545981</v>
      </c>
      <c r="AB299" s="74">
        <f t="shared" si="381"/>
        <v>0</v>
      </c>
      <c r="AC299" s="75" t="e">
        <f t="shared" si="357"/>
        <v>#DIV/0!</v>
      </c>
      <c r="AD299" s="75" t="e">
        <f t="shared" si="382"/>
        <v>#DIV/0!</v>
      </c>
      <c r="AE299" s="76" t="e">
        <f t="shared" ref="AE299:AE307" si="397">AD299*0.03</f>
        <v>#DIV/0!</v>
      </c>
      <c r="AF299" s="77" t="e">
        <f t="shared" si="358"/>
        <v>#DIV/0!</v>
      </c>
      <c r="AG299" s="77" t="e">
        <f t="shared" si="359"/>
        <v>#DIV/0!</v>
      </c>
      <c r="AH299" s="77" t="e">
        <f t="shared" si="383"/>
        <v>#DIV/0!</v>
      </c>
      <c r="AI299" s="78" t="e">
        <f t="shared" si="384"/>
        <v>#DIV/0!</v>
      </c>
      <c r="AJ299" s="79" t="e">
        <f t="shared" ref="AJ299:AJ307" si="398">AI299*0.04</f>
        <v>#DIV/0!</v>
      </c>
      <c r="AN299" s="81">
        <f t="shared" si="344"/>
        <v>0</v>
      </c>
      <c r="AO299" s="82" t="e">
        <f t="shared" si="345"/>
        <v>#DIV/0!</v>
      </c>
      <c r="AP299" s="83" t="e">
        <f t="shared" si="360"/>
        <v>#DIV/0!</v>
      </c>
      <c r="AQ299" s="84" t="e">
        <f t="shared" ref="AQ299:AQ307" si="399">AP299*0.02</f>
        <v>#DIV/0!</v>
      </c>
      <c r="AS299" s="86">
        <f t="shared" si="346"/>
        <v>0.5</v>
      </c>
      <c r="AT299" s="87">
        <f t="shared" si="361"/>
        <v>0</v>
      </c>
      <c r="AU299" s="87">
        <f t="shared" si="362"/>
        <v>0</v>
      </c>
      <c r="AV299" s="88" t="e">
        <f t="shared" si="347"/>
        <v>#DIV/0!</v>
      </c>
      <c r="AW299" s="78" t="e">
        <f t="shared" si="363"/>
        <v>#DIV/0!</v>
      </c>
      <c r="AX299" s="89" t="e">
        <f t="shared" ref="AX299:AX307" si="400">AW299*0.01</f>
        <v>#DIV/0!</v>
      </c>
      <c r="BA299" s="91">
        <f t="shared" si="348"/>
        <v>0</v>
      </c>
      <c r="BB299" s="77" t="e">
        <f t="shared" si="364"/>
        <v>#DIV/0!</v>
      </c>
      <c r="BC299" s="78" t="e">
        <f t="shared" si="365"/>
        <v>#DIV/0!</v>
      </c>
      <c r="BD299" s="79" t="e">
        <f t="shared" ref="BD299:BD307" si="401">BC299*0.01</f>
        <v>#DIV/0!</v>
      </c>
      <c r="BE299" s="92"/>
      <c r="BF299" s="92"/>
      <c r="BG299" s="93">
        <v>0</v>
      </c>
      <c r="BH299" s="94">
        <f t="shared" si="349"/>
        <v>0</v>
      </c>
      <c r="BI299" s="77" t="e">
        <f t="shared" si="350"/>
        <v>#DIV/0!</v>
      </c>
      <c r="BJ299" s="95" t="str">
        <f t="shared" si="366"/>
        <v>전기전자/기계업</v>
      </c>
      <c r="BK299" s="96" t="e">
        <f t="shared" si="351"/>
        <v>#DIV/0!</v>
      </c>
      <c r="BL299" s="97" t="e">
        <f t="shared" si="367"/>
        <v>#DIV/0!</v>
      </c>
      <c r="BM299" s="98" t="e">
        <f t="shared" si="368"/>
        <v>#DIV/0!</v>
      </c>
      <c r="BN299" s="99" t="e">
        <f t="shared" si="369"/>
        <v>#DIV/0!</v>
      </c>
      <c r="BP299" s="101">
        <f t="shared" si="370"/>
        <v>0</v>
      </c>
      <c r="BQ299" s="78">
        <f t="shared" si="371"/>
        <v>25</v>
      </c>
      <c r="BR299" s="79">
        <f t="shared" ref="BR299:BR307" si="402">BQ299*0.02</f>
        <v>0.5</v>
      </c>
      <c r="BS299" s="102"/>
      <c r="BT299" s="102"/>
      <c r="BU299" s="103">
        <f t="shared" si="372"/>
        <v>0</v>
      </c>
      <c r="BV299" s="77">
        <f t="shared" si="352"/>
        <v>0</v>
      </c>
      <c r="BW299" s="96">
        <f t="shared" si="353"/>
        <v>0</v>
      </c>
      <c r="BX299" s="96">
        <f t="shared" si="373"/>
        <v>0</v>
      </c>
      <c r="BY299" s="96">
        <f t="shared" si="354"/>
        <v>0</v>
      </c>
      <c r="BZ299" s="96" t="e">
        <f t="shared" si="374"/>
        <v>#NUM!</v>
      </c>
      <c r="CA299" s="96" t="e">
        <f t="shared" si="355"/>
        <v>#NUM!</v>
      </c>
      <c r="CB299" s="104" t="e">
        <f t="shared" si="375"/>
        <v>#NUM!</v>
      </c>
      <c r="CC299" s="105">
        <f t="shared" ref="CC299:CC307" si="403">(M299/N299)*100</f>
        <v>84.781748484552381</v>
      </c>
      <c r="CD299" s="106">
        <f t="shared" ref="CD299:CD307" si="404">IF((100-(75*(CC299-1)/(200-1)))&gt;100, 100, IF((100-(75*(CC299-1)/(200-1)))&lt;25, 25, (100-(75*(CC299-1)/(200-1)))))</f>
        <v>68.423964138987799</v>
      </c>
      <c r="CE299" s="107">
        <f t="shared" ref="CE299:CE307" si="405">CD299*0.015</f>
        <v>1.0263594620848169</v>
      </c>
      <c r="CF299" s="108" t="s">
        <v>2189</v>
      </c>
      <c r="CG299" s="108" t="s">
        <v>2189</v>
      </c>
      <c r="CH299" s="108" t="s">
        <v>2189</v>
      </c>
      <c r="CI299" s="108" t="s">
        <v>2189</v>
      </c>
      <c r="CJ299" s="109"/>
      <c r="CM299" s="111">
        <f t="shared" si="376"/>
        <v>25</v>
      </c>
      <c r="CN299" s="107">
        <f t="shared" ref="CN299:CN307" si="406">CM299*0.015</f>
        <v>0.375</v>
      </c>
      <c r="CP299" s="88">
        <f t="shared" si="377"/>
        <v>0</v>
      </c>
      <c r="CQ299" s="78">
        <f t="shared" si="378"/>
        <v>100</v>
      </c>
      <c r="CR299" s="79">
        <f t="shared" ref="CR299:CR307" si="407">CQ299*0.03</f>
        <v>3</v>
      </c>
      <c r="CS299" s="92"/>
      <c r="CT299" s="77">
        <f t="shared" si="356"/>
        <v>0</v>
      </c>
      <c r="CU299" s="78">
        <f t="shared" si="379"/>
        <v>100</v>
      </c>
      <c r="CV299" s="79">
        <f t="shared" ref="CV299:CV307" si="408">CU299*0.02</f>
        <v>2</v>
      </c>
      <c r="CW299" s="112" t="e">
        <f t="shared" si="380"/>
        <v>#DIV/0!</v>
      </c>
    </row>
    <row r="300" spans="1:101" x14ac:dyDescent="0.35">
      <c r="A300" s="7" t="s">
        <v>1910</v>
      </c>
      <c r="B300" s="8" t="s">
        <v>1911</v>
      </c>
      <c r="C300" s="21" t="s">
        <v>1912</v>
      </c>
      <c r="D300" s="10" t="s">
        <v>21</v>
      </c>
      <c r="E300" s="11" t="s">
        <v>91</v>
      </c>
      <c r="F300" s="11" t="s">
        <v>1913</v>
      </c>
      <c r="G300" s="12">
        <v>31038</v>
      </c>
      <c r="H300" s="11" t="s">
        <v>24</v>
      </c>
      <c r="I300" s="11" t="s">
        <v>1914</v>
      </c>
      <c r="J300" s="11" t="s">
        <v>1915</v>
      </c>
      <c r="K300" s="11" t="s">
        <v>27</v>
      </c>
      <c r="L300" s="23">
        <v>13738416000</v>
      </c>
      <c r="M300" s="14">
        <v>7344179000</v>
      </c>
      <c r="N300" s="14">
        <v>6394237000</v>
      </c>
      <c r="O300" s="14">
        <v>11978479000</v>
      </c>
      <c r="P300" s="14">
        <v>346342000</v>
      </c>
      <c r="Q300" s="14">
        <v>503694000</v>
      </c>
      <c r="R300" s="14">
        <v>346572000</v>
      </c>
      <c r="AB300" s="74">
        <f t="shared" si="381"/>
        <v>0</v>
      </c>
      <c r="AC300" s="75" t="e">
        <f t="shared" si="357"/>
        <v>#DIV/0!</v>
      </c>
      <c r="AD300" s="75" t="e">
        <f t="shared" si="382"/>
        <v>#DIV/0!</v>
      </c>
      <c r="AE300" s="76" t="e">
        <f t="shared" si="397"/>
        <v>#DIV/0!</v>
      </c>
      <c r="AF300" s="77" t="e">
        <f t="shared" si="358"/>
        <v>#DIV/0!</v>
      </c>
      <c r="AG300" s="77" t="e">
        <f t="shared" si="359"/>
        <v>#DIV/0!</v>
      </c>
      <c r="AH300" s="77" t="e">
        <f t="shared" si="383"/>
        <v>#DIV/0!</v>
      </c>
      <c r="AI300" s="78" t="e">
        <f t="shared" si="384"/>
        <v>#DIV/0!</v>
      </c>
      <c r="AJ300" s="79" t="e">
        <f t="shared" si="398"/>
        <v>#DIV/0!</v>
      </c>
      <c r="AN300" s="81">
        <f t="shared" si="344"/>
        <v>0</v>
      </c>
      <c r="AO300" s="82" t="e">
        <f t="shared" si="345"/>
        <v>#DIV/0!</v>
      </c>
      <c r="AP300" s="83" t="e">
        <f t="shared" si="360"/>
        <v>#DIV/0!</v>
      </c>
      <c r="AQ300" s="84" t="e">
        <f t="shared" si="399"/>
        <v>#DIV/0!</v>
      </c>
      <c r="AS300" s="86">
        <f t="shared" si="346"/>
        <v>0.5</v>
      </c>
      <c r="AT300" s="87">
        <f t="shared" si="361"/>
        <v>0</v>
      </c>
      <c r="AU300" s="87">
        <f t="shared" si="362"/>
        <v>0</v>
      </c>
      <c r="AV300" s="88" t="e">
        <f t="shared" si="347"/>
        <v>#DIV/0!</v>
      </c>
      <c r="AW300" s="78" t="e">
        <f t="shared" si="363"/>
        <v>#DIV/0!</v>
      </c>
      <c r="AX300" s="89" t="e">
        <f t="shared" si="400"/>
        <v>#DIV/0!</v>
      </c>
      <c r="BA300" s="91">
        <f t="shared" si="348"/>
        <v>0</v>
      </c>
      <c r="BB300" s="77" t="e">
        <f t="shared" si="364"/>
        <v>#DIV/0!</v>
      </c>
      <c r="BC300" s="78" t="e">
        <f t="shared" si="365"/>
        <v>#DIV/0!</v>
      </c>
      <c r="BD300" s="79" t="e">
        <f t="shared" si="401"/>
        <v>#DIV/0!</v>
      </c>
      <c r="BE300" s="92"/>
      <c r="BF300" s="92"/>
      <c r="BG300" s="93">
        <v>0</v>
      </c>
      <c r="BH300" s="94">
        <f t="shared" si="349"/>
        <v>0</v>
      </c>
      <c r="BI300" s="77" t="e">
        <f t="shared" si="350"/>
        <v>#DIV/0!</v>
      </c>
      <c r="BJ300" s="95" t="str">
        <f t="shared" si="366"/>
        <v>비제조/서비스업</v>
      </c>
      <c r="BK300" s="96" t="e">
        <f t="shared" si="351"/>
        <v>#DIV/0!</v>
      </c>
      <c r="BL300" s="97" t="e">
        <f t="shared" si="367"/>
        <v>#DIV/0!</v>
      </c>
      <c r="BM300" s="98" t="e">
        <f t="shared" si="368"/>
        <v>#DIV/0!</v>
      </c>
      <c r="BN300" s="99" t="e">
        <f t="shared" si="369"/>
        <v>#DIV/0!</v>
      </c>
      <c r="BP300" s="101">
        <f t="shared" si="370"/>
        <v>0</v>
      </c>
      <c r="BQ300" s="78">
        <f t="shared" si="371"/>
        <v>25</v>
      </c>
      <c r="BR300" s="79">
        <f t="shared" si="402"/>
        <v>0.5</v>
      </c>
      <c r="BS300" s="102"/>
      <c r="BT300" s="102"/>
      <c r="BU300" s="103">
        <f t="shared" si="372"/>
        <v>0</v>
      </c>
      <c r="BV300" s="77">
        <f t="shared" si="352"/>
        <v>0</v>
      </c>
      <c r="BW300" s="96">
        <f t="shared" si="353"/>
        <v>0</v>
      </c>
      <c r="BX300" s="96">
        <f t="shared" si="373"/>
        <v>0</v>
      </c>
      <c r="BY300" s="96">
        <f t="shared" si="354"/>
        <v>0</v>
      </c>
      <c r="BZ300" s="96" t="e">
        <f t="shared" si="374"/>
        <v>#NUM!</v>
      </c>
      <c r="CA300" s="96" t="e">
        <f t="shared" si="355"/>
        <v>#NUM!</v>
      </c>
      <c r="CB300" s="104" t="e">
        <f t="shared" si="375"/>
        <v>#NUM!</v>
      </c>
      <c r="CC300" s="105">
        <f t="shared" si="403"/>
        <v>114.85622131303548</v>
      </c>
      <c r="CD300" s="106">
        <f t="shared" si="404"/>
        <v>57.089363826745426</v>
      </c>
      <c r="CE300" s="107">
        <f t="shared" si="405"/>
        <v>0.85634045740118137</v>
      </c>
      <c r="CF300" s="108" t="s">
        <v>2189</v>
      </c>
      <c r="CG300" s="108" t="s">
        <v>2189</v>
      </c>
      <c r="CH300" s="108" t="s">
        <v>2189</v>
      </c>
      <c r="CI300" s="108" t="s">
        <v>2189</v>
      </c>
      <c r="CJ300" s="109"/>
      <c r="CM300" s="111">
        <f t="shared" si="376"/>
        <v>25</v>
      </c>
      <c r="CN300" s="107">
        <f t="shared" si="406"/>
        <v>0.375</v>
      </c>
      <c r="CP300" s="88">
        <f t="shared" si="377"/>
        <v>0</v>
      </c>
      <c r="CQ300" s="78">
        <f t="shared" si="378"/>
        <v>100</v>
      </c>
      <c r="CR300" s="79">
        <f t="shared" si="407"/>
        <v>3</v>
      </c>
      <c r="CS300" s="92"/>
      <c r="CT300" s="77">
        <f t="shared" si="356"/>
        <v>0</v>
      </c>
      <c r="CU300" s="78">
        <f t="shared" si="379"/>
        <v>100</v>
      </c>
      <c r="CV300" s="79">
        <f t="shared" si="408"/>
        <v>2</v>
      </c>
      <c r="CW300" s="112" t="e">
        <f t="shared" si="380"/>
        <v>#DIV/0!</v>
      </c>
    </row>
    <row r="301" spans="1:101" x14ac:dyDescent="0.35">
      <c r="A301" s="7" t="s">
        <v>1916</v>
      </c>
      <c r="B301" s="8" t="s">
        <v>1917</v>
      </c>
      <c r="C301" s="21" t="s">
        <v>1918</v>
      </c>
      <c r="D301" s="10" t="s">
        <v>21</v>
      </c>
      <c r="E301" s="11" t="s">
        <v>1831</v>
      </c>
      <c r="F301" s="11" t="s">
        <v>1919</v>
      </c>
      <c r="G301" s="12">
        <v>38712</v>
      </c>
      <c r="H301" s="11" t="s">
        <v>24</v>
      </c>
      <c r="I301" s="11" t="s">
        <v>1920</v>
      </c>
      <c r="J301" s="11" t="s">
        <v>1921</v>
      </c>
      <c r="K301" s="11" t="s">
        <v>27</v>
      </c>
      <c r="L301" s="23">
        <v>11586104724</v>
      </c>
      <c r="M301" s="14">
        <v>5729632009</v>
      </c>
      <c r="N301" s="14">
        <v>5856472715</v>
      </c>
      <c r="O301" s="14">
        <v>21528979386</v>
      </c>
      <c r="P301" s="14">
        <v>1595700562</v>
      </c>
      <c r="Q301" s="14">
        <v>1527487113</v>
      </c>
      <c r="R301" s="14">
        <v>1209437646</v>
      </c>
      <c r="AB301" s="74">
        <f t="shared" si="381"/>
        <v>0</v>
      </c>
      <c r="AC301" s="75" t="e">
        <f t="shared" si="357"/>
        <v>#DIV/0!</v>
      </c>
      <c r="AD301" s="75" t="e">
        <f t="shared" si="382"/>
        <v>#DIV/0!</v>
      </c>
      <c r="AE301" s="76" t="e">
        <f t="shared" si="397"/>
        <v>#DIV/0!</v>
      </c>
      <c r="AF301" s="77" t="e">
        <f t="shared" si="358"/>
        <v>#DIV/0!</v>
      </c>
      <c r="AG301" s="77" t="e">
        <f t="shared" si="359"/>
        <v>#DIV/0!</v>
      </c>
      <c r="AH301" s="77" t="e">
        <f t="shared" si="383"/>
        <v>#DIV/0!</v>
      </c>
      <c r="AI301" s="78" t="e">
        <f t="shared" si="384"/>
        <v>#DIV/0!</v>
      </c>
      <c r="AJ301" s="79" t="e">
        <f t="shared" si="398"/>
        <v>#DIV/0!</v>
      </c>
      <c r="AN301" s="81">
        <f t="shared" si="344"/>
        <v>0</v>
      </c>
      <c r="AO301" s="82" t="e">
        <f t="shared" si="345"/>
        <v>#DIV/0!</v>
      </c>
      <c r="AP301" s="83" t="e">
        <f t="shared" si="360"/>
        <v>#DIV/0!</v>
      </c>
      <c r="AQ301" s="84" t="e">
        <f t="shared" si="399"/>
        <v>#DIV/0!</v>
      </c>
      <c r="AS301" s="86">
        <f t="shared" si="346"/>
        <v>0.5</v>
      </c>
      <c r="AT301" s="87">
        <f t="shared" si="361"/>
        <v>0</v>
      </c>
      <c r="AU301" s="87">
        <f t="shared" si="362"/>
        <v>0</v>
      </c>
      <c r="AV301" s="88" t="e">
        <f t="shared" si="347"/>
        <v>#DIV/0!</v>
      </c>
      <c r="AW301" s="78" t="e">
        <f t="shared" si="363"/>
        <v>#DIV/0!</v>
      </c>
      <c r="AX301" s="89" t="e">
        <f t="shared" si="400"/>
        <v>#DIV/0!</v>
      </c>
      <c r="BA301" s="91">
        <f t="shared" si="348"/>
        <v>0</v>
      </c>
      <c r="BB301" s="77" t="e">
        <f t="shared" si="364"/>
        <v>#DIV/0!</v>
      </c>
      <c r="BC301" s="78" t="e">
        <f t="shared" si="365"/>
        <v>#DIV/0!</v>
      </c>
      <c r="BD301" s="79" t="e">
        <f t="shared" si="401"/>
        <v>#DIV/0!</v>
      </c>
      <c r="BE301" s="92"/>
      <c r="BF301" s="92"/>
      <c r="BG301" s="93">
        <v>0</v>
      </c>
      <c r="BH301" s="94">
        <f t="shared" si="349"/>
        <v>0</v>
      </c>
      <c r="BI301" s="77" t="e">
        <f t="shared" si="350"/>
        <v>#DIV/0!</v>
      </c>
      <c r="BJ301" s="95" t="str">
        <f t="shared" si="366"/>
        <v>비제조/서비스업</v>
      </c>
      <c r="BK301" s="96" t="e">
        <f t="shared" si="351"/>
        <v>#DIV/0!</v>
      </c>
      <c r="BL301" s="97" t="e">
        <f t="shared" si="367"/>
        <v>#DIV/0!</v>
      </c>
      <c r="BM301" s="98" t="e">
        <f t="shared" si="368"/>
        <v>#DIV/0!</v>
      </c>
      <c r="BN301" s="99" t="e">
        <f t="shared" si="369"/>
        <v>#DIV/0!</v>
      </c>
      <c r="BP301" s="101">
        <f t="shared" si="370"/>
        <v>0</v>
      </c>
      <c r="BQ301" s="78">
        <f t="shared" si="371"/>
        <v>25</v>
      </c>
      <c r="BR301" s="79">
        <f t="shared" si="402"/>
        <v>0.5</v>
      </c>
      <c r="BS301" s="102"/>
      <c r="BT301" s="102"/>
      <c r="BU301" s="103">
        <f t="shared" si="372"/>
        <v>0</v>
      </c>
      <c r="BV301" s="77">
        <f t="shared" si="352"/>
        <v>0</v>
      </c>
      <c r="BW301" s="96">
        <f t="shared" si="353"/>
        <v>0</v>
      </c>
      <c r="BX301" s="96">
        <f t="shared" si="373"/>
        <v>0</v>
      </c>
      <c r="BY301" s="96">
        <f t="shared" si="354"/>
        <v>0</v>
      </c>
      <c r="BZ301" s="96" t="e">
        <f t="shared" si="374"/>
        <v>#NUM!</v>
      </c>
      <c r="CA301" s="96" t="e">
        <f t="shared" si="355"/>
        <v>#NUM!</v>
      </c>
      <c r="CB301" s="104" t="e">
        <f t="shared" si="375"/>
        <v>#NUM!</v>
      </c>
      <c r="CC301" s="105">
        <f t="shared" si="403"/>
        <v>97.834179169397871</v>
      </c>
      <c r="CD301" s="106">
        <f t="shared" si="404"/>
        <v>63.504706343191756</v>
      </c>
      <c r="CE301" s="107">
        <f t="shared" si="405"/>
        <v>0.95257059514787634</v>
      </c>
      <c r="CF301" s="108" t="s">
        <v>2189</v>
      </c>
      <c r="CG301" s="108" t="s">
        <v>2189</v>
      </c>
      <c r="CH301" s="108" t="s">
        <v>2189</v>
      </c>
      <c r="CI301" s="108" t="s">
        <v>2189</v>
      </c>
      <c r="CJ301" s="109"/>
      <c r="CM301" s="111">
        <f t="shared" si="376"/>
        <v>25</v>
      </c>
      <c r="CN301" s="107">
        <f t="shared" si="406"/>
        <v>0.375</v>
      </c>
      <c r="CP301" s="88">
        <f t="shared" si="377"/>
        <v>0</v>
      </c>
      <c r="CQ301" s="78">
        <f t="shared" si="378"/>
        <v>100</v>
      </c>
      <c r="CR301" s="79">
        <f t="shared" si="407"/>
        <v>3</v>
      </c>
      <c r="CS301" s="92"/>
      <c r="CT301" s="77">
        <f t="shared" si="356"/>
        <v>0</v>
      </c>
      <c r="CU301" s="78">
        <f t="shared" si="379"/>
        <v>100</v>
      </c>
      <c r="CV301" s="79">
        <f t="shared" si="408"/>
        <v>2</v>
      </c>
      <c r="CW301" s="112" t="e">
        <f t="shared" si="380"/>
        <v>#DIV/0!</v>
      </c>
    </row>
    <row r="302" spans="1:101" x14ac:dyDescent="0.35">
      <c r="A302" s="7" t="s">
        <v>1922</v>
      </c>
      <c r="B302" s="8" t="s">
        <v>1923</v>
      </c>
      <c r="C302" s="21" t="s">
        <v>1924</v>
      </c>
      <c r="D302" s="22" t="s">
        <v>141</v>
      </c>
      <c r="E302" s="11" t="s">
        <v>1925</v>
      </c>
      <c r="F302" s="11" t="s">
        <v>1926</v>
      </c>
      <c r="G302" s="12">
        <v>41577</v>
      </c>
      <c r="H302" s="11" t="s">
        <v>24</v>
      </c>
      <c r="I302" s="11" t="s">
        <v>1927</v>
      </c>
      <c r="J302" s="11" t="s">
        <v>1928</v>
      </c>
      <c r="K302" s="11" t="s">
        <v>102</v>
      </c>
      <c r="L302" s="23">
        <v>4676787304</v>
      </c>
      <c r="M302" s="14">
        <v>3212555016</v>
      </c>
      <c r="N302" s="14">
        <v>1464232288</v>
      </c>
      <c r="O302" s="14">
        <v>3106010725</v>
      </c>
      <c r="P302" s="14">
        <v>177983235</v>
      </c>
      <c r="Q302" s="14">
        <v>122548827</v>
      </c>
      <c r="R302" s="14">
        <v>213700726</v>
      </c>
      <c r="AB302" s="74">
        <f t="shared" si="381"/>
        <v>0</v>
      </c>
      <c r="AC302" s="75" t="e">
        <f t="shared" si="357"/>
        <v>#DIV/0!</v>
      </c>
      <c r="AD302" s="75" t="e">
        <f t="shared" si="382"/>
        <v>#DIV/0!</v>
      </c>
      <c r="AE302" s="76" t="e">
        <f t="shared" si="397"/>
        <v>#DIV/0!</v>
      </c>
      <c r="AF302" s="77" t="e">
        <f t="shared" si="358"/>
        <v>#DIV/0!</v>
      </c>
      <c r="AG302" s="77" t="e">
        <f t="shared" si="359"/>
        <v>#DIV/0!</v>
      </c>
      <c r="AH302" s="77" t="e">
        <f t="shared" si="383"/>
        <v>#DIV/0!</v>
      </c>
      <c r="AI302" s="78" t="e">
        <f t="shared" si="384"/>
        <v>#DIV/0!</v>
      </c>
      <c r="AJ302" s="79" t="e">
        <f t="shared" si="398"/>
        <v>#DIV/0!</v>
      </c>
      <c r="AN302" s="81">
        <f t="shared" si="344"/>
        <v>0</v>
      </c>
      <c r="AO302" s="82" t="e">
        <f t="shared" si="345"/>
        <v>#DIV/0!</v>
      </c>
      <c r="AP302" s="83" t="e">
        <f t="shared" si="360"/>
        <v>#DIV/0!</v>
      </c>
      <c r="AQ302" s="84" t="e">
        <f t="shared" si="399"/>
        <v>#DIV/0!</v>
      </c>
      <c r="AS302" s="86">
        <f t="shared" si="346"/>
        <v>0.5</v>
      </c>
      <c r="AT302" s="87">
        <f t="shared" si="361"/>
        <v>0</v>
      </c>
      <c r="AU302" s="87">
        <f t="shared" si="362"/>
        <v>0</v>
      </c>
      <c r="AV302" s="88" t="e">
        <f t="shared" si="347"/>
        <v>#DIV/0!</v>
      </c>
      <c r="AW302" s="78" t="e">
        <f t="shared" si="363"/>
        <v>#DIV/0!</v>
      </c>
      <c r="AX302" s="89" t="e">
        <f t="shared" si="400"/>
        <v>#DIV/0!</v>
      </c>
      <c r="BA302" s="91">
        <f t="shared" si="348"/>
        <v>0</v>
      </c>
      <c r="BB302" s="77" t="e">
        <f t="shared" si="364"/>
        <v>#DIV/0!</v>
      </c>
      <c r="BC302" s="78" t="e">
        <f t="shared" si="365"/>
        <v>#DIV/0!</v>
      </c>
      <c r="BD302" s="79" t="e">
        <f t="shared" si="401"/>
        <v>#DIV/0!</v>
      </c>
      <c r="BE302" s="92"/>
      <c r="BF302" s="92"/>
      <c r="BG302" s="114">
        <v>743489</v>
      </c>
      <c r="BH302" s="94">
        <f t="shared" si="349"/>
        <v>0</v>
      </c>
      <c r="BI302" s="77" t="e">
        <f t="shared" si="350"/>
        <v>#DIV/0!</v>
      </c>
      <c r="BJ302" s="95" t="str">
        <f t="shared" si="366"/>
        <v>전기전자/기계업</v>
      </c>
      <c r="BK302" s="96" t="e">
        <f t="shared" si="351"/>
        <v>#DIV/0!</v>
      </c>
      <c r="BL302" s="97" t="e">
        <f t="shared" si="367"/>
        <v>#DIV/0!</v>
      </c>
      <c r="BM302" s="98" t="e">
        <f t="shared" si="368"/>
        <v>#DIV/0!</v>
      </c>
      <c r="BN302" s="99" t="e">
        <f t="shared" si="369"/>
        <v>#DIV/0!</v>
      </c>
      <c r="BP302" s="101">
        <f t="shared" si="370"/>
        <v>0</v>
      </c>
      <c r="BQ302" s="78">
        <f t="shared" si="371"/>
        <v>25</v>
      </c>
      <c r="BR302" s="79">
        <f t="shared" si="402"/>
        <v>0.5</v>
      </c>
      <c r="BS302" s="102"/>
      <c r="BT302" s="102"/>
      <c r="BU302" s="103">
        <f t="shared" si="372"/>
        <v>0</v>
      </c>
      <c r="BV302" s="77">
        <f t="shared" si="352"/>
        <v>0</v>
      </c>
      <c r="BW302" s="96">
        <f t="shared" si="353"/>
        <v>0</v>
      </c>
      <c r="BX302" s="96">
        <f t="shared" si="373"/>
        <v>0</v>
      </c>
      <c r="BY302" s="96">
        <f t="shared" si="354"/>
        <v>0</v>
      </c>
      <c r="BZ302" s="96" t="e">
        <f t="shared" si="374"/>
        <v>#NUM!</v>
      </c>
      <c r="CA302" s="96" t="e">
        <f t="shared" si="355"/>
        <v>#NUM!</v>
      </c>
      <c r="CB302" s="104" t="e">
        <f t="shared" si="375"/>
        <v>#NUM!</v>
      </c>
      <c r="CC302" s="105">
        <f t="shared" si="403"/>
        <v>219.40200624779558</v>
      </c>
      <c r="CD302" s="106">
        <f t="shared" si="404"/>
        <v>25</v>
      </c>
      <c r="CE302" s="107">
        <f t="shared" si="405"/>
        <v>0.375</v>
      </c>
      <c r="CF302" s="108" t="s">
        <v>2189</v>
      </c>
      <c r="CG302" s="108" t="s">
        <v>2189</v>
      </c>
      <c r="CH302" s="108" t="s">
        <v>2189</v>
      </c>
      <c r="CI302" s="108" t="s">
        <v>2189</v>
      </c>
      <c r="CJ302" s="109"/>
      <c r="CM302" s="111">
        <f t="shared" si="376"/>
        <v>25</v>
      </c>
      <c r="CN302" s="107">
        <f t="shared" si="406"/>
        <v>0.375</v>
      </c>
      <c r="CP302" s="88">
        <f t="shared" si="377"/>
        <v>0</v>
      </c>
      <c r="CQ302" s="78">
        <f t="shared" si="378"/>
        <v>100</v>
      </c>
      <c r="CR302" s="79">
        <f t="shared" si="407"/>
        <v>3</v>
      </c>
      <c r="CS302" s="92"/>
      <c r="CT302" s="77">
        <f t="shared" si="356"/>
        <v>0</v>
      </c>
      <c r="CU302" s="78">
        <f t="shared" si="379"/>
        <v>100</v>
      </c>
      <c r="CV302" s="79">
        <f t="shared" si="408"/>
        <v>2</v>
      </c>
      <c r="CW302" s="112" t="e">
        <f t="shared" si="380"/>
        <v>#DIV/0!</v>
      </c>
    </row>
    <row r="303" spans="1:101" x14ac:dyDescent="0.35">
      <c r="A303" s="7" t="s">
        <v>1929</v>
      </c>
      <c r="B303" s="8" t="s">
        <v>1930</v>
      </c>
      <c r="C303" s="21" t="s">
        <v>1931</v>
      </c>
      <c r="D303" s="10" t="s">
        <v>141</v>
      </c>
      <c r="E303" s="11" t="s">
        <v>356</v>
      </c>
      <c r="F303" s="11" t="s">
        <v>1932</v>
      </c>
      <c r="G303" s="12">
        <v>32756</v>
      </c>
      <c r="H303" s="11" t="s">
        <v>24</v>
      </c>
      <c r="I303" s="11" t="s">
        <v>1933</v>
      </c>
      <c r="J303" s="11" t="s">
        <v>1934</v>
      </c>
      <c r="K303" s="11" t="s">
        <v>27</v>
      </c>
      <c r="L303" s="23">
        <v>34782050000</v>
      </c>
      <c r="M303" s="14">
        <v>8693623000</v>
      </c>
      <c r="N303" s="14">
        <v>26088427000</v>
      </c>
      <c r="O303" s="14">
        <v>34052113000</v>
      </c>
      <c r="P303" s="14">
        <v>1405333000</v>
      </c>
      <c r="Q303" s="14">
        <v>2049859000</v>
      </c>
      <c r="R303" s="14">
        <v>1576460000</v>
      </c>
      <c r="AB303" s="74">
        <f t="shared" si="381"/>
        <v>0</v>
      </c>
      <c r="AC303" s="75" t="e">
        <f t="shared" si="357"/>
        <v>#DIV/0!</v>
      </c>
      <c r="AD303" s="75" t="e">
        <f t="shared" si="382"/>
        <v>#DIV/0!</v>
      </c>
      <c r="AE303" s="76" t="e">
        <f t="shared" si="397"/>
        <v>#DIV/0!</v>
      </c>
      <c r="AF303" s="77" t="e">
        <f t="shared" si="358"/>
        <v>#DIV/0!</v>
      </c>
      <c r="AG303" s="77" t="e">
        <f t="shared" si="359"/>
        <v>#DIV/0!</v>
      </c>
      <c r="AH303" s="77" t="e">
        <f t="shared" si="383"/>
        <v>#DIV/0!</v>
      </c>
      <c r="AI303" s="78" t="e">
        <f t="shared" si="384"/>
        <v>#DIV/0!</v>
      </c>
      <c r="AJ303" s="79" t="e">
        <f t="shared" si="398"/>
        <v>#DIV/0!</v>
      </c>
      <c r="AN303" s="81">
        <f t="shared" si="344"/>
        <v>0</v>
      </c>
      <c r="AO303" s="82" t="e">
        <f t="shared" si="345"/>
        <v>#DIV/0!</v>
      </c>
      <c r="AP303" s="83" t="e">
        <f t="shared" si="360"/>
        <v>#DIV/0!</v>
      </c>
      <c r="AQ303" s="84" t="e">
        <f t="shared" si="399"/>
        <v>#DIV/0!</v>
      </c>
      <c r="AS303" s="86">
        <f t="shared" si="346"/>
        <v>0.5</v>
      </c>
      <c r="AT303" s="87">
        <f t="shared" si="361"/>
        <v>0</v>
      </c>
      <c r="AU303" s="87">
        <f t="shared" si="362"/>
        <v>0</v>
      </c>
      <c r="AV303" s="88" t="e">
        <f t="shared" si="347"/>
        <v>#DIV/0!</v>
      </c>
      <c r="AW303" s="78" t="e">
        <f t="shared" si="363"/>
        <v>#DIV/0!</v>
      </c>
      <c r="AX303" s="89" t="e">
        <f t="shared" si="400"/>
        <v>#DIV/0!</v>
      </c>
      <c r="BA303" s="91">
        <f t="shared" si="348"/>
        <v>0</v>
      </c>
      <c r="BB303" s="77" t="e">
        <f t="shared" si="364"/>
        <v>#DIV/0!</v>
      </c>
      <c r="BC303" s="78" t="e">
        <f t="shared" si="365"/>
        <v>#DIV/0!</v>
      </c>
      <c r="BD303" s="79" t="e">
        <f t="shared" si="401"/>
        <v>#DIV/0!</v>
      </c>
      <c r="BE303" s="92"/>
      <c r="BF303" s="92"/>
      <c r="BG303" s="93">
        <v>0</v>
      </c>
      <c r="BH303" s="94">
        <f t="shared" si="349"/>
        <v>0</v>
      </c>
      <c r="BI303" s="77" t="e">
        <f t="shared" si="350"/>
        <v>#DIV/0!</v>
      </c>
      <c r="BJ303" s="95" t="str">
        <f t="shared" si="366"/>
        <v>전기전자/기계업</v>
      </c>
      <c r="BK303" s="96" t="e">
        <f t="shared" si="351"/>
        <v>#DIV/0!</v>
      </c>
      <c r="BL303" s="97" t="e">
        <f t="shared" si="367"/>
        <v>#DIV/0!</v>
      </c>
      <c r="BM303" s="98" t="e">
        <f t="shared" si="368"/>
        <v>#DIV/0!</v>
      </c>
      <c r="BN303" s="99" t="e">
        <f t="shared" si="369"/>
        <v>#DIV/0!</v>
      </c>
      <c r="BP303" s="101">
        <f t="shared" si="370"/>
        <v>0</v>
      </c>
      <c r="BQ303" s="78">
        <f t="shared" si="371"/>
        <v>25</v>
      </c>
      <c r="BR303" s="79">
        <f t="shared" si="402"/>
        <v>0.5</v>
      </c>
      <c r="BS303" s="102"/>
      <c r="BT303" s="102"/>
      <c r="BU303" s="103">
        <f t="shared" si="372"/>
        <v>0</v>
      </c>
      <c r="BV303" s="77">
        <f t="shared" si="352"/>
        <v>0</v>
      </c>
      <c r="BW303" s="96">
        <f t="shared" si="353"/>
        <v>0</v>
      </c>
      <c r="BX303" s="96">
        <f t="shared" si="373"/>
        <v>0</v>
      </c>
      <c r="BY303" s="96">
        <f t="shared" si="354"/>
        <v>0</v>
      </c>
      <c r="BZ303" s="96" t="e">
        <f t="shared" si="374"/>
        <v>#NUM!</v>
      </c>
      <c r="CA303" s="96" t="e">
        <f t="shared" si="355"/>
        <v>#NUM!</v>
      </c>
      <c r="CB303" s="104" t="e">
        <f t="shared" si="375"/>
        <v>#NUM!</v>
      </c>
      <c r="CC303" s="105">
        <f t="shared" si="403"/>
        <v>33.323676433232251</v>
      </c>
      <c r="CD303" s="106">
        <f t="shared" si="404"/>
        <v>87.817709886972764</v>
      </c>
      <c r="CE303" s="107">
        <f t="shared" si="405"/>
        <v>1.3172656483045915</v>
      </c>
      <c r="CF303" s="108" t="s">
        <v>2189</v>
      </c>
      <c r="CG303" s="108" t="s">
        <v>2189</v>
      </c>
      <c r="CH303" s="108" t="s">
        <v>2189</v>
      </c>
      <c r="CI303" s="108" t="s">
        <v>2189</v>
      </c>
      <c r="CJ303" s="109"/>
      <c r="CM303" s="111">
        <f t="shared" si="376"/>
        <v>25</v>
      </c>
      <c r="CN303" s="107">
        <f t="shared" si="406"/>
        <v>0.375</v>
      </c>
      <c r="CP303" s="88">
        <f t="shared" si="377"/>
        <v>0</v>
      </c>
      <c r="CQ303" s="78">
        <f t="shared" si="378"/>
        <v>100</v>
      </c>
      <c r="CR303" s="79">
        <f t="shared" si="407"/>
        <v>3</v>
      </c>
      <c r="CS303" s="92"/>
      <c r="CT303" s="77">
        <f t="shared" si="356"/>
        <v>0</v>
      </c>
      <c r="CU303" s="78">
        <f t="shared" si="379"/>
        <v>100</v>
      </c>
      <c r="CV303" s="79">
        <f t="shared" si="408"/>
        <v>2</v>
      </c>
      <c r="CW303" s="112" t="e">
        <f t="shared" si="380"/>
        <v>#DIV/0!</v>
      </c>
    </row>
    <row r="304" spans="1:101" x14ac:dyDescent="0.35">
      <c r="A304" s="7" t="s">
        <v>1935</v>
      </c>
      <c r="B304" s="8" t="s">
        <v>1936</v>
      </c>
      <c r="C304" s="21" t="s">
        <v>1937</v>
      </c>
      <c r="D304" s="10" t="s">
        <v>21</v>
      </c>
      <c r="E304" s="11" t="s">
        <v>22</v>
      </c>
      <c r="F304" s="11" t="s">
        <v>436</v>
      </c>
      <c r="G304" s="12">
        <v>37585</v>
      </c>
      <c r="H304" s="11" t="s">
        <v>24</v>
      </c>
      <c r="I304" s="11" t="s">
        <v>1938</v>
      </c>
      <c r="J304" s="11" t="s">
        <v>1939</v>
      </c>
      <c r="K304" s="11" t="s">
        <v>27</v>
      </c>
      <c r="L304" s="23">
        <v>7747981793</v>
      </c>
      <c r="M304" s="14">
        <v>3561063599</v>
      </c>
      <c r="N304" s="14">
        <v>4186918194</v>
      </c>
      <c r="O304" s="14">
        <v>1655713149</v>
      </c>
      <c r="P304" s="14">
        <v>252210667</v>
      </c>
      <c r="Q304" s="14">
        <v>205090876</v>
      </c>
      <c r="R304" s="14">
        <v>160877945</v>
      </c>
      <c r="AB304" s="74">
        <f t="shared" si="381"/>
        <v>0</v>
      </c>
      <c r="AC304" s="75" t="e">
        <f t="shared" si="357"/>
        <v>#DIV/0!</v>
      </c>
      <c r="AD304" s="75" t="e">
        <f t="shared" si="382"/>
        <v>#DIV/0!</v>
      </c>
      <c r="AE304" s="76" t="e">
        <f t="shared" si="397"/>
        <v>#DIV/0!</v>
      </c>
      <c r="AF304" s="77" t="e">
        <f t="shared" si="358"/>
        <v>#DIV/0!</v>
      </c>
      <c r="AG304" s="77" t="e">
        <f t="shared" si="359"/>
        <v>#DIV/0!</v>
      </c>
      <c r="AH304" s="77" t="e">
        <f t="shared" si="383"/>
        <v>#DIV/0!</v>
      </c>
      <c r="AI304" s="78" t="e">
        <f t="shared" si="384"/>
        <v>#DIV/0!</v>
      </c>
      <c r="AJ304" s="79" t="e">
        <f t="shared" si="398"/>
        <v>#DIV/0!</v>
      </c>
      <c r="AN304" s="81">
        <f t="shared" si="344"/>
        <v>0</v>
      </c>
      <c r="AO304" s="82" t="e">
        <f t="shared" si="345"/>
        <v>#DIV/0!</v>
      </c>
      <c r="AP304" s="83" t="e">
        <f t="shared" si="360"/>
        <v>#DIV/0!</v>
      </c>
      <c r="AQ304" s="84" t="e">
        <f t="shared" si="399"/>
        <v>#DIV/0!</v>
      </c>
      <c r="AS304" s="86">
        <f t="shared" si="346"/>
        <v>0.5</v>
      </c>
      <c r="AT304" s="87">
        <f t="shared" si="361"/>
        <v>0</v>
      </c>
      <c r="AU304" s="87">
        <f t="shared" si="362"/>
        <v>0</v>
      </c>
      <c r="AV304" s="88" t="e">
        <f t="shared" si="347"/>
        <v>#DIV/0!</v>
      </c>
      <c r="AW304" s="78" t="e">
        <f t="shared" si="363"/>
        <v>#DIV/0!</v>
      </c>
      <c r="AX304" s="89" t="e">
        <f t="shared" si="400"/>
        <v>#DIV/0!</v>
      </c>
      <c r="BA304" s="91">
        <f t="shared" si="348"/>
        <v>0</v>
      </c>
      <c r="BB304" s="77" t="e">
        <f t="shared" si="364"/>
        <v>#DIV/0!</v>
      </c>
      <c r="BC304" s="78" t="e">
        <f t="shared" si="365"/>
        <v>#DIV/0!</v>
      </c>
      <c r="BD304" s="79" t="e">
        <f t="shared" si="401"/>
        <v>#DIV/0!</v>
      </c>
      <c r="BE304" s="92"/>
      <c r="BF304" s="92"/>
      <c r="BG304" s="114">
        <v>2470884</v>
      </c>
      <c r="BH304" s="94">
        <f t="shared" si="349"/>
        <v>0</v>
      </c>
      <c r="BI304" s="77" t="e">
        <f t="shared" si="350"/>
        <v>#DIV/0!</v>
      </c>
      <c r="BJ304" s="95" t="str">
        <f t="shared" si="366"/>
        <v>비제조/서비스업</v>
      </c>
      <c r="BK304" s="96" t="e">
        <f t="shared" si="351"/>
        <v>#DIV/0!</v>
      </c>
      <c r="BL304" s="97" t="e">
        <f t="shared" si="367"/>
        <v>#DIV/0!</v>
      </c>
      <c r="BM304" s="98" t="e">
        <f t="shared" si="368"/>
        <v>#DIV/0!</v>
      </c>
      <c r="BN304" s="99" t="e">
        <f t="shared" si="369"/>
        <v>#DIV/0!</v>
      </c>
      <c r="BP304" s="101">
        <f t="shared" si="370"/>
        <v>0</v>
      </c>
      <c r="BQ304" s="78">
        <f t="shared" si="371"/>
        <v>25</v>
      </c>
      <c r="BR304" s="79">
        <f t="shared" si="402"/>
        <v>0.5</v>
      </c>
      <c r="BS304" s="102"/>
      <c r="BT304" s="102"/>
      <c r="BU304" s="103">
        <f t="shared" si="372"/>
        <v>0</v>
      </c>
      <c r="BV304" s="77">
        <f t="shared" si="352"/>
        <v>0</v>
      </c>
      <c r="BW304" s="96">
        <f t="shared" si="353"/>
        <v>0</v>
      </c>
      <c r="BX304" s="96">
        <f t="shared" si="373"/>
        <v>0</v>
      </c>
      <c r="BY304" s="96">
        <f t="shared" si="354"/>
        <v>0</v>
      </c>
      <c r="BZ304" s="96" t="e">
        <f t="shared" si="374"/>
        <v>#NUM!</v>
      </c>
      <c r="CA304" s="96" t="e">
        <f t="shared" si="355"/>
        <v>#NUM!</v>
      </c>
      <c r="CB304" s="104" t="e">
        <f t="shared" si="375"/>
        <v>#NUM!</v>
      </c>
      <c r="CC304" s="105">
        <f t="shared" si="403"/>
        <v>85.052141790186596</v>
      </c>
      <c r="CD304" s="106">
        <f t="shared" si="404"/>
        <v>68.32205711425128</v>
      </c>
      <c r="CE304" s="107">
        <f t="shared" si="405"/>
        <v>1.0248308567137692</v>
      </c>
      <c r="CF304" s="108" t="s">
        <v>2189</v>
      </c>
      <c r="CG304" s="108" t="s">
        <v>2189</v>
      </c>
      <c r="CH304" s="108" t="s">
        <v>2189</v>
      </c>
      <c r="CI304" s="108" t="s">
        <v>2189</v>
      </c>
      <c r="CJ304" s="109"/>
      <c r="CM304" s="111">
        <f t="shared" si="376"/>
        <v>25</v>
      </c>
      <c r="CN304" s="107">
        <f t="shared" si="406"/>
        <v>0.375</v>
      </c>
      <c r="CP304" s="88">
        <f t="shared" si="377"/>
        <v>0</v>
      </c>
      <c r="CQ304" s="78">
        <f t="shared" si="378"/>
        <v>100</v>
      </c>
      <c r="CR304" s="79">
        <f t="shared" si="407"/>
        <v>3</v>
      </c>
      <c r="CS304" s="92"/>
      <c r="CT304" s="77">
        <f t="shared" si="356"/>
        <v>0</v>
      </c>
      <c r="CU304" s="78">
        <f t="shared" si="379"/>
        <v>100</v>
      </c>
      <c r="CV304" s="79">
        <f t="shared" si="408"/>
        <v>2</v>
      </c>
      <c r="CW304" s="112" t="e">
        <f t="shared" si="380"/>
        <v>#DIV/0!</v>
      </c>
    </row>
    <row r="305" spans="1:101" x14ac:dyDescent="0.35">
      <c r="A305" s="7" t="s">
        <v>1940</v>
      </c>
      <c r="B305" s="8" t="s">
        <v>1941</v>
      </c>
      <c r="C305" s="21" t="s">
        <v>1942</v>
      </c>
      <c r="D305" s="10" t="s">
        <v>141</v>
      </c>
      <c r="E305" s="11" t="s">
        <v>998</v>
      </c>
      <c r="F305" s="11" t="s">
        <v>1943</v>
      </c>
      <c r="G305" s="12">
        <v>35249</v>
      </c>
      <c r="H305" s="11" t="s">
        <v>24</v>
      </c>
      <c r="I305" s="11" t="s">
        <v>1944</v>
      </c>
      <c r="J305" s="11" t="s">
        <v>1945</v>
      </c>
      <c r="K305" s="11" t="s">
        <v>280</v>
      </c>
      <c r="L305" s="23">
        <v>2341218033</v>
      </c>
      <c r="M305" s="14">
        <v>1123345096</v>
      </c>
      <c r="N305" s="14">
        <v>1217872936</v>
      </c>
      <c r="O305" s="14">
        <v>1657192106</v>
      </c>
      <c r="P305" s="14">
        <v>70857294</v>
      </c>
      <c r="Q305" s="14">
        <v>155414095</v>
      </c>
      <c r="R305" s="14">
        <v>119214196</v>
      </c>
      <c r="AB305" s="74">
        <f t="shared" si="381"/>
        <v>0</v>
      </c>
      <c r="AC305" s="75" t="e">
        <f t="shared" si="357"/>
        <v>#DIV/0!</v>
      </c>
      <c r="AD305" s="75" t="e">
        <f t="shared" si="382"/>
        <v>#DIV/0!</v>
      </c>
      <c r="AE305" s="76" t="e">
        <f t="shared" si="397"/>
        <v>#DIV/0!</v>
      </c>
      <c r="AF305" s="77" t="e">
        <f t="shared" si="358"/>
        <v>#DIV/0!</v>
      </c>
      <c r="AG305" s="77" t="e">
        <f t="shared" si="359"/>
        <v>#DIV/0!</v>
      </c>
      <c r="AH305" s="77" t="e">
        <f t="shared" si="383"/>
        <v>#DIV/0!</v>
      </c>
      <c r="AI305" s="78" t="e">
        <f t="shared" si="384"/>
        <v>#DIV/0!</v>
      </c>
      <c r="AJ305" s="79" t="e">
        <f t="shared" si="398"/>
        <v>#DIV/0!</v>
      </c>
      <c r="AN305" s="81">
        <f t="shared" si="344"/>
        <v>0</v>
      </c>
      <c r="AO305" s="82" t="e">
        <f t="shared" si="345"/>
        <v>#DIV/0!</v>
      </c>
      <c r="AP305" s="83" t="e">
        <f t="shared" si="360"/>
        <v>#DIV/0!</v>
      </c>
      <c r="AQ305" s="84" t="e">
        <f t="shared" si="399"/>
        <v>#DIV/0!</v>
      </c>
      <c r="AS305" s="86">
        <f t="shared" si="346"/>
        <v>0.5</v>
      </c>
      <c r="AT305" s="87">
        <f t="shared" si="361"/>
        <v>0</v>
      </c>
      <c r="AU305" s="87">
        <f t="shared" si="362"/>
        <v>0</v>
      </c>
      <c r="AV305" s="88" t="e">
        <f t="shared" si="347"/>
        <v>#DIV/0!</v>
      </c>
      <c r="AW305" s="78" t="e">
        <f t="shared" si="363"/>
        <v>#DIV/0!</v>
      </c>
      <c r="AX305" s="89" t="e">
        <f t="shared" si="400"/>
        <v>#DIV/0!</v>
      </c>
      <c r="BA305" s="91">
        <f t="shared" si="348"/>
        <v>0</v>
      </c>
      <c r="BB305" s="77" t="e">
        <f t="shared" si="364"/>
        <v>#DIV/0!</v>
      </c>
      <c r="BC305" s="78" t="e">
        <f t="shared" si="365"/>
        <v>#DIV/0!</v>
      </c>
      <c r="BD305" s="79" t="e">
        <f t="shared" si="401"/>
        <v>#DIV/0!</v>
      </c>
      <c r="BE305" s="92"/>
      <c r="BF305" s="92"/>
      <c r="BG305" s="93">
        <v>0</v>
      </c>
      <c r="BH305" s="94">
        <f t="shared" si="349"/>
        <v>0</v>
      </c>
      <c r="BI305" s="77" t="e">
        <f t="shared" si="350"/>
        <v>#DIV/0!</v>
      </c>
      <c r="BJ305" s="95" t="str">
        <f t="shared" si="366"/>
        <v>전기전자/기계업</v>
      </c>
      <c r="BK305" s="96" t="e">
        <f t="shared" si="351"/>
        <v>#DIV/0!</v>
      </c>
      <c r="BL305" s="97" t="e">
        <f t="shared" si="367"/>
        <v>#DIV/0!</v>
      </c>
      <c r="BM305" s="98" t="e">
        <f t="shared" si="368"/>
        <v>#DIV/0!</v>
      </c>
      <c r="BN305" s="99" t="e">
        <f t="shared" si="369"/>
        <v>#DIV/0!</v>
      </c>
      <c r="BP305" s="101">
        <f t="shared" si="370"/>
        <v>0</v>
      </c>
      <c r="BQ305" s="78">
        <f t="shared" si="371"/>
        <v>25</v>
      </c>
      <c r="BR305" s="79">
        <f t="shared" si="402"/>
        <v>0.5</v>
      </c>
      <c r="BS305" s="102"/>
      <c r="BT305" s="102"/>
      <c r="BU305" s="103">
        <f t="shared" si="372"/>
        <v>0</v>
      </c>
      <c r="BV305" s="77">
        <f t="shared" si="352"/>
        <v>0</v>
      </c>
      <c r="BW305" s="96">
        <f t="shared" si="353"/>
        <v>0</v>
      </c>
      <c r="BX305" s="96">
        <f t="shared" si="373"/>
        <v>0</v>
      </c>
      <c r="BY305" s="96">
        <f t="shared" si="354"/>
        <v>0</v>
      </c>
      <c r="BZ305" s="96" t="e">
        <f t="shared" si="374"/>
        <v>#NUM!</v>
      </c>
      <c r="CA305" s="96" t="e">
        <f t="shared" si="355"/>
        <v>#NUM!</v>
      </c>
      <c r="CB305" s="104" t="e">
        <f t="shared" si="375"/>
        <v>#NUM!</v>
      </c>
      <c r="CC305" s="105">
        <f t="shared" si="403"/>
        <v>92.23828387955902</v>
      </c>
      <c r="CD305" s="106">
        <f t="shared" si="404"/>
        <v>65.613712105693835</v>
      </c>
      <c r="CE305" s="107">
        <f t="shared" si="405"/>
        <v>0.98420568158540744</v>
      </c>
      <c r="CF305" s="108" t="s">
        <v>2189</v>
      </c>
      <c r="CG305" s="108" t="s">
        <v>2189</v>
      </c>
      <c r="CH305" s="108" t="s">
        <v>2189</v>
      </c>
      <c r="CI305" s="108" t="s">
        <v>2189</v>
      </c>
      <c r="CJ305" s="109"/>
      <c r="CM305" s="111">
        <f t="shared" si="376"/>
        <v>25</v>
      </c>
      <c r="CN305" s="107">
        <f t="shared" si="406"/>
        <v>0.375</v>
      </c>
      <c r="CP305" s="88">
        <f t="shared" si="377"/>
        <v>0</v>
      </c>
      <c r="CQ305" s="78">
        <f t="shared" si="378"/>
        <v>100</v>
      </c>
      <c r="CR305" s="79">
        <f t="shared" si="407"/>
        <v>3</v>
      </c>
      <c r="CS305" s="92"/>
      <c r="CT305" s="77">
        <f t="shared" si="356"/>
        <v>0</v>
      </c>
      <c r="CU305" s="78">
        <f t="shared" si="379"/>
        <v>100</v>
      </c>
      <c r="CV305" s="79">
        <f t="shared" si="408"/>
        <v>2</v>
      </c>
      <c r="CW305" s="112" t="e">
        <f t="shared" si="380"/>
        <v>#DIV/0!</v>
      </c>
    </row>
    <row r="306" spans="1:101" x14ac:dyDescent="0.35">
      <c r="A306" s="7" t="s">
        <v>1946</v>
      </c>
      <c r="B306" s="8" t="s">
        <v>1947</v>
      </c>
      <c r="C306" s="21" t="s">
        <v>1948</v>
      </c>
      <c r="D306" s="10" t="s">
        <v>21</v>
      </c>
      <c r="E306" s="11" t="s">
        <v>1617</v>
      </c>
      <c r="F306" s="11" t="s">
        <v>1949</v>
      </c>
      <c r="G306" s="12">
        <v>43552</v>
      </c>
      <c r="H306" s="11" t="s">
        <v>24</v>
      </c>
      <c r="I306" s="11" t="s">
        <v>1950</v>
      </c>
      <c r="J306" s="11" t="s">
        <v>1951</v>
      </c>
      <c r="K306" s="11" t="s">
        <v>27</v>
      </c>
      <c r="L306" s="23">
        <v>2408631121</v>
      </c>
      <c r="M306" s="14">
        <v>987330400</v>
      </c>
      <c r="N306" s="14">
        <v>1421300721</v>
      </c>
      <c r="O306" s="14">
        <v>2240816395</v>
      </c>
      <c r="P306" s="14">
        <v>124351998</v>
      </c>
      <c r="Q306" s="14">
        <v>138563322</v>
      </c>
      <c r="R306" s="14">
        <v>106628632</v>
      </c>
      <c r="AB306" s="74">
        <f t="shared" si="381"/>
        <v>0</v>
      </c>
      <c r="AC306" s="75" t="e">
        <f t="shared" si="357"/>
        <v>#DIV/0!</v>
      </c>
      <c r="AD306" s="75" t="e">
        <f t="shared" si="382"/>
        <v>#DIV/0!</v>
      </c>
      <c r="AE306" s="76" t="e">
        <f t="shared" si="397"/>
        <v>#DIV/0!</v>
      </c>
      <c r="AF306" s="77" t="e">
        <f t="shared" si="358"/>
        <v>#DIV/0!</v>
      </c>
      <c r="AG306" s="77" t="e">
        <f t="shared" si="359"/>
        <v>#DIV/0!</v>
      </c>
      <c r="AH306" s="77" t="e">
        <f t="shared" si="383"/>
        <v>#DIV/0!</v>
      </c>
      <c r="AI306" s="78" t="e">
        <f t="shared" si="384"/>
        <v>#DIV/0!</v>
      </c>
      <c r="AJ306" s="79" t="e">
        <f t="shared" si="398"/>
        <v>#DIV/0!</v>
      </c>
      <c r="AN306" s="81">
        <f t="shared" si="344"/>
        <v>0</v>
      </c>
      <c r="AO306" s="82" t="e">
        <f t="shared" si="345"/>
        <v>#DIV/0!</v>
      </c>
      <c r="AP306" s="83" t="e">
        <f t="shared" si="360"/>
        <v>#DIV/0!</v>
      </c>
      <c r="AQ306" s="84" t="e">
        <f t="shared" si="399"/>
        <v>#DIV/0!</v>
      </c>
      <c r="AS306" s="86">
        <f t="shared" si="346"/>
        <v>0.5</v>
      </c>
      <c r="AT306" s="87">
        <f t="shared" si="361"/>
        <v>0</v>
      </c>
      <c r="AU306" s="87">
        <f t="shared" si="362"/>
        <v>0</v>
      </c>
      <c r="AV306" s="88" t="e">
        <f t="shared" si="347"/>
        <v>#DIV/0!</v>
      </c>
      <c r="AW306" s="78" t="e">
        <f t="shared" si="363"/>
        <v>#DIV/0!</v>
      </c>
      <c r="AX306" s="89" t="e">
        <f t="shared" si="400"/>
        <v>#DIV/0!</v>
      </c>
      <c r="BA306" s="91">
        <f t="shared" si="348"/>
        <v>0</v>
      </c>
      <c r="BB306" s="77" t="e">
        <f t="shared" si="364"/>
        <v>#DIV/0!</v>
      </c>
      <c r="BC306" s="78" t="e">
        <f t="shared" si="365"/>
        <v>#DIV/0!</v>
      </c>
      <c r="BD306" s="79" t="e">
        <f t="shared" si="401"/>
        <v>#DIV/0!</v>
      </c>
      <c r="BE306" s="92"/>
      <c r="BF306" s="92"/>
      <c r="BG306" s="93">
        <v>0</v>
      </c>
      <c r="BH306" s="94">
        <f t="shared" si="349"/>
        <v>0</v>
      </c>
      <c r="BI306" s="77" t="e">
        <f t="shared" si="350"/>
        <v>#DIV/0!</v>
      </c>
      <c r="BJ306" s="95" t="str">
        <f t="shared" si="366"/>
        <v>비제조/서비스업</v>
      </c>
      <c r="BK306" s="96" t="e">
        <f t="shared" si="351"/>
        <v>#DIV/0!</v>
      </c>
      <c r="BL306" s="97" t="e">
        <f t="shared" si="367"/>
        <v>#DIV/0!</v>
      </c>
      <c r="BM306" s="98" t="e">
        <f t="shared" si="368"/>
        <v>#DIV/0!</v>
      </c>
      <c r="BN306" s="99" t="e">
        <f t="shared" si="369"/>
        <v>#DIV/0!</v>
      </c>
      <c r="BP306" s="101">
        <f t="shared" si="370"/>
        <v>0</v>
      </c>
      <c r="BQ306" s="78">
        <f t="shared" si="371"/>
        <v>25</v>
      </c>
      <c r="BR306" s="79">
        <f t="shared" si="402"/>
        <v>0.5</v>
      </c>
      <c r="BS306" s="102"/>
      <c r="BT306" s="102"/>
      <c r="BU306" s="103">
        <f t="shared" si="372"/>
        <v>0</v>
      </c>
      <c r="BV306" s="77">
        <f t="shared" si="352"/>
        <v>0</v>
      </c>
      <c r="BW306" s="96">
        <f t="shared" si="353"/>
        <v>0</v>
      </c>
      <c r="BX306" s="96">
        <f t="shared" si="373"/>
        <v>0</v>
      </c>
      <c r="BY306" s="96">
        <f t="shared" si="354"/>
        <v>0</v>
      </c>
      <c r="BZ306" s="96" t="e">
        <f t="shared" si="374"/>
        <v>#NUM!</v>
      </c>
      <c r="CA306" s="96" t="e">
        <f t="shared" si="355"/>
        <v>#NUM!</v>
      </c>
      <c r="CB306" s="104" t="e">
        <f t="shared" si="375"/>
        <v>#NUM!</v>
      </c>
      <c r="CC306" s="105">
        <f t="shared" si="403"/>
        <v>69.466678332881813</v>
      </c>
      <c r="CD306" s="106">
        <f t="shared" si="404"/>
        <v>74.195975502682728</v>
      </c>
      <c r="CE306" s="107">
        <f t="shared" si="405"/>
        <v>1.112939632540241</v>
      </c>
      <c r="CF306" s="108" t="s">
        <v>2189</v>
      </c>
      <c r="CG306" s="108" t="s">
        <v>2189</v>
      </c>
      <c r="CH306" s="108" t="s">
        <v>2189</v>
      </c>
      <c r="CI306" s="108" t="s">
        <v>2189</v>
      </c>
      <c r="CJ306" s="109"/>
      <c r="CM306" s="111">
        <f t="shared" si="376"/>
        <v>25</v>
      </c>
      <c r="CN306" s="107">
        <f t="shared" si="406"/>
        <v>0.375</v>
      </c>
      <c r="CP306" s="88">
        <f t="shared" si="377"/>
        <v>0</v>
      </c>
      <c r="CQ306" s="78">
        <f t="shared" si="378"/>
        <v>100</v>
      </c>
      <c r="CR306" s="79">
        <f t="shared" si="407"/>
        <v>3</v>
      </c>
      <c r="CS306" s="92"/>
      <c r="CT306" s="77">
        <f t="shared" si="356"/>
        <v>0</v>
      </c>
      <c r="CU306" s="78">
        <f t="shared" si="379"/>
        <v>100</v>
      </c>
      <c r="CV306" s="79">
        <f t="shared" si="408"/>
        <v>2</v>
      </c>
      <c r="CW306" s="112" t="e">
        <f t="shared" si="380"/>
        <v>#DIV/0!</v>
      </c>
    </row>
    <row r="307" spans="1:101" x14ac:dyDescent="0.35">
      <c r="A307" s="7" t="s">
        <v>1952</v>
      </c>
      <c r="B307" s="8" t="s">
        <v>1953</v>
      </c>
      <c r="C307" s="21" t="s">
        <v>1954</v>
      </c>
      <c r="D307" s="10" t="s">
        <v>141</v>
      </c>
      <c r="E307" s="11" t="s">
        <v>489</v>
      </c>
      <c r="F307" s="11" t="s">
        <v>1955</v>
      </c>
      <c r="G307" s="12">
        <v>27208</v>
      </c>
      <c r="H307" s="11" t="s">
        <v>24</v>
      </c>
      <c r="I307" s="11" t="s">
        <v>1956</v>
      </c>
      <c r="J307" s="11" t="s">
        <v>1957</v>
      </c>
      <c r="K307" s="11" t="s">
        <v>27</v>
      </c>
      <c r="L307" s="23">
        <v>83412349000</v>
      </c>
      <c r="M307" s="14">
        <v>27656534000</v>
      </c>
      <c r="N307" s="14">
        <v>55755815000</v>
      </c>
      <c r="O307" s="14">
        <v>65308350000</v>
      </c>
      <c r="P307" s="14">
        <v>2828569000</v>
      </c>
      <c r="Q307" s="14">
        <v>4175475000</v>
      </c>
      <c r="R307" s="14">
        <v>3701958000</v>
      </c>
      <c r="AB307" s="74">
        <f t="shared" si="381"/>
        <v>0</v>
      </c>
      <c r="AC307" s="75" t="e">
        <f t="shared" si="357"/>
        <v>#DIV/0!</v>
      </c>
      <c r="AD307" s="75" t="e">
        <f t="shared" si="382"/>
        <v>#DIV/0!</v>
      </c>
      <c r="AE307" s="76" t="e">
        <f t="shared" si="397"/>
        <v>#DIV/0!</v>
      </c>
      <c r="AF307" s="77" t="e">
        <f t="shared" si="358"/>
        <v>#DIV/0!</v>
      </c>
      <c r="AG307" s="77" t="e">
        <f t="shared" si="359"/>
        <v>#DIV/0!</v>
      </c>
      <c r="AH307" s="77" t="e">
        <f t="shared" si="383"/>
        <v>#DIV/0!</v>
      </c>
      <c r="AI307" s="78" t="e">
        <f t="shared" si="384"/>
        <v>#DIV/0!</v>
      </c>
      <c r="AJ307" s="79" t="e">
        <f t="shared" si="398"/>
        <v>#DIV/0!</v>
      </c>
      <c r="AN307" s="81">
        <f t="shared" si="344"/>
        <v>0</v>
      </c>
      <c r="AO307" s="82" t="e">
        <f t="shared" si="345"/>
        <v>#DIV/0!</v>
      </c>
      <c r="AP307" s="83" t="e">
        <f t="shared" si="360"/>
        <v>#DIV/0!</v>
      </c>
      <c r="AQ307" s="84" t="e">
        <f t="shared" si="399"/>
        <v>#DIV/0!</v>
      </c>
      <c r="AS307" s="86">
        <f t="shared" si="346"/>
        <v>0.5</v>
      </c>
      <c r="AT307" s="87">
        <f t="shared" si="361"/>
        <v>0</v>
      </c>
      <c r="AU307" s="87">
        <f t="shared" si="362"/>
        <v>0</v>
      </c>
      <c r="AV307" s="88" t="e">
        <f t="shared" si="347"/>
        <v>#DIV/0!</v>
      </c>
      <c r="AW307" s="78" t="e">
        <f t="shared" si="363"/>
        <v>#DIV/0!</v>
      </c>
      <c r="AX307" s="89" t="e">
        <f t="shared" si="400"/>
        <v>#DIV/0!</v>
      </c>
      <c r="BA307" s="91">
        <f t="shared" si="348"/>
        <v>0</v>
      </c>
      <c r="BB307" s="77" t="e">
        <f t="shared" si="364"/>
        <v>#DIV/0!</v>
      </c>
      <c r="BC307" s="78" t="e">
        <f t="shared" si="365"/>
        <v>#DIV/0!</v>
      </c>
      <c r="BD307" s="79" t="e">
        <f t="shared" si="401"/>
        <v>#DIV/0!</v>
      </c>
      <c r="BE307" s="92"/>
      <c r="BF307" s="92"/>
      <c r="BG307" s="93">
        <v>0</v>
      </c>
      <c r="BH307" s="94">
        <f t="shared" si="349"/>
        <v>0</v>
      </c>
      <c r="BI307" s="77" t="e">
        <f t="shared" si="350"/>
        <v>#DIV/0!</v>
      </c>
      <c r="BJ307" s="95" t="str">
        <f t="shared" si="366"/>
        <v>전기전자/기계업</v>
      </c>
      <c r="BK307" s="96" t="e">
        <f t="shared" si="351"/>
        <v>#DIV/0!</v>
      </c>
      <c r="BL307" s="97" t="e">
        <f t="shared" si="367"/>
        <v>#DIV/0!</v>
      </c>
      <c r="BM307" s="98" t="e">
        <f t="shared" si="368"/>
        <v>#DIV/0!</v>
      </c>
      <c r="BN307" s="99" t="e">
        <f t="shared" si="369"/>
        <v>#DIV/0!</v>
      </c>
      <c r="BP307" s="101">
        <f t="shared" si="370"/>
        <v>0</v>
      </c>
      <c r="BQ307" s="78">
        <f t="shared" si="371"/>
        <v>25</v>
      </c>
      <c r="BR307" s="79">
        <f t="shared" si="402"/>
        <v>0.5</v>
      </c>
      <c r="BS307" s="102"/>
      <c r="BT307" s="102"/>
      <c r="BU307" s="103">
        <f t="shared" si="372"/>
        <v>0</v>
      </c>
      <c r="BV307" s="77">
        <f t="shared" si="352"/>
        <v>0</v>
      </c>
      <c r="BW307" s="96">
        <f t="shared" si="353"/>
        <v>0</v>
      </c>
      <c r="BX307" s="96">
        <f t="shared" si="373"/>
        <v>0</v>
      </c>
      <c r="BY307" s="96">
        <f t="shared" si="354"/>
        <v>0</v>
      </c>
      <c r="BZ307" s="96" t="e">
        <f t="shared" si="374"/>
        <v>#NUM!</v>
      </c>
      <c r="CA307" s="96" t="e">
        <f t="shared" si="355"/>
        <v>#NUM!</v>
      </c>
      <c r="CB307" s="104" t="e">
        <f t="shared" si="375"/>
        <v>#NUM!</v>
      </c>
      <c r="CC307" s="105">
        <f t="shared" si="403"/>
        <v>49.60295890213424</v>
      </c>
      <c r="CD307" s="106">
        <f t="shared" si="404"/>
        <v>81.682301921306191</v>
      </c>
      <c r="CE307" s="107">
        <f t="shared" si="405"/>
        <v>1.2252345288195927</v>
      </c>
      <c r="CF307" s="108" t="s">
        <v>2189</v>
      </c>
      <c r="CG307" s="108" t="s">
        <v>2189</v>
      </c>
      <c r="CH307" s="108" t="s">
        <v>2189</v>
      </c>
      <c r="CI307" s="108" t="s">
        <v>2189</v>
      </c>
      <c r="CJ307" s="109"/>
      <c r="CM307" s="111">
        <f t="shared" si="376"/>
        <v>25</v>
      </c>
      <c r="CN307" s="107">
        <f t="shared" si="406"/>
        <v>0.375</v>
      </c>
      <c r="CP307" s="88">
        <f t="shared" si="377"/>
        <v>0</v>
      </c>
      <c r="CQ307" s="78">
        <f t="shared" si="378"/>
        <v>100</v>
      </c>
      <c r="CR307" s="79">
        <f t="shared" si="407"/>
        <v>3</v>
      </c>
      <c r="CS307" s="92"/>
      <c r="CT307" s="77">
        <f t="shared" si="356"/>
        <v>0</v>
      </c>
      <c r="CU307" s="78">
        <f t="shared" si="379"/>
        <v>100</v>
      </c>
      <c r="CV307" s="79">
        <f t="shared" si="408"/>
        <v>2</v>
      </c>
      <c r="CW307" s="112" t="e">
        <f t="shared" si="380"/>
        <v>#DIV/0!</v>
      </c>
    </row>
    <row r="308" spans="1:101" x14ac:dyDescent="0.35">
      <c r="A308" s="7" t="s">
        <v>1958</v>
      </c>
      <c r="B308" s="8" t="s">
        <v>1959</v>
      </c>
      <c r="C308" s="21" t="s">
        <v>1960</v>
      </c>
      <c r="D308" s="25" t="s">
        <v>262</v>
      </c>
      <c r="E308" s="11" t="s">
        <v>263</v>
      </c>
      <c r="F308" s="11" t="s">
        <v>1961</v>
      </c>
      <c r="G308" s="12">
        <v>33033</v>
      </c>
      <c r="H308" s="11" t="s">
        <v>24</v>
      </c>
      <c r="I308" s="11" t="s">
        <v>1962</v>
      </c>
      <c r="J308" s="11" t="s">
        <v>1963</v>
      </c>
      <c r="K308" s="11" t="s">
        <v>27</v>
      </c>
      <c r="L308" s="23">
        <v>9431771000</v>
      </c>
      <c r="M308" s="14">
        <v>8215533000</v>
      </c>
      <c r="N308" s="14">
        <v>1216238000</v>
      </c>
      <c r="O308" s="14">
        <v>1147815000</v>
      </c>
      <c r="P308" s="14">
        <v>107043000</v>
      </c>
      <c r="Q308" s="14">
        <v>107816000</v>
      </c>
      <c r="R308" s="14">
        <v>80172000</v>
      </c>
      <c r="AB308" s="74">
        <f t="shared" si="381"/>
        <v>0</v>
      </c>
      <c r="AC308" s="75" t="e">
        <f t="shared" si="357"/>
        <v>#DIV/0!</v>
      </c>
      <c r="AD308" s="75" t="e">
        <f t="shared" si="382"/>
        <v>#DIV/0!</v>
      </c>
      <c r="AE308" s="119" t="e">
        <f>AD308*0.04</f>
        <v>#DIV/0!</v>
      </c>
      <c r="AF308" s="77" t="e">
        <f t="shared" si="358"/>
        <v>#DIV/0!</v>
      </c>
      <c r="AG308" s="77" t="e">
        <f t="shared" si="359"/>
        <v>#DIV/0!</v>
      </c>
      <c r="AH308" s="77" t="e">
        <f t="shared" si="383"/>
        <v>#DIV/0!</v>
      </c>
      <c r="AI308" s="78" t="e">
        <f t="shared" si="384"/>
        <v>#DIV/0!</v>
      </c>
      <c r="AJ308" s="120" t="e">
        <f>AI308*0.05</f>
        <v>#DIV/0!</v>
      </c>
      <c r="AN308" s="81">
        <f t="shared" si="344"/>
        <v>0</v>
      </c>
      <c r="AO308" s="82" t="e">
        <f t="shared" si="345"/>
        <v>#DIV/0!</v>
      </c>
      <c r="AP308" s="83" t="e">
        <f t="shared" si="360"/>
        <v>#DIV/0!</v>
      </c>
      <c r="AQ308" s="121" t="e">
        <f>AP308*0.03</f>
        <v>#DIV/0!</v>
      </c>
      <c r="AS308" s="86">
        <f t="shared" si="346"/>
        <v>0.5</v>
      </c>
      <c r="AT308" s="87">
        <f t="shared" si="361"/>
        <v>0</v>
      </c>
      <c r="AU308" s="87">
        <f t="shared" si="362"/>
        <v>0</v>
      </c>
      <c r="AV308" s="88" t="e">
        <f t="shared" si="347"/>
        <v>#DIV/0!</v>
      </c>
      <c r="AW308" s="78" t="e">
        <f t="shared" si="363"/>
        <v>#DIV/0!</v>
      </c>
      <c r="AX308" s="122" t="e">
        <f>AW308*0.02</f>
        <v>#DIV/0!</v>
      </c>
      <c r="BA308" s="91">
        <f t="shared" si="348"/>
        <v>0</v>
      </c>
      <c r="BB308" s="77" t="e">
        <f t="shared" si="364"/>
        <v>#DIV/0!</v>
      </c>
      <c r="BC308" s="78" t="e">
        <f t="shared" si="365"/>
        <v>#DIV/0!</v>
      </c>
      <c r="BD308" s="120" t="e">
        <f>BC308*0.02</f>
        <v>#DIV/0!</v>
      </c>
      <c r="BE308" s="92"/>
      <c r="BF308" s="92"/>
      <c r="BG308" s="114">
        <v>4537000</v>
      </c>
      <c r="BH308" s="94">
        <f t="shared" si="349"/>
        <v>0</v>
      </c>
      <c r="BI308" s="77" t="e">
        <f t="shared" si="350"/>
        <v>#DIV/0!</v>
      </c>
      <c r="BJ308" s="95" t="str">
        <f t="shared" si="366"/>
        <v>금융업</v>
      </c>
      <c r="BK308" s="96" t="e">
        <f t="shared" si="351"/>
        <v>#DIV/0!</v>
      </c>
      <c r="BL308" s="97" t="e">
        <f t="shared" si="367"/>
        <v>#DIV/0!</v>
      </c>
      <c r="BM308" s="98" t="e">
        <f t="shared" si="368"/>
        <v>#DIV/0!</v>
      </c>
      <c r="BN308" s="99" t="e">
        <f t="shared" si="369"/>
        <v>#DIV/0!</v>
      </c>
      <c r="BP308" s="101">
        <f t="shared" si="370"/>
        <v>0</v>
      </c>
      <c r="BQ308" s="78">
        <f t="shared" si="371"/>
        <v>25</v>
      </c>
      <c r="BR308" s="120">
        <f>BQ308*0.01</f>
        <v>0.25</v>
      </c>
      <c r="BS308" s="102"/>
      <c r="BT308" s="102"/>
      <c r="BU308" s="103">
        <f t="shared" si="372"/>
        <v>0</v>
      </c>
      <c r="BV308" s="77">
        <f t="shared" si="352"/>
        <v>0</v>
      </c>
      <c r="BW308" s="96">
        <f t="shared" si="353"/>
        <v>0</v>
      </c>
      <c r="BX308" s="96">
        <f t="shared" si="373"/>
        <v>0</v>
      </c>
      <c r="BY308" s="96">
        <f t="shared" si="354"/>
        <v>0</v>
      </c>
      <c r="BZ308" s="96" t="e">
        <f t="shared" si="374"/>
        <v>#NUM!</v>
      </c>
      <c r="CA308" s="96" t="e">
        <f t="shared" si="355"/>
        <v>#NUM!</v>
      </c>
      <c r="CB308" s="104" t="e">
        <f t="shared" si="375"/>
        <v>#NUM!</v>
      </c>
      <c r="CC308" s="123" t="s">
        <v>2200</v>
      </c>
      <c r="CD308" s="124" t="s">
        <v>2200</v>
      </c>
      <c r="CE308" s="125"/>
      <c r="CF308" s="126" t="s">
        <v>2201</v>
      </c>
      <c r="CG308" s="127">
        <v>5.0199999999999996</v>
      </c>
      <c r="CH308" s="126" t="s">
        <v>2201</v>
      </c>
      <c r="CI308" s="128">
        <f>IF((100-(75*(CG308-1)/9))&gt;100,100,IF((100-(75*(CG308-1)/9))&lt;25,25,(100-(75*(CG308-1)/9))))</f>
        <v>66.5</v>
      </c>
      <c r="CJ308" s="129">
        <f>CI308*0.04</f>
        <v>2.66</v>
      </c>
      <c r="CM308" s="111">
        <f t="shared" si="376"/>
        <v>25</v>
      </c>
      <c r="CN308" s="130">
        <f>CM308*0.03</f>
        <v>0.75</v>
      </c>
      <c r="CP308" s="88">
        <f t="shared" si="377"/>
        <v>0</v>
      </c>
      <c r="CQ308" s="78">
        <f t="shared" si="378"/>
        <v>100</v>
      </c>
      <c r="CR308" s="120">
        <f>CQ308*0.04</f>
        <v>4</v>
      </c>
      <c r="CS308" s="92"/>
      <c r="CT308" s="77">
        <f t="shared" si="356"/>
        <v>0</v>
      </c>
      <c r="CU308" s="78">
        <f t="shared" si="379"/>
        <v>100</v>
      </c>
      <c r="CV308" s="131">
        <f>CU308*0.03</f>
        <v>3</v>
      </c>
      <c r="CW308" s="112" t="e">
        <f t="shared" si="380"/>
        <v>#DIV/0!</v>
      </c>
    </row>
    <row r="309" spans="1:101" x14ac:dyDescent="0.35">
      <c r="A309" s="7" t="s">
        <v>1964</v>
      </c>
      <c r="B309" s="8" t="s">
        <v>1965</v>
      </c>
      <c r="C309" s="21" t="s">
        <v>1966</v>
      </c>
      <c r="D309" s="10" t="s">
        <v>21</v>
      </c>
      <c r="E309" s="11" t="s">
        <v>134</v>
      </c>
      <c r="F309" s="11" t="s">
        <v>1967</v>
      </c>
      <c r="G309" s="12">
        <v>28460</v>
      </c>
      <c r="H309" s="11" t="s">
        <v>24</v>
      </c>
      <c r="I309" s="11" t="s">
        <v>1968</v>
      </c>
      <c r="J309" s="11" t="s">
        <v>1969</v>
      </c>
      <c r="K309" s="11" t="s">
        <v>27</v>
      </c>
      <c r="L309" s="23">
        <v>1308741234</v>
      </c>
      <c r="M309" s="14">
        <v>878633042</v>
      </c>
      <c r="N309" s="14">
        <v>430108191</v>
      </c>
      <c r="O309" s="14">
        <v>4311279621</v>
      </c>
      <c r="P309" s="14">
        <v>29265563</v>
      </c>
      <c r="Q309" s="14">
        <v>78592213</v>
      </c>
      <c r="R309" s="14">
        <v>78671213</v>
      </c>
      <c r="AB309" s="74">
        <f t="shared" si="381"/>
        <v>0</v>
      </c>
      <c r="AC309" s="75" t="e">
        <f t="shared" si="357"/>
        <v>#DIV/0!</v>
      </c>
      <c r="AD309" s="75" t="e">
        <f t="shared" si="382"/>
        <v>#DIV/0!</v>
      </c>
      <c r="AE309" s="76" t="e">
        <f>AD309*0.03</f>
        <v>#DIV/0!</v>
      </c>
      <c r="AF309" s="77" t="e">
        <f t="shared" si="358"/>
        <v>#DIV/0!</v>
      </c>
      <c r="AG309" s="77" t="e">
        <f t="shared" si="359"/>
        <v>#DIV/0!</v>
      </c>
      <c r="AH309" s="77" t="e">
        <f t="shared" si="383"/>
        <v>#DIV/0!</v>
      </c>
      <c r="AI309" s="78" t="e">
        <f t="shared" si="384"/>
        <v>#DIV/0!</v>
      </c>
      <c r="AJ309" s="79" t="e">
        <f>AI309*0.04</f>
        <v>#DIV/0!</v>
      </c>
      <c r="AN309" s="81">
        <f t="shared" si="344"/>
        <v>0</v>
      </c>
      <c r="AO309" s="82" t="e">
        <f t="shared" si="345"/>
        <v>#DIV/0!</v>
      </c>
      <c r="AP309" s="83" t="e">
        <f t="shared" si="360"/>
        <v>#DIV/0!</v>
      </c>
      <c r="AQ309" s="84" t="e">
        <f>AP309*0.02</f>
        <v>#DIV/0!</v>
      </c>
      <c r="AS309" s="86">
        <f t="shared" si="346"/>
        <v>0.25</v>
      </c>
      <c r="AT309" s="87">
        <f t="shared" si="361"/>
        <v>0</v>
      </c>
      <c r="AU309" s="87">
        <f t="shared" si="362"/>
        <v>0</v>
      </c>
      <c r="AV309" s="88" t="e">
        <f t="shared" si="347"/>
        <v>#DIV/0!</v>
      </c>
      <c r="AW309" s="78" t="e">
        <f t="shared" si="363"/>
        <v>#DIV/0!</v>
      </c>
      <c r="AX309" s="89" t="e">
        <f>AW309*0.01</f>
        <v>#DIV/0!</v>
      </c>
      <c r="BA309" s="91">
        <f t="shared" si="348"/>
        <v>0</v>
      </c>
      <c r="BB309" s="77" t="e">
        <f t="shared" si="364"/>
        <v>#DIV/0!</v>
      </c>
      <c r="BC309" s="78" t="e">
        <f t="shared" si="365"/>
        <v>#DIV/0!</v>
      </c>
      <c r="BD309" s="79" t="e">
        <f>BC309*0.01</f>
        <v>#DIV/0!</v>
      </c>
      <c r="BE309" s="92"/>
      <c r="BF309" s="92"/>
      <c r="BG309" s="114">
        <v>1563000</v>
      </c>
      <c r="BH309" s="94">
        <f t="shared" si="349"/>
        <v>0</v>
      </c>
      <c r="BI309" s="77" t="e">
        <f t="shared" si="350"/>
        <v>#DIV/0!</v>
      </c>
      <c r="BJ309" s="95" t="str">
        <f t="shared" si="366"/>
        <v>비제조/서비스업</v>
      </c>
      <c r="BK309" s="96" t="e">
        <f t="shared" si="351"/>
        <v>#DIV/0!</v>
      </c>
      <c r="BL309" s="97" t="e">
        <f t="shared" si="367"/>
        <v>#DIV/0!</v>
      </c>
      <c r="BM309" s="98" t="e">
        <f t="shared" si="368"/>
        <v>#DIV/0!</v>
      </c>
      <c r="BN309" s="99" t="e">
        <f t="shared" si="369"/>
        <v>#DIV/0!</v>
      </c>
      <c r="BP309" s="101">
        <f t="shared" si="370"/>
        <v>0</v>
      </c>
      <c r="BQ309" s="78">
        <f t="shared" si="371"/>
        <v>25</v>
      </c>
      <c r="BR309" s="79">
        <f>BQ309*0.02</f>
        <v>0.5</v>
      </c>
      <c r="BS309" s="102"/>
      <c r="BT309" s="102"/>
      <c r="BU309" s="103">
        <f t="shared" si="372"/>
        <v>0</v>
      </c>
      <c r="BV309" s="77">
        <f t="shared" si="352"/>
        <v>0</v>
      </c>
      <c r="BW309" s="96">
        <f t="shared" si="353"/>
        <v>0</v>
      </c>
      <c r="BX309" s="96">
        <f t="shared" si="373"/>
        <v>0</v>
      </c>
      <c r="BY309" s="96">
        <f t="shared" si="354"/>
        <v>0</v>
      </c>
      <c r="BZ309" s="96" t="e">
        <f t="shared" si="374"/>
        <v>#NUM!</v>
      </c>
      <c r="CA309" s="96" t="e">
        <f t="shared" si="355"/>
        <v>#NUM!</v>
      </c>
      <c r="CB309" s="104" t="e">
        <f t="shared" si="375"/>
        <v>#NUM!</v>
      </c>
      <c r="CC309" s="105">
        <f>(M309/N309)*100</f>
        <v>204.28186683847645</v>
      </c>
      <c r="CD309" s="106">
        <f>IF((100-(75*(CC309-1)/(200-1)))&gt;100, 100, IF((100-(75*(CC309-1)/(200-1)))&lt;25, 25, (100-(75*(CC309-1)/(200-1)))))</f>
        <v>25</v>
      </c>
      <c r="CE309" s="107">
        <f>CD309*0.015</f>
        <v>0.375</v>
      </c>
      <c r="CF309" s="108" t="s">
        <v>2189</v>
      </c>
      <c r="CG309" s="108" t="s">
        <v>2189</v>
      </c>
      <c r="CH309" s="108" t="s">
        <v>2189</v>
      </c>
      <c r="CI309" s="108" t="s">
        <v>2189</v>
      </c>
      <c r="CJ309" s="109"/>
      <c r="CM309" s="111">
        <f t="shared" si="376"/>
        <v>25</v>
      </c>
      <c r="CN309" s="107">
        <f>CM309*0.015</f>
        <v>0.375</v>
      </c>
      <c r="CP309" s="88">
        <f t="shared" si="377"/>
        <v>0</v>
      </c>
      <c r="CQ309" s="78">
        <f t="shared" si="378"/>
        <v>100</v>
      </c>
      <c r="CR309" s="79">
        <f>CQ309*0.03</f>
        <v>3</v>
      </c>
      <c r="CS309" s="92"/>
      <c r="CT309" s="77">
        <f t="shared" si="356"/>
        <v>0</v>
      </c>
      <c r="CU309" s="78">
        <f t="shared" si="379"/>
        <v>100</v>
      </c>
      <c r="CV309" s="79">
        <f>CU309*0.02</f>
        <v>2</v>
      </c>
      <c r="CW309" s="112" t="e">
        <f t="shared" si="380"/>
        <v>#DIV/0!</v>
      </c>
    </row>
    <row r="310" spans="1:101" x14ac:dyDescent="0.35">
      <c r="A310" s="7" t="s">
        <v>1970</v>
      </c>
      <c r="B310" s="8" t="s">
        <v>1971</v>
      </c>
      <c r="C310" s="21" t="s">
        <v>1972</v>
      </c>
      <c r="D310" s="25" t="s">
        <v>67</v>
      </c>
      <c r="E310" s="11" t="s">
        <v>68</v>
      </c>
      <c r="F310" s="11" t="s">
        <v>1973</v>
      </c>
      <c r="G310" s="12">
        <v>32745</v>
      </c>
      <c r="H310" s="11" t="s">
        <v>24</v>
      </c>
      <c r="I310" s="11" t="s">
        <v>1974</v>
      </c>
      <c r="J310" s="11" t="s">
        <v>1975</v>
      </c>
      <c r="K310" s="11" t="s">
        <v>27</v>
      </c>
      <c r="L310" s="23">
        <v>51608012236</v>
      </c>
      <c r="M310" s="14">
        <v>47532258211</v>
      </c>
      <c r="N310" s="14">
        <v>4075754025</v>
      </c>
      <c r="O310" s="14">
        <v>14222654630</v>
      </c>
      <c r="P310" s="14">
        <v>798504080</v>
      </c>
      <c r="Q310" s="14">
        <v>768353165</v>
      </c>
      <c r="R310" s="14">
        <v>560901654</v>
      </c>
      <c r="AB310" s="74">
        <f t="shared" si="381"/>
        <v>0</v>
      </c>
      <c r="AC310" s="75" t="e">
        <f t="shared" si="357"/>
        <v>#DIV/0!</v>
      </c>
      <c r="AD310" s="75" t="e">
        <f t="shared" si="382"/>
        <v>#DIV/0!</v>
      </c>
      <c r="AE310" s="119" t="e">
        <f>AD310*0.04</f>
        <v>#DIV/0!</v>
      </c>
      <c r="AF310" s="77" t="e">
        <f t="shared" si="358"/>
        <v>#DIV/0!</v>
      </c>
      <c r="AG310" s="77" t="e">
        <f t="shared" si="359"/>
        <v>#DIV/0!</v>
      </c>
      <c r="AH310" s="77" t="e">
        <f t="shared" si="383"/>
        <v>#DIV/0!</v>
      </c>
      <c r="AI310" s="78" t="e">
        <f t="shared" si="384"/>
        <v>#DIV/0!</v>
      </c>
      <c r="AJ310" s="120" t="e">
        <f>AI310*0.05</f>
        <v>#DIV/0!</v>
      </c>
      <c r="AN310" s="81">
        <f t="shared" si="344"/>
        <v>0</v>
      </c>
      <c r="AO310" s="82" t="e">
        <f t="shared" si="345"/>
        <v>#DIV/0!</v>
      </c>
      <c r="AP310" s="83" t="e">
        <f t="shared" si="360"/>
        <v>#DIV/0!</v>
      </c>
      <c r="AQ310" s="121" t="e">
        <f>AP310*0.03</f>
        <v>#DIV/0!</v>
      </c>
      <c r="AS310" s="86">
        <f t="shared" si="346"/>
        <v>0.5</v>
      </c>
      <c r="AT310" s="87">
        <f t="shared" si="361"/>
        <v>0</v>
      </c>
      <c r="AU310" s="87">
        <f t="shared" si="362"/>
        <v>0</v>
      </c>
      <c r="AV310" s="88" t="e">
        <f t="shared" si="347"/>
        <v>#DIV/0!</v>
      </c>
      <c r="AW310" s="78" t="e">
        <f t="shared" si="363"/>
        <v>#DIV/0!</v>
      </c>
      <c r="AX310" s="122" t="e">
        <f>AW310*0.02</f>
        <v>#DIV/0!</v>
      </c>
      <c r="BA310" s="91">
        <f t="shared" si="348"/>
        <v>0</v>
      </c>
      <c r="BB310" s="77" t="e">
        <f t="shared" si="364"/>
        <v>#DIV/0!</v>
      </c>
      <c r="BC310" s="78" t="e">
        <f t="shared" si="365"/>
        <v>#DIV/0!</v>
      </c>
      <c r="BD310" s="120" t="e">
        <f>BC310*0.02</f>
        <v>#DIV/0!</v>
      </c>
      <c r="BE310" s="92"/>
      <c r="BF310" s="92"/>
      <c r="BG310" s="93">
        <v>0</v>
      </c>
      <c r="BH310" s="94">
        <f t="shared" si="349"/>
        <v>0</v>
      </c>
      <c r="BI310" s="77" t="e">
        <f t="shared" si="350"/>
        <v>#DIV/0!</v>
      </c>
      <c r="BJ310" s="95" t="str">
        <f t="shared" si="366"/>
        <v>금융업</v>
      </c>
      <c r="BK310" s="96" t="e">
        <f t="shared" si="351"/>
        <v>#DIV/0!</v>
      </c>
      <c r="BL310" s="97" t="e">
        <f t="shared" si="367"/>
        <v>#DIV/0!</v>
      </c>
      <c r="BM310" s="98" t="e">
        <f t="shared" si="368"/>
        <v>#DIV/0!</v>
      </c>
      <c r="BN310" s="99" t="e">
        <f t="shared" si="369"/>
        <v>#DIV/0!</v>
      </c>
      <c r="BP310" s="101">
        <f t="shared" si="370"/>
        <v>0</v>
      </c>
      <c r="BQ310" s="78">
        <f t="shared" si="371"/>
        <v>25</v>
      </c>
      <c r="BR310" s="120">
        <f>BQ310*0.01</f>
        <v>0.25</v>
      </c>
      <c r="BS310" s="102"/>
      <c r="BT310" s="102"/>
      <c r="BU310" s="103">
        <f t="shared" si="372"/>
        <v>0</v>
      </c>
      <c r="BV310" s="77">
        <f t="shared" si="352"/>
        <v>0</v>
      </c>
      <c r="BW310" s="96">
        <f t="shared" si="353"/>
        <v>0</v>
      </c>
      <c r="BX310" s="96">
        <f t="shared" si="373"/>
        <v>0</v>
      </c>
      <c r="BY310" s="96">
        <f t="shared" si="354"/>
        <v>0</v>
      </c>
      <c r="BZ310" s="96" t="e">
        <f t="shared" si="374"/>
        <v>#NUM!</v>
      </c>
      <c r="CA310" s="96" t="e">
        <f t="shared" si="355"/>
        <v>#NUM!</v>
      </c>
      <c r="CB310" s="104" t="e">
        <f t="shared" si="375"/>
        <v>#NUM!</v>
      </c>
      <c r="CC310" s="123" t="s">
        <v>2200</v>
      </c>
      <c r="CD310" s="124" t="s">
        <v>2200</v>
      </c>
      <c r="CE310" s="125"/>
      <c r="CF310" s="126" t="s">
        <v>2201</v>
      </c>
      <c r="CG310" s="126" t="s">
        <v>2201</v>
      </c>
      <c r="CH310" s="127">
        <v>0.08</v>
      </c>
      <c r="CI310" s="128">
        <f>IF((100-(75*(CH310-10)/40))&gt;100, 100, IF((100-(75*(CH310-10)/40))&lt;25, 25, (100-(75*(CH310-10)/40))))</f>
        <v>100</v>
      </c>
      <c r="CJ310" s="129">
        <f>CI310*0.04</f>
        <v>4</v>
      </c>
      <c r="CM310" s="111">
        <f t="shared" si="376"/>
        <v>25</v>
      </c>
      <c r="CN310" s="130">
        <f>CM310*0.03</f>
        <v>0.75</v>
      </c>
      <c r="CP310" s="88">
        <f t="shared" si="377"/>
        <v>0</v>
      </c>
      <c r="CQ310" s="78">
        <f t="shared" si="378"/>
        <v>100</v>
      </c>
      <c r="CR310" s="120">
        <f>CQ310*0.04</f>
        <v>4</v>
      </c>
      <c r="CS310" s="92"/>
      <c r="CT310" s="77">
        <f t="shared" si="356"/>
        <v>0</v>
      </c>
      <c r="CU310" s="78">
        <f t="shared" si="379"/>
        <v>100</v>
      </c>
      <c r="CV310" s="131">
        <f>CU310*0.03</f>
        <v>3</v>
      </c>
      <c r="CW310" s="112" t="e">
        <f t="shared" si="380"/>
        <v>#DIV/0!</v>
      </c>
    </row>
    <row r="311" spans="1:101" x14ac:dyDescent="0.35">
      <c r="A311" s="7" t="s">
        <v>1976</v>
      </c>
      <c r="B311" s="8" t="s">
        <v>1977</v>
      </c>
      <c r="C311" s="21" t="s">
        <v>1978</v>
      </c>
      <c r="D311" s="10" t="s">
        <v>21</v>
      </c>
      <c r="E311" s="11" t="s">
        <v>1979</v>
      </c>
      <c r="F311" s="11" t="s">
        <v>1980</v>
      </c>
      <c r="G311" s="12">
        <v>40434</v>
      </c>
      <c r="H311" s="11" t="s">
        <v>24</v>
      </c>
      <c r="I311" s="11" t="s">
        <v>1981</v>
      </c>
      <c r="J311" s="11" t="s">
        <v>1982</v>
      </c>
      <c r="K311" s="11" t="s">
        <v>27</v>
      </c>
      <c r="L311" s="23">
        <v>1865948929</v>
      </c>
      <c r="M311" s="14">
        <v>318378114</v>
      </c>
      <c r="N311" s="14">
        <v>1547570816</v>
      </c>
      <c r="O311" s="14">
        <v>1101635299</v>
      </c>
      <c r="P311" s="14">
        <v>112712450</v>
      </c>
      <c r="Q311" s="14">
        <v>74367602</v>
      </c>
      <c r="R311" s="14">
        <v>67521538</v>
      </c>
      <c r="AB311" s="74">
        <f t="shared" si="381"/>
        <v>0</v>
      </c>
      <c r="AC311" s="75" t="e">
        <f t="shared" si="357"/>
        <v>#DIV/0!</v>
      </c>
      <c r="AD311" s="75" t="e">
        <f t="shared" si="382"/>
        <v>#DIV/0!</v>
      </c>
      <c r="AE311" s="76" t="e">
        <f t="shared" ref="AE311:AE321" si="409">AD311*0.03</f>
        <v>#DIV/0!</v>
      </c>
      <c r="AF311" s="77" t="e">
        <f t="shared" si="358"/>
        <v>#DIV/0!</v>
      </c>
      <c r="AG311" s="77" t="e">
        <f t="shared" si="359"/>
        <v>#DIV/0!</v>
      </c>
      <c r="AH311" s="77" t="e">
        <f t="shared" si="383"/>
        <v>#DIV/0!</v>
      </c>
      <c r="AI311" s="78" t="e">
        <f t="shared" si="384"/>
        <v>#DIV/0!</v>
      </c>
      <c r="AJ311" s="79" t="e">
        <f t="shared" ref="AJ311:AJ321" si="410">AI311*0.04</f>
        <v>#DIV/0!</v>
      </c>
      <c r="AN311" s="81">
        <f t="shared" si="344"/>
        <v>0</v>
      </c>
      <c r="AO311" s="82" t="e">
        <f t="shared" si="345"/>
        <v>#DIV/0!</v>
      </c>
      <c r="AP311" s="83" t="e">
        <f t="shared" si="360"/>
        <v>#DIV/0!</v>
      </c>
      <c r="AQ311" s="84" t="e">
        <f t="shared" ref="AQ311:AQ321" si="411">AP311*0.02</f>
        <v>#DIV/0!</v>
      </c>
      <c r="AS311" s="86">
        <f t="shared" si="346"/>
        <v>0.25</v>
      </c>
      <c r="AT311" s="87">
        <f t="shared" si="361"/>
        <v>0</v>
      </c>
      <c r="AU311" s="87">
        <f t="shared" si="362"/>
        <v>0</v>
      </c>
      <c r="AV311" s="88" t="e">
        <f t="shared" si="347"/>
        <v>#DIV/0!</v>
      </c>
      <c r="AW311" s="78" t="e">
        <f t="shared" si="363"/>
        <v>#DIV/0!</v>
      </c>
      <c r="AX311" s="89" t="e">
        <f t="shared" ref="AX311:AX321" si="412">AW311*0.01</f>
        <v>#DIV/0!</v>
      </c>
      <c r="BA311" s="91">
        <f t="shared" si="348"/>
        <v>0</v>
      </c>
      <c r="BB311" s="77" t="e">
        <f t="shared" si="364"/>
        <v>#DIV/0!</v>
      </c>
      <c r="BC311" s="78" t="e">
        <f t="shared" si="365"/>
        <v>#DIV/0!</v>
      </c>
      <c r="BD311" s="79" t="e">
        <f t="shared" ref="BD311:BD321" si="413">BC311*0.01</f>
        <v>#DIV/0!</v>
      </c>
      <c r="BE311" s="92"/>
      <c r="BF311" s="92"/>
      <c r="BG311" s="114">
        <v>1445351</v>
      </c>
      <c r="BH311" s="94">
        <f t="shared" si="349"/>
        <v>0</v>
      </c>
      <c r="BI311" s="77" t="e">
        <f t="shared" si="350"/>
        <v>#DIV/0!</v>
      </c>
      <c r="BJ311" s="95" t="str">
        <f t="shared" si="366"/>
        <v>비제조/서비스업</v>
      </c>
      <c r="BK311" s="96" t="e">
        <f t="shared" si="351"/>
        <v>#DIV/0!</v>
      </c>
      <c r="BL311" s="97" t="e">
        <f t="shared" si="367"/>
        <v>#DIV/0!</v>
      </c>
      <c r="BM311" s="98" t="e">
        <f t="shared" si="368"/>
        <v>#DIV/0!</v>
      </c>
      <c r="BN311" s="99" t="e">
        <f t="shared" si="369"/>
        <v>#DIV/0!</v>
      </c>
      <c r="BP311" s="101">
        <f t="shared" si="370"/>
        <v>0</v>
      </c>
      <c r="BQ311" s="78">
        <f t="shared" si="371"/>
        <v>25</v>
      </c>
      <c r="BR311" s="79">
        <f t="shared" ref="BR311:BR321" si="414">BQ311*0.02</f>
        <v>0.5</v>
      </c>
      <c r="BS311" s="102"/>
      <c r="BT311" s="102"/>
      <c r="BU311" s="103">
        <f t="shared" si="372"/>
        <v>0</v>
      </c>
      <c r="BV311" s="77">
        <f t="shared" si="352"/>
        <v>0</v>
      </c>
      <c r="BW311" s="96">
        <f t="shared" si="353"/>
        <v>0</v>
      </c>
      <c r="BX311" s="96">
        <f t="shared" si="373"/>
        <v>0</v>
      </c>
      <c r="BY311" s="96">
        <f t="shared" si="354"/>
        <v>0</v>
      </c>
      <c r="BZ311" s="96" t="e">
        <f t="shared" si="374"/>
        <v>#NUM!</v>
      </c>
      <c r="CA311" s="96" t="e">
        <f t="shared" si="355"/>
        <v>#NUM!</v>
      </c>
      <c r="CB311" s="104" t="e">
        <f t="shared" si="375"/>
        <v>#NUM!</v>
      </c>
      <c r="CC311" s="105">
        <f t="shared" ref="CC311:CC321" si="415">(M311/N311)*100</f>
        <v>20.572765440415232</v>
      </c>
      <c r="CD311" s="106">
        <f t="shared" ref="CD311:CD321" si="416">IF((100-(75*(CC311-1)/(200-1)))&gt;100, 100, IF((100-(75*(CC311-1)/(200-1)))&lt;25, 25, (100-(75*(CC311-1)/(200-1)))))</f>
        <v>92.623329607883704</v>
      </c>
      <c r="CE311" s="107">
        <f t="shared" ref="CE311:CE321" si="417">CD311*0.015</f>
        <v>1.3893499441182555</v>
      </c>
      <c r="CF311" s="108" t="s">
        <v>2189</v>
      </c>
      <c r="CG311" s="108" t="s">
        <v>2189</v>
      </c>
      <c r="CH311" s="108" t="s">
        <v>2189</v>
      </c>
      <c r="CI311" s="108" t="s">
        <v>2189</v>
      </c>
      <c r="CJ311" s="109"/>
      <c r="CM311" s="111">
        <f t="shared" si="376"/>
        <v>25</v>
      </c>
      <c r="CN311" s="107">
        <f t="shared" ref="CN311:CN321" si="418">CM311*0.015</f>
        <v>0.375</v>
      </c>
      <c r="CP311" s="88">
        <f t="shared" si="377"/>
        <v>0</v>
      </c>
      <c r="CQ311" s="78">
        <f t="shared" si="378"/>
        <v>100</v>
      </c>
      <c r="CR311" s="79">
        <f t="shared" ref="CR311:CR321" si="419">CQ311*0.03</f>
        <v>3</v>
      </c>
      <c r="CS311" s="92"/>
      <c r="CT311" s="77">
        <f t="shared" si="356"/>
        <v>0</v>
      </c>
      <c r="CU311" s="78">
        <f t="shared" si="379"/>
        <v>100</v>
      </c>
      <c r="CV311" s="79">
        <f t="shared" ref="CV311:CV321" si="420">CU311*0.02</f>
        <v>2</v>
      </c>
      <c r="CW311" s="112" t="e">
        <f t="shared" si="380"/>
        <v>#DIV/0!</v>
      </c>
    </row>
    <row r="312" spans="1:101" x14ac:dyDescent="0.35">
      <c r="A312" s="7" t="s">
        <v>1983</v>
      </c>
      <c r="B312" s="8" t="s">
        <v>1984</v>
      </c>
      <c r="C312" s="21" t="s">
        <v>1985</v>
      </c>
      <c r="D312" s="10" t="s">
        <v>21</v>
      </c>
      <c r="E312" s="11" t="s">
        <v>83</v>
      </c>
      <c r="F312" s="11" t="s">
        <v>1986</v>
      </c>
      <c r="G312" s="12">
        <v>32415</v>
      </c>
      <c r="H312" s="11" t="s">
        <v>24</v>
      </c>
      <c r="I312" s="11" t="s">
        <v>1987</v>
      </c>
      <c r="J312" s="11" t="s">
        <v>1988</v>
      </c>
      <c r="K312" s="11" t="s">
        <v>536</v>
      </c>
      <c r="L312" s="23">
        <v>564413385</v>
      </c>
      <c r="M312" s="14">
        <v>200073929</v>
      </c>
      <c r="N312" s="14">
        <v>364339456</v>
      </c>
      <c r="O312" s="14">
        <v>645826449</v>
      </c>
      <c r="P312" s="14">
        <v>23890019</v>
      </c>
      <c r="Q312" s="14">
        <v>40898213</v>
      </c>
      <c r="R312" s="14">
        <v>31433619</v>
      </c>
      <c r="AB312" s="74">
        <f t="shared" si="381"/>
        <v>0</v>
      </c>
      <c r="AC312" s="75" t="e">
        <f t="shared" si="357"/>
        <v>#DIV/0!</v>
      </c>
      <c r="AD312" s="75" t="e">
        <f t="shared" si="382"/>
        <v>#DIV/0!</v>
      </c>
      <c r="AE312" s="76" t="e">
        <f t="shared" si="409"/>
        <v>#DIV/0!</v>
      </c>
      <c r="AF312" s="77" t="e">
        <f t="shared" si="358"/>
        <v>#DIV/0!</v>
      </c>
      <c r="AG312" s="77" t="e">
        <f t="shared" si="359"/>
        <v>#DIV/0!</v>
      </c>
      <c r="AH312" s="77" t="e">
        <f t="shared" si="383"/>
        <v>#DIV/0!</v>
      </c>
      <c r="AI312" s="78" t="e">
        <f t="shared" si="384"/>
        <v>#DIV/0!</v>
      </c>
      <c r="AJ312" s="79" t="e">
        <f t="shared" si="410"/>
        <v>#DIV/0!</v>
      </c>
      <c r="AN312" s="81">
        <f t="shared" si="344"/>
        <v>0</v>
      </c>
      <c r="AO312" s="82" t="e">
        <f t="shared" si="345"/>
        <v>#DIV/0!</v>
      </c>
      <c r="AP312" s="83" t="e">
        <f t="shared" si="360"/>
        <v>#DIV/0!</v>
      </c>
      <c r="AQ312" s="84" t="e">
        <f t="shared" si="411"/>
        <v>#DIV/0!</v>
      </c>
      <c r="AS312" s="86">
        <f t="shared" si="346"/>
        <v>0.25</v>
      </c>
      <c r="AT312" s="87">
        <f t="shared" si="361"/>
        <v>0</v>
      </c>
      <c r="AU312" s="87">
        <f t="shared" si="362"/>
        <v>0</v>
      </c>
      <c r="AV312" s="88" t="e">
        <f t="shared" si="347"/>
        <v>#DIV/0!</v>
      </c>
      <c r="AW312" s="78" t="e">
        <f t="shared" si="363"/>
        <v>#DIV/0!</v>
      </c>
      <c r="AX312" s="89" t="e">
        <f t="shared" si="412"/>
        <v>#DIV/0!</v>
      </c>
      <c r="BA312" s="91">
        <f t="shared" si="348"/>
        <v>0</v>
      </c>
      <c r="BB312" s="77" t="e">
        <f t="shared" si="364"/>
        <v>#DIV/0!</v>
      </c>
      <c r="BC312" s="78" t="e">
        <f t="shared" si="365"/>
        <v>#DIV/0!</v>
      </c>
      <c r="BD312" s="79" t="e">
        <f t="shared" si="413"/>
        <v>#DIV/0!</v>
      </c>
      <c r="BE312" s="92"/>
      <c r="BF312" s="92"/>
      <c r="BG312" s="114">
        <v>289788</v>
      </c>
      <c r="BH312" s="94">
        <f t="shared" si="349"/>
        <v>0</v>
      </c>
      <c r="BI312" s="77" t="e">
        <f t="shared" si="350"/>
        <v>#DIV/0!</v>
      </c>
      <c r="BJ312" s="95" t="str">
        <f t="shared" si="366"/>
        <v>비제조/서비스업</v>
      </c>
      <c r="BK312" s="96" t="e">
        <f t="shared" si="351"/>
        <v>#DIV/0!</v>
      </c>
      <c r="BL312" s="97" t="e">
        <f t="shared" si="367"/>
        <v>#DIV/0!</v>
      </c>
      <c r="BM312" s="98" t="e">
        <f t="shared" si="368"/>
        <v>#DIV/0!</v>
      </c>
      <c r="BN312" s="99" t="e">
        <f t="shared" si="369"/>
        <v>#DIV/0!</v>
      </c>
      <c r="BP312" s="101">
        <f t="shared" si="370"/>
        <v>0</v>
      </c>
      <c r="BQ312" s="78">
        <f t="shared" si="371"/>
        <v>25</v>
      </c>
      <c r="BR312" s="79">
        <f t="shared" si="414"/>
        <v>0.5</v>
      </c>
      <c r="BS312" s="102"/>
      <c r="BT312" s="102"/>
      <c r="BU312" s="103">
        <f t="shared" si="372"/>
        <v>0</v>
      </c>
      <c r="BV312" s="77">
        <f t="shared" si="352"/>
        <v>0</v>
      </c>
      <c r="BW312" s="96">
        <f t="shared" si="353"/>
        <v>0</v>
      </c>
      <c r="BX312" s="96">
        <f t="shared" si="373"/>
        <v>0</v>
      </c>
      <c r="BY312" s="96">
        <f t="shared" si="354"/>
        <v>0</v>
      </c>
      <c r="BZ312" s="96" t="e">
        <f t="shared" si="374"/>
        <v>#NUM!</v>
      </c>
      <c r="CA312" s="96" t="e">
        <f t="shared" si="355"/>
        <v>#NUM!</v>
      </c>
      <c r="CB312" s="104" t="e">
        <f t="shared" si="375"/>
        <v>#NUM!</v>
      </c>
      <c r="CC312" s="105">
        <f t="shared" si="415"/>
        <v>54.914153739088853</v>
      </c>
      <c r="CD312" s="106">
        <f t="shared" si="416"/>
        <v>79.680595324464008</v>
      </c>
      <c r="CE312" s="107">
        <f t="shared" si="417"/>
        <v>1.1952089298669601</v>
      </c>
      <c r="CF312" s="108" t="s">
        <v>2189</v>
      </c>
      <c r="CG312" s="108" t="s">
        <v>2189</v>
      </c>
      <c r="CH312" s="108" t="s">
        <v>2189</v>
      </c>
      <c r="CI312" s="108" t="s">
        <v>2189</v>
      </c>
      <c r="CJ312" s="109"/>
      <c r="CM312" s="111">
        <f t="shared" si="376"/>
        <v>25</v>
      </c>
      <c r="CN312" s="107">
        <f t="shared" si="418"/>
        <v>0.375</v>
      </c>
      <c r="CP312" s="88">
        <f t="shared" si="377"/>
        <v>0</v>
      </c>
      <c r="CQ312" s="78">
        <f t="shared" si="378"/>
        <v>100</v>
      </c>
      <c r="CR312" s="79">
        <f t="shared" si="419"/>
        <v>3</v>
      </c>
      <c r="CS312" s="92"/>
      <c r="CT312" s="77">
        <f t="shared" si="356"/>
        <v>0</v>
      </c>
      <c r="CU312" s="78">
        <f t="shared" si="379"/>
        <v>100</v>
      </c>
      <c r="CV312" s="79">
        <f t="shared" si="420"/>
        <v>2</v>
      </c>
      <c r="CW312" s="112" t="e">
        <f t="shared" si="380"/>
        <v>#DIV/0!</v>
      </c>
    </row>
    <row r="313" spans="1:101" x14ac:dyDescent="0.35">
      <c r="A313" s="7" t="s">
        <v>1989</v>
      </c>
      <c r="B313" s="8" t="s">
        <v>1990</v>
      </c>
      <c r="C313" s="21" t="s">
        <v>1991</v>
      </c>
      <c r="D313" s="22" t="s">
        <v>141</v>
      </c>
      <c r="E313" s="11" t="s">
        <v>356</v>
      </c>
      <c r="F313" s="11" t="s">
        <v>1992</v>
      </c>
      <c r="G313" s="12">
        <v>44270</v>
      </c>
      <c r="H313" s="11" t="s">
        <v>24</v>
      </c>
      <c r="I313" s="11" t="s">
        <v>1993</v>
      </c>
      <c r="J313" s="11" t="s">
        <v>1994</v>
      </c>
      <c r="K313" s="11" t="s">
        <v>102</v>
      </c>
      <c r="L313" s="23">
        <v>395294330</v>
      </c>
      <c r="M313" s="14">
        <v>302633820</v>
      </c>
      <c r="N313" s="14">
        <v>92660510</v>
      </c>
      <c r="O313" s="14">
        <v>657241500</v>
      </c>
      <c r="P313" s="14">
        <v>12719529</v>
      </c>
      <c r="Q313" s="14">
        <v>15411762</v>
      </c>
      <c r="R313" s="14">
        <v>12684598</v>
      </c>
      <c r="AB313" s="74">
        <f t="shared" si="381"/>
        <v>0</v>
      </c>
      <c r="AC313" s="75" t="e">
        <f t="shared" si="357"/>
        <v>#DIV/0!</v>
      </c>
      <c r="AD313" s="75" t="e">
        <f t="shared" si="382"/>
        <v>#DIV/0!</v>
      </c>
      <c r="AE313" s="76" t="e">
        <f t="shared" si="409"/>
        <v>#DIV/0!</v>
      </c>
      <c r="AF313" s="77" t="e">
        <f t="shared" si="358"/>
        <v>#DIV/0!</v>
      </c>
      <c r="AG313" s="77" t="e">
        <f t="shared" si="359"/>
        <v>#DIV/0!</v>
      </c>
      <c r="AH313" s="77" t="e">
        <f t="shared" si="383"/>
        <v>#DIV/0!</v>
      </c>
      <c r="AI313" s="78" t="e">
        <f t="shared" si="384"/>
        <v>#DIV/0!</v>
      </c>
      <c r="AJ313" s="79" t="e">
        <f t="shared" si="410"/>
        <v>#DIV/0!</v>
      </c>
      <c r="AN313" s="81">
        <f t="shared" si="344"/>
        <v>0</v>
      </c>
      <c r="AO313" s="82" t="e">
        <f t="shared" si="345"/>
        <v>#DIV/0!</v>
      </c>
      <c r="AP313" s="83" t="e">
        <f t="shared" si="360"/>
        <v>#DIV/0!</v>
      </c>
      <c r="AQ313" s="84" t="e">
        <f t="shared" si="411"/>
        <v>#DIV/0!</v>
      </c>
      <c r="AS313" s="86">
        <f t="shared" si="346"/>
        <v>0.25</v>
      </c>
      <c r="AT313" s="87">
        <f t="shared" si="361"/>
        <v>0</v>
      </c>
      <c r="AU313" s="87">
        <f t="shared" si="362"/>
        <v>0</v>
      </c>
      <c r="AV313" s="88" t="e">
        <f t="shared" si="347"/>
        <v>#DIV/0!</v>
      </c>
      <c r="AW313" s="78" t="e">
        <f t="shared" si="363"/>
        <v>#DIV/0!</v>
      </c>
      <c r="AX313" s="89" t="e">
        <f t="shared" si="412"/>
        <v>#DIV/0!</v>
      </c>
      <c r="BA313" s="91">
        <f t="shared" si="348"/>
        <v>0</v>
      </c>
      <c r="BB313" s="77" t="e">
        <f t="shared" si="364"/>
        <v>#DIV/0!</v>
      </c>
      <c r="BC313" s="78" t="e">
        <f t="shared" si="365"/>
        <v>#DIV/0!</v>
      </c>
      <c r="BD313" s="79" t="e">
        <f t="shared" si="413"/>
        <v>#DIV/0!</v>
      </c>
      <c r="BE313" s="92"/>
      <c r="BF313" s="92"/>
      <c r="BG313" s="114">
        <v>470718</v>
      </c>
      <c r="BH313" s="94">
        <f t="shared" si="349"/>
        <v>0</v>
      </c>
      <c r="BI313" s="77" t="e">
        <f t="shared" si="350"/>
        <v>#DIV/0!</v>
      </c>
      <c r="BJ313" s="95" t="str">
        <f t="shared" si="366"/>
        <v>전기전자/기계업</v>
      </c>
      <c r="BK313" s="96" t="e">
        <f t="shared" si="351"/>
        <v>#DIV/0!</v>
      </c>
      <c r="BL313" s="97" t="e">
        <f t="shared" si="367"/>
        <v>#DIV/0!</v>
      </c>
      <c r="BM313" s="98" t="e">
        <f t="shared" si="368"/>
        <v>#DIV/0!</v>
      </c>
      <c r="BN313" s="99" t="e">
        <f t="shared" si="369"/>
        <v>#DIV/0!</v>
      </c>
      <c r="BP313" s="101">
        <f t="shared" si="370"/>
        <v>0</v>
      </c>
      <c r="BQ313" s="78">
        <f t="shared" si="371"/>
        <v>25</v>
      </c>
      <c r="BR313" s="79">
        <f t="shared" si="414"/>
        <v>0.5</v>
      </c>
      <c r="BS313" s="102"/>
      <c r="BT313" s="102"/>
      <c r="BU313" s="103">
        <f t="shared" si="372"/>
        <v>0</v>
      </c>
      <c r="BV313" s="77">
        <f t="shared" si="352"/>
        <v>0</v>
      </c>
      <c r="BW313" s="96">
        <f t="shared" si="353"/>
        <v>0</v>
      </c>
      <c r="BX313" s="96">
        <f t="shared" si="373"/>
        <v>0</v>
      </c>
      <c r="BY313" s="96">
        <f t="shared" si="354"/>
        <v>0</v>
      </c>
      <c r="BZ313" s="96" t="e">
        <f t="shared" si="374"/>
        <v>#NUM!</v>
      </c>
      <c r="CA313" s="96" t="e">
        <f t="shared" si="355"/>
        <v>#NUM!</v>
      </c>
      <c r="CB313" s="104" t="e">
        <f t="shared" si="375"/>
        <v>#NUM!</v>
      </c>
      <c r="CC313" s="105">
        <f t="shared" si="415"/>
        <v>326.60495825028374</v>
      </c>
      <c r="CD313" s="106">
        <f t="shared" si="416"/>
        <v>25</v>
      </c>
      <c r="CE313" s="107">
        <f t="shared" si="417"/>
        <v>0.375</v>
      </c>
      <c r="CF313" s="108" t="s">
        <v>2189</v>
      </c>
      <c r="CG313" s="108" t="s">
        <v>2189</v>
      </c>
      <c r="CH313" s="108" t="s">
        <v>2189</v>
      </c>
      <c r="CI313" s="108" t="s">
        <v>2189</v>
      </c>
      <c r="CJ313" s="109"/>
      <c r="CM313" s="111">
        <f t="shared" si="376"/>
        <v>25</v>
      </c>
      <c r="CN313" s="107">
        <f t="shared" si="418"/>
        <v>0.375</v>
      </c>
      <c r="CP313" s="88">
        <f t="shared" si="377"/>
        <v>0</v>
      </c>
      <c r="CQ313" s="78">
        <f t="shared" si="378"/>
        <v>100</v>
      </c>
      <c r="CR313" s="79">
        <f t="shared" si="419"/>
        <v>3</v>
      </c>
      <c r="CS313" s="92"/>
      <c r="CT313" s="77">
        <f t="shared" si="356"/>
        <v>0</v>
      </c>
      <c r="CU313" s="78">
        <f t="shared" si="379"/>
        <v>100</v>
      </c>
      <c r="CV313" s="79">
        <f t="shared" si="420"/>
        <v>2</v>
      </c>
      <c r="CW313" s="112" t="e">
        <f t="shared" si="380"/>
        <v>#DIV/0!</v>
      </c>
    </row>
    <row r="314" spans="1:101" x14ac:dyDescent="0.35">
      <c r="A314" s="7" t="s">
        <v>1995</v>
      </c>
      <c r="B314" s="8" t="s">
        <v>1996</v>
      </c>
      <c r="C314" s="21" t="s">
        <v>1997</v>
      </c>
      <c r="D314" s="10" t="s">
        <v>31</v>
      </c>
      <c r="E314" s="11" t="s">
        <v>1998</v>
      </c>
      <c r="F314" s="11">
        <v>0</v>
      </c>
      <c r="G314" s="12">
        <v>42647</v>
      </c>
      <c r="H314" s="11" t="s">
        <v>24</v>
      </c>
      <c r="I314" s="11" t="s">
        <v>1999</v>
      </c>
      <c r="J314" s="11" t="s">
        <v>2000</v>
      </c>
      <c r="K314" s="11" t="s">
        <v>110</v>
      </c>
      <c r="L314" s="23">
        <v>385322070</v>
      </c>
      <c r="M314" s="14">
        <v>21439724</v>
      </c>
      <c r="N314" s="14">
        <v>363882347</v>
      </c>
      <c r="O314" s="14">
        <v>6697506</v>
      </c>
      <c r="P314" s="14">
        <v>3662683</v>
      </c>
      <c r="Q314" s="14">
        <v>13457274</v>
      </c>
      <c r="R314" s="14">
        <v>10765577</v>
      </c>
      <c r="AB314" s="74">
        <f t="shared" si="381"/>
        <v>0</v>
      </c>
      <c r="AC314" s="75" t="e">
        <f t="shared" si="357"/>
        <v>#DIV/0!</v>
      </c>
      <c r="AD314" s="75" t="e">
        <f t="shared" si="382"/>
        <v>#DIV/0!</v>
      </c>
      <c r="AE314" s="76" t="e">
        <f t="shared" si="409"/>
        <v>#DIV/0!</v>
      </c>
      <c r="AF314" s="77" t="e">
        <f t="shared" si="358"/>
        <v>#DIV/0!</v>
      </c>
      <c r="AG314" s="77" t="e">
        <f t="shared" si="359"/>
        <v>#DIV/0!</v>
      </c>
      <c r="AH314" s="77" t="e">
        <f t="shared" si="383"/>
        <v>#DIV/0!</v>
      </c>
      <c r="AI314" s="78" t="e">
        <f t="shared" si="384"/>
        <v>#DIV/0!</v>
      </c>
      <c r="AJ314" s="79" t="e">
        <f t="shared" si="410"/>
        <v>#DIV/0!</v>
      </c>
      <c r="AN314" s="81">
        <f t="shared" si="344"/>
        <v>0</v>
      </c>
      <c r="AO314" s="82" t="e">
        <f t="shared" si="345"/>
        <v>#DIV/0!</v>
      </c>
      <c r="AP314" s="83" t="e">
        <f t="shared" si="360"/>
        <v>#DIV/0!</v>
      </c>
      <c r="AQ314" s="84" t="e">
        <f t="shared" si="411"/>
        <v>#DIV/0!</v>
      </c>
      <c r="AS314" s="86">
        <f t="shared" si="346"/>
        <v>0.25</v>
      </c>
      <c r="AT314" s="87">
        <f t="shared" si="361"/>
        <v>0</v>
      </c>
      <c r="AU314" s="87">
        <f t="shared" si="362"/>
        <v>0</v>
      </c>
      <c r="AV314" s="88" t="e">
        <f t="shared" si="347"/>
        <v>#DIV/0!</v>
      </c>
      <c r="AW314" s="78" t="e">
        <f t="shared" si="363"/>
        <v>#DIV/0!</v>
      </c>
      <c r="AX314" s="89" t="e">
        <f t="shared" si="412"/>
        <v>#DIV/0!</v>
      </c>
      <c r="BA314" s="91">
        <f t="shared" si="348"/>
        <v>0</v>
      </c>
      <c r="BB314" s="77" t="e">
        <f t="shared" si="364"/>
        <v>#DIV/0!</v>
      </c>
      <c r="BC314" s="78" t="e">
        <f t="shared" si="365"/>
        <v>#DIV/0!</v>
      </c>
      <c r="BD314" s="79" t="e">
        <f t="shared" si="413"/>
        <v>#DIV/0!</v>
      </c>
      <c r="BE314" s="92"/>
      <c r="BF314" s="92"/>
      <c r="BG314" s="93">
        <v>0</v>
      </c>
      <c r="BH314" s="94">
        <f t="shared" si="349"/>
        <v>0</v>
      </c>
      <c r="BI314" s="77" t="e">
        <f t="shared" si="350"/>
        <v>#DIV/0!</v>
      </c>
      <c r="BJ314" s="95" t="str">
        <f t="shared" si="366"/>
        <v>식약/섬유/종이업</v>
      </c>
      <c r="BK314" s="96" t="e">
        <f t="shared" si="351"/>
        <v>#DIV/0!</v>
      </c>
      <c r="BL314" s="97" t="e">
        <f t="shared" si="367"/>
        <v>#DIV/0!</v>
      </c>
      <c r="BM314" s="98" t="e">
        <f t="shared" si="368"/>
        <v>#DIV/0!</v>
      </c>
      <c r="BN314" s="99" t="e">
        <f t="shared" si="369"/>
        <v>#DIV/0!</v>
      </c>
      <c r="BP314" s="101">
        <f t="shared" si="370"/>
        <v>0</v>
      </c>
      <c r="BQ314" s="78">
        <f t="shared" si="371"/>
        <v>25</v>
      </c>
      <c r="BR314" s="79">
        <f t="shared" si="414"/>
        <v>0.5</v>
      </c>
      <c r="BS314" s="102"/>
      <c r="BT314" s="102"/>
      <c r="BU314" s="103">
        <f t="shared" si="372"/>
        <v>0</v>
      </c>
      <c r="BV314" s="77">
        <f t="shared" si="352"/>
        <v>0</v>
      </c>
      <c r="BW314" s="96">
        <f t="shared" si="353"/>
        <v>0</v>
      </c>
      <c r="BX314" s="96">
        <f t="shared" si="373"/>
        <v>0</v>
      </c>
      <c r="BY314" s="96">
        <f t="shared" si="354"/>
        <v>0</v>
      </c>
      <c r="BZ314" s="96" t="e">
        <f t="shared" si="374"/>
        <v>#NUM!</v>
      </c>
      <c r="CA314" s="96" t="e">
        <f t="shared" si="355"/>
        <v>#NUM!</v>
      </c>
      <c r="CB314" s="104" t="e">
        <f t="shared" si="375"/>
        <v>#NUM!</v>
      </c>
      <c r="CC314" s="105">
        <f t="shared" si="415"/>
        <v>5.8919384731790796</v>
      </c>
      <c r="CD314" s="106">
        <f t="shared" si="416"/>
        <v>98.156304595535516</v>
      </c>
      <c r="CE314" s="107">
        <f t="shared" si="417"/>
        <v>1.4723445689330328</v>
      </c>
      <c r="CF314" s="108" t="s">
        <v>2189</v>
      </c>
      <c r="CG314" s="108" t="s">
        <v>2189</v>
      </c>
      <c r="CH314" s="108" t="s">
        <v>2189</v>
      </c>
      <c r="CI314" s="108" t="s">
        <v>2189</v>
      </c>
      <c r="CJ314" s="109"/>
      <c r="CM314" s="111">
        <f t="shared" si="376"/>
        <v>25</v>
      </c>
      <c r="CN314" s="107">
        <f t="shared" si="418"/>
        <v>0.375</v>
      </c>
      <c r="CP314" s="88">
        <f t="shared" si="377"/>
        <v>0</v>
      </c>
      <c r="CQ314" s="78">
        <f t="shared" si="378"/>
        <v>100</v>
      </c>
      <c r="CR314" s="79">
        <f t="shared" si="419"/>
        <v>3</v>
      </c>
      <c r="CS314" s="92"/>
      <c r="CT314" s="77">
        <f t="shared" si="356"/>
        <v>0</v>
      </c>
      <c r="CU314" s="78">
        <f t="shared" si="379"/>
        <v>100</v>
      </c>
      <c r="CV314" s="79">
        <f t="shared" si="420"/>
        <v>2</v>
      </c>
      <c r="CW314" s="112" t="e">
        <f t="shared" si="380"/>
        <v>#DIV/0!</v>
      </c>
    </row>
    <row r="315" spans="1:101" x14ac:dyDescent="0.35">
      <c r="A315" s="7" t="s">
        <v>2001</v>
      </c>
      <c r="B315" s="8" t="s">
        <v>2002</v>
      </c>
      <c r="C315" s="21" t="s">
        <v>2003</v>
      </c>
      <c r="D315" s="10" t="s">
        <v>141</v>
      </c>
      <c r="E315" s="11" t="s">
        <v>481</v>
      </c>
      <c r="F315" s="11" t="s">
        <v>2004</v>
      </c>
      <c r="G315" s="12">
        <v>36482</v>
      </c>
      <c r="H315" s="11" t="s">
        <v>24</v>
      </c>
      <c r="I315" s="11" t="s">
        <v>2005</v>
      </c>
      <c r="J315" s="11" t="s">
        <v>2006</v>
      </c>
      <c r="K315" s="11" t="s">
        <v>439</v>
      </c>
      <c r="L315" s="23">
        <v>431960683</v>
      </c>
      <c r="M315" s="14">
        <v>113198118</v>
      </c>
      <c r="N315" s="14">
        <v>318762565</v>
      </c>
      <c r="O315" s="14">
        <v>214284471</v>
      </c>
      <c r="P315" s="14">
        <v>4478641</v>
      </c>
      <c r="Q315" s="14">
        <v>40192166</v>
      </c>
      <c r="R315" s="14">
        <v>33648333</v>
      </c>
      <c r="AB315" s="74">
        <f t="shared" si="381"/>
        <v>0</v>
      </c>
      <c r="AC315" s="75" t="e">
        <f t="shared" si="357"/>
        <v>#DIV/0!</v>
      </c>
      <c r="AD315" s="75" t="e">
        <f t="shared" si="382"/>
        <v>#DIV/0!</v>
      </c>
      <c r="AE315" s="76" t="e">
        <f t="shared" si="409"/>
        <v>#DIV/0!</v>
      </c>
      <c r="AF315" s="77" t="e">
        <f t="shared" si="358"/>
        <v>#DIV/0!</v>
      </c>
      <c r="AG315" s="77" t="e">
        <f t="shared" si="359"/>
        <v>#DIV/0!</v>
      </c>
      <c r="AH315" s="77" t="e">
        <f t="shared" si="383"/>
        <v>#DIV/0!</v>
      </c>
      <c r="AI315" s="78" t="e">
        <f t="shared" si="384"/>
        <v>#DIV/0!</v>
      </c>
      <c r="AJ315" s="79" t="e">
        <f t="shared" si="410"/>
        <v>#DIV/0!</v>
      </c>
      <c r="AN315" s="81">
        <f t="shared" si="344"/>
        <v>0</v>
      </c>
      <c r="AO315" s="82" t="e">
        <f t="shared" si="345"/>
        <v>#DIV/0!</v>
      </c>
      <c r="AP315" s="83" t="e">
        <f t="shared" si="360"/>
        <v>#DIV/0!</v>
      </c>
      <c r="AQ315" s="84" t="e">
        <f t="shared" si="411"/>
        <v>#DIV/0!</v>
      </c>
      <c r="AS315" s="86">
        <f t="shared" si="346"/>
        <v>0.25</v>
      </c>
      <c r="AT315" s="87">
        <f t="shared" si="361"/>
        <v>0</v>
      </c>
      <c r="AU315" s="87">
        <f t="shared" si="362"/>
        <v>0</v>
      </c>
      <c r="AV315" s="88" t="e">
        <f t="shared" si="347"/>
        <v>#DIV/0!</v>
      </c>
      <c r="AW315" s="78" t="e">
        <f t="shared" si="363"/>
        <v>#DIV/0!</v>
      </c>
      <c r="AX315" s="89" t="e">
        <f t="shared" si="412"/>
        <v>#DIV/0!</v>
      </c>
      <c r="BA315" s="91">
        <f t="shared" si="348"/>
        <v>0</v>
      </c>
      <c r="BB315" s="77" t="e">
        <f t="shared" si="364"/>
        <v>#DIV/0!</v>
      </c>
      <c r="BC315" s="78" t="e">
        <f t="shared" si="365"/>
        <v>#DIV/0!</v>
      </c>
      <c r="BD315" s="79" t="e">
        <f t="shared" si="413"/>
        <v>#DIV/0!</v>
      </c>
      <c r="BE315" s="92"/>
      <c r="BF315" s="92"/>
      <c r="BG315" s="114">
        <v>102679</v>
      </c>
      <c r="BH315" s="94">
        <f t="shared" si="349"/>
        <v>0</v>
      </c>
      <c r="BI315" s="77" t="e">
        <f t="shared" si="350"/>
        <v>#DIV/0!</v>
      </c>
      <c r="BJ315" s="95" t="str">
        <f t="shared" si="366"/>
        <v>전기전자/기계업</v>
      </c>
      <c r="BK315" s="96" t="e">
        <f t="shared" si="351"/>
        <v>#DIV/0!</v>
      </c>
      <c r="BL315" s="97" t="e">
        <f t="shared" si="367"/>
        <v>#DIV/0!</v>
      </c>
      <c r="BM315" s="98" t="e">
        <f t="shared" si="368"/>
        <v>#DIV/0!</v>
      </c>
      <c r="BN315" s="99" t="e">
        <f t="shared" si="369"/>
        <v>#DIV/0!</v>
      </c>
      <c r="BP315" s="101">
        <f t="shared" si="370"/>
        <v>0</v>
      </c>
      <c r="BQ315" s="78">
        <f t="shared" si="371"/>
        <v>25</v>
      </c>
      <c r="BR315" s="79">
        <f t="shared" si="414"/>
        <v>0.5</v>
      </c>
      <c r="BS315" s="102"/>
      <c r="BT315" s="102"/>
      <c r="BU315" s="103">
        <f t="shared" si="372"/>
        <v>0</v>
      </c>
      <c r="BV315" s="77">
        <f t="shared" si="352"/>
        <v>0</v>
      </c>
      <c r="BW315" s="96">
        <f t="shared" si="353"/>
        <v>0</v>
      </c>
      <c r="BX315" s="96">
        <f t="shared" si="373"/>
        <v>0</v>
      </c>
      <c r="BY315" s="96">
        <f t="shared" si="354"/>
        <v>0</v>
      </c>
      <c r="BZ315" s="96" t="e">
        <f t="shared" si="374"/>
        <v>#NUM!</v>
      </c>
      <c r="CA315" s="96" t="e">
        <f t="shared" si="355"/>
        <v>#NUM!</v>
      </c>
      <c r="CB315" s="104" t="e">
        <f t="shared" si="375"/>
        <v>#NUM!</v>
      </c>
      <c r="CC315" s="105">
        <f t="shared" si="415"/>
        <v>35.511735200148109</v>
      </c>
      <c r="CD315" s="106">
        <f t="shared" si="416"/>
        <v>86.993064623059752</v>
      </c>
      <c r="CE315" s="107">
        <f t="shared" si="417"/>
        <v>1.3048959693458961</v>
      </c>
      <c r="CF315" s="108" t="s">
        <v>2189</v>
      </c>
      <c r="CG315" s="108" t="s">
        <v>2189</v>
      </c>
      <c r="CH315" s="108" t="s">
        <v>2189</v>
      </c>
      <c r="CI315" s="108" t="s">
        <v>2189</v>
      </c>
      <c r="CJ315" s="109"/>
      <c r="CM315" s="111">
        <f t="shared" si="376"/>
        <v>25</v>
      </c>
      <c r="CN315" s="107">
        <f t="shared" si="418"/>
        <v>0.375</v>
      </c>
      <c r="CP315" s="88">
        <f t="shared" si="377"/>
        <v>0</v>
      </c>
      <c r="CQ315" s="78">
        <f t="shared" si="378"/>
        <v>100</v>
      </c>
      <c r="CR315" s="79">
        <f t="shared" si="419"/>
        <v>3</v>
      </c>
      <c r="CS315" s="92"/>
      <c r="CT315" s="77">
        <f t="shared" si="356"/>
        <v>0</v>
      </c>
      <c r="CU315" s="78">
        <f t="shared" si="379"/>
        <v>100</v>
      </c>
      <c r="CV315" s="79">
        <f t="shared" si="420"/>
        <v>2</v>
      </c>
      <c r="CW315" s="112" t="e">
        <f t="shared" si="380"/>
        <v>#DIV/0!</v>
      </c>
    </row>
    <row r="316" spans="1:101" x14ac:dyDescent="0.35">
      <c r="A316" s="7" t="s">
        <v>2007</v>
      </c>
      <c r="B316" s="8" t="s">
        <v>2008</v>
      </c>
      <c r="C316" s="21" t="s">
        <v>2009</v>
      </c>
      <c r="D316" s="10" t="s">
        <v>75</v>
      </c>
      <c r="E316" s="11" t="s">
        <v>106</v>
      </c>
      <c r="F316" s="11" t="s">
        <v>2010</v>
      </c>
      <c r="G316" s="12">
        <v>40115</v>
      </c>
      <c r="H316" s="11" t="s">
        <v>24</v>
      </c>
      <c r="I316" s="11" t="s">
        <v>78</v>
      </c>
      <c r="J316" s="11" t="s">
        <v>2011</v>
      </c>
      <c r="K316" s="11" t="s">
        <v>50</v>
      </c>
      <c r="L316" s="23">
        <v>292166785</v>
      </c>
      <c r="M316" s="14">
        <v>44275143</v>
      </c>
      <c r="N316" s="14">
        <v>247891642</v>
      </c>
      <c r="O316" s="14">
        <v>161284519</v>
      </c>
      <c r="P316" s="14">
        <v>27840640</v>
      </c>
      <c r="Q316" s="14">
        <v>28718534</v>
      </c>
      <c r="R316" s="14">
        <v>22454629</v>
      </c>
      <c r="AB316" s="74">
        <f t="shared" si="381"/>
        <v>0</v>
      </c>
      <c r="AC316" s="75" t="e">
        <f t="shared" si="357"/>
        <v>#DIV/0!</v>
      </c>
      <c r="AD316" s="75" t="e">
        <f t="shared" si="382"/>
        <v>#DIV/0!</v>
      </c>
      <c r="AE316" s="76" t="e">
        <f t="shared" si="409"/>
        <v>#DIV/0!</v>
      </c>
      <c r="AF316" s="77" t="e">
        <f t="shared" si="358"/>
        <v>#DIV/0!</v>
      </c>
      <c r="AG316" s="77" t="e">
        <f t="shared" si="359"/>
        <v>#DIV/0!</v>
      </c>
      <c r="AH316" s="77" t="e">
        <f t="shared" si="383"/>
        <v>#DIV/0!</v>
      </c>
      <c r="AI316" s="78" t="e">
        <f t="shared" si="384"/>
        <v>#DIV/0!</v>
      </c>
      <c r="AJ316" s="79" t="e">
        <f t="shared" si="410"/>
        <v>#DIV/0!</v>
      </c>
      <c r="AN316" s="81">
        <f t="shared" si="344"/>
        <v>0</v>
      </c>
      <c r="AO316" s="82" t="e">
        <f t="shared" si="345"/>
        <v>#DIV/0!</v>
      </c>
      <c r="AP316" s="83" t="e">
        <f t="shared" si="360"/>
        <v>#DIV/0!</v>
      </c>
      <c r="AQ316" s="84" t="e">
        <f t="shared" si="411"/>
        <v>#DIV/0!</v>
      </c>
      <c r="AS316" s="86">
        <f t="shared" si="346"/>
        <v>0.25</v>
      </c>
      <c r="AT316" s="87">
        <f t="shared" si="361"/>
        <v>0</v>
      </c>
      <c r="AU316" s="87">
        <f t="shared" si="362"/>
        <v>0</v>
      </c>
      <c r="AV316" s="88" t="e">
        <f t="shared" si="347"/>
        <v>#DIV/0!</v>
      </c>
      <c r="AW316" s="78" t="e">
        <f t="shared" si="363"/>
        <v>#DIV/0!</v>
      </c>
      <c r="AX316" s="89" t="e">
        <f t="shared" si="412"/>
        <v>#DIV/0!</v>
      </c>
      <c r="BA316" s="91">
        <f t="shared" si="348"/>
        <v>0</v>
      </c>
      <c r="BB316" s="77" t="e">
        <f t="shared" si="364"/>
        <v>#DIV/0!</v>
      </c>
      <c r="BC316" s="78" t="e">
        <f t="shared" si="365"/>
        <v>#DIV/0!</v>
      </c>
      <c r="BD316" s="79" t="e">
        <f t="shared" si="413"/>
        <v>#DIV/0!</v>
      </c>
      <c r="BE316" s="92"/>
      <c r="BF316" s="92"/>
      <c r="BG316" s="114">
        <v>35980</v>
      </c>
      <c r="BH316" s="94">
        <f t="shared" si="349"/>
        <v>0</v>
      </c>
      <c r="BI316" s="77" t="e">
        <f t="shared" si="350"/>
        <v>#DIV/0!</v>
      </c>
      <c r="BJ316" s="95" t="str">
        <f t="shared" si="366"/>
        <v>금속/비금속/화학업</v>
      </c>
      <c r="BK316" s="96" t="e">
        <f t="shared" si="351"/>
        <v>#DIV/0!</v>
      </c>
      <c r="BL316" s="97" t="e">
        <f t="shared" si="367"/>
        <v>#DIV/0!</v>
      </c>
      <c r="BM316" s="98" t="e">
        <f t="shared" si="368"/>
        <v>#DIV/0!</v>
      </c>
      <c r="BN316" s="99" t="e">
        <f t="shared" si="369"/>
        <v>#DIV/0!</v>
      </c>
      <c r="BP316" s="101">
        <f t="shared" si="370"/>
        <v>0</v>
      </c>
      <c r="BQ316" s="78">
        <f t="shared" si="371"/>
        <v>25</v>
      </c>
      <c r="BR316" s="79">
        <f t="shared" si="414"/>
        <v>0.5</v>
      </c>
      <c r="BS316" s="102"/>
      <c r="BT316" s="102"/>
      <c r="BU316" s="103">
        <f t="shared" si="372"/>
        <v>0</v>
      </c>
      <c r="BV316" s="77">
        <f t="shared" si="352"/>
        <v>0</v>
      </c>
      <c r="BW316" s="96">
        <f t="shared" si="353"/>
        <v>0</v>
      </c>
      <c r="BX316" s="96">
        <f t="shared" si="373"/>
        <v>0</v>
      </c>
      <c r="BY316" s="96">
        <f t="shared" si="354"/>
        <v>0</v>
      </c>
      <c r="BZ316" s="96" t="e">
        <f t="shared" si="374"/>
        <v>#NUM!</v>
      </c>
      <c r="CA316" s="96" t="e">
        <f t="shared" si="355"/>
        <v>#NUM!</v>
      </c>
      <c r="CB316" s="104" t="e">
        <f t="shared" si="375"/>
        <v>#NUM!</v>
      </c>
      <c r="CC316" s="105">
        <f t="shared" si="415"/>
        <v>17.860684064531711</v>
      </c>
      <c r="CD316" s="106">
        <f t="shared" si="416"/>
        <v>93.645470829950355</v>
      </c>
      <c r="CE316" s="107">
        <f t="shared" si="417"/>
        <v>1.4046820624492553</v>
      </c>
      <c r="CF316" s="108" t="s">
        <v>2189</v>
      </c>
      <c r="CG316" s="108" t="s">
        <v>2189</v>
      </c>
      <c r="CH316" s="108" t="s">
        <v>2189</v>
      </c>
      <c r="CI316" s="108" t="s">
        <v>2189</v>
      </c>
      <c r="CJ316" s="109"/>
      <c r="CM316" s="111">
        <f t="shared" si="376"/>
        <v>25</v>
      </c>
      <c r="CN316" s="107">
        <f t="shared" si="418"/>
        <v>0.375</v>
      </c>
      <c r="CP316" s="88">
        <f t="shared" si="377"/>
        <v>0</v>
      </c>
      <c r="CQ316" s="78">
        <f t="shared" si="378"/>
        <v>100</v>
      </c>
      <c r="CR316" s="79">
        <f t="shared" si="419"/>
        <v>3</v>
      </c>
      <c r="CS316" s="92"/>
      <c r="CT316" s="77">
        <f t="shared" si="356"/>
        <v>0</v>
      </c>
      <c r="CU316" s="78">
        <f t="shared" si="379"/>
        <v>100</v>
      </c>
      <c r="CV316" s="79">
        <f t="shared" si="420"/>
        <v>2</v>
      </c>
      <c r="CW316" s="112" t="e">
        <f t="shared" si="380"/>
        <v>#DIV/0!</v>
      </c>
    </row>
    <row r="317" spans="1:101" x14ac:dyDescent="0.35">
      <c r="A317" s="7" t="s">
        <v>2012</v>
      </c>
      <c r="B317" s="8" t="s">
        <v>2013</v>
      </c>
      <c r="C317" s="21" t="s">
        <v>2014</v>
      </c>
      <c r="D317" s="10" t="s">
        <v>21</v>
      </c>
      <c r="E317" s="11" t="s">
        <v>2015</v>
      </c>
      <c r="F317" s="11" t="s">
        <v>2016</v>
      </c>
      <c r="G317" s="12">
        <v>39380</v>
      </c>
      <c r="H317" s="11" t="s">
        <v>24</v>
      </c>
      <c r="I317" s="11" t="s">
        <v>2017</v>
      </c>
      <c r="J317" s="11" t="s">
        <v>2018</v>
      </c>
      <c r="K317" s="11" t="s">
        <v>27</v>
      </c>
      <c r="L317" s="23">
        <v>176403782</v>
      </c>
      <c r="M317" s="14">
        <v>111131085</v>
      </c>
      <c r="N317" s="14">
        <v>65272696</v>
      </c>
      <c r="O317" s="14">
        <v>510498450</v>
      </c>
      <c r="P317" s="14">
        <v>22273886</v>
      </c>
      <c r="Q317" s="14">
        <v>19802511</v>
      </c>
      <c r="R317" s="14">
        <v>15083749</v>
      </c>
      <c r="AB317" s="74">
        <f t="shared" si="381"/>
        <v>0</v>
      </c>
      <c r="AC317" s="75" t="e">
        <f t="shared" si="357"/>
        <v>#DIV/0!</v>
      </c>
      <c r="AD317" s="75" t="e">
        <f t="shared" si="382"/>
        <v>#DIV/0!</v>
      </c>
      <c r="AE317" s="76" t="e">
        <f t="shared" si="409"/>
        <v>#DIV/0!</v>
      </c>
      <c r="AF317" s="77" t="e">
        <f t="shared" si="358"/>
        <v>#DIV/0!</v>
      </c>
      <c r="AG317" s="77" t="e">
        <f t="shared" si="359"/>
        <v>#DIV/0!</v>
      </c>
      <c r="AH317" s="77" t="e">
        <f t="shared" si="383"/>
        <v>#DIV/0!</v>
      </c>
      <c r="AI317" s="78" t="e">
        <f t="shared" si="384"/>
        <v>#DIV/0!</v>
      </c>
      <c r="AJ317" s="79" t="e">
        <f t="shared" si="410"/>
        <v>#DIV/0!</v>
      </c>
      <c r="AN317" s="81">
        <f t="shared" si="344"/>
        <v>0</v>
      </c>
      <c r="AO317" s="82" t="e">
        <f t="shared" si="345"/>
        <v>#DIV/0!</v>
      </c>
      <c r="AP317" s="83" t="e">
        <f t="shared" si="360"/>
        <v>#DIV/0!</v>
      </c>
      <c r="AQ317" s="84" t="e">
        <f t="shared" si="411"/>
        <v>#DIV/0!</v>
      </c>
      <c r="AS317" s="86">
        <f t="shared" si="346"/>
        <v>0.25</v>
      </c>
      <c r="AT317" s="87">
        <f t="shared" si="361"/>
        <v>0</v>
      </c>
      <c r="AU317" s="87">
        <f t="shared" si="362"/>
        <v>0</v>
      </c>
      <c r="AV317" s="88" t="e">
        <f t="shared" si="347"/>
        <v>#DIV/0!</v>
      </c>
      <c r="AW317" s="78" t="e">
        <f t="shared" si="363"/>
        <v>#DIV/0!</v>
      </c>
      <c r="AX317" s="89" t="e">
        <f t="shared" si="412"/>
        <v>#DIV/0!</v>
      </c>
      <c r="BA317" s="91">
        <f t="shared" si="348"/>
        <v>0</v>
      </c>
      <c r="BB317" s="77" t="e">
        <f t="shared" si="364"/>
        <v>#DIV/0!</v>
      </c>
      <c r="BC317" s="78" t="e">
        <f t="shared" si="365"/>
        <v>#DIV/0!</v>
      </c>
      <c r="BD317" s="79" t="e">
        <f t="shared" si="413"/>
        <v>#DIV/0!</v>
      </c>
      <c r="BE317" s="92"/>
      <c r="BF317" s="92"/>
      <c r="BG317" s="114">
        <v>708939</v>
      </c>
      <c r="BH317" s="94">
        <f t="shared" si="349"/>
        <v>0</v>
      </c>
      <c r="BI317" s="77" t="e">
        <f t="shared" si="350"/>
        <v>#DIV/0!</v>
      </c>
      <c r="BJ317" s="95" t="str">
        <f t="shared" si="366"/>
        <v>비제조/서비스업</v>
      </c>
      <c r="BK317" s="96" t="e">
        <f t="shared" si="351"/>
        <v>#DIV/0!</v>
      </c>
      <c r="BL317" s="97" t="e">
        <f t="shared" si="367"/>
        <v>#DIV/0!</v>
      </c>
      <c r="BM317" s="98" t="e">
        <f t="shared" si="368"/>
        <v>#DIV/0!</v>
      </c>
      <c r="BN317" s="99" t="e">
        <f t="shared" si="369"/>
        <v>#DIV/0!</v>
      </c>
      <c r="BP317" s="101">
        <f t="shared" si="370"/>
        <v>0</v>
      </c>
      <c r="BQ317" s="78">
        <f t="shared" si="371"/>
        <v>25</v>
      </c>
      <c r="BR317" s="79">
        <f t="shared" si="414"/>
        <v>0.5</v>
      </c>
      <c r="BS317" s="102"/>
      <c r="BT317" s="102"/>
      <c r="BU317" s="103">
        <f t="shared" si="372"/>
        <v>0</v>
      </c>
      <c r="BV317" s="77">
        <f t="shared" si="352"/>
        <v>0</v>
      </c>
      <c r="BW317" s="96">
        <f t="shared" si="353"/>
        <v>0</v>
      </c>
      <c r="BX317" s="96">
        <f t="shared" si="373"/>
        <v>0</v>
      </c>
      <c r="BY317" s="96">
        <f t="shared" si="354"/>
        <v>0</v>
      </c>
      <c r="BZ317" s="96" t="e">
        <f t="shared" si="374"/>
        <v>#NUM!</v>
      </c>
      <c r="CA317" s="96" t="e">
        <f t="shared" si="355"/>
        <v>#NUM!</v>
      </c>
      <c r="CB317" s="104" t="e">
        <f t="shared" si="375"/>
        <v>#NUM!</v>
      </c>
      <c r="CC317" s="105">
        <f t="shared" si="415"/>
        <v>170.25661847949408</v>
      </c>
      <c r="CD317" s="106">
        <f t="shared" si="416"/>
        <v>36.209817155969567</v>
      </c>
      <c r="CE317" s="107">
        <f t="shared" si="417"/>
        <v>0.5431472573395435</v>
      </c>
      <c r="CF317" s="108" t="s">
        <v>2189</v>
      </c>
      <c r="CG317" s="108" t="s">
        <v>2189</v>
      </c>
      <c r="CH317" s="108" t="s">
        <v>2189</v>
      </c>
      <c r="CI317" s="108" t="s">
        <v>2189</v>
      </c>
      <c r="CJ317" s="109"/>
      <c r="CM317" s="111">
        <f t="shared" si="376"/>
        <v>25</v>
      </c>
      <c r="CN317" s="107">
        <f t="shared" si="418"/>
        <v>0.375</v>
      </c>
      <c r="CP317" s="88">
        <f t="shared" si="377"/>
        <v>0</v>
      </c>
      <c r="CQ317" s="78">
        <f t="shared" si="378"/>
        <v>100</v>
      </c>
      <c r="CR317" s="79">
        <f t="shared" si="419"/>
        <v>3</v>
      </c>
      <c r="CS317" s="92"/>
      <c r="CT317" s="77">
        <f t="shared" si="356"/>
        <v>0</v>
      </c>
      <c r="CU317" s="78">
        <f t="shared" si="379"/>
        <v>100</v>
      </c>
      <c r="CV317" s="79">
        <f t="shared" si="420"/>
        <v>2</v>
      </c>
      <c r="CW317" s="112" t="e">
        <f t="shared" si="380"/>
        <v>#DIV/0!</v>
      </c>
    </row>
    <row r="318" spans="1:101" x14ac:dyDescent="0.35">
      <c r="A318" s="7" t="s">
        <v>2019</v>
      </c>
      <c r="B318" s="8" t="s">
        <v>2020</v>
      </c>
      <c r="C318" s="21" t="s">
        <v>2021</v>
      </c>
      <c r="D318" s="22" t="s">
        <v>75</v>
      </c>
      <c r="E318" s="11" t="s">
        <v>613</v>
      </c>
      <c r="F318" s="11" t="s">
        <v>2022</v>
      </c>
      <c r="G318" s="12">
        <v>43294</v>
      </c>
      <c r="H318" s="11" t="s">
        <v>24</v>
      </c>
      <c r="I318" s="11" t="s">
        <v>2023</v>
      </c>
      <c r="J318" s="11" t="s">
        <v>2024</v>
      </c>
      <c r="K318" s="11" t="s">
        <v>27</v>
      </c>
      <c r="L318" s="23">
        <v>1354651786</v>
      </c>
      <c r="M318" s="14">
        <v>616821573</v>
      </c>
      <c r="N318" s="14">
        <v>737830213</v>
      </c>
      <c r="O318" s="14">
        <v>858081181</v>
      </c>
      <c r="P318" s="14">
        <v>96465703</v>
      </c>
      <c r="Q318" s="14">
        <v>259022901</v>
      </c>
      <c r="R318" s="14">
        <v>212549126</v>
      </c>
      <c r="AB318" s="74">
        <f t="shared" si="381"/>
        <v>0</v>
      </c>
      <c r="AC318" s="75" t="e">
        <f t="shared" si="357"/>
        <v>#DIV/0!</v>
      </c>
      <c r="AD318" s="75" t="e">
        <f t="shared" si="382"/>
        <v>#DIV/0!</v>
      </c>
      <c r="AE318" s="76" t="e">
        <f t="shared" si="409"/>
        <v>#DIV/0!</v>
      </c>
      <c r="AF318" s="77" t="e">
        <f t="shared" si="358"/>
        <v>#DIV/0!</v>
      </c>
      <c r="AG318" s="77" t="e">
        <f t="shared" si="359"/>
        <v>#DIV/0!</v>
      </c>
      <c r="AH318" s="77" t="e">
        <f t="shared" si="383"/>
        <v>#DIV/0!</v>
      </c>
      <c r="AI318" s="78" t="e">
        <f t="shared" si="384"/>
        <v>#DIV/0!</v>
      </c>
      <c r="AJ318" s="79" t="e">
        <f t="shared" si="410"/>
        <v>#DIV/0!</v>
      </c>
      <c r="AN318" s="81">
        <f t="shared" si="344"/>
        <v>0</v>
      </c>
      <c r="AO318" s="82" t="e">
        <f t="shared" si="345"/>
        <v>#DIV/0!</v>
      </c>
      <c r="AP318" s="83" t="e">
        <f t="shared" si="360"/>
        <v>#DIV/0!</v>
      </c>
      <c r="AQ318" s="84" t="e">
        <f t="shared" si="411"/>
        <v>#DIV/0!</v>
      </c>
      <c r="AS318" s="86">
        <f t="shared" si="346"/>
        <v>0.25</v>
      </c>
      <c r="AT318" s="87">
        <f t="shared" si="361"/>
        <v>0</v>
      </c>
      <c r="AU318" s="87">
        <f t="shared" si="362"/>
        <v>0</v>
      </c>
      <c r="AV318" s="88" t="e">
        <f t="shared" si="347"/>
        <v>#DIV/0!</v>
      </c>
      <c r="AW318" s="78" t="e">
        <f t="shared" si="363"/>
        <v>#DIV/0!</v>
      </c>
      <c r="AX318" s="89" t="e">
        <f t="shared" si="412"/>
        <v>#DIV/0!</v>
      </c>
      <c r="BA318" s="91">
        <f t="shared" si="348"/>
        <v>0</v>
      </c>
      <c r="BB318" s="77" t="e">
        <f t="shared" si="364"/>
        <v>#DIV/0!</v>
      </c>
      <c r="BC318" s="78" t="e">
        <f t="shared" si="365"/>
        <v>#DIV/0!</v>
      </c>
      <c r="BD318" s="79" t="e">
        <f t="shared" si="413"/>
        <v>#DIV/0!</v>
      </c>
      <c r="BE318" s="92"/>
      <c r="BF318" s="92"/>
      <c r="BG318" s="93">
        <v>0</v>
      </c>
      <c r="BH318" s="94">
        <f t="shared" si="349"/>
        <v>0</v>
      </c>
      <c r="BI318" s="77" t="e">
        <f t="shared" si="350"/>
        <v>#DIV/0!</v>
      </c>
      <c r="BJ318" s="95" t="str">
        <f t="shared" si="366"/>
        <v>금속/비금속/화학업</v>
      </c>
      <c r="BK318" s="96" t="e">
        <f t="shared" si="351"/>
        <v>#DIV/0!</v>
      </c>
      <c r="BL318" s="97" t="e">
        <f t="shared" si="367"/>
        <v>#DIV/0!</v>
      </c>
      <c r="BM318" s="98" t="e">
        <f t="shared" si="368"/>
        <v>#DIV/0!</v>
      </c>
      <c r="BN318" s="99" t="e">
        <f t="shared" si="369"/>
        <v>#DIV/0!</v>
      </c>
      <c r="BP318" s="101">
        <f t="shared" si="370"/>
        <v>0</v>
      </c>
      <c r="BQ318" s="78">
        <f t="shared" si="371"/>
        <v>25</v>
      </c>
      <c r="BR318" s="79">
        <f t="shared" si="414"/>
        <v>0.5</v>
      </c>
      <c r="BS318" s="102"/>
      <c r="BT318" s="102"/>
      <c r="BU318" s="103">
        <f t="shared" si="372"/>
        <v>0</v>
      </c>
      <c r="BV318" s="77">
        <f t="shared" si="352"/>
        <v>0</v>
      </c>
      <c r="BW318" s="96">
        <f t="shared" si="353"/>
        <v>0</v>
      </c>
      <c r="BX318" s="96">
        <f t="shared" si="373"/>
        <v>0</v>
      </c>
      <c r="BY318" s="96">
        <f t="shared" si="354"/>
        <v>0</v>
      </c>
      <c r="BZ318" s="96" t="e">
        <f t="shared" si="374"/>
        <v>#NUM!</v>
      </c>
      <c r="CA318" s="96" t="e">
        <f t="shared" si="355"/>
        <v>#NUM!</v>
      </c>
      <c r="CB318" s="104" t="e">
        <f t="shared" si="375"/>
        <v>#NUM!</v>
      </c>
      <c r="CC318" s="105">
        <f t="shared" si="415"/>
        <v>83.599392127359252</v>
      </c>
      <c r="CD318" s="106">
        <f t="shared" si="416"/>
        <v>68.86957583139727</v>
      </c>
      <c r="CE318" s="107">
        <f t="shared" si="417"/>
        <v>1.0330436374709591</v>
      </c>
      <c r="CF318" s="108" t="s">
        <v>2189</v>
      </c>
      <c r="CG318" s="108" t="s">
        <v>2189</v>
      </c>
      <c r="CH318" s="108" t="s">
        <v>2189</v>
      </c>
      <c r="CI318" s="108" t="s">
        <v>2189</v>
      </c>
      <c r="CJ318" s="109"/>
      <c r="CM318" s="111">
        <f t="shared" si="376"/>
        <v>25</v>
      </c>
      <c r="CN318" s="107">
        <f t="shared" si="418"/>
        <v>0.375</v>
      </c>
      <c r="CP318" s="88">
        <f t="shared" si="377"/>
        <v>0</v>
      </c>
      <c r="CQ318" s="78">
        <f t="shared" si="378"/>
        <v>100</v>
      </c>
      <c r="CR318" s="79">
        <f t="shared" si="419"/>
        <v>3</v>
      </c>
      <c r="CS318" s="92"/>
      <c r="CT318" s="77">
        <f t="shared" si="356"/>
        <v>0</v>
      </c>
      <c r="CU318" s="78">
        <f t="shared" si="379"/>
        <v>100</v>
      </c>
      <c r="CV318" s="79">
        <f t="shared" si="420"/>
        <v>2</v>
      </c>
      <c r="CW318" s="112" t="e">
        <f t="shared" si="380"/>
        <v>#DIV/0!</v>
      </c>
    </row>
    <row r="319" spans="1:101" x14ac:dyDescent="0.35">
      <c r="A319" s="7" t="s">
        <v>2025</v>
      </c>
      <c r="B319" s="8" t="s">
        <v>2026</v>
      </c>
      <c r="C319" s="21" t="s">
        <v>2027</v>
      </c>
      <c r="D319" s="10" t="s">
        <v>75</v>
      </c>
      <c r="E319" s="11" t="s">
        <v>613</v>
      </c>
      <c r="F319" s="11" t="s">
        <v>2028</v>
      </c>
      <c r="G319" s="12">
        <v>43294</v>
      </c>
      <c r="H319" s="11" t="s">
        <v>24</v>
      </c>
      <c r="I319" s="11" t="s">
        <v>2029</v>
      </c>
      <c r="J319" s="11" t="s">
        <v>2030</v>
      </c>
      <c r="K319" s="11" t="s">
        <v>27</v>
      </c>
      <c r="L319" s="23">
        <v>1677616350</v>
      </c>
      <c r="M319" s="14">
        <v>845718444</v>
      </c>
      <c r="N319" s="14">
        <v>831897906</v>
      </c>
      <c r="O319" s="14">
        <v>5364505670</v>
      </c>
      <c r="P319" s="14">
        <v>178825560</v>
      </c>
      <c r="Q319" s="14">
        <v>303615954</v>
      </c>
      <c r="R319" s="14">
        <v>289706110</v>
      </c>
      <c r="AB319" s="74">
        <f t="shared" si="381"/>
        <v>0</v>
      </c>
      <c r="AC319" s="75" t="e">
        <f t="shared" si="357"/>
        <v>#DIV/0!</v>
      </c>
      <c r="AD319" s="75" t="e">
        <f t="shared" si="382"/>
        <v>#DIV/0!</v>
      </c>
      <c r="AE319" s="76" t="e">
        <f t="shared" si="409"/>
        <v>#DIV/0!</v>
      </c>
      <c r="AF319" s="77" t="e">
        <f t="shared" si="358"/>
        <v>#DIV/0!</v>
      </c>
      <c r="AG319" s="77" t="e">
        <f t="shared" si="359"/>
        <v>#DIV/0!</v>
      </c>
      <c r="AH319" s="77" t="e">
        <f t="shared" si="383"/>
        <v>#DIV/0!</v>
      </c>
      <c r="AI319" s="78" t="e">
        <f t="shared" si="384"/>
        <v>#DIV/0!</v>
      </c>
      <c r="AJ319" s="79" t="e">
        <f t="shared" si="410"/>
        <v>#DIV/0!</v>
      </c>
      <c r="AN319" s="81">
        <f t="shared" si="344"/>
        <v>0</v>
      </c>
      <c r="AO319" s="82" t="e">
        <f t="shared" si="345"/>
        <v>#DIV/0!</v>
      </c>
      <c r="AP319" s="83" t="e">
        <f t="shared" si="360"/>
        <v>#DIV/0!</v>
      </c>
      <c r="AQ319" s="84" t="e">
        <f t="shared" si="411"/>
        <v>#DIV/0!</v>
      </c>
      <c r="AS319" s="86">
        <f t="shared" si="346"/>
        <v>0.25</v>
      </c>
      <c r="AT319" s="87">
        <f t="shared" si="361"/>
        <v>0</v>
      </c>
      <c r="AU319" s="87">
        <f t="shared" si="362"/>
        <v>0</v>
      </c>
      <c r="AV319" s="88" t="e">
        <f t="shared" si="347"/>
        <v>#DIV/0!</v>
      </c>
      <c r="AW319" s="78" t="e">
        <f t="shared" si="363"/>
        <v>#DIV/0!</v>
      </c>
      <c r="AX319" s="89" t="e">
        <f t="shared" si="412"/>
        <v>#DIV/0!</v>
      </c>
      <c r="BA319" s="91">
        <f t="shared" si="348"/>
        <v>0</v>
      </c>
      <c r="BB319" s="77" t="e">
        <f t="shared" si="364"/>
        <v>#DIV/0!</v>
      </c>
      <c r="BC319" s="78" t="e">
        <f t="shared" si="365"/>
        <v>#DIV/0!</v>
      </c>
      <c r="BD319" s="79" t="e">
        <f t="shared" si="413"/>
        <v>#DIV/0!</v>
      </c>
      <c r="BE319" s="92"/>
      <c r="BF319" s="92"/>
      <c r="BG319" s="93">
        <v>0</v>
      </c>
      <c r="BH319" s="94">
        <f t="shared" si="349"/>
        <v>0</v>
      </c>
      <c r="BI319" s="77" t="e">
        <f t="shared" si="350"/>
        <v>#DIV/0!</v>
      </c>
      <c r="BJ319" s="95" t="str">
        <f t="shared" si="366"/>
        <v>금속/비금속/화학업</v>
      </c>
      <c r="BK319" s="96" t="e">
        <f t="shared" si="351"/>
        <v>#DIV/0!</v>
      </c>
      <c r="BL319" s="97" t="e">
        <f t="shared" si="367"/>
        <v>#DIV/0!</v>
      </c>
      <c r="BM319" s="98" t="e">
        <f t="shared" si="368"/>
        <v>#DIV/0!</v>
      </c>
      <c r="BN319" s="99" t="e">
        <f t="shared" si="369"/>
        <v>#DIV/0!</v>
      </c>
      <c r="BP319" s="101">
        <f t="shared" si="370"/>
        <v>0</v>
      </c>
      <c r="BQ319" s="78">
        <f t="shared" si="371"/>
        <v>25</v>
      </c>
      <c r="BR319" s="79">
        <f t="shared" si="414"/>
        <v>0.5</v>
      </c>
      <c r="BS319" s="102"/>
      <c r="BT319" s="102"/>
      <c r="BU319" s="103">
        <f t="shared" si="372"/>
        <v>0</v>
      </c>
      <c r="BV319" s="77">
        <f t="shared" si="352"/>
        <v>0</v>
      </c>
      <c r="BW319" s="96">
        <f t="shared" si="353"/>
        <v>0</v>
      </c>
      <c r="BX319" s="96">
        <f t="shared" si="373"/>
        <v>0</v>
      </c>
      <c r="BY319" s="96">
        <f t="shared" si="354"/>
        <v>0</v>
      </c>
      <c r="BZ319" s="96" t="e">
        <f t="shared" si="374"/>
        <v>#NUM!</v>
      </c>
      <c r="CA319" s="96" t="e">
        <f t="shared" si="355"/>
        <v>#NUM!</v>
      </c>
      <c r="CB319" s="104" t="e">
        <f t="shared" si="375"/>
        <v>#NUM!</v>
      </c>
      <c r="CC319" s="105">
        <f t="shared" si="415"/>
        <v>101.66132621567148</v>
      </c>
      <c r="CD319" s="106">
        <f t="shared" si="416"/>
        <v>62.062314240324817</v>
      </c>
      <c r="CE319" s="107">
        <f t="shared" si="417"/>
        <v>0.93093471360487223</v>
      </c>
      <c r="CF319" s="108" t="s">
        <v>2189</v>
      </c>
      <c r="CG319" s="108" t="s">
        <v>2189</v>
      </c>
      <c r="CH319" s="108" t="s">
        <v>2189</v>
      </c>
      <c r="CI319" s="108" t="s">
        <v>2189</v>
      </c>
      <c r="CJ319" s="109"/>
      <c r="CM319" s="111">
        <f t="shared" si="376"/>
        <v>25</v>
      </c>
      <c r="CN319" s="107">
        <f t="shared" si="418"/>
        <v>0.375</v>
      </c>
      <c r="CP319" s="88">
        <f t="shared" si="377"/>
        <v>0</v>
      </c>
      <c r="CQ319" s="78">
        <f t="shared" si="378"/>
        <v>100</v>
      </c>
      <c r="CR319" s="79">
        <f t="shared" si="419"/>
        <v>3</v>
      </c>
      <c r="CS319" s="92"/>
      <c r="CT319" s="77">
        <f t="shared" si="356"/>
        <v>0</v>
      </c>
      <c r="CU319" s="78">
        <f t="shared" si="379"/>
        <v>100</v>
      </c>
      <c r="CV319" s="79">
        <f t="shared" si="420"/>
        <v>2</v>
      </c>
      <c r="CW319" s="112" t="e">
        <f t="shared" si="380"/>
        <v>#DIV/0!</v>
      </c>
    </row>
    <row r="320" spans="1:101" x14ac:dyDescent="0.35">
      <c r="A320" s="7" t="s">
        <v>2031</v>
      </c>
      <c r="B320" s="8" t="s">
        <v>2032</v>
      </c>
      <c r="C320" s="21" t="s">
        <v>2033</v>
      </c>
      <c r="D320" s="22" t="s">
        <v>75</v>
      </c>
      <c r="E320" s="11" t="s">
        <v>76</v>
      </c>
      <c r="F320" s="11" t="s">
        <v>2034</v>
      </c>
      <c r="G320" s="12">
        <v>39073</v>
      </c>
      <c r="H320" s="11" t="s">
        <v>24</v>
      </c>
      <c r="I320" s="11" t="s">
        <v>2035</v>
      </c>
      <c r="J320" s="11" t="s">
        <v>2036</v>
      </c>
      <c r="K320" s="11" t="s">
        <v>50</v>
      </c>
      <c r="L320" s="23">
        <v>554634238</v>
      </c>
      <c r="M320" s="14">
        <v>196390631</v>
      </c>
      <c r="N320" s="14">
        <v>358243607</v>
      </c>
      <c r="O320" s="14">
        <v>413339538</v>
      </c>
      <c r="P320" s="14">
        <v>76175846</v>
      </c>
      <c r="Q320" s="14">
        <v>71041699</v>
      </c>
      <c r="R320" s="14">
        <v>55937358</v>
      </c>
      <c r="AB320" s="74">
        <f t="shared" si="381"/>
        <v>0</v>
      </c>
      <c r="AC320" s="75" t="e">
        <f t="shared" si="357"/>
        <v>#DIV/0!</v>
      </c>
      <c r="AD320" s="75" t="e">
        <f t="shared" si="382"/>
        <v>#DIV/0!</v>
      </c>
      <c r="AE320" s="76" t="e">
        <f t="shared" si="409"/>
        <v>#DIV/0!</v>
      </c>
      <c r="AF320" s="77" t="e">
        <f t="shared" si="358"/>
        <v>#DIV/0!</v>
      </c>
      <c r="AG320" s="77" t="e">
        <f t="shared" si="359"/>
        <v>#DIV/0!</v>
      </c>
      <c r="AH320" s="77" t="e">
        <f t="shared" si="383"/>
        <v>#DIV/0!</v>
      </c>
      <c r="AI320" s="78" t="e">
        <f t="shared" si="384"/>
        <v>#DIV/0!</v>
      </c>
      <c r="AJ320" s="79" t="e">
        <f t="shared" si="410"/>
        <v>#DIV/0!</v>
      </c>
      <c r="AN320" s="81">
        <f t="shared" si="344"/>
        <v>0</v>
      </c>
      <c r="AO320" s="82" t="e">
        <f t="shared" si="345"/>
        <v>#DIV/0!</v>
      </c>
      <c r="AP320" s="83" t="e">
        <f t="shared" si="360"/>
        <v>#DIV/0!</v>
      </c>
      <c r="AQ320" s="84" t="e">
        <f t="shared" si="411"/>
        <v>#DIV/0!</v>
      </c>
      <c r="AS320" s="86">
        <f t="shared" si="346"/>
        <v>0.25</v>
      </c>
      <c r="AT320" s="87">
        <f t="shared" si="361"/>
        <v>0</v>
      </c>
      <c r="AU320" s="87">
        <f t="shared" si="362"/>
        <v>0</v>
      </c>
      <c r="AV320" s="88" t="e">
        <f t="shared" si="347"/>
        <v>#DIV/0!</v>
      </c>
      <c r="AW320" s="78" t="e">
        <f t="shared" si="363"/>
        <v>#DIV/0!</v>
      </c>
      <c r="AX320" s="89" t="e">
        <f t="shared" si="412"/>
        <v>#DIV/0!</v>
      </c>
      <c r="BA320" s="91">
        <f t="shared" si="348"/>
        <v>0</v>
      </c>
      <c r="BB320" s="77" t="e">
        <f t="shared" si="364"/>
        <v>#DIV/0!</v>
      </c>
      <c r="BC320" s="78" t="e">
        <f t="shared" si="365"/>
        <v>#DIV/0!</v>
      </c>
      <c r="BD320" s="79" t="e">
        <f t="shared" si="413"/>
        <v>#DIV/0!</v>
      </c>
      <c r="BE320" s="92"/>
      <c r="BF320" s="92"/>
      <c r="BG320" s="93">
        <v>0</v>
      </c>
      <c r="BH320" s="94">
        <f t="shared" si="349"/>
        <v>0</v>
      </c>
      <c r="BI320" s="77" t="e">
        <f t="shared" si="350"/>
        <v>#DIV/0!</v>
      </c>
      <c r="BJ320" s="95" t="str">
        <f t="shared" si="366"/>
        <v>금속/비금속/화학업</v>
      </c>
      <c r="BK320" s="96" t="e">
        <f t="shared" si="351"/>
        <v>#DIV/0!</v>
      </c>
      <c r="BL320" s="97" t="e">
        <f t="shared" si="367"/>
        <v>#DIV/0!</v>
      </c>
      <c r="BM320" s="98" t="e">
        <f t="shared" si="368"/>
        <v>#DIV/0!</v>
      </c>
      <c r="BN320" s="99" t="e">
        <f t="shared" si="369"/>
        <v>#DIV/0!</v>
      </c>
      <c r="BP320" s="101">
        <f t="shared" si="370"/>
        <v>0</v>
      </c>
      <c r="BQ320" s="78">
        <f t="shared" si="371"/>
        <v>25</v>
      </c>
      <c r="BR320" s="79">
        <f t="shared" si="414"/>
        <v>0.5</v>
      </c>
      <c r="BS320" s="102"/>
      <c r="BT320" s="102"/>
      <c r="BU320" s="103">
        <f t="shared" si="372"/>
        <v>0</v>
      </c>
      <c r="BV320" s="77">
        <f t="shared" si="352"/>
        <v>0</v>
      </c>
      <c r="BW320" s="96">
        <f t="shared" si="353"/>
        <v>0</v>
      </c>
      <c r="BX320" s="96">
        <f t="shared" si="373"/>
        <v>0</v>
      </c>
      <c r="BY320" s="96">
        <f t="shared" si="354"/>
        <v>0</v>
      </c>
      <c r="BZ320" s="96" t="e">
        <f t="shared" si="374"/>
        <v>#NUM!</v>
      </c>
      <c r="CA320" s="96" t="e">
        <f t="shared" si="355"/>
        <v>#NUM!</v>
      </c>
      <c r="CB320" s="104" t="e">
        <f t="shared" si="375"/>
        <v>#NUM!</v>
      </c>
      <c r="CC320" s="105">
        <f t="shared" si="415"/>
        <v>54.820414701775825</v>
      </c>
      <c r="CD320" s="106">
        <f t="shared" si="416"/>
        <v>79.715924107370924</v>
      </c>
      <c r="CE320" s="107">
        <f t="shared" si="417"/>
        <v>1.1957388616105638</v>
      </c>
      <c r="CF320" s="108" t="s">
        <v>2189</v>
      </c>
      <c r="CG320" s="108" t="s">
        <v>2189</v>
      </c>
      <c r="CH320" s="108" t="s">
        <v>2189</v>
      </c>
      <c r="CI320" s="108" t="s">
        <v>2189</v>
      </c>
      <c r="CJ320" s="109"/>
      <c r="CM320" s="111">
        <f t="shared" si="376"/>
        <v>25</v>
      </c>
      <c r="CN320" s="107">
        <f t="shared" si="418"/>
        <v>0.375</v>
      </c>
      <c r="CP320" s="88">
        <f t="shared" si="377"/>
        <v>0</v>
      </c>
      <c r="CQ320" s="78">
        <f t="shared" si="378"/>
        <v>100</v>
      </c>
      <c r="CR320" s="79">
        <f t="shared" si="419"/>
        <v>3</v>
      </c>
      <c r="CS320" s="92"/>
      <c r="CT320" s="77">
        <f t="shared" si="356"/>
        <v>0</v>
      </c>
      <c r="CU320" s="78">
        <f t="shared" si="379"/>
        <v>100</v>
      </c>
      <c r="CV320" s="79">
        <f t="shared" si="420"/>
        <v>2</v>
      </c>
      <c r="CW320" s="112" t="e">
        <f t="shared" si="380"/>
        <v>#DIV/0!</v>
      </c>
    </row>
    <row r="321" spans="1:101" x14ac:dyDescent="0.35">
      <c r="A321" s="7" t="s">
        <v>2037</v>
      </c>
      <c r="B321" s="8" t="s">
        <v>2038</v>
      </c>
      <c r="C321" s="21" t="s">
        <v>2039</v>
      </c>
      <c r="D321" s="10" t="s">
        <v>141</v>
      </c>
      <c r="E321" s="11" t="s">
        <v>922</v>
      </c>
      <c r="F321" s="11" t="s">
        <v>2040</v>
      </c>
      <c r="G321" s="12">
        <v>33484</v>
      </c>
      <c r="H321" s="11" t="s">
        <v>24</v>
      </c>
      <c r="I321" s="11" t="s">
        <v>2041</v>
      </c>
      <c r="J321" s="11" t="s">
        <v>2042</v>
      </c>
      <c r="K321" s="11" t="s">
        <v>87</v>
      </c>
      <c r="L321" s="23">
        <v>304125357</v>
      </c>
      <c r="M321" s="14">
        <v>159788539</v>
      </c>
      <c r="N321" s="14">
        <v>144336819</v>
      </c>
      <c r="O321" s="14">
        <v>222470898</v>
      </c>
      <c r="P321" s="14">
        <v>12661325</v>
      </c>
      <c r="Q321" s="14">
        <v>13022728</v>
      </c>
      <c r="R321" s="14">
        <v>9259054</v>
      </c>
      <c r="AB321" s="74">
        <f t="shared" si="381"/>
        <v>0</v>
      </c>
      <c r="AC321" s="75" t="e">
        <f t="shared" si="357"/>
        <v>#DIV/0!</v>
      </c>
      <c r="AD321" s="75" t="e">
        <f t="shared" si="382"/>
        <v>#DIV/0!</v>
      </c>
      <c r="AE321" s="76" t="e">
        <f t="shared" si="409"/>
        <v>#DIV/0!</v>
      </c>
      <c r="AF321" s="77" t="e">
        <f t="shared" si="358"/>
        <v>#DIV/0!</v>
      </c>
      <c r="AG321" s="77" t="e">
        <f t="shared" si="359"/>
        <v>#DIV/0!</v>
      </c>
      <c r="AH321" s="77" t="e">
        <f t="shared" si="383"/>
        <v>#DIV/0!</v>
      </c>
      <c r="AI321" s="78" t="e">
        <f t="shared" si="384"/>
        <v>#DIV/0!</v>
      </c>
      <c r="AJ321" s="79" t="e">
        <f t="shared" si="410"/>
        <v>#DIV/0!</v>
      </c>
      <c r="AN321" s="81">
        <f t="shared" si="344"/>
        <v>0</v>
      </c>
      <c r="AO321" s="82" t="e">
        <f>(AM321/AN321)*100</f>
        <v>#DIV/0!</v>
      </c>
      <c r="AP321" s="83" t="e">
        <f t="shared" si="360"/>
        <v>#DIV/0!</v>
      </c>
      <c r="AQ321" s="84" t="e">
        <f t="shared" si="411"/>
        <v>#DIV/0!</v>
      </c>
      <c r="AS321" s="86">
        <f t="shared" si="346"/>
        <v>0.25</v>
      </c>
      <c r="AT321" s="87">
        <f>AK321*AS321</f>
        <v>0</v>
      </c>
      <c r="AU321" s="87">
        <f t="shared" si="362"/>
        <v>0</v>
      </c>
      <c r="AV321" s="88" t="e">
        <f>(AR321-AU321)/AK321*100</f>
        <v>#DIV/0!</v>
      </c>
      <c r="AW321" s="78" t="e">
        <f t="shared" si="363"/>
        <v>#DIV/0!</v>
      </c>
      <c r="AX321" s="89" t="e">
        <f t="shared" si="412"/>
        <v>#DIV/0!</v>
      </c>
      <c r="BA321" s="91">
        <f t="shared" si="348"/>
        <v>0</v>
      </c>
      <c r="BB321" s="77" t="e">
        <f t="shared" si="364"/>
        <v>#DIV/0!</v>
      </c>
      <c r="BC321" s="78" t="e">
        <f t="shared" si="365"/>
        <v>#DIV/0!</v>
      </c>
      <c r="BD321" s="79" t="e">
        <f t="shared" si="413"/>
        <v>#DIV/0!</v>
      </c>
      <c r="BE321" s="92"/>
      <c r="BF321" s="92"/>
      <c r="BG321" s="93">
        <v>0</v>
      </c>
      <c r="BH321" s="94">
        <f t="shared" si="349"/>
        <v>0</v>
      </c>
      <c r="BI321" s="77" t="e">
        <f>(BG321/BH321)*100</f>
        <v>#DIV/0!</v>
      </c>
      <c r="BJ321" s="95" t="str">
        <f t="shared" si="366"/>
        <v>전기전자/기계업</v>
      </c>
      <c r="BK321" s="96" t="e">
        <f t="shared" si="351"/>
        <v>#DIV/0!</v>
      </c>
      <c r="BL321" s="97" t="e">
        <f t="shared" si="367"/>
        <v>#DIV/0!</v>
      </c>
      <c r="BM321" s="98" t="e">
        <f t="shared" si="368"/>
        <v>#DIV/0!</v>
      </c>
      <c r="BN321" s="99" t="e">
        <f t="shared" si="369"/>
        <v>#DIV/0!</v>
      </c>
      <c r="BP321" s="101">
        <f>(BO321/O321)*100</f>
        <v>0</v>
      </c>
      <c r="BQ321" s="78">
        <f t="shared" si="371"/>
        <v>25</v>
      </c>
      <c r="BR321" s="79">
        <f t="shared" si="414"/>
        <v>0.5</v>
      </c>
      <c r="BS321" s="102"/>
      <c r="BT321" s="102"/>
      <c r="BU321" s="103">
        <f t="shared" si="372"/>
        <v>0</v>
      </c>
      <c r="BV321" s="77">
        <f>BU321/O321*100</f>
        <v>0</v>
      </c>
      <c r="BW321" s="96">
        <f t="shared" si="353"/>
        <v>0</v>
      </c>
      <c r="BX321" s="96">
        <f t="shared" si="373"/>
        <v>0</v>
      </c>
      <c r="BY321" s="96">
        <f t="shared" si="354"/>
        <v>0</v>
      </c>
      <c r="BZ321" s="96" t="e">
        <f t="shared" si="374"/>
        <v>#NUM!</v>
      </c>
      <c r="CA321" s="96" t="e">
        <f>IF(BZ321&lt;=5, 100, IF(BZ321&lt;=15, 85, IF(BZ321&lt;=35, 70, IF(BZ321&lt;=60, 55, IF(BZ321&lt;=90, 40, 25)))))</f>
        <v>#NUM!</v>
      </c>
      <c r="CB321" s="104" t="e">
        <f t="shared" si="375"/>
        <v>#NUM!</v>
      </c>
      <c r="CC321" s="105">
        <f t="shared" si="415"/>
        <v>110.70532114193261</v>
      </c>
      <c r="CD321" s="106">
        <f t="shared" si="416"/>
        <v>58.65377343897012</v>
      </c>
      <c r="CE321" s="107">
        <f t="shared" si="417"/>
        <v>0.87980660158455182</v>
      </c>
      <c r="CF321" s="108" t="s">
        <v>2189</v>
      </c>
      <c r="CG321" s="108" t="s">
        <v>2189</v>
      </c>
      <c r="CH321" s="108" t="s">
        <v>2189</v>
      </c>
      <c r="CI321" s="108" t="s">
        <v>2189</v>
      </c>
      <c r="CJ321" s="109"/>
      <c r="CM321" s="111">
        <f t="shared" si="376"/>
        <v>25</v>
      </c>
      <c r="CN321" s="107">
        <f t="shared" si="418"/>
        <v>0.375</v>
      </c>
      <c r="CP321" s="88">
        <f>(CO321/N321)*100</f>
        <v>0</v>
      </c>
      <c r="CQ321" s="78">
        <f t="shared" si="378"/>
        <v>100</v>
      </c>
      <c r="CR321" s="79">
        <f t="shared" si="419"/>
        <v>3</v>
      </c>
      <c r="CS321" s="92"/>
      <c r="CT321" s="77">
        <f>(CS321/N321)*100</f>
        <v>0</v>
      </c>
      <c r="CU321" s="78">
        <f t="shared" si="379"/>
        <v>100</v>
      </c>
      <c r="CV321" s="79">
        <f t="shared" si="420"/>
        <v>2</v>
      </c>
      <c r="CW321" s="112" t="e">
        <f t="shared" si="380"/>
        <v>#DIV/0!</v>
      </c>
    </row>
    <row r="322" spans="1:101" x14ac:dyDescent="0.35">
      <c r="A322" s="7" t="s">
        <v>2043</v>
      </c>
      <c r="B322" s="8" t="s">
        <v>2044</v>
      </c>
      <c r="C322" s="21" t="s">
        <v>2045</v>
      </c>
      <c r="D322" s="25" t="s">
        <v>67</v>
      </c>
      <c r="E322" s="11" t="s">
        <v>68</v>
      </c>
      <c r="F322" s="11" t="s">
        <v>1901</v>
      </c>
      <c r="G322" s="12">
        <v>27368</v>
      </c>
      <c r="H322" s="11" t="s">
        <v>24</v>
      </c>
      <c r="I322" s="11" t="s">
        <v>2046</v>
      </c>
      <c r="J322" s="11" t="s">
        <v>2047</v>
      </c>
      <c r="K322" s="11" t="s">
        <v>27</v>
      </c>
      <c r="L322" s="23">
        <v>13966098000</v>
      </c>
      <c r="M322" s="14">
        <v>13246051000</v>
      </c>
      <c r="N322" s="14">
        <v>720047000</v>
      </c>
      <c r="O322" s="14">
        <v>2423214000</v>
      </c>
      <c r="P322" s="14">
        <v>185978000</v>
      </c>
      <c r="Q322" s="14">
        <v>186768000</v>
      </c>
      <c r="R322" s="14">
        <v>147508000</v>
      </c>
      <c r="AB322" s="74">
        <f t="shared" si="381"/>
        <v>0</v>
      </c>
      <c r="AC322" s="75" t="e">
        <f>(AB322/S322)*100</f>
        <v>#DIV/0!</v>
      </c>
      <c r="AD322" s="75" t="e">
        <f t="shared" si="382"/>
        <v>#DIV/0!</v>
      </c>
      <c r="AE322" s="119" t="e">
        <f>AD322*0.04</f>
        <v>#DIV/0!</v>
      </c>
      <c r="AF322" s="77" t="e">
        <f>(U322+V322)/(S322-T322-AA322)*100</f>
        <v>#DIV/0!</v>
      </c>
      <c r="AG322" s="77" t="e">
        <f>(U322+V322+Z322+W322+X322-AA322)/(S322-T322-AA322)*100</f>
        <v>#DIV/0!</v>
      </c>
      <c r="AH322" s="77" t="e">
        <f t="shared" si="383"/>
        <v>#DIV/0!</v>
      </c>
      <c r="AI322" s="78" t="e">
        <f t="shared" si="384"/>
        <v>#DIV/0!</v>
      </c>
      <c r="AJ322" s="120" t="e">
        <f>AI322*0.05</f>
        <v>#DIV/0!</v>
      </c>
      <c r="AN322" s="81">
        <f t="shared" si="344"/>
        <v>0</v>
      </c>
      <c r="AO322" s="82" t="e">
        <f>(AM322/AN322)*100</f>
        <v>#DIV/0!</v>
      </c>
      <c r="AP322" s="83" t="e">
        <f>IF(AO322&lt;10, 100, IF(AO322&lt;20, 80, IF(AO322&lt;30, 60, IF(AO322&lt;50, 40, IF(AO322&gt;=50, 20)))))</f>
        <v>#DIV/0!</v>
      </c>
      <c r="AQ322" s="121" t="e">
        <f>AP322*0.03</f>
        <v>#DIV/0!</v>
      </c>
      <c r="AS322" s="86">
        <f t="shared" si="346"/>
        <v>0.5</v>
      </c>
      <c r="AT322" s="87">
        <f>AK322*AS322</f>
        <v>0</v>
      </c>
      <c r="AU322" s="87">
        <f>ROUNDDOWN(AT322,0)</f>
        <v>0</v>
      </c>
      <c r="AV322" s="88" t="e">
        <f>(AR322-AU322)/AK322*100</f>
        <v>#DIV/0!</v>
      </c>
      <c r="AW322" s="78" t="e">
        <f>IF(AV322&lt;0, 20, IF(AV322=0, 40, IF(AV322&lt;20, 60, IF(AV322&lt;40, 80, IF(AV322&gt;=40, 100)))))</f>
        <v>#DIV/0!</v>
      </c>
      <c r="AX322" s="122" t="e">
        <f>AW322*0.02</f>
        <v>#DIV/0!</v>
      </c>
      <c r="BA322" s="91">
        <f t="shared" si="348"/>
        <v>0</v>
      </c>
      <c r="BB322" s="77" t="e">
        <f>(AZ322/BA322)*100</f>
        <v>#DIV/0!</v>
      </c>
      <c r="BC322" s="78" t="e">
        <f>IF(BB322&lt;70, 25, IF(BB322&lt;80, 50, IF(BB322&lt;90, 75, IF(BB322&gt;=90, 100))))</f>
        <v>#DIV/0!</v>
      </c>
      <c r="BD322" s="120" t="e">
        <f>BC322*0.02</f>
        <v>#DIV/0!</v>
      </c>
      <c r="BE322" s="26"/>
      <c r="BF322" s="92"/>
      <c r="BG322" s="93">
        <v>0</v>
      </c>
      <c r="BH322" s="94">
        <f t="shared" si="349"/>
        <v>0</v>
      </c>
      <c r="BI322" s="77" t="e">
        <f>(BG322/BH322)*100</f>
        <v>#DIV/0!</v>
      </c>
      <c r="BJ322" s="95" t="str">
        <f>IF(D322="금융업(보험)", "금융업", IF(D322="금융업(증권)", "금융업", IF(D322="금융업(종금)", "금융업", D322)))</f>
        <v>금융업</v>
      </c>
      <c r="BK322" s="96" t="e">
        <f>AVERAGEIF(BJ:BJ, BJ322, BI:BI)</f>
        <v>#DIV/0!</v>
      </c>
      <c r="BL322" s="97" t="e">
        <f>BI322-BK322</f>
        <v>#DIV/0!</v>
      </c>
      <c r="BM322" s="98" t="e">
        <f>IF(BL322&lt;-2, 100, IF(BL322&lt;0, 80, IF(BL322&lt;2, 60, IF(BL322&lt;10, 40, 20))))</f>
        <v>#DIV/0!</v>
      </c>
      <c r="BN322" s="99" t="e">
        <f>BM322*0.02</f>
        <v>#DIV/0!</v>
      </c>
      <c r="BP322" s="101">
        <f>(BO322/O322)*100</f>
        <v>0</v>
      </c>
      <c r="BQ322" s="78">
        <f>IF(BP322=0, 25, IF(BP322&lt;0.1, 40, IF(BP322&lt;0.5, 55, IF(BP322&lt;2, 70, IF(BP322&lt;4, 85, IF(BP322&gt;=4, 100))))))</f>
        <v>25</v>
      </c>
      <c r="BR322" s="120">
        <f>BQ322*0.01</f>
        <v>0.25</v>
      </c>
      <c r="BS322" s="102"/>
      <c r="BT322" s="102"/>
      <c r="BU322" s="103">
        <f>BS322-BT322</f>
        <v>0</v>
      </c>
      <c r="BV322" s="77">
        <f>BU322/O322*100</f>
        <v>0</v>
      </c>
      <c r="BW322" s="96">
        <f>AVERAGEIF(BJ:BJ, BJ322, BV:BV)</f>
        <v>0</v>
      </c>
      <c r="BX322" s="96">
        <f>(BV322-BW322)^2</f>
        <v>0</v>
      </c>
      <c r="BY322" s="96">
        <f>SQRT(SUMIF(BJ:BJ, BJ322, BX:BX)/COUNTIF(BJ:BJ, BJ322))</f>
        <v>0</v>
      </c>
      <c r="BZ322" s="96" t="e">
        <f>(1-_xlfn.NORM.DIST(BV322, BW322, BY322, TRUE))*100</f>
        <v>#NUM!</v>
      </c>
      <c r="CA322" s="96" t="e">
        <f>IF(BZ322&lt;=5, 100, IF(BZ322&lt;=15, 85, IF(BZ322&lt;=35, 70, IF(BZ322&lt;=60, 55, IF(BZ322&lt;=90, 40, 25)))))</f>
        <v>#NUM!</v>
      </c>
      <c r="CB322" s="104" t="e">
        <f>CA322*0.02</f>
        <v>#NUM!</v>
      </c>
      <c r="CC322" s="123" t="s">
        <v>2200</v>
      </c>
      <c r="CD322" s="124" t="s">
        <v>2200</v>
      </c>
      <c r="CE322" s="125"/>
      <c r="CF322" s="126" t="s">
        <v>2201</v>
      </c>
      <c r="CG322" s="126" t="s">
        <v>2201</v>
      </c>
      <c r="CH322" s="127">
        <v>0.04</v>
      </c>
      <c r="CI322" s="128">
        <f>IF((100-(75*(CH322-10)/40))&gt;100, 100, IF((100-(75*(CH322-10)/40))&lt;25, 25, (100-(75*(CH322-10)/40))))</f>
        <v>100</v>
      </c>
      <c r="CJ322" s="129">
        <f>CI322*0.04</f>
        <v>4</v>
      </c>
      <c r="CM322" s="111">
        <f>IF(CL322="A", 100, IF(CL322="B", 85, IF(CL322="C", 70, IF(CL322="D", 55, IF(CL322="E", 40, 25)))))</f>
        <v>25</v>
      </c>
      <c r="CN322" s="130">
        <f>CM322*0.03</f>
        <v>0.75</v>
      </c>
      <c r="CP322" s="88">
        <f>(CO322/N322)*100</f>
        <v>0</v>
      </c>
      <c r="CQ322" s="78">
        <f>IF(CP322&lt;3, 100, IF(CP322&lt;10, 80, IF(CP322&lt;35, 60, IF(CP322&lt;100, 40, IF(CP322&gt;=100, 20)))))</f>
        <v>100</v>
      </c>
      <c r="CR322" s="120">
        <f>CQ322*0.04</f>
        <v>4</v>
      </c>
      <c r="CS322" s="92"/>
      <c r="CT322" s="77">
        <f>(CS322/N322)*100</f>
        <v>0</v>
      </c>
      <c r="CU322" s="78">
        <f>IF(CT322&lt;3, 100, IF(CT322&lt;10, 80, IF(CT322&lt;35, 60, IF(CT322&lt;100, 40, 20))))</f>
        <v>100</v>
      </c>
      <c r="CV322" s="131">
        <f>CU322*0.03</f>
        <v>3</v>
      </c>
      <c r="CW322" s="112" t="e">
        <f t="shared" si="380"/>
        <v>#DIV/0!</v>
      </c>
    </row>
  </sheetData>
  <phoneticPr fontId="2" type="noConversion"/>
  <dataValidations count="1">
    <dataValidation type="list" allowBlank="1" showInputMessage="1" showErrorMessage="1" sqref="CL2:CL322" xr:uid="{00000000-0002-0000-0100-000000000000}">
      <formula1>"A, B, C, D, E, F"</formula1>
    </dataValidation>
  </dataValidations>
  <hyperlinks>
    <hyperlink ref="B2" r:id="rId1" xr:uid="{00000000-0004-0000-0100-000000000000}"/>
    <hyperlink ref="B3" r:id="rId2" xr:uid="{00000000-0004-0000-0100-000001000000}"/>
    <hyperlink ref="B4" r:id="rId3" xr:uid="{00000000-0004-0000-0100-000002000000}"/>
    <hyperlink ref="B5" r:id="rId4" xr:uid="{00000000-0004-0000-0100-000003000000}"/>
    <hyperlink ref="B6" r:id="rId5" xr:uid="{00000000-0004-0000-0100-000004000000}"/>
    <hyperlink ref="B7" r:id="rId6" xr:uid="{00000000-0004-0000-0100-000005000000}"/>
    <hyperlink ref="B8" r:id="rId7" xr:uid="{00000000-0004-0000-0100-000006000000}"/>
    <hyperlink ref="B9" r:id="rId8" xr:uid="{00000000-0004-0000-0100-000007000000}"/>
    <hyperlink ref="B10" r:id="rId9" xr:uid="{00000000-0004-0000-0100-000008000000}"/>
    <hyperlink ref="B11" r:id="rId10" xr:uid="{00000000-0004-0000-0100-000009000000}"/>
    <hyperlink ref="B12" r:id="rId11" xr:uid="{00000000-0004-0000-0100-00000A000000}"/>
    <hyperlink ref="B13" r:id="rId12" xr:uid="{00000000-0004-0000-0100-00000B000000}"/>
    <hyperlink ref="B14" r:id="rId13" xr:uid="{00000000-0004-0000-0100-00000C000000}"/>
    <hyperlink ref="B15" r:id="rId14" xr:uid="{00000000-0004-0000-0100-00000D000000}"/>
    <hyperlink ref="B16" r:id="rId15" xr:uid="{00000000-0004-0000-0100-00000E000000}"/>
    <hyperlink ref="B17" r:id="rId16" xr:uid="{00000000-0004-0000-0100-00000F000000}"/>
    <hyperlink ref="B18" r:id="rId17" xr:uid="{00000000-0004-0000-0100-000010000000}"/>
    <hyperlink ref="B19" r:id="rId18" xr:uid="{00000000-0004-0000-0100-000011000000}"/>
    <hyperlink ref="B20" r:id="rId19" xr:uid="{00000000-0004-0000-0100-000012000000}"/>
    <hyperlink ref="B21" r:id="rId20" xr:uid="{00000000-0004-0000-0100-000013000000}"/>
    <hyperlink ref="B22" r:id="rId21" xr:uid="{00000000-0004-0000-0100-000014000000}"/>
    <hyperlink ref="B23" r:id="rId22" xr:uid="{00000000-0004-0000-0100-000015000000}"/>
    <hyperlink ref="B24" r:id="rId23" xr:uid="{00000000-0004-0000-0100-000016000000}"/>
    <hyperlink ref="B25" r:id="rId24" xr:uid="{00000000-0004-0000-0100-000017000000}"/>
    <hyperlink ref="B26" r:id="rId25" xr:uid="{00000000-0004-0000-0100-000018000000}"/>
    <hyperlink ref="B27" r:id="rId26" xr:uid="{00000000-0004-0000-0100-000019000000}"/>
    <hyperlink ref="B28" r:id="rId27" xr:uid="{00000000-0004-0000-0100-00001A000000}"/>
    <hyperlink ref="B29" r:id="rId28" xr:uid="{00000000-0004-0000-0100-00001B000000}"/>
    <hyperlink ref="B30" r:id="rId29" xr:uid="{00000000-0004-0000-0100-00001C000000}"/>
    <hyperlink ref="B31" r:id="rId30" xr:uid="{00000000-0004-0000-0100-00001D000000}"/>
    <hyperlink ref="B32" r:id="rId31" xr:uid="{00000000-0004-0000-0100-00001E000000}"/>
    <hyperlink ref="B33" r:id="rId32" xr:uid="{00000000-0004-0000-0100-00001F000000}"/>
    <hyperlink ref="B34" r:id="rId33" xr:uid="{00000000-0004-0000-0100-000020000000}"/>
    <hyperlink ref="B35" r:id="rId34" xr:uid="{00000000-0004-0000-0100-000021000000}"/>
    <hyperlink ref="B36" r:id="rId35" xr:uid="{00000000-0004-0000-0100-000022000000}"/>
    <hyperlink ref="B37" r:id="rId36" xr:uid="{00000000-0004-0000-0100-000023000000}"/>
    <hyperlink ref="B38" r:id="rId37" xr:uid="{00000000-0004-0000-0100-000024000000}"/>
    <hyperlink ref="B39" r:id="rId38" xr:uid="{00000000-0004-0000-0100-000025000000}"/>
    <hyperlink ref="B40" r:id="rId39" xr:uid="{00000000-0004-0000-0100-000026000000}"/>
    <hyperlink ref="B41" r:id="rId40" xr:uid="{00000000-0004-0000-0100-000027000000}"/>
    <hyperlink ref="B42" r:id="rId41" xr:uid="{00000000-0004-0000-0100-000028000000}"/>
    <hyperlink ref="B43" r:id="rId42" xr:uid="{00000000-0004-0000-0100-000029000000}"/>
    <hyperlink ref="B44" r:id="rId43" xr:uid="{00000000-0004-0000-0100-00002A000000}"/>
    <hyperlink ref="B45" r:id="rId44" xr:uid="{00000000-0004-0000-0100-00002B000000}"/>
    <hyperlink ref="B46" r:id="rId45" xr:uid="{00000000-0004-0000-0100-00002C000000}"/>
    <hyperlink ref="B47" r:id="rId46" xr:uid="{00000000-0004-0000-0100-00002D000000}"/>
    <hyperlink ref="B48" r:id="rId47" xr:uid="{00000000-0004-0000-0100-00002E000000}"/>
    <hyperlink ref="B49" r:id="rId48" xr:uid="{00000000-0004-0000-0100-00002F000000}"/>
    <hyperlink ref="B50" r:id="rId49" xr:uid="{00000000-0004-0000-0100-000030000000}"/>
    <hyperlink ref="B51" r:id="rId50" xr:uid="{00000000-0004-0000-0100-000031000000}"/>
    <hyperlink ref="B52" r:id="rId51" xr:uid="{00000000-0004-0000-0100-000032000000}"/>
    <hyperlink ref="B53" r:id="rId52" xr:uid="{00000000-0004-0000-0100-000033000000}"/>
    <hyperlink ref="B54" r:id="rId53" xr:uid="{00000000-0004-0000-0100-000034000000}"/>
    <hyperlink ref="B55" r:id="rId54" xr:uid="{00000000-0004-0000-0100-000035000000}"/>
    <hyperlink ref="B56" r:id="rId55" xr:uid="{00000000-0004-0000-0100-000036000000}"/>
    <hyperlink ref="B57" r:id="rId56" xr:uid="{00000000-0004-0000-0100-000037000000}"/>
    <hyperlink ref="B58" r:id="rId57" xr:uid="{00000000-0004-0000-0100-000038000000}"/>
    <hyperlink ref="B59" r:id="rId58" xr:uid="{00000000-0004-0000-0100-000039000000}"/>
    <hyperlink ref="B60" r:id="rId59" xr:uid="{00000000-0004-0000-0100-00003A000000}"/>
    <hyperlink ref="B61" r:id="rId60" xr:uid="{00000000-0004-0000-0100-00003B000000}"/>
    <hyperlink ref="B62" r:id="rId61" xr:uid="{00000000-0004-0000-0100-00003C000000}"/>
    <hyperlink ref="B63" r:id="rId62" xr:uid="{00000000-0004-0000-0100-00003D000000}"/>
    <hyperlink ref="B64" r:id="rId63" xr:uid="{00000000-0004-0000-0100-00003E000000}"/>
    <hyperlink ref="B65" r:id="rId64" xr:uid="{00000000-0004-0000-0100-00003F000000}"/>
    <hyperlink ref="B66" r:id="rId65" xr:uid="{00000000-0004-0000-0100-000040000000}"/>
    <hyperlink ref="B67" r:id="rId66" xr:uid="{00000000-0004-0000-0100-000041000000}"/>
    <hyperlink ref="B68" r:id="rId67" xr:uid="{00000000-0004-0000-0100-000042000000}"/>
    <hyperlink ref="B69" r:id="rId68" xr:uid="{00000000-0004-0000-0100-000043000000}"/>
    <hyperlink ref="B70" r:id="rId69" xr:uid="{00000000-0004-0000-0100-000044000000}"/>
    <hyperlink ref="B71" r:id="rId70" xr:uid="{00000000-0004-0000-0100-000045000000}"/>
    <hyperlink ref="B72" r:id="rId71" xr:uid="{00000000-0004-0000-0100-000046000000}"/>
    <hyperlink ref="B73" r:id="rId72" xr:uid="{00000000-0004-0000-0100-000047000000}"/>
    <hyperlink ref="B74" r:id="rId73" xr:uid="{00000000-0004-0000-0100-000048000000}"/>
    <hyperlink ref="B75" r:id="rId74" xr:uid="{00000000-0004-0000-0100-000049000000}"/>
    <hyperlink ref="B76" r:id="rId75" xr:uid="{00000000-0004-0000-0100-00004A000000}"/>
    <hyperlink ref="B77" r:id="rId76" xr:uid="{00000000-0004-0000-0100-00004B000000}"/>
    <hyperlink ref="B78" r:id="rId77" xr:uid="{00000000-0004-0000-0100-00004C000000}"/>
    <hyperlink ref="B79" r:id="rId78" xr:uid="{00000000-0004-0000-0100-00004D000000}"/>
    <hyperlink ref="J79" r:id="rId79" xr:uid="{00000000-0004-0000-0100-00004E000000}"/>
    <hyperlink ref="B80" r:id="rId80" xr:uid="{00000000-0004-0000-0100-00004F000000}"/>
    <hyperlink ref="B81" r:id="rId81" xr:uid="{00000000-0004-0000-0100-000050000000}"/>
    <hyperlink ref="B82" r:id="rId82" xr:uid="{00000000-0004-0000-0100-000051000000}"/>
    <hyperlink ref="B83" r:id="rId83" xr:uid="{00000000-0004-0000-0100-000052000000}"/>
    <hyperlink ref="B84" r:id="rId84" xr:uid="{00000000-0004-0000-0100-000053000000}"/>
    <hyperlink ref="B85" r:id="rId85" xr:uid="{00000000-0004-0000-0100-000054000000}"/>
    <hyperlink ref="B86" r:id="rId86" xr:uid="{00000000-0004-0000-0100-000055000000}"/>
    <hyperlink ref="J74" r:id="rId87" xr:uid="{00000000-0004-0000-0100-000056000000}"/>
    <hyperlink ref="J11" r:id="rId88" xr:uid="{00000000-0004-0000-0100-000057000000}"/>
    <hyperlink ref="B87" r:id="rId89" xr:uid="{00000000-0004-0000-0100-000058000000}"/>
    <hyperlink ref="B88" r:id="rId90" xr:uid="{00000000-0004-0000-0100-000059000000}"/>
    <hyperlink ref="B89" r:id="rId91" xr:uid="{00000000-0004-0000-0100-00005A000000}"/>
    <hyperlink ref="B90" r:id="rId92" xr:uid="{00000000-0004-0000-0100-00005B000000}"/>
    <hyperlink ref="B91" r:id="rId93" xr:uid="{00000000-0004-0000-0100-00005C000000}"/>
    <hyperlink ref="B92" r:id="rId94" xr:uid="{00000000-0004-0000-0100-00005D000000}"/>
    <hyperlink ref="B93" r:id="rId95" xr:uid="{00000000-0004-0000-0100-00005E000000}"/>
    <hyperlink ref="B94" r:id="rId96" xr:uid="{00000000-0004-0000-0100-00005F000000}"/>
    <hyperlink ref="B95" r:id="rId97" xr:uid="{00000000-0004-0000-0100-000060000000}"/>
    <hyperlink ref="B96" r:id="rId98" xr:uid="{00000000-0004-0000-0100-000061000000}"/>
    <hyperlink ref="B97" r:id="rId99" xr:uid="{00000000-0004-0000-0100-000062000000}"/>
    <hyperlink ref="B98" r:id="rId100" xr:uid="{00000000-0004-0000-0100-000063000000}"/>
    <hyperlink ref="B99" r:id="rId101" xr:uid="{00000000-0004-0000-0100-000064000000}"/>
    <hyperlink ref="B100" r:id="rId102" xr:uid="{00000000-0004-0000-0100-000065000000}"/>
    <hyperlink ref="B101" r:id="rId103" xr:uid="{00000000-0004-0000-0100-000066000000}"/>
    <hyperlink ref="B102" r:id="rId104" xr:uid="{00000000-0004-0000-0100-000067000000}"/>
    <hyperlink ref="B103" r:id="rId105" xr:uid="{00000000-0004-0000-0100-000068000000}"/>
    <hyperlink ref="B104" r:id="rId106" xr:uid="{00000000-0004-0000-0100-000069000000}"/>
    <hyperlink ref="B105" r:id="rId107" xr:uid="{00000000-0004-0000-0100-00006A000000}"/>
    <hyperlink ref="B106" r:id="rId108" xr:uid="{00000000-0004-0000-0100-00006B000000}"/>
    <hyperlink ref="B107" r:id="rId109" xr:uid="{00000000-0004-0000-0100-00006C000000}"/>
    <hyperlink ref="B108" r:id="rId110" xr:uid="{00000000-0004-0000-0100-00006D000000}"/>
    <hyperlink ref="B109" r:id="rId111" xr:uid="{00000000-0004-0000-0100-00006E000000}"/>
    <hyperlink ref="B110" r:id="rId112" xr:uid="{00000000-0004-0000-0100-00006F000000}"/>
    <hyperlink ref="B111" r:id="rId113" xr:uid="{00000000-0004-0000-0100-000070000000}"/>
    <hyperlink ref="B112" r:id="rId114" xr:uid="{00000000-0004-0000-0100-000071000000}"/>
    <hyperlink ref="B113" r:id="rId115" xr:uid="{00000000-0004-0000-0100-000072000000}"/>
    <hyperlink ref="B114" r:id="rId116" xr:uid="{00000000-0004-0000-0100-000073000000}"/>
    <hyperlink ref="B115" r:id="rId117" xr:uid="{00000000-0004-0000-0100-000074000000}"/>
    <hyperlink ref="B116" r:id="rId118" xr:uid="{00000000-0004-0000-0100-000075000000}"/>
    <hyperlink ref="B117" r:id="rId119" xr:uid="{00000000-0004-0000-0100-000076000000}"/>
    <hyperlink ref="B118" r:id="rId120" xr:uid="{00000000-0004-0000-0100-000077000000}"/>
    <hyperlink ref="B119" r:id="rId121" xr:uid="{00000000-0004-0000-0100-000078000000}"/>
    <hyperlink ref="B120" r:id="rId122" xr:uid="{00000000-0004-0000-0100-000079000000}"/>
    <hyperlink ref="B121" r:id="rId123" xr:uid="{00000000-0004-0000-0100-00007A000000}"/>
    <hyperlink ref="B122" r:id="rId124" xr:uid="{00000000-0004-0000-0100-00007B000000}"/>
    <hyperlink ref="B123" r:id="rId125" xr:uid="{00000000-0004-0000-0100-00007C000000}"/>
    <hyperlink ref="B124" r:id="rId126" xr:uid="{00000000-0004-0000-0100-00007D000000}"/>
    <hyperlink ref="B125" r:id="rId127" xr:uid="{00000000-0004-0000-0100-00007E000000}"/>
    <hyperlink ref="B126" r:id="rId128" xr:uid="{00000000-0004-0000-0100-00007F000000}"/>
    <hyperlink ref="B127" r:id="rId129" xr:uid="{00000000-0004-0000-0100-000080000000}"/>
    <hyperlink ref="B128" r:id="rId130" xr:uid="{00000000-0004-0000-0100-000081000000}"/>
    <hyperlink ref="B129" r:id="rId131" xr:uid="{00000000-0004-0000-0100-000082000000}"/>
    <hyperlink ref="B130" r:id="rId132" xr:uid="{00000000-0004-0000-0100-000083000000}"/>
    <hyperlink ref="B131" r:id="rId133" xr:uid="{00000000-0004-0000-0100-000084000000}"/>
    <hyperlink ref="B132" r:id="rId134" xr:uid="{00000000-0004-0000-0100-000085000000}"/>
    <hyperlink ref="B133" r:id="rId135" xr:uid="{00000000-0004-0000-0100-000086000000}"/>
    <hyperlink ref="B134" r:id="rId136" xr:uid="{00000000-0004-0000-0100-000087000000}"/>
    <hyperlink ref="B136" r:id="rId137" xr:uid="{00000000-0004-0000-0100-000088000000}"/>
    <hyperlink ref="B137" r:id="rId138" xr:uid="{00000000-0004-0000-0100-000089000000}"/>
    <hyperlink ref="B138" r:id="rId139" xr:uid="{00000000-0004-0000-0100-00008A000000}"/>
    <hyperlink ref="B139" r:id="rId140" xr:uid="{00000000-0004-0000-0100-00008B000000}"/>
    <hyperlink ref="B140" r:id="rId141" xr:uid="{00000000-0004-0000-0100-00008C000000}"/>
    <hyperlink ref="B141" r:id="rId142" xr:uid="{00000000-0004-0000-0100-00008D000000}"/>
    <hyperlink ref="B142" r:id="rId143" xr:uid="{00000000-0004-0000-0100-00008E000000}"/>
    <hyperlink ref="B143" r:id="rId144" xr:uid="{00000000-0004-0000-0100-00008F000000}"/>
    <hyperlink ref="B144" r:id="rId145" xr:uid="{00000000-0004-0000-0100-000090000000}"/>
    <hyperlink ref="B145" r:id="rId146" xr:uid="{00000000-0004-0000-0100-000091000000}"/>
    <hyperlink ref="B146" r:id="rId147" xr:uid="{00000000-0004-0000-0100-000092000000}"/>
    <hyperlink ref="B147" r:id="rId148" xr:uid="{00000000-0004-0000-0100-000093000000}"/>
    <hyperlink ref="B148" r:id="rId149" xr:uid="{00000000-0004-0000-0100-000094000000}"/>
    <hyperlink ref="B149" r:id="rId150" xr:uid="{00000000-0004-0000-0100-000095000000}"/>
    <hyperlink ref="B150" r:id="rId151" xr:uid="{00000000-0004-0000-0100-000096000000}"/>
    <hyperlink ref="B151" r:id="rId152" xr:uid="{00000000-0004-0000-0100-000097000000}"/>
    <hyperlink ref="B152" r:id="rId153" xr:uid="{00000000-0004-0000-0100-000098000000}"/>
    <hyperlink ref="B153" r:id="rId154" xr:uid="{00000000-0004-0000-0100-000099000000}"/>
    <hyperlink ref="B154" r:id="rId155" xr:uid="{00000000-0004-0000-0100-00009A000000}"/>
    <hyperlink ref="B155" r:id="rId156" xr:uid="{00000000-0004-0000-0100-00009B000000}"/>
    <hyperlink ref="B156" r:id="rId157" xr:uid="{00000000-0004-0000-0100-00009C000000}"/>
    <hyperlink ref="B157" r:id="rId158" xr:uid="{00000000-0004-0000-0100-00009D000000}"/>
    <hyperlink ref="B158" r:id="rId159" xr:uid="{00000000-0004-0000-0100-00009E000000}"/>
    <hyperlink ref="B159" r:id="rId160" xr:uid="{00000000-0004-0000-0100-00009F000000}"/>
    <hyperlink ref="B160" r:id="rId161" xr:uid="{00000000-0004-0000-0100-0000A0000000}"/>
    <hyperlink ref="B161" r:id="rId162" xr:uid="{00000000-0004-0000-0100-0000A1000000}"/>
    <hyperlink ref="B162" r:id="rId163" xr:uid="{00000000-0004-0000-0100-0000A2000000}"/>
    <hyperlink ref="B163" r:id="rId164" xr:uid="{00000000-0004-0000-0100-0000A3000000}"/>
    <hyperlink ref="B164" r:id="rId165" xr:uid="{00000000-0004-0000-0100-0000A4000000}"/>
    <hyperlink ref="B165" r:id="rId166" xr:uid="{00000000-0004-0000-0100-0000A5000000}"/>
    <hyperlink ref="B166" r:id="rId167" xr:uid="{00000000-0004-0000-0100-0000A6000000}"/>
    <hyperlink ref="B167" r:id="rId168" xr:uid="{00000000-0004-0000-0100-0000A7000000}"/>
    <hyperlink ref="B168" r:id="rId169" xr:uid="{00000000-0004-0000-0100-0000A8000000}"/>
    <hyperlink ref="B169" r:id="rId170" xr:uid="{00000000-0004-0000-0100-0000A9000000}"/>
    <hyperlink ref="B170" r:id="rId171" xr:uid="{00000000-0004-0000-0100-0000AA000000}"/>
    <hyperlink ref="B171" r:id="rId172" xr:uid="{00000000-0004-0000-0100-0000AB000000}"/>
    <hyperlink ref="B172" r:id="rId173" xr:uid="{00000000-0004-0000-0100-0000AC000000}"/>
    <hyperlink ref="B173" r:id="rId174" xr:uid="{00000000-0004-0000-0100-0000AD000000}"/>
    <hyperlink ref="B174" r:id="rId175" xr:uid="{00000000-0004-0000-0100-0000AE000000}"/>
    <hyperlink ref="B175" r:id="rId176" xr:uid="{00000000-0004-0000-0100-0000AF000000}"/>
    <hyperlink ref="B176" r:id="rId177" xr:uid="{00000000-0004-0000-0100-0000B0000000}"/>
    <hyperlink ref="B177" r:id="rId178" xr:uid="{00000000-0004-0000-0100-0000B1000000}"/>
    <hyperlink ref="B178" r:id="rId179" xr:uid="{00000000-0004-0000-0100-0000B2000000}"/>
    <hyperlink ref="B179" r:id="rId180" xr:uid="{00000000-0004-0000-0100-0000B3000000}"/>
    <hyperlink ref="B180" r:id="rId181" xr:uid="{00000000-0004-0000-0100-0000B4000000}"/>
    <hyperlink ref="B181" r:id="rId182" xr:uid="{00000000-0004-0000-0100-0000B5000000}"/>
    <hyperlink ref="B182" r:id="rId183" xr:uid="{00000000-0004-0000-0100-0000B6000000}"/>
    <hyperlink ref="B183" r:id="rId184" xr:uid="{00000000-0004-0000-0100-0000B7000000}"/>
    <hyperlink ref="B184" r:id="rId185" xr:uid="{00000000-0004-0000-0100-0000B8000000}"/>
    <hyperlink ref="B185" r:id="rId186" xr:uid="{00000000-0004-0000-0100-0000B9000000}"/>
    <hyperlink ref="B186" r:id="rId187" xr:uid="{00000000-0004-0000-0100-0000BA000000}"/>
    <hyperlink ref="B187" r:id="rId188" xr:uid="{00000000-0004-0000-0100-0000BB000000}"/>
    <hyperlink ref="B188" r:id="rId189" xr:uid="{00000000-0004-0000-0100-0000BC000000}"/>
    <hyperlink ref="B189" r:id="rId190" xr:uid="{00000000-0004-0000-0100-0000BD000000}"/>
    <hyperlink ref="B190" r:id="rId191" xr:uid="{00000000-0004-0000-0100-0000BE000000}"/>
    <hyperlink ref="B191" r:id="rId192" xr:uid="{00000000-0004-0000-0100-0000BF000000}"/>
    <hyperlink ref="B192" r:id="rId193" xr:uid="{00000000-0004-0000-0100-0000C0000000}"/>
    <hyperlink ref="B193" r:id="rId194" xr:uid="{00000000-0004-0000-0100-0000C1000000}"/>
    <hyperlink ref="B194" r:id="rId195" xr:uid="{00000000-0004-0000-0100-0000C2000000}"/>
    <hyperlink ref="B195" r:id="rId196" xr:uid="{00000000-0004-0000-0100-0000C3000000}"/>
    <hyperlink ref="B196" r:id="rId197" xr:uid="{00000000-0004-0000-0100-0000C4000000}"/>
    <hyperlink ref="B197" r:id="rId198" xr:uid="{00000000-0004-0000-0100-0000C5000000}"/>
    <hyperlink ref="B198" r:id="rId199" xr:uid="{00000000-0004-0000-0100-0000C6000000}"/>
    <hyperlink ref="B199" r:id="rId200" xr:uid="{00000000-0004-0000-0100-0000C7000000}"/>
    <hyperlink ref="B200" r:id="rId201" xr:uid="{00000000-0004-0000-0100-0000C8000000}"/>
    <hyperlink ref="B201" r:id="rId202" xr:uid="{00000000-0004-0000-0100-0000C9000000}"/>
    <hyperlink ref="B202" r:id="rId203" xr:uid="{00000000-0004-0000-0100-0000CA000000}"/>
    <hyperlink ref="B203" r:id="rId204" xr:uid="{00000000-0004-0000-0100-0000CB000000}"/>
    <hyperlink ref="B204" r:id="rId205" xr:uid="{00000000-0004-0000-0100-0000CC000000}"/>
    <hyperlink ref="B205" r:id="rId206" xr:uid="{00000000-0004-0000-0100-0000CD000000}"/>
    <hyperlink ref="B206" r:id="rId207" xr:uid="{00000000-0004-0000-0100-0000CE000000}"/>
    <hyperlink ref="B207" r:id="rId208" xr:uid="{00000000-0004-0000-0100-0000CF000000}"/>
    <hyperlink ref="B208" r:id="rId209" xr:uid="{00000000-0004-0000-0100-0000D0000000}"/>
    <hyperlink ref="B209" r:id="rId210" xr:uid="{00000000-0004-0000-0100-0000D1000000}"/>
    <hyperlink ref="B210" r:id="rId211" xr:uid="{00000000-0004-0000-0100-0000D2000000}"/>
    <hyperlink ref="B211" r:id="rId212" xr:uid="{00000000-0004-0000-0100-0000D3000000}"/>
    <hyperlink ref="B212" r:id="rId213" xr:uid="{00000000-0004-0000-0100-0000D4000000}"/>
    <hyperlink ref="B214" r:id="rId214" xr:uid="{00000000-0004-0000-0100-0000D5000000}"/>
    <hyperlink ref="B215" r:id="rId215" xr:uid="{00000000-0004-0000-0100-0000D6000000}"/>
    <hyperlink ref="B213" r:id="rId216" xr:uid="{00000000-0004-0000-0100-0000D7000000}"/>
    <hyperlink ref="B216" r:id="rId217" xr:uid="{00000000-0004-0000-0100-0000D8000000}"/>
    <hyperlink ref="B217" r:id="rId218" xr:uid="{00000000-0004-0000-0100-0000D9000000}"/>
    <hyperlink ref="B218" r:id="rId219" xr:uid="{00000000-0004-0000-0100-0000DA000000}"/>
    <hyperlink ref="B219" r:id="rId220" xr:uid="{00000000-0004-0000-0100-0000DB000000}"/>
    <hyperlink ref="B220" r:id="rId221" xr:uid="{00000000-0004-0000-0100-0000DC000000}"/>
    <hyperlink ref="B221" r:id="rId222" xr:uid="{00000000-0004-0000-0100-0000DD000000}"/>
    <hyperlink ref="B222" r:id="rId223" xr:uid="{00000000-0004-0000-0100-0000DE000000}"/>
    <hyperlink ref="B223" r:id="rId224" xr:uid="{00000000-0004-0000-0100-0000DF000000}"/>
    <hyperlink ref="B224" r:id="rId225" xr:uid="{00000000-0004-0000-0100-0000E0000000}"/>
    <hyperlink ref="B225" r:id="rId226" xr:uid="{00000000-0004-0000-0100-0000E1000000}"/>
    <hyperlink ref="B226" r:id="rId227" xr:uid="{00000000-0004-0000-0100-0000E2000000}"/>
    <hyperlink ref="B227" r:id="rId228" xr:uid="{00000000-0004-0000-0100-0000E3000000}"/>
    <hyperlink ref="B228" r:id="rId229" xr:uid="{00000000-0004-0000-0100-0000E4000000}"/>
    <hyperlink ref="B229" r:id="rId230" xr:uid="{00000000-0004-0000-0100-0000E5000000}"/>
    <hyperlink ref="B230" r:id="rId231" xr:uid="{00000000-0004-0000-0100-0000E6000000}"/>
    <hyperlink ref="B231" r:id="rId232" xr:uid="{00000000-0004-0000-0100-0000E7000000}"/>
    <hyperlink ref="B232" r:id="rId233" xr:uid="{00000000-0004-0000-0100-0000E8000000}"/>
    <hyperlink ref="B233" r:id="rId234" xr:uid="{00000000-0004-0000-0100-0000E9000000}"/>
    <hyperlink ref="B234" r:id="rId235" xr:uid="{00000000-0004-0000-0100-0000EA000000}"/>
    <hyperlink ref="B235" r:id="rId236" xr:uid="{00000000-0004-0000-0100-0000EB000000}"/>
    <hyperlink ref="B236" r:id="rId237" xr:uid="{00000000-0004-0000-0100-0000EC000000}"/>
    <hyperlink ref="B237" r:id="rId238" xr:uid="{00000000-0004-0000-0100-0000ED000000}"/>
    <hyperlink ref="B238" r:id="rId239" xr:uid="{00000000-0004-0000-0100-0000EE000000}"/>
    <hyperlink ref="B239" r:id="rId240" xr:uid="{00000000-0004-0000-0100-0000EF000000}"/>
    <hyperlink ref="B240" r:id="rId241" xr:uid="{00000000-0004-0000-0100-0000F0000000}"/>
    <hyperlink ref="B241" r:id="rId242" xr:uid="{00000000-0004-0000-0100-0000F1000000}"/>
    <hyperlink ref="B242" r:id="rId243" xr:uid="{00000000-0004-0000-0100-0000F2000000}"/>
    <hyperlink ref="B243" r:id="rId244" xr:uid="{00000000-0004-0000-0100-0000F3000000}"/>
    <hyperlink ref="B244" r:id="rId245" xr:uid="{00000000-0004-0000-0100-0000F4000000}"/>
    <hyperlink ref="B245" r:id="rId246" xr:uid="{00000000-0004-0000-0100-0000F5000000}"/>
    <hyperlink ref="B246" r:id="rId247" xr:uid="{00000000-0004-0000-0100-0000F6000000}"/>
    <hyperlink ref="B247" r:id="rId248" xr:uid="{00000000-0004-0000-0100-0000F7000000}"/>
    <hyperlink ref="B248" r:id="rId249" xr:uid="{00000000-0004-0000-0100-0000F8000000}"/>
    <hyperlink ref="B249" r:id="rId250" xr:uid="{00000000-0004-0000-0100-0000F9000000}"/>
    <hyperlink ref="B250" r:id="rId251" xr:uid="{00000000-0004-0000-0100-0000FA000000}"/>
    <hyperlink ref="B251" r:id="rId252" xr:uid="{00000000-0004-0000-0100-0000FB000000}"/>
    <hyperlink ref="B252" r:id="rId253" xr:uid="{00000000-0004-0000-0100-0000FC000000}"/>
    <hyperlink ref="B253" r:id="rId254" xr:uid="{00000000-0004-0000-0100-0000FD000000}"/>
    <hyperlink ref="B254" r:id="rId255" xr:uid="{00000000-0004-0000-0100-0000FE000000}"/>
    <hyperlink ref="B255" r:id="rId256" xr:uid="{00000000-0004-0000-0100-0000FF000000}"/>
    <hyperlink ref="B256" r:id="rId257" xr:uid="{00000000-0004-0000-0100-000000010000}"/>
    <hyperlink ref="B257" r:id="rId258" xr:uid="{00000000-0004-0000-0100-000001010000}"/>
    <hyperlink ref="B258" r:id="rId259" xr:uid="{00000000-0004-0000-0100-000002010000}"/>
    <hyperlink ref="B259" r:id="rId260" xr:uid="{00000000-0004-0000-0100-000003010000}"/>
    <hyperlink ref="B260" r:id="rId261" xr:uid="{00000000-0004-0000-0100-000004010000}"/>
    <hyperlink ref="B261" r:id="rId262" xr:uid="{00000000-0004-0000-0100-000005010000}"/>
    <hyperlink ref="B262" r:id="rId263" xr:uid="{00000000-0004-0000-0100-000006010000}"/>
    <hyperlink ref="B263" r:id="rId264" xr:uid="{00000000-0004-0000-0100-000007010000}"/>
    <hyperlink ref="B264" r:id="rId265" xr:uid="{00000000-0004-0000-0100-000008010000}"/>
    <hyperlink ref="B265" r:id="rId266" xr:uid="{00000000-0004-0000-0100-000009010000}"/>
    <hyperlink ref="B266" r:id="rId267" xr:uid="{00000000-0004-0000-0100-00000A010000}"/>
    <hyperlink ref="B267" r:id="rId268" xr:uid="{00000000-0004-0000-0100-00000B010000}"/>
    <hyperlink ref="B268" r:id="rId269" xr:uid="{00000000-0004-0000-0100-00000C010000}"/>
    <hyperlink ref="B269" r:id="rId270" xr:uid="{00000000-0004-0000-0100-00000D010000}"/>
    <hyperlink ref="B270" r:id="rId271" xr:uid="{00000000-0004-0000-0100-00000E010000}"/>
    <hyperlink ref="B271" r:id="rId272" xr:uid="{00000000-0004-0000-0100-00000F010000}"/>
    <hyperlink ref="J271" r:id="rId273" xr:uid="{00000000-0004-0000-0100-000010010000}"/>
    <hyperlink ref="B272" r:id="rId274" xr:uid="{00000000-0004-0000-0100-000011010000}"/>
    <hyperlink ref="B273" r:id="rId275" xr:uid="{00000000-0004-0000-0100-000012010000}"/>
    <hyperlink ref="B274" r:id="rId276" xr:uid="{00000000-0004-0000-0100-000013010000}"/>
    <hyperlink ref="B275" r:id="rId277" xr:uid="{00000000-0004-0000-0100-000014010000}"/>
    <hyperlink ref="B276" r:id="rId278" xr:uid="{00000000-0004-0000-0100-000015010000}"/>
    <hyperlink ref="B277" r:id="rId279" xr:uid="{00000000-0004-0000-0100-000016010000}"/>
    <hyperlink ref="B278" r:id="rId280" xr:uid="{00000000-0004-0000-0100-000017010000}"/>
    <hyperlink ref="B279" r:id="rId281" xr:uid="{00000000-0004-0000-0100-000018010000}"/>
    <hyperlink ref="B280" r:id="rId282" xr:uid="{00000000-0004-0000-0100-000019010000}"/>
    <hyperlink ref="B281" r:id="rId283" xr:uid="{00000000-0004-0000-0100-00001A010000}"/>
    <hyperlink ref="B282" r:id="rId284" xr:uid="{00000000-0004-0000-0100-00001B010000}"/>
    <hyperlink ref="B283" r:id="rId285" xr:uid="{00000000-0004-0000-0100-00001C010000}"/>
    <hyperlink ref="B284" r:id="rId286" xr:uid="{00000000-0004-0000-0100-00001D010000}"/>
    <hyperlink ref="B285" r:id="rId287" xr:uid="{00000000-0004-0000-0100-00001E010000}"/>
    <hyperlink ref="B286" r:id="rId288" xr:uid="{00000000-0004-0000-0100-00001F010000}"/>
    <hyperlink ref="B287" r:id="rId289" xr:uid="{00000000-0004-0000-0100-000020010000}"/>
    <hyperlink ref="B288" r:id="rId290" xr:uid="{00000000-0004-0000-0100-000021010000}"/>
    <hyperlink ref="B289" r:id="rId291" xr:uid="{00000000-0004-0000-0100-000022010000}"/>
    <hyperlink ref="B290" r:id="rId292" xr:uid="{00000000-0004-0000-0100-000023010000}"/>
    <hyperlink ref="B291" r:id="rId293" xr:uid="{00000000-0004-0000-0100-000024010000}"/>
    <hyperlink ref="B292" r:id="rId294" xr:uid="{00000000-0004-0000-0100-000025010000}"/>
    <hyperlink ref="B293" r:id="rId295" xr:uid="{00000000-0004-0000-0100-000026010000}"/>
    <hyperlink ref="B294" r:id="rId296" xr:uid="{00000000-0004-0000-0100-000027010000}"/>
    <hyperlink ref="B295" r:id="rId297" xr:uid="{00000000-0004-0000-0100-000028010000}"/>
    <hyperlink ref="B296" r:id="rId298" xr:uid="{00000000-0004-0000-0100-000029010000}"/>
    <hyperlink ref="B297" r:id="rId299" xr:uid="{00000000-0004-0000-0100-00002A010000}"/>
    <hyperlink ref="B298" r:id="rId300" xr:uid="{00000000-0004-0000-0100-00002B010000}"/>
    <hyperlink ref="B299" r:id="rId301" xr:uid="{00000000-0004-0000-0100-00002C010000}"/>
    <hyperlink ref="B300" r:id="rId302" xr:uid="{00000000-0004-0000-0100-00002D010000}"/>
    <hyperlink ref="B301" r:id="rId303" xr:uid="{00000000-0004-0000-0100-00002E010000}"/>
    <hyperlink ref="B302" r:id="rId304" xr:uid="{00000000-0004-0000-0100-00002F010000}"/>
    <hyperlink ref="B303" r:id="rId305" xr:uid="{00000000-0004-0000-0100-000030010000}"/>
    <hyperlink ref="B304" r:id="rId306" xr:uid="{00000000-0004-0000-0100-000031010000}"/>
    <hyperlink ref="B305" r:id="rId307" xr:uid="{00000000-0004-0000-0100-000032010000}"/>
    <hyperlink ref="B306" r:id="rId308" xr:uid="{00000000-0004-0000-0100-000033010000}"/>
    <hyperlink ref="B307" r:id="rId309" xr:uid="{00000000-0004-0000-0100-000034010000}"/>
    <hyperlink ref="B308" r:id="rId310" xr:uid="{00000000-0004-0000-0100-000035010000}"/>
    <hyperlink ref="B309" r:id="rId311" xr:uid="{00000000-0004-0000-0100-000036010000}"/>
    <hyperlink ref="B310" r:id="rId312" xr:uid="{00000000-0004-0000-0100-000037010000}"/>
    <hyperlink ref="B311" r:id="rId313" xr:uid="{00000000-0004-0000-0100-000038010000}"/>
    <hyperlink ref="B312" r:id="rId314" xr:uid="{00000000-0004-0000-0100-000039010000}"/>
    <hyperlink ref="B313" r:id="rId315" xr:uid="{00000000-0004-0000-0100-00003A010000}"/>
    <hyperlink ref="B314" r:id="rId316" xr:uid="{00000000-0004-0000-0100-00003B010000}"/>
    <hyperlink ref="B315" r:id="rId317" xr:uid="{00000000-0004-0000-0100-00003C010000}"/>
    <hyperlink ref="B316" r:id="rId318" xr:uid="{00000000-0004-0000-0100-00003D010000}"/>
    <hyperlink ref="B317" r:id="rId319" xr:uid="{00000000-0004-0000-0100-00003E010000}"/>
    <hyperlink ref="B318" r:id="rId320" xr:uid="{00000000-0004-0000-0100-00003F010000}"/>
    <hyperlink ref="B319" r:id="rId321" xr:uid="{00000000-0004-0000-0100-000040010000}"/>
    <hyperlink ref="B320" r:id="rId322" xr:uid="{00000000-0004-0000-0100-000041010000}"/>
    <hyperlink ref="B321" r:id="rId323" xr:uid="{00000000-0004-0000-0100-000042010000}"/>
    <hyperlink ref="B322" r:id="rId324" xr:uid="{00000000-0004-0000-0100-000043010000}"/>
    <hyperlink ref="B135" r:id="rId325" xr:uid="{00000000-0004-0000-0100-000044010000}"/>
    <hyperlink ref="J161" r:id="rId326" xr:uid="{00000000-0004-0000-0100-000045010000}"/>
    <hyperlink ref="J194" r:id="rId327" xr:uid="{00000000-0004-0000-0100-000046010000}"/>
    <hyperlink ref="J198" r:id="rId328" xr:uid="{00000000-0004-0000-0100-000047010000}"/>
    <hyperlink ref="J221" r:id="rId329" xr:uid="{00000000-0004-0000-0100-000048010000}"/>
    <hyperlink ref="J236" r:id="rId330" xr:uid="{00000000-0004-0000-0100-000049010000}"/>
    <hyperlink ref="J283" r:id="rId331" xr:uid="{00000000-0004-0000-0100-00004A010000}"/>
  </hyperlinks>
  <pageMargins left="0.7" right="0.7" top="0.75" bottom="0.75" header="0.3" footer="0.3"/>
  <pageSetup paperSize="9" orientation="portrait" r:id="rId332"/>
  <legacyDrawing r:id="rId33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O10" sqref="O10"/>
    </sheetView>
  </sheetViews>
  <sheetFormatPr defaultRowHeight="17.600000000000001" x14ac:dyDescent="0.55000000000000004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건전성</vt:lpstr>
      <vt:lpstr>건전성 자동화 결과</vt:lpstr>
      <vt:lpstr>채무보증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 Oh</dc:creator>
  <cp:lastModifiedBy>장희웅</cp:lastModifiedBy>
  <dcterms:created xsi:type="dcterms:W3CDTF">2025-07-24T02:40:42Z</dcterms:created>
  <dcterms:modified xsi:type="dcterms:W3CDTF">2025-09-24T05:18:40Z</dcterms:modified>
</cp:coreProperties>
</file>